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ダッシュボード\"/>
    </mc:Choice>
  </mc:AlternateContent>
  <xr:revisionPtr revIDLastSave="0" documentId="13_ncr:1_{11ADE85B-C7F5-4DD7-A1C8-09E5322440C8}" xr6:coauthVersionLast="47" xr6:coauthVersionMax="47" xr10:uidLastSave="{00000000-0000-0000-0000-000000000000}"/>
  <bookViews>
    <workbookView xWindow="29640" yWindow="735" windowWidth="26160" windowHeight="14235" tabRatio="912" xr2:uid="{02259258-07A7-452D-9159-8C0E86A92F61}"/>
  </bookViews>
  <sheets>
    <sheet name="Sheet11" sheetId="29" r:id="rId1"/>
    <sheet name="Sheet11 (3月)" sheetId="33" r:id="rId2"/>
    <sheet name="Sheet11 (2月)" sheetId="32" r:id="rId3"/>
    <sheet name="Sheet11 (1月)" sheetId="31" r:id="rId4"/>
    <sheet name="Sheet11 (12月)" sheetId="30" r:id="rId5"/>
    <sheet name="Sheet11 (11月)" sheetId="20" r:id="rId6"/>
    <sheet name="Sheet11 (10月)" sheetId="28" r:id="rId7"/>
    <sheet name="Sheet11 (9月)" sheetId="27" r:id="rId8"/>
    <sheet name="keisan" sheetId="26" r:id="rId9"/>
    <sheet name="Sheet11 (8月)" sheetId="25" r:id="rId10"/>
    <sheet name="Sheet11 (7月)" sheetId="24" r:id="rId11"/>
    <sheet name="Sheet11 (6月)" sheetId="23" r:id="rId12"/>
    <sheet name="Sheet11 (5月)" sheetId="22" r:id="rId13"/>
    <sheet name="Sheet11 (4月)" sheetId="21" r:id="rId14"/>
    <sheet name="Sheet11(3月)" sheetId="19" r:id="rId15"/>
    <sheet name="Sheet11(2月)" sheetId="15" r:id="rId16"/>
    <sheet name="Sheet11 (並べ替えの都合上の削除前)" sheetId="18" r:id="rId17"/>
    <sheet name="Sheet11(1月集計) " sheetId="13" r:id="rId18"/>
    <sheet name="まとめ継続(2月)" sheetId="16" r:id="rId19"/>
    <sheet name="まとめ継続(分割計上計算)(2月)" sheetId="17" r:id="rId20"/>
    <sheet name="Sheet8" sheetId="14" r:id="rId21"/>
    <sheet name="Sheet1-2" sheetId="10" r:id="rId22"/>
    <sheet name="Sheet1" sheetId="9" r:id="rId23"/>
    <sheet name="Sheet2" sheetId="11" r:id="rId24"/>
    <sheet name="まとめ継続(分割計上計算)" sheetId="8" r:id="rId25"/>
    <sheet name="まとめ継続(1月)" sheetId="3" r:id="rId26"/>
    <sheet name="Sheet5" sheetId="6" r:id="rId27"/>
    <sheet name="Sheet3" sheetId="7" r:id="rId28"/>
    <sheet name="Sheet4" sheetId="5" r:id="rId29"/>
    <sheet name="コミュおまとめ" sheetId="2" r:id="rId30"/>
  </sheets>
  <externalReferences>
    <externalReference r:id="rId31"/>
  </externalReferences>
  <definedNames>
    <definedName name="_xlnm._FilterDatabase" localSheetId="22" hidden="1">Sheet1!$A$1:$E$54</definedName>
    <definedName name="_xlnm._FilterDatabase" localSheetId="0" hidden="1">Sheet11!$A$1:$F$265</definedName>
    <definedName name="_xlnm._FilterDatabase" localSheetId="6" hidden="1">'Sheet11 (10月)'!$A$1:$F$265</definedName>
    <definedName name="_xlnm._FilterDatabase" localSheetId="5" hidden="1">'Sheet11 (11月)'!$A$1:$F$265</definedName>
    <definedName name="_xlnm._FilterDatabase" localSheetId="4" hidden="1">'Sheet11 (12月)'!$A$1:$F$265</definedName>
    <definedName name="_xlnm._FilterDatabase" localSheetId="3" hidden="1">'Sheet11 (1月)'!$A$1:$F$265</definedName>
    <definedName name="_xlnm._FilterDatabase" localSheetId="2" hidden="1">'Sheet11 (2月)'!$A$1:$F$265</definedName>
    <definedName name="_xlnm._FilterDatabase" localSheetId="1" hidden="1">'Sheet11 (3月)'!$A$1:$F$265</definedName>
    <definedName name="_xlnm._FilterDatabase" localSheetId="10" hidden="1">'Sheet11 (7月)'!$A$1:$F$289</definedName>
    <definedName name="_xlnm._FilterDatabase" localSheetId="9" hidden="1">'Sheet11 (8月)'!$A$1:$F$281</definedName>
    <definedName name="_xlnm._FilterDatabase" localSheetId="7" hidden="1">'Sheet11 (9月)'!$A$1:$F$269</definedName>
    <definedName name="_xlnm._FilterDatabase" localSheetId="16" hidden="1">'Sheet11 (並べ替えの都合上の削除前)'!$A$1:$E$129</definedName>
    <definedName name="_xlnm._FilterDatabase" localSheetId="17" hidden="1">'Sheet11(1月集計) '!$A$1:$E$107</definedName>
    <definedName name="_xlnm._FilterDatabase" localSheetId="15" hidden="1">'Sheet11(2月)'!$A$1:$E$85</definedName>
    <definedName name="_xlnm._FilterDatabase" localSheetId="14" hidden="1">'Sheet11(3月)'!$A$1:$F$169</definedName>
    <definedName name="_xlnm._FilterDatabase" localSheetId="21" hidden="1">'Sheet1-2'!$A$1:$E$22</definedName>
    <definedName name="_xlnm._FilterDatabase" localSheetId="23" hidden="1">Sheet2!$A$1:$E$54</definedName>
    <definedName name="_xlnm._FilterDatabase" localSheetId="29" hidden="1">コミュおまとめ!$A$1:$I$691</definedName>
    <definedName name="_xlnm._FilterDatabase" localSheetId="25" hidden="1">'まとめ継続(1月)'!$A$1:$AZ$693</definedName>
    <definedName name="_xlnm._FilterDatabase" localSheetId="18" hidden="1">'まとめ継続(2月)'!$A$1:$CK$717</definedName>
    <definedName name="顧客データベース20250213140013_0" localSheetId="29">コミュおまとめ!$A$1:$I$691</definedName>
    <definedName name="顧客データベース20250213140013_0" localSheetId="25">'まとめ継続(1月)'!$B$1:$J$691</definedName>
  </definedNames>
  <calcPr calcId="191029"/>
  <pivotCaches>
    <pivotCache cacheId="87" r:id="rId32"/>
    <pivotCache cacheId="88" r:id="rId33"/>
    <pivotCache cacheId="89" r:id="rId34"/>
    <pivotCache cacheId="90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719" i="16" l="1"/>
  <c r="BF719" i="16"/>
  <c r="BE719" i="16"/>
  <c r="BD719" i="16"/>
  <c r="BC719" i="16"/>
  <c r="BB719" i="16"/>
  <c r="BA719" i="16"/>
  <c r="AZ719" i="16"/>
  <c r="AY719" i="16"/>
  <c r="AX719" i="16"/>
  <c r="AW719" i="16"/>
  <c r="AV719" i="16"/>
  <c r="AU719" i="16"/>
  <c r="AT719" i="16"/>
  <c r="AS719" i="16"/>
  <c r="AR719" i="16"/>
  <c r="AQ719" i="16"/>
  <c r="AP719" i="16"/>
  <c r="AO719" i="16"/>
  <c r="AN719" i="16"/>
  <c r="AM719" i="16"/>
  <c r="AL719" i="16"/>
  <c r="AK719" i="16"/>
  <c r="AJ719" i="16"/>
  <c r="AI719" i="16"/>
  <c r="BG720" i="16" s="1"/>
  <c r="AG719" i="16"/>
  <c r="AF719" i="16"/>
  <c r="AE719" i="16"/>
  <c r="AD719" i="16"/>
  <c r="V719" i="16"/>
  <c r="AH720" i="16" s="1"/>
  <c r="U719" i="16"/>
  <c r="AH715" i="16"/>
  <c r="Z714" i="16"/>
  <c r="Z713" i="16"/>
  <c r="Z712" i="16"/>
  <c r="Y711" i="16"/>
  <c r="X710" i="16"/>
  <c r="AB709" i="16"/>
  <c r="X708" i="16"/>
  <c r="X707" i="16"/>
  <c r="AB705" i="16"/>
  <c r="AH704" i="16"/>
  <c r="AB703" i="16"/>
  <c r="AH702" i="16"/>
  <c r="X701" i="16"/>
  <c r="X700" i="16"/>
  <c r="AB699" i="16"/>
  <c r="AB698" i="16"/>
  <c r="AB697" i="16"/>
  <c r="AB696" i="16"/>
  <c r="X695" i="16"/>
  <c r="AB694" i="16"/>
  <c r="Y693" i="16"/>
  <c r="X692" i="16"/>
  <c r="AE691" i="16"/>
  <c r="AB690" i="16"/>
  <c r="X689" i="16"/>
  <c r="AB688" i="16"/>
  <c r="AB687" i="16"/>
  <c r="X686" i="16"/>
  <c r="Z685" i="16"/>
  <c r="AB684" i="16"/>
  <c r="X683" i="16"/>
  <c r="AB682" i="16"/>
  <c r="Z681" i="16"/>
  <c r="AH680" i="16"/>
  <c r="AB679" i="16"/>
  <c r="Y678" i="16"/>
  <c r="AH677" i="16"/>
  <c r="Y676" i="16"/>
  <c r="AB675" i="16"/>
  <c r="AB674" i="16"/>
  <c r="X673" i="16"/>
  <c r="X672" i="16"/>
  <c r="AH671" i="16"/>
  <c r="X670" i="16"/>
  <c r="AA669" i="16"/>
  <c r="AB668" i="16"/>
  <c r="W667" i="16"/>
  <c r="AH666" i="16"/>
  <c r="X665" i="16"/>
  <c r="X664" i="16"/>
  <c r="Z663" i="16"/>
  <c r="W662" i="16"/>
  <c r="W661" i="16"/>
  <c r="AB660" i="16"/>
  <c r="W659" i="16"/>
  <c r="AB658" i="16"/>
  <c r="W657" i="16"/>
  <c r="X656" i="16"/>
  <c r="Z655" i="16"/>
  <c r="Y654" i="16"/>
  <c r="X653" i="16"/>
  <c r="X652" i="16"/>
  <c r="Y651" i="16"/>
  <c r="Z650" i="16"/>
  <c r="X649" i="16"/>
  <c r="X648" i="16"/>
  <c r="Z647" i="16"/>
  <c r="X646" i="16"/>
  <c r="AH645" i="16"/>
  <c r="AH719" i="16" s="1"/>
  <c r="Z644" i="16"/>
  <c r="Y643" i="16"/>
  <c r="X642" i="16"/>
  <c r="W641" i="16"/>
  <c r="X640" i="16"/>
  <c r="X639" i="16"/>
  <c r="W638" i="16"/>
  <c r="X637" i="16"/>
  <c r="X636" i="16"/>
  <c r="Y635" i="16"/>
  <c r="AH634" i="16"/>
  <c r="Z632" i="16"/>
  <c r="AH631" i="16"/>
  <c r="X630" i="16"/>
  <c r="X629" i="16"/>
  <c r="W628" i="16"/>
  <c r="AB627" i="16"/>
  <c r="X626" i="16"/>
  <c r="W625" i="16"/>
  <c r="X624" i="16"/>
  <c r="Z623" i="16"/>
  <c r="Z622" i="16"/>
  <c r="X621" i="16"/>
  <c r="X620" i="16"/>
  <c r="Z618" i="16"/>
  <c r="W617" i="16"/>
  <c r="W616" i="16"/>
  <c r="Y615" i="16"/>
  <c r="W614" i="16"/>
  <c r="W613" i="16"/>
  <c r="Z612" i="16"/>
  <c r="Z611" i="16"/>
  <c r="Z610" i="16"/>
  <c r="Y609" i="16"/>
  <c r="Z608" i="16"/>
  <c r="Z607" i="16"/>
  <c r="X606" i="16"/>
  <c r="Z605" i="16"/>
  <c r="W604" i="16"/>
  <c r="Y603" i="16"/>
  <c r="X602" i="16"/>
  <c r="X601" i="16"/>
  <c r="X599" i="16"/>
  <c r="X598" i="16"/>
  <c r="Z597" i="16"/>
  <c r="Z596" i="16"/>
  <c r="W595" i="16"/>
  <c r="X594" i="16"/>
  <c r="X593" i="16"/>
  <c r="X592" i="16"/>
  <c r="Z591" i="16"/>
  <c r="Z590" i="16"/>
  <c r="X589" i="16"/>
  <c r="Z588" i="16"/>
  <c r="Z587" i="16"/>
  <c r="Y586" i="16"/>
  <c r="W585" i="16"/>
  <c r="W584" i="16"/>
  <c r="W583" i="16"/>
  <c r="W582" i="16"/>
  <c r="W581" i="16"/>
  <c r="W580" i="16"/>
  <c r="X579" i="16"/>
  <c r="X578" i="16"/>
  <c r="Z577" i="16"/>
  <c r="X576" i="16"/>
  <c r="Z575" i="16"/>
  <c r="Z574" i="16"/>
  <c r="Z572" i="16"/>
  <c r="Z571" i="16"/>
  <c r="Z570" i="16"/>
  <c r="W569" i="16"/>
  <c r="Z568" i="16"/>
  <c r="X567" i="16"/>
  <c r="X566" i="16"/>
  <c r="X565" i="16"/>
  <c r="X564" i="16"/>
  <c r="W563" i="16"/>
  <c r="AA562" i="16"/>
  <c r="X561" i="16"/>
  <c r="Z560" i="16"/>
  <c r="W559" i="16"/>
  <c r="X558" i="16"/>
  <c r="W557" i="16"/>
  <c r="Z556" i="16"/>
  <c r="Z555" i="16"/>
  <c r="Z554" i="16"/>
  <c r="W553" i="16"/>
  <c r="Z552" i="16"/>
  <c r="X551" i="16"/>
  <c r="Z550" i="16"/>
  <c r="Z549" i="16"/>
  <c r="W548" i="16"/>
  <c r="X547" i="16"/>
  <c r="X546" i="16"/>
  <c r="X545" i="16"/>
  <c r="Z544" i="16"/>
  <c r="X543" i="16"/>
  <c r="Z542" i="16"/>
  <c r="Z541" i="16"/>
  <c r="Z539" i="16"/>
  <c r="W538" i="16"/>
  <c r="X537" i="16"/>
  <c r="W536" i="16"/>
  <c r="W535" i="16"/>
  <c r="W534" i="16"/>
  <c r="W533" i="16"/>
  <c r="W532" i="16"/>
  <c r="W531" i="16"/>
  <c r="W530" i="16"/>
  <c r="Z529" i="16"/>
  <c r="W528" i="16"/>
  <c r="AB527" i="16"/>
  <c r="W526" i="16"/>
  <c r="W525" i="16"/>
  <c r="W524" i="16"/>
  <c r="X523" i="16"/>
  <c r="X522" i="16"/>
  <c r="W521" i="16"/>
  <c r="Z520" i="16"/>
  <c r="W519" i="16"/>
  <c r="Z518" i="16"/>
  <c r="X517" i="16"/>
  <c r="X516" i="16"/>
  <c r="Z515" i="16"/>
  <c r="W514" i="16"/>
  <c r="X513" i="16"/>
  <c r="Z512" i="16"/>
  <c r="X511" i="16"/>
  <c r="X510" i="16"/>
  <c r="W509" i="16"/>
  <c r="W508" i="16"/>
  <c r="X507" i="16"/>
  <c r="X506" i="16"/>
  <c r="X505" i="16"/>
  <c r="Z504" i="16"/>
  <c r="X503" i="16"/>
  <c r="X502" i="16"/>
  <c r="W501" i="16"/>
  <c r="W500" i="16"/>
  <c r="Z499" i="16"/>
  <c r="X498" i="16"/>
  <c r="X497" i="16"/>
  <c r="Z496" i="16"/>
  <c r="X495" i="16"/>
  <c r="X494" i="16"/>
  <c r="W493" i="16"/>
  <c r="X492" i="16"/>
  <c r="X491" i="16"/>
  <c r="X490" i="16"/>
  <c r="X489" i="16"/>
  <c r="X488" i="16"/>
  <c r="Z487" i="16"/>
  <c r="Z486" i="16"/>
  <c r="Z485" i="16"/>
  <c r="X484" i="16"/>
  <c r="Z483" i="16"/>
  <c r="Z482" i="16"/>
  <c r="Z481" i="16"/>
  <c r="Z480" i="16"/>
  <c r="X479" i="16"/>
  <c r="Z478" i="16"/>
  <c r="Z477" i="16"/>
  <c r="X476" i="16"/>
  <c r="X475" i="16"/>
  <c r="X474" i="16"/>
  <c r="Y473" i="16"/>
  <c r="X472" i="16"/>
  <c r="Z471" i="16"/>
  <c r="Z470" i="16"/>
  <c r="Z469" i="16"/>
  <c r="X468" i="16"/>
  <c r="X467" i="16"/>
  <c r="X466" i="16"/>
  <c r="X465" i="16"/>
  <c r="W464" i="16"/>
  <c r="X463" i="16"/>
  <c r="Z462" i="16"/>
  <c r="Z461" i="16"/>
  <c r="Z460" i="16"/>
  <c r="X459" i="16"/>
  <c r="Z458" i="16"/>
  <c r="X457" i="16"/>
  <c r="X456" i="16"/>
  <c r="Z455" i="16"/>
  <c r="X453" i="16"/>
  <c r="Z452" i="16"/>
  <c r="Z451" i="16"/>
  <c r="Z450" i="16"/>
  <c r="Z449" i="16"/>
  <c r="X448" i="16"/>
  <c r="Z447" i="16"/>
  <c r="X446" i="16"/>
  <c r="Z445" i="16"/>
  <c r="X444" i="16"/>
  <c r="Z443" i="16"/>
  <c r="X442" i="16"/>
  <c r="Z441" i="16"/>
  <c r="AA440" i="16"/>
  <c r="X439" i="16"/>
  <c r="X438" i="16"/>
  <c r="X437" i="16"/>
  <c r="X436" i="16"/>
  <c r="X435" i="16"/>
  <c r="X434" i="16"/>
  <c r="X433" i="16"/>
  <c r="X432" i="16"/>
  <c r="X430" i="16"/>
  <c r="Z429" i="16"/>
  <c r="X428" i="16"/>
  <c r="X427" i="16"/>
  <c r="X426" i="16"/>
  <c r="X425" i="16"/>
  <c r="X424" i="16"/>
  <c r="X423" i="16"/>
  <c r="X422" i="16"/>
  <c r="X421" i="16"/>
  <c r="X420" i="16"/>
  <c r="X419" i="16"/>
  <c r="AA418" i="16"/>
  <c r="X417" i="16"/>
  <c r="X416" i="16"/>
  <c r="X415" i="16"/>
  <c r="X414" i="16"/>
  <c r="X413" i="16"/>
  <c r="X412" i="16"/>
  <c r="X411" i="16"/>
  <c r="X410" i="16"/>
  <c r="X409" i="16"/>
  <c r="X408" i="16"/>
  <c r="X407" i="16"/>
  <c r="X406" i="16"/>
  <c r="X405" i="16"/>
  <c r="Z404" i="16"/>
  <c r="X403" i="16"/>
  <c r="X402" i="16"/>
  <c r="X401" i="16"/>
  <c r="X400" i="16"/>
  <c r="X399" i="16"/>
  <c r="X398" i="16"/>
  <c r="X397" i="16"/>
  <c r="X396" i="16"/>
  <c r="X395" i="16"/>
  <c r="X394" i="16"/>
  <c r="X393" i="16"/>
  <c r="X391" i="16"/>
  <c r="X390" i="16"/>
  <c r="AA389" i="16"/>
  <c r="X388" i="16"/>
  <c r="X387" i="16"/>
  <c r="X386" i="16"/>
  <c r="X385" i="16"/>
  <c r="X384" i="16"/>
  <c r="X383" i="16"/>
  <c r="X382" i="16"/>
  <c r="X381" i="16"/>
  <c r="Z380" i="16"/>
  <c r="W379" i="16"/>
  <c r="X378" i="16"/>
  <c r="X377" i="16"/>
  <c r="X376" i="16"/>
  <c r="W375" i="16"/>
  <c r="Z374" i="16"/>
  <c r="X373" i="16"/>
  <c r="X372" i="16"/>
  <c r="X371" i="16"/>
  <c r="Z370" i="16"/>
  <c r="Y369" i="16"/>
  <c r="Y719" i="16" s="1"/>
  <c r="X368" i="16"/>
  <c r="Z367" i="16"/>
  <c r="Z366" i="16"/>
  <c r="W365" i="16"/>
  <c r="Z364" i="16"/>
  <c r="Z363" i="16"/>
  <c r="W362" i="16"/>
  <c r="Z361" i="16"/>
  <c r="W360" i="16"/>
  <c r="Z359" i="16"/>
  <c r="W358" i="16"/>
  <c r="W357" i="16"/>
  <c r="Z356" i="16"/>
  <c r="W355" i="16"/>
  <c r="Z354" i="16"/>
  <c r="Z353" i="16"/>
  <c r="Z352" i="16"/>
  <c r="W351" i="16"/>
  <c r="W350" i="16"/>
  <c r="Z349" i="16"/>
  <c r="Z348" i="16"/>
  <c r="W347" i="16"/>
  <c r="Z346" i="16"/>
  <c r="Z345" i="16"/>
  <c r="Z344" i="16"/>
  <c r="Z343" i="16"/>
  <c r="Z342" i="16"/>
  <c r="Z341" i="16"/>
  <c r="Z340" i="16"/>
  <c r="Z339" i="16"/>
  <c r="Z338" i="16"/>
  <c r="Z337" i="16"/>
  <c r="W336" i="16"/>
  <c r="Z335" i="16"/>
  <c r="W334" i="16"/>
  <c r="Z333" i="16"/>
  <c r="Z332" i="16"/>
  <c r="Z331" i="16"/>
  <c r="Z330" i="16"/>
  <c r="X329" i="16"/>
  <c r="Z328" i="16"/>
  <c r="Z327" i="16"/>
  <c r="W326" i="16"/>
  <c r="Z325" i="16"/>
  <c r="Z324" i="16"/>
  <c r="Z323" i="16"/>
  <c r="Z322" i="16"/>
  <c r="W321" i="16"/>
  <c r="Z320" i="16"/>
  <c r="Z319" i="16"/>
  <c r="Z318" i="16"/>
  <c r="Z317" i="16"/>
  <c r="Z316" i="16"/>
  <c r="Z315" i="16"/>
  <c r="Z314" i="16"/>
  <c r="Z313" i="16"/>
  <c r="Z312" i="16"/>
  <c r="Z311" i="16"/>
  <c r="W310" i="16"/>
  <c r="Z309" i="16"/>
  <c r="W308" i="16"/>
  <c r="Z307" i="16"/>
  <c r="Z306" i="16"/>
  <c r="Z305" i="16"/>
  <c r="Z304" i="16"/>
  <c r="X303" i="16"/>
  <c r="X302" i="16"/>
  <c r="X301" i="16"/>
  <c r="X300" i="16"/>
  <c r="Z299" i="16"/>
  <c r="W298" i="16"/>
  <c r="Z297" i="16"/>
  <c r="Z296" i="16"/>
  <c r="Z295" i="16"/>
  <c r="Z294" i="16"/>
  <c r="AB293" i="16"/>
  <c r="Z292" i="16"/>
  <c r="Z291" i="16"/>
  <c r="Z290" i="16"/>
  <c r="Z289" i="16"/>
  <c r="W288" i="16"/>
  <c r="Z287" i="16"/>
  <c r="Z286" i="16"/>
  <c r="Z285" i="16"/>
  <c r="Z284" i="16"/>
  <c r="Z283" i="16"/>
  <c r="X282" i="16"/>
  <c r="Z281" i="16"/>
  <c r="Z280" i="16"/>
  <c r="Z279" i="16"/>
  <c r="W278" i="16"/>
  <c r="Z277" i="16"/>
  <c r="Z276" i="16"/>
  <c r="W275" i="16"/>
  <c r="W274" i="16"/>
  <c r="Z273" i="16"/>
  <c r="W272" i="16"/>
  <c r="W271" i="16"/>
  <c r="Z270" i="16"/>
  <c r="Z269" i="16"/>
  <c r="W268" i="16"/>
  <c r="Z267" i="16"/>
  <c r="Z266" i="16"/>
  <c r="Z265" i="16"/>
  <c r="Z264" i="16"/>
  <c r="Z263" i="16"/>
  <c r="Z262" i="16"/>
  <c r="Z261" i="16"/>
  <c r="Z260" i="16"/>
  <c r="Z259" i="16"/>
  <c r="Z258" i="16"/>
  <c r="Z257" i="16"/>
  <c r="Z256" i="16"/>
  <c r="Z255" i="16"/>
  <c r="W254" i="16"/>
  <c r="Z253" i="16"/>
  <c r="W252" i="16"/>
  <c r="W251" i="16"/>
  <c r="Z250" i="16"/>
  <c r="Z249" i="16"/>
  <c r="Z248" i="16"/>
  <c r="Z247" i="16"/>
  <c r="Z246" i="16"/>
  <c r="Z245" i="16"/>
  <c r="Z244" i="16"/>
  <c r="AA243" i="16"/>
  <c r="W242" i="16"/>
  <c r="Z241" i="16"/>
  <c r="Z240" i="16"/>
  <c r="Z239" i="16"/>
  <c r="Z238" i="16"/>
  <c r="Z237" i="16"/>
  <c r="W236" i="16"/>
  <c r="Z235" i="16"/>
  <c r="Z234" i="16"/>
  <c r="Z233" i="16"/>
  <c r="W232" i="16"/>
  <c r="Z231" i="16"/>
  <c r="Z230" i="16"/>
  <c r="Z229" i="16"/>
  <c r="Z228" i="16"/>
  <c r="Z227" i="16"/>
  <c r="X226" i="16"/>
  <c r="Z225" i="16"/>
  <c r="Z224" i="16"/>
  <c r="Z223" i="16"/>
  <c r="Z222" i="16"/>
  <c r="Z220" i="16"/>
  <c r="Z219" i="16"/>
  <c r="Z218" i="16"/>
  <c r="W217" i="16"/>
  <c r="W216" i="16"/>
  <c r="Z215" i="16"/>
  <c r="Z214" i="16"/>
  <c r="Z213" i="16"/>
  <c r="W212" i="16"/>
  <c r="W211" i="16"/>
  <c r="Z210" i="16"/>
  <c r="Z209" i="16"/>
  <c r="W208" i="16"/>
  <c r="Z207" i="16"/>
  <c r="W206" i="16"/>
  <c r="Z205" i="16"/>
  <c r="W204" i="16"/>
  <c r="W203" i="16"/>
  <c r="Z202" i="16"/>
  <c r="Z201" i="16"/>
  <c r="W200" i="16"/>
  <c r="Z199" i="16"/>
  <c r="W198" i="16"/>
  <c r="Z197" i="16"/>
  <c r="Z196" i="16"/>
  <c r="Z195" i="16"/>
  <c r="Z194" i="16"/>
  <c r="Z193" i="16"/>
  <c r="Z192" i="16"/>
  <c r="W191" i="16"/>
  <c r="Z190" i="16"/>
  <c r="Z189" i="16"/>
  <c r="Z188" i="16"/>
  <c r="Z187" i="16"/>
  <c r="Z186" i="16"/>
  <c r="Z185" i="16"/>
  <c r="W184" i="16"/>
  <c r="Z183" i="16"/>
  <c r="W182" i="16"/>
  <c r="X181" i="16"/>
  <c r="W180" i="16"/>
  <c r="Z179" i="16"/>
  <c r="W178" i="16"/>
  <c r="Z177" i="16"/>
  <c r="Z176" i="16"/>
  <c r="W175" i="16"/>
  <c r="Z174" i="16"/>
  <c r="W173" i="16"/>
  <c r="W172" i="16"/>
  <c r="Z171" i="16"/>
  <c r="Z170" i="16"/>
  <c r="Z169" i="16"/>
  <c r="W168" i="16"/>
  <c r="Z167" i="16"/>
  <c r="Z166" i="16"/>
  <c r="W165" i="16"/>
  <c r="W164" i="16"/>
  <c r="Z163" i="16"/>
  <c r="Z162" i="16"/>
  <c r="Z161" i="16"/>
  <c r="W160" i="16"/>
  <c r="Z159" i="16"/>
  <c r="Z157" i="16"/>
  <c r="X156" i="16"/>
  <c r="Z155" i="16"/>
  <c r="W154" i="16"/>
  <c r="X153" i="16"/>
  <c r="Z152" i="16"/>
  <c r="W151" i="16"/>
  <c r="Z150" i="16"/>
  <c r="Z149" i="16"/>
  <c r="Z148" i="16"/>
  <c r="W147" i="16"/>
  <c r="Z146" i="16"/>
  <c r="Z145" i="16"/>
  <c r="Z144" i="16"/>
  <c r="Z143" i="16"/>
  <c r="W142" i="16"/>
  <c r="Z141" i="16"/>
  <c r="Z140" i="16"/>
  <c r="Z139" i="16"/>
  <c r="Z138" i="16"/>
  <c r="Z137" i="16"/>
  <c r="Z136" i="16"/>
  <c r="Z135" i="16"/>
  <c r="Z134" i="16"/>
  <c r="Z133" i="16"/>
  <c r="Z132" i="16"/>
  <c r="Z131" i="16"/>
  <c r="Z130" i="16"/>
  <c r="Z129" i="16"/>
  <c r="Z128" i="16"/>
  <c r="Z127" i="16"/>
  <c r="W126" i="16"/>
  <c r="Z125" i="16"/>
  <c r="Z123" i="16"/>
  <c r="Z122" i="16"/>
  <c r="W121" i="16"/>
  <c r="Z120" i="16"/>
  <c r="Z119" i="16"/>
  <c r="Z118" i="16"/>
  <c r="Z117" i="16"/>
  <c r="Z116" i="16"/>
  <c r="Z114" i="16"/>
  <c r="Z113" i="16"/>
  <c r="Z112" i="16"/>
  <c r="Z111" i="16"/>
  <c r="Z110" i="16"/>
  <c r="Z109" i="16"/>
  <c r="Z108" i="16"/>
  <c r="Z107" i="16"/>
  <c r="Z106" i="16"/>
  <c r="Z105" i="16"/>
  <c r="Z104" i="16"/>
  <c r="Z103" i="16"/>
  <c r="Z102" i="16"/>
  <c r="Z101" i="16"/>
  <c r="Z100" i="16"/>
  <c r="Z99" i="16"/>
  <c r="Z98" i="16"/>
  <c r="Z97" i="16"/>
  <c r="Z96" i="16"/>
  <c r="Z95" i="16"/>
  <c r="Z94" i="16"/>
  <c r="Z93" i="16"/>
  <c r="Z92" i="16"/>
  <c r="Z91" i="16"/>
  <c r="Z90" i="16"/>
  <c r="Z89" i="16"/>
  <c r="Z88" i="16"/>
  <c r="Z87" i="16"/>
  <c r="Z86" i="16"/>
  <c r="Z85" i="16"/>
  <c r="Z84" i="16"/>
  <c r="W83" i="16"/>
  <c r="Z82" i="16"/>
  <c r="Z81" i="16"/>
  <c r="Z80" i="16"/>
  <c r="Z79" i="16"/>
  <c r="Z78" i="16"/>
  <c r="Z77" i="16"/>
  <c r="Z76" i="16"/>
  <c r="Z75" i="16"/>
  <c r="Z74" i="16"/>
  <c r="Z73" i="16"/>
  <c r="W72" i="16"/>
  <c r="W71" i="16"/>
  <c r="W70" i="16"/>
  <c r="W69" i="16"/>
  <c r="Z68" i="16"/>
  <c r="Z67" i="16"/>
  <c r="Z66" i="16"/>
  <c r="W65" i="16"/>
  <c r="W64" i="16"/>
  <c r="Z63" i="16"/>
  <c r="Z62" i="16"/>
  <c r="Z61" i="16"/>
  <c r="Z60" i="16"/>
  <c r="Z59" i="16"/>
  <c r="W58" i="16"/>
  <c r="W57" i="16"/>
  <c r="Z56" i="16"/>
  <c r="W55" i="16"/>
  <c r="Z53" i="16"/>
  <c r="Z52" i="16"/>
  <c r="Z51" i="16"/>
  <c r="Z50" i="16"/>
  <c r="W49" i="16"/>
  <c r="Z48" i="16"/>
  <c r="Z47" i="16"/>
  <c r="Z46" i="16"/>
  <c r="Z45" i="16"/>
  <c r="Z44" i="16"/>
  <c r="Z43" i="16"/>
  <c r="Z42" i="16"/>
  <c r="Z41" i="16"/>
  <c r="Z40" i="16"/>
  <c r="Z39" i="16"/>
  <c r="Z38" i="16"/>
  <c r="Z37" i="16"/>
  <c r="Z36" i="16"/>
  <c r="Z35" i="16"/>
  <c r="Z34" i="16"/>
  <c r="Z33" i="16"/>
  <c r="Z32" i="16"/>
  <c r="Z31" i="16"/>
  <c r="W29" i="16"/>
  <c r="Z28" i="16"/>
  <c r="Z27" i="16"/>
  <c r="W25" i="16"/>
  <c r="W24" i="16"/>
  <c r="Z23" i="16"/>
  <c r="W22" i="16"/>
  <c r="Z21" i="16"/>
  <c r="Z20" i="16"/>
  <c r="Z19" i="16"/>
  <c r="W18" i="16"/>
  <c r="AB17" i="16"/>
  <c r="AA16" i="16"/>
  <c r="AA719" i="16" s="1"/>
  <c r="W15" i="16"/>
  <c r="Z13" i="16"/>
  <c r="Z12" i="16"/>
  <c r="Z11" i="16"/>
  <c r="Z10" i="16"/>
  <c r="Z9" i="16"/>
  <c r="Z8" i="16"/>
  <c r="Z719" i="16" s="1"/>
  <c r="W7" i="16"/>
  <c r="W6" i="16"/>
  <c r="W5" i="16"/>
  <c r="W719" i="16" s="1"/>
  <c r="X4" i="16"/>
  <c r="X719" i="16" s="1"/>
  <c r="AC3" i="16"/>
  <c r="AC719" i="16" s="1"/>
  <c r="AB2" i="16"/>
  <c r="AB719" i="16" s="1"/>
  <c r="AY6" i="3"/>
  <c r="AZ6" i="3" s="1"/>
  <c r="AY7" i="3"/>
  <c r="AZ7" i="3" s="1"/>
  <c r="AY8" i="3"/>
  <c r="AZ8" i="3"/>
  <c r="AY9" i="3"/>
  <c r="AZ9" i="3" s="1"/>
  <c r="AY10" i="3"/>
  <c r="AZ10" i="3" s="1"/>
  <c r="AY11" i="3"/>
  <c r="AZ11" i="3" s="1"/>
  <c r="AY12" i="3"/>
  <c r="AZ12" i="3"/>
  <c r="AY13" i="3"/>
  <c r="AZ13" i="3" s="1"/>
  <c r="AY14" i="3"/>
  <c r="AZ14" i="3" s="1"/>
  <c r="AY15" i="3"/>
  <c r="AZ15" i="3" s="1"/>
  <c r="AY16" i="3"/>
  <c r="AZ16" i="3"/>
  <c r="AY17" i="3"/>
  <c r="AZ17" i="3" s="1"/>
  <c r="AY18" i="3"/>
  <c r="AZ18" i="3" s="1"/>
  <c r="AY19" i="3"/>
  <c r="AZ19" i="3" s="1"/>
  <c r="AY20" i="3"/>
  <c r="AZ20" i="3" s="1"/>
  <c r="AY21" i="3"/>
  <c r="AZ21" i="3" s="1"/>
  <c r="AY22" i="3"/>
  <c r="AZ22" i="3" s="1"/>
  <c r="AY23" i="3"/>
  <c r="AZ23" i="3" s="1"/>
  <c r="AY24" i="3"/>
  <c r="AZ24" i="3" s="1"/>
  <c r="AY25" i="3"/>
  <c r="AZ25" i="3"/>
  <c r="AY26" i="3"/>
  <c r="AZ26" i="3" s="1"/>
  <c r="AY27" i="3"/>
  <c r="AZ27" i="3" s="1"/>
  <c r="AY28" i="3"/>
  <c r="AZ28" i="3" s="1"/>
  <c r="AY29" i="3"/>
  <c r="AZ29" i="3"/>
  <c r="AY30" i="3"/>
  <c r="AZ30" i="3" s="1"/>
  <c r="AY31" i="3"/>
  <c r="AZ31" i="3" s="1"/>
  <c r="AY32" i="3"/>
  <c r="AZ32" i="3" s="1"/>
  <c r="AY33" i="3"/>
  <c r="AZ33" i="3" s="1"/>
  <c r="AY34" i="3"/>
  <c r="AZ34" i="3"/>
  <c r="AY35" i="3"/>
  <c r="AZ35" i="3"/>
  <c r="AY36" i="3"/>
  <c r="AZ36" i="3" s="1"/>
  <c r="AY37" i="3"/>
  <c r="AZ37" i="3" s="1"/>
  <c r="AY38" i="3"/>
  <c r="AZ38" i="3" s="1"/>
  <c r="AY39" i="3"/>
  <c r="AZ39" i="3" s="1"/>
  <c r="AY40" i="3"/>
  <c r="AZ40" i="3" s="1"/>
  <c r="AY41" i="3"/>
  <c r="AZ41" i="3" s="1"/>
  <c r="AY42" i="3"/>
  <c r="AZ42" i="3" s="1"/>
  <c r="AY43" i="3"/>
  <c r="AZ43" i="3" s="1"/>
  <c r="AY44" i="3"/>
  <c r="AZ44" i="3" s="1"/>
  <c r="AY45" i="3"/>
  <c r="AZ45" i="3" s="1"/>
  <c r="AY46" i="3"/>
  <c r="AZ46" i="3" s="1"/>
  <c r="AY47" i="3"/>
  <c r="AZ47" i="3" s="1"/>
  <c r="AY48" i="3"/>
  <c r="AZ48" i="3" s="1"/>
  <c r="AY49" i="3"/>
  <c r="AZ49" i="3" s="1"/>
  <c r="AY50" i="3"/>
  <c r="AZ50" i="3" s="1"/>
  <c r="AY51" i="3"/>
  <c r="AZ51" i="3" s="1"/>
  <c r="AY52" i="3"/>
  <c r="AZ52" i="3"/>
  <c r="AY53" i="3"/>
  <c r="AZ53" i="3"/>
  <c r="AY54" i="3"/>
  <c r="AZ54" i="3" s="1"/>
  <c r="AY55" i="3"/>
  <c r="AZ55" i="3" s="1"/>
  <c r="AY56" i="3"/>
  <c r="AZ56" i="3" s="1"/>
  <c r="AY57" i="3"/>
  <c r="AZ57" i="3" s="1"/>
  <c r="AY58" i="3"/>
  <c r="AZ58" i="3"/>
  <c r="AY59" i="3"/>
  <c r="AZ59" i="3" s="1"/>
  <c r="AY60" i="3"/>
  <c r="AZ60" i="3" s="1"/>
  <c r="AY61" i="3"/>
  <c r="AZ61" i="3"/>
  <c r="AY62" i="3"/>
  <c r="AZ62" i="3" s="1"/>
  <c r="AY63" i="3"/>
  <c r="AZ63" i="3" s="1"/>
  <c r="AY64" i="3"/>
  <c r="AZ64" i="3"/>
  <c r="AY65" i="3"/>
  <c r="AZ65" i="3" s="1"/>
  <c r="AY66" i="3"/>
  <c r="AZ66" i="3" s="1"/>
  <c r="AY67" i="3"/>
  <c r="AZ67" i="3" s="1"/>
  <c r="AY68" i="3"/>
  <c r="AZ68" i="3" s="1"/>
  <c r="AY69" i="3"/>
  <c r="AZ69" i="3" s="1"/>
  <c r="AY70" i="3"/>
  <c r="AZ70" i="3" s="1"/>
  <c r="AY71" i="3"/>
  <c r="AZ71" i="3" s="1"/>
  <c r="AY72" i="3"/>
  <c r="AZ72" i="3" s="1"/>
  <c r="AY73" i="3"/>
  <c r="AZ73" i="3"/>
  <c r="AY74" i="3"/>
  <c r="AZ74" i="3"/>
  <c r="AY75" i="3"/>
  <c r="AZ75" i="3" s="1"/>
  <c r="AY76" i="3"/>
  <c r="AZ76" i="3"/>
  <c r="AY77" i="3"/>
  <c r="AZ77" i="3" s="1"/>
  <c r="AY78" i="3"/>
  <c r="AZ78" i="3" s="1"/>
  <c r="AY79" i="3"/>
  <c r="AZ79" i="3" s="1"/>
  <c r="AY80" i="3"/>
  <c r="AZ80" i="3" s="1"/>
  <c r="AY81" i="3"/>
  <c r="AZ81" i="3" s="1"/>
  <c r="AY82" i="3"/>
  <c r="AZ82" i="3" s="1"/>
  <c r="AY83" i="3"/>
  <c r="AZ83" i="3"/>
  <c r="AY84" i="3"/>
  <c r="AZ84" i="3" s="1"/>
  <c r="AY85" i="3"/>
  <c r="AZ85" i="3" s="1"/>
  <c r="AY86" i="3"/>
  <c r="AZ86" i="3" s="1"/>
  <c r="AY87" i="3"/>
  <c r="AZ87" i="3" s="1"/>
  <c r="AY88" i="3"/>
  <c r="AZ88" i="3" s="1"/>
  <c r="AY89" i="3"/>
  <c r="AZ89" i="3" s="1"/>
  <c r="AY90" i="3"/>
  <c r="AZ90" i="3" s="1"/>
  <c r="AY91" i="3"/>
  <c r="AZ91" i="3"/>
  <c r="AY92" i="3"/>
  <c r="AZ92" i="3" s="1"/>
  <c r="AY93" i="3"/>
  <c r="AZ93" i="3" s="1"/>
  <c r="AY94" i="3"/>
  <c r="AZ94" i="3" s="1"/>
  <c r="AY95" i="3"/>
  <c r="AZ95" i="3" s="1"/>
  <c r="AY96" i="3"/>
  <c r="AZ96" i="3" s="1"/>
  <c r="AY97" i="3"/>
  <c r="AZ97" i="3" s="1"/>
  <c r="AY98" i="3"/>
  <c r="AZ98" i="3" s="1"/>
  <c r="AY99" i="3"/>
  <c r="AZ99" i="3" s="1"/>
  <c r="AY100" i="3"/>
  <c r="AZ100" i="3" s="1"/>
  <c r="AY101" i="3"/>
  <c r="AZ101" i="3" s="1"/>
  <c r="AY102" i="3"/>
  <c r="AZ102" i="3" s="1"/>
  <c r="AY103" i="3"/>
  <c r="AZ103" i="3" s="1"/>
  <c r="AY104" i="3"/>
  <c r="AZ104" i="3" s="1"/>
  <c r="AY105" i="3"/>
  <c r="AZ105" i="3" s="1"/>
  <c r="AY106" i="3"/>
  <c r="AZ106" i="3" s="1"/>
  <c r="AY107" i="3"/>
  <c r="AZ107" i="3" s="1"/>
  <c r="AY108" i="3"/>
  <c r="AZ108" i="3" s="1"/>
  <c r="AY109" i="3"/>
  <c r="AZ109" i="3"/>
  <c r="AY110" i="3"/>
  <c r="AZ110" i="3" s="1"/>
  <c r="AY111" i="3"/>
  <c r="AZ111" i="3" s="1"/>
  <c r="AY112" i="3"/>
  <c r="AZ112" i="3" s="1"/>
  <c r="AY113" i="3"/>
  <c r="AZ113" i="3" s="1"/>
  <c r="AY114" i="3"/>
  <c r="AZ114" i="3" s="1"/>
  <c r="AY115" i="3"/>
  <c r="AZ115" i="3" s="1"/>
  <c r="AY116" i="3"/>
  <c r="AZ116" i="3"/>
  <c r="AY117" i="3"/>
  <c r="AZ117" i="3" s="1"/>
  <c r="AY118" i="3"/>
  <c r="AZ118" i="3" s="1"/>
  <c r="AY119" i="3"/>
  <c r="AZ119" i="3" s="1"/>
  <c r="AY120" i="3"/>
  <c r="AZ120" i="3"/>
  <c r="AY121" i="3"/>
  <c r="AZ121" i="3" s="1"/>
  <c r="AY122" i="3"/>
  <c r="AZ122" i="3" s="1"/>
  <c r="AY123" i="3"/>
  <c r="AZ123" i="3" s="1"/>
  <c r="AY124" i="3"/>
  <c r="AZ124" i="3" s="1"/>
  <c r="AY125" i="3"/>
  <c r="AZ125" i="3" s="1"/>
  <c r="AY126" i="3"/>
  <c r="AZ126" i="3" s="1"/>
  <c r="AY127" i="3"/>
  <c r="AZ127" i="3" s="1"/>
  <c r="AY128" i="3"/>
  <c r="AZ128" i="3" s="1"/>
  <c r="AY129" i="3"/>
  <c r="AZ129" i="3" s="1"/>
  <c r="AY130" i="3"/>
  <c r="AZ130" i="3" s="1"/>
  <c r="AY131" i="3"/>
  <c r="AZ131" i="3" s="1"/>
  <c r="AY132" i="3"/>
  <c r="AZ132" i="3" s="1"/>
  <c r="AY133" i="3"/>
  <c r="AZ133" i="3"/>
  <c r="AY134" i="3"/>
  <c r="AZ134" i="3" s="1"/>
  <c r="AY135" i="3"/>
  <c r="AZ135" i="3" s="1"/>
  <c r="AY136" i="3"/>
  <c r="AZ136" i="3"/>
  <c r="AY137" i="3"/>
  <c r="AZ137" i="3" s="1"/>
  <c r="AY138" i="3"/>
  <c r="AZ138" i="3" s="1"/>
  <c r="AY139" i="3"/>
  <c r="AZ139" i="3" s="1"/>
  <c r="AY140" i="3"/>
  <c r="AZ140" i="3" s="1"/>
  <c r="AY141" i="3"/>
  <c r="AZ141" i="3" s="1"/>
  <c r="AY142" i="3"/>
  <c r="AZ142" i="3" s="1"/>
  <c r="AY143" i="3"/>
  <c r="AZ143" i="3" s="1"/>
  <c r="AY144" i="3"/>
  <c r="AZ144" i="3" s="1"/>
  <c r="AY145" i="3"/>
  <c r="AZ145" i="3" s="1"/>
  <c r="AY146" i="3"/>
  <c r="AZ146" i="3" s="1"/>
  <c r="AY147" i="3"/>
  <c r="AZ147" i="3" s="1"/>
  <c r="AY148" i="3"/>
  <c r="AZ148" i="3" s="1"/>
  <c r="AY149" i="3"/>
  <c r="AZ149" i="3" s="1"/>
  <c r="AY150" i="3"/>
  <c r="AZ150" i="3" s="1"/>
  <c r="AY151" i="3"/>
  <c r="AZ151" i="3" s="1"/>
  <c r="AY152" i="3"/>
  <c r="AZ152" i="3" s="1"/>
  <c r="AY153" i="3"/>
  <c r="AZ153" i="3" s="1"/>
  <c r="AY154" i="3"/>
  <c r="AZ154" i="3" s="1"/>
  <c r="AY155" i="3"/>
  <c r="AZ155" i="3" s="1"/>
  <c r="AY156" i="3"/>
  <c r="AZ156" i="3"/>
  <c r="AY157" i="3"/>
  <c r="AZ157" i="3" s="1"/>
  <c r="AY158" i="3"/>
  <c r="AZ158" i="3" s="1"/>
  <c r="AY159" i="3"/>
  <c r="AZ159" i="3" s="1"/>
  <c r="AY160" i="3"/>
  <c r="AZ160" i="3" s="1"/>
  <c r="AY161" i="3"/>
  <c r="AZ161" i="3" s="1"/>
  <c r="AY162" i="3"/>
  <c r="AZ162" i="3" s="1"/>
  <c r="AY163" i="3"/>
  <c r="AZ163" i="3" s="1"/>
  <c r="AY164" i="3"/>
  <c r="AZ164" i="3" s="1"/>
  <c r="AY165" i="3"/>
  <c r="AZ165" i="3" s="1"/>
  <c r="AY166" i="3"/>
  <c r="AZ166" i="3" s="1"/>
  <c r="AY167" i="3"/>
  <c r="AZ167" i="3" s="1"/>
  <c r="AY168" i="3"/>
  <c r="AZ168" i="3"/>
  <c r="AY169" i="3"/>
  <c r="AZ169" i="3" s="1"/>
  <c r="AY170" i="3"/>
  <c r="AZ170" i="3" s="1"/>
  <c r="AY171" i="3"/>
  <c r="AZ171" i="3" s="1"/>
  <c r="AY172" i="3"/>
  <c r="AZ172" i="3" s="1"/>
  <c r="AY173" i="3"/>
  <c r="AZ173" i="3" s="1"/>
  <c r="AY174" i="3"/>
  <c r="AZ174" i="3" s="1"/>
  <c r="AY175" i="3"/>
  <c r="AZ175" i="3" s="1"/>
  <c r="AY176" i="3"/>
  <c r="AZ176" i="3"/>
  <c r="AY177" i="3"/>
  <c r="AZ177" i="3" s="1"/>
  <c r="AY178" i="3"/>
  <c r="AZ178" i="3" s="1"/>
  <c r="AY179" i="3"/>
  <c r="AZ179" i="3" s="1"/>
  <c r="AY180" i="3"/>
  <c r="AZ180" i="3"/>
  <c r="AY181" i="3"/>
  <c r="AZ181" i="3"/>
  <c r="AY182" i="3"/>
  <c r="AZ182" i="3" s="1"/>
  <c r="AY183" i="3"/>
  <c r="AZ183" i="3" s="1"/>
  <c r="AY184" i="3"/>
  <c r="AZ184" i="3" s="1"/>
  <c r="AY185" i="3"/>
  <c r="AZ185" i="3" s="1"/>
  <c r="AY186" i="3"/>
  <c r="AZ186" i="3" s="1"/>
  <c r="AY187" i="3"/>
  <c r="AZ187" i="3" s="1"/>
  <c r="AY188" i="3"/>
  <c r="AZ188" i="3" s="1"/>
  <c r="AY189" i="3"/>
  <c r="AZ189" i="3" s="1"/>
  <c r="AY190" i="3"/>
  <c r="AZ190" i="3" s="1"/>
  <c r="AY191" i="3"/>
  <c r="AZ191" i="3" s="1"/>
  <c r="AY192" i="3"/>
  <c r="AZ192" i="3" s="1"/>
  <c r="AY193" i="3"/>
  <c r="AZ193" i="3" s="1"/>
  <c r="AY194" i="3"/>
  <c r="AZ194" i="3"/>
  <c r="AY195" i="3"/>
  <c r="AZ195" i="3"/>
  <c r="AY196" i="3"/>
  <c r="AZ196" i="3" s="1"/>
  <c r="AY197" i="3"/>
  <c r="AZ197" i="3" s="1"/>
  <c r="AY198" i="3"/>
  <c r="AZ198" i="3" s="1"/>
  <c r="AY199" i="3"/>
  <c r="AZ199" i="3" s="1"/>
  <c r="AY200" i="3"/>
  <c r="AZ200" i="3" s="1"/>
  <c r="AY201" i="3"/>
  <c r="AZ201" i="3"/>
  <c r="AY202" i="3"/>
  <c r="AZ202" i="3" s="1"/>
  <c r="AY203" i="3"/>
  <c r="AZ203" i="3" s="1"/>
  <c r="AY204" i="3"/>
  <c r="AZ204" i="3"/>
  <c r="AY205" i="3"/>
  <c r="AZ205" i="3" s="1"/>
  <c r="AY206" i="3"/>
  <c r="AZ206" i="3" s="1"/>
  <c r="AY207" i="3"/>
  <c r="AZ207" i="3" s="1"/>
  <c r="AY208" i="3"/>
  <c r="AZ208" i="3" s="1"/>
  <c r="AY209" i="3"/>
  <c r="AZ209" i="3" s="1"/>
  <c r="AY210" i="3"/>
  <c r="AZ210" i="3" s="1"/>
  <c r="AY211" i="3"/>
  <c r="AZ211" i="3" s="1"/>
  <c r="AY212" i="3"/>
  <c r="AZ212" i="3" s="1"/>
  <c r="AY213" i="3"/>
  <c r="AZ213" i="3" s="1"/>
  <c r="AY214" i="3"/>
  <c r="AZ214" i="3" s="1"/>
  <c r="AY215" i="3"/>
  <c r="AZ215" i="3" s="1"/>
  <c r="AY216" i="3"/>
  <c r="AZ216" i="3" s="1"/>
  <c r="AY217" i="3"/>
  <c r="AZ217" i="3" s="1"/>
  <c r="AY218" i="3"/>
  <c r="AZ218" i="3"/>
  <c r="AY219" i="3"/>
  <c r="AZ219" i="3" s="1"/>
  <c r="AY220" i="3"/>
  <c r="AZ220" i="3" s="1"/>
  <c r="AY221" i="3"/>
  <c r="AZ221" i="3" s="1"/>
  <c r="AY222" i="3"/>
  <c r="AZ222" i="3" s="1"/>
  <c r="AY223" i="3"/>
  <c r="AZ223" i="3" s="1"/>
  <c r="AY224" i="3"/>
  <c r="AZ224" i="3"/>
  <c r="AY225" i="3"/>
  <c r="AZ225" i="3" s="1"/>
  <c r="AY226" i="3"/>
  <c r="AZ226" i="3" s="1"/>
  <c r="AY227" i="3"/>
  <c r="AZ227" i="3" s="1"/>
  <c r="AY228" i="3"/>
  <c r="AZ228" i="3" s="1"/>
  <c r="AY229" i="3"/>
  <c r="AZ229" i="3" s="1"/>
  <c r="AY230" i="3"/>
  <c r="AZ230" i="3" s="1"/>
  <c r="AY231" i="3"/>
  <c r="AZ231" i="3" s="1"/>
  <c r="AY232" i="3"/>
  <c r="AZ232" i="3"/>
  <c r="AY233" i="3"/>
  <c r="AZ233" i="3" s="1"/>
  <c r="AY234" i="3"/>
  <c r="AZ234" i="3" s="1"/>
  <c r="AY235" i="3"/>
  <c r="AZ235" i="3" s="1"/>
  <c r="AY236" i="3"/>
  <c r="AZ236" i="3" s="1"/>
  <c r="AY237" i="3"/>
  <c r="AZ237" i="3" s="1"/>
  <c r="AY238" i="3"/>
  <c r="AZ238" i="3" s="1"/>
  <c r="AY239" i="3"/>
  <c r="AZ239" i="3" s="1"/>
  <c r="AY240" i="3"/>
  <c r="AZ240" i="3" s="1"/>
  <c r="AY241" i="3"/>
  <c r="AZ241" i="3" s="1"/>
  <c r="AY242" i="3"/>
  <c r="AZ242" i="3" s="1"/>
  <c r="AY243" i="3"/>
  <c r="AZ243" i="3" s="1"/>
  <c r="AY244" i="3"/>
  <c r="AZ244" i="3" s="1"/>
  <c r="AY245" i="3"/>
  <c r="AZ245" i="3" s="1"/>
  <c r="AY246" i="3"/>
  <c r="AZ246" i="3" s="1"/>
  <c r="AY247" i="3"/>
  <c r="AZ247" i="3" s="1"/>
  <c r="AY248" i="3"/>
  <c r="AZ248" i="3" s="1"/>
  <c r="AY249" i="3"/>
  <c r="AZ249" i="3" s="1"/>
  <c r="AY250" i="3"/>
  <c r="AZ250" i="3" s="1"/>
  <c r="AY251" i="3"/>
  <c r="AZ251" i="3" s="1"/>
  <c r="AY252" i="3"/>
  <c r="AZ252" i="3" s="1"/>
  <c r="AY253" i="3"/>
  <c r="AZ253" i="3" s="1"/>
  <c r="AY254" i="3"/>
  <c r="AZ254" i="3" s="1"/>
  <c r="AY255" i="3"/>
  <c r="AZ255" i="3" s="1"/>
  <c r="AY256" i="3"/>
  <c r="AZ256" i="3"/>
  <c r="AY257" i="3"/>
  <c r="AZ257" i="3" s="1"/>
  <c r="AY258" i="3"/>
  <c r="AZ258" i="3" s="1"/>
  <c r="AY259" i="3"/>
  <c r="AZ259" i="3" s="1"/>
  <c r="AY260" i="3"/>
  <c r="AZ260" i="3" s="1"/>
  <c r="AY261" i="3"/>
  <c r="AZ261" i="3" s="1"/>
  <c r="AY262" i="3"/>
  <c r="AZ262" i="3" s="1"/>
  <c r="AY263" i="3"/>
  <c r="AZ263" i="3" s="1"/>
  <c r="AY264" i="3"/>
  <c r="AZ264" i="3" s="1"/>
  <c r="AY265" i="3"/>
  <c r="AZ265" i="3" s="1"/>
  <c r="AY266" i="3"/>
  <c r="AZ266" i="3" s="1"/>
  <c r="AY267" i="3"/>
  <c r="AZ267" i="3" s="1"/>
  <c r="AY268" i="3"/>
  <c r="AZ268" i="3" s="1"/>
  <c r="AY269" i="3"/>
  <c r="AZ269" i="3" s="1"/>
  <c r="AY270" i="3"/>
  <c r="AZ270" i="3" s="1"/>
  <c r="AY271" i="3"/>
  <c r="AZ271" i="3" s="1"/>
  <c r="AY272" i="3"/>
  <c r="AZ272" i="3" s="1"/>
  <c r="AY273" i="3"/>
  <c r="AZ273" i="3" s="1"/>
  <c r="AY274" i="3"/>
  <c r="AZ274" i="3" s="1"/>
  <c r="AY275" i="3"/>
  <c r="AZ275" i="3" s="1"/>
  <c r="AY276" i="3"/>
  <c r="AZ276" i="3" s="1"/>
  <c r="AY277" i="3"/>
  <c r="AZ277" i="3"/>
  <c r="AY278" i="3"/>
  <c r="AZ278" i="3" s="1"/>
  <c r="AY279" i="3"/>
  <c r="AZ279" i="3" s="1"/>
  <c r="AY280" i="3"/>
  <c r="AZ280" i="3" s="1"/>
  <c r="AY281" i="3"/>
  <c r="AZ281" i="3"/>
  <c r="AY282" i="3"/>
  <c r="AZ282" i="3" s="1"/>
  <c r="AY283" i="3"/>
  <c r="AZ283" i="3" s="1"/>
  <c r="AY284" i="3"/>
  <c r="AZ284" i="3" s="1"/>
  <c r="AY285" i="3"/>
  <c r="AZ285" i="3" s="1"/>
  <c r="AY286" i="3"/>
  <c r="AZ286" i="3" s="1"/>
  <c r="AY287" i="3"/>
  <c r="AZ287" i="3" s="1"/>
  <c r="AY288" i="3"/>
  <c r="AZ288" i="3" s="1"/>
  <c r="AY289" i="3"/>
  <c r="AZ289" i="3"/>
  <c r="AY290" i="3"/>
  <c r="AZ290" i="3" s="1"/>
  <c r="AY291" i="3"/>
  <c r="AZ291" i="3" s="1"/>
  <c r="AY292" i="3"/>
  <c r="AZ292" i="3" s="1"/>
  <c r="AY293" i="3"/>
  <c r="AZ293" i="3" s="1"/>
  <c r="AY294" i="3"/>
  <c r="AZ294" i="3" s="1"/>
  <c r="AY295" i="3"/>
  <c r="AZ295" i="3" s="1"/>
  <c r="AY296" i="3"/>
  <c r="AZ296" i="3" s="1"/>
  <c r="AY297" i="3"/>
  <c r="AZ297" i="3" s="1"/>
  <c r="AY298" i="3"/>
  <c r="AZ298" i="3" s="1"/>
  <c r="AY299" i="3"/>
  <c r="AZ299" i="3" s="1"/>
  <c r="AY300" i="3"/>
  <c r="AZ300" i="3" s="1"/>
  <c r="AY301" i="3"/>
  <c r="AZ301" i="3" s="1"/>
  <c r="AY302" i="3"/>
  <c r="AZ302" i="3" s="1"/>
  <c r="AY303" i="3"/>
  <c r="AZ303" i="3" s="1"/>
  <c r="AY304" i="3"/>
  <c r="AZ304" i="3" s="1"/>
  <c r="AY305" i="3"/>
  <c r="AZ305" i="3" s="1"/>
  <c r="AY306" i="3"/>
  <c r="AZ306" i="3"/>
  <c r="AY307" i="3"/>
  <c r="AZ307" i="3"/>
  <c r="AY308" i="3"/>
  <c r="AZ308" i="3" s="1"/>
  <c r="AY309" i="3"/>
  <c r="AZ309" i="3" s="1"/>
  <c r="AY310" i="3"/>
  <c r="AZ310" i="3" s="1"/>
  <c r="AY311" i="3"/>
  <c r="AZ311" i="3" s="1"/>
  <c r="AY312" i="3"/>
  <c r="AZ312" i="3" s="1"/>
  <c r="AY313" i="3"/>
  <c r="AZ313" i="3" s="1"/>
  <c r="AY314" i="3"/>
  <c r="AZ314" i="3"/>
  <c r="AY315" i="3"/>
  <c r="AZ315" i="3" s="1"/>
  <c r="AY316" i="3"/>
  <c r="AZ316" i="3" s="1"/>
  <c r="AY317" i="3"/>
  <c r="AZ317" i="3" s="1"/>
  <c r="AY318" i="3"/>
  <c r="AZ318" i="3" s="1"/>
  <c r="AY319" i="3"/>
  <c r="AZ319" i="3" s="1"/>
  <c r="AY320" i="3"/>
  <c r="AZ320" i="3" s="1"/>
  <c r="AY321" i="3"/>
  <c r="AZ321" i="3" s="1"/>
  <c r="AY322" i="3"/>
  <c r="AZ322" i="3" s="1"/>
  <c r="AY323" i="3"/>
  <c r="AZ323" i="3" s="1"/>
  <c r="AY324" i="3"/>
  <c r="AZ324" i="3" s="1"/>
  <c r="AY325" i="3"/>
  <c r="AZ325" i="3" s="1"/>
  <c r="AY326" i="3"/>
  <c r="AZ326" i="3" s="1"/>
  <c r="AY327" i="3"/>
  <c r="AZ327" i="3" s="1"/>
  <c r="AY328" i="3"/>
  <c r="AZ328" i="3" s="1"/>
  <c r="AY329" i="3"/>
  <c r="AZ329" i="3" s="1"/>
  <c r="AY330" i="3"/>
  <c r="AZ330" i="3" s="1"/>
  <c r="AY331" i="3"/>
  <c r="AZ331" i="3" s="1"/>
  <c r="AY332" i="3"/>
  <c r="AZ332" i="3" s="1"/>
  <c r="AY333" i="3"/>
  <c r="AZ333" i="3"/>
  <c r="AY334" i="3"/>
  <c r="AZ334" i="3" s="1"/>
  <c r="AY335" i="3"/>
  <c r="AZ335" i="3" s="1"/>
  <c r="AY336" i="3"/>
  <c r="AZ336" i="3" s="1"/>
  <c r="AY337" i="3"/>
  <c r="AZ337" i="3" s="1"/>
  <c r="AY338" i="3"/>
  <c r="AZ338" i="3" s="1"/>
  <c r="AY339" i="3"/>
  <c r="AZ339" i="3" s="1"/>
  <c r="AY340" i="3"/>
  <c r="AZ340" i="3" s="1"/>
  <c r="AY341" i="3"/>
  <c r="AZ341" i="3" s="1"/>
  <c r="AY342" i="3"/>
  <c r="AZ342" i="3" s="1"/>
  <c r="AY343" i="3"/>
  <c r="AZ343" i="3" s="1"/>
  <c r="AY344" i="3"/>
  <c r="AZ344" i="3" s="1"/>
  <c r="AY345" i="3"/>
  <c r="AZ345" i="3" s="1"/>
  <c r="AY346" i="3"/>
  <c r="AZ346" i="3" s="1"/>
  <c r="AY347" i="3"/>
  <c r="AZ347" i="3" s="1"/>
  <c r="AY348" i="3"/>
  <c r="AZ348" i="3" s="1"/>
  <c r="AY349" i="3"/>
  <c r="AZ349" i="3" s="1"/>
  <c r="AY350" i="3"/>
  <c r="AZ350" i="3" s="1"/>
  <c r="AY351" i="3"/>
  <c r="AZ351" i="3" s="1"/>
  <c r="AY352" i="3"/>
  <c r="AZ352" i="3" s="1"/>
  <c r="AY353" i="3"/>
  <c r="AZ353" i="3" s="1"/>
  <c r="AY354" i="3"/>
  <c r="AZ354" i="3" s="1"/>
  <c r="AY355" i="3"/>
  <c r="AZ355" i="3" s="1"/>
  <c r="AY356" i="3"/>
  <c r="AZ356" i="3" s="1"/>
  <c r="AY357" i="3"/>
  <c r="AZ357" i="3" s="1"/>
  <c r="AY358" i="3"/>
  <c r="AZ358" i="3" s="1"/>
  <c r="AY359" i="3"/>
  <c r="AZ359" i="3" s="1"/>
  <c r="AY360" i="3"/>
  <c r="AZ360" i="3" s="1"/>
  <c r="AY361" i="3"/>
  <c r="AZ361" i="3" s="1"/>
  <c r="AY362" i="3"/>
  <c r="AZ362" i="3" s="1"/>
  <c r="AY363" i="3"/>
  <c r="AZ363" i="3" s="1"/>
  <c r="AY364" i="3"/>
  <c r="AZ364" i="3" s="1"/>
  <c r="AY365" i="3"/>
  <c r="AZ365" i="3" s="1"/>
  <c r="AY366" i="3"/>
  <c r="AZ366" i="3" s="1"/>
  <c r="AY367" i="3"/>
  <c r="AZ367" i="3" s="1"/>
  <c r="AY368" i="3"/>
  <c r="AZ368" i="3" s="1"/>
  <c r="AY369" i="3"/>
  <c r="AZ369" i="3" s="1"/>
  <c r="AY370" i="3"/>
  <c r="AZ370" i="3" s="1"/>
  <c r="AY371" i="3"/>
  <c r="AZ371" i="3" s="1"/>
  <c r="AY372" i="3"/>
  <c r="AZ372" i="3" s="1"/>
  <c r="AY373" i="3"/>
  <c r="AZ373" i="3" s="1"/>
  <c r="AY374" i="3"/>
  <c r="AZ374" i="3" s="1"/>
  <c r="AY375" i="3"/>
  <c r="AZ375" i="3" s="1"/>
  <c r="AY376" i="3"/>
  <c r="AZ376" i="3" s="1"/>
  <c r="AY377" i="3"/>
  <c r="AZ377" i="3" s="1"/>
  <c r="AY378" i="3"/>
  <c r="AZ378" i="3" s="1"/>
  <c r="AY379" i="3"/>
  <c r="AZ379" i="3"/>
  <c r="AY380" i="3"/>
  <c r="AZ380" i="3" s="1"/>
  <c r="AY381" i="3"/>
  <c r="AZ381" i="3" s="1"/>
  <c r="AY382" i="3"/>
  <c r="AZ382" i="3" s="1"/>
  <c r="AY383" i="3"/>
  <c r="AZ383" i="3" s="1"/>
  <c r="AY384" i="3"/>
  <c r="AZ384" i="3" s="1"/>
  <c r="AY385" i="3"/>
  <c r="AZ385" i="3" s="1"/>
  <c r="AY386" i="3"/>
  <c r="AZ386" i="3" s="1"/>
  <c r="AY387" i="3"/>
  <c r="AZ387" i="3"/>
  <c r="AY388" i="3"/>
  <c r="AZ388" i="3" s="1"/>
  <c r="AY389" i="3"/>
  <c r="AZ389" i="3" s="1"/>
  <c r="AY390" i="3"/>
  <c r="AZ390" i="3" s="1"/>
  <c r="AY391" i="3"/>
  <c r="AZ391" i="3" s="1"/>
  <c r="AY392" i="3"/>
  <c r="AZ392" i="3" s="1"/>
  <c r="AY393" i="3"/>
  <c r="AZ393" i="3" s="1"/>
  <c r="AY394" i="3"/>
  <c r="AZ394" i="3" s="1"/>
  <c r="AY395" i="3"/>
  <c r="AZ395" i="3" s="1"/>
  <c r="AY396" i="3"/>
  <c r="AZ396" i="3" s="1"/>
  <c r="AY397" i="3"/>
  <c r="AZ397" i="3"/>
  <c r="AY398" i="3"/>
  <c r="AZ398" i="3" s="1"/>
  <c r="AY399" i="3"/>
  <c r="AZ399" i="3" s="1"/>
  <c r="AY400" i="3"/>
  <c r="AZ400" i="3" s="1"/>
  <c r="AY401" i="3"/>
  <c r="AZ401" i="3" s="1"/>
  <c r="AY402" i="3"/>
  <c r="AZ402" i="3" s="1"/>
  <c r="AY403" i="3"/>
  <c r="AZ403" i="3" s="1"/>
  <c r="AY404" i="3"/>
  <c r="AZ404" i="3" s="1"/>
  <c r="AY405" i="3"/>
  <c r="AZ405" i="3" s="1"/>
  <c r="AY406" i="3"/>
  <c r="AZ406" i="3" s="1"/>
  <c r="AY407" i="3"/>
  <c r="AZ407" i="3" s="1"/>
  <c r="AY408" i="3"/>
  <c r="AZ408" i="3" s="1"/>
  <c r="AY409" i="3"/>
  <c r="AZ409" i="3" s="1"/>
  <c r="AY410" i="3"/>
  <c r="AZ410" i="3" s="1"/>
  <c r="AY411" i="3"/>
  <c r="AZ411" i="3" s="1"/>
  <c r="AY412" i="3"/>
  <c r="AZ412" i="3" s="1"/>
  <c r="AY413" i="3"/>
  <c r="AZ413" i="3"/>
  <c r="AY414" i="3"/>
  <c r="AZ414" i="3" s="1"/>
  <c r="AY415" i="3"/>
  <c r="AZ415" i="3" s="1"/>
  <c r="AY416" i="3"/>
  <c r="AZ416" i="3" s="1"/>
  <c r="AY417" i="3"/>
  <c r="AZ417" i="3" s="1"/>
  <c r="AY418" i="3"/>
  <c r="AZ418" i="3" s="1"/>
  <c r="AY419" i="3"/>
  <c r="AZ419" i="3" s="1"/>
  <c r="AY420" i="3"/>
  <c r="AZ420" i="3" s="1"/>
  <c r="AY421" i="3"/>
  <c r="AZ421" i="3" s="1"/>
  <c r="AY422" i="3"/>
  <c r="AZ422" i="3" s="1"/>
  <c r="AY423" i="3"/>
  <c r="AZ423" i="3" s="1"/>
  <c r="AY424" i="3"/>
  <c r="AZ424" i="3" s="1"/>
  <c r="AY425" i="3"/>
  <c r="AZ425" i="3" s="1"/>
  <c r="AY426" i="3"/>
  <c r="AZ426" i="3" s="1"/>
  <c r="AY427" i="3"/>
  <c r="AZ427" i="3"/>
  <c r="AY428" i="3"/>
  <c r="AZ428" i="3" s="1"/>
  <c r="AY429" i="3"/>
  <c r="AZ429" i="3" s="1"/>
  <c r="AY430" i="3"/>
  <c r="AZ430" i="3" s="1"/>
  <c r="AY431" i="3"/>
  <c r="AZ431" i="3" s="1"/>
  <c r="AY432" i="3"/>
  <c r="AZ432" i="3" s="1"/>
  <c r="AY433" i="3"/>
  <c r="AZ433" i="3" s="1"/>
  <c r="AY434" i="3"/>
  <c r="AZ434" i="3" s="1"/>
  <c r="AY435" i="3"/>
  <c r="AZ435" i="3" s="1"/>
  <c r="AY436" i="3"/>
  <c r="AZ436" i="3" s="1"/>
  <c r="AY437" i="3"/>
  <c r="AZ437" i="3" s="1"/>
  <c r="AY438" i="3"/>
  <c r="AZ438" i="3" s="1"/>
  <c r="AY439" i="3"/>
  <c r="AZ439" i="3" s="1"/>
  <c r="AY440" i="3"/>
  <c r="AZ440" i="3" s="1"/>
  <c r="AY441" i="3"/>
  <c r="AZ441" i="3" s="1"/>
  <c r="AY442" i="3"/>
  <c r="AZ442" i="3" s="1"/>
  <c r="AY443" i="3"/>
  <c r="AZ443" i="3" s="1"/>
  <c r="AY444" i="3"/>
  <c r="AZ444" i="3" s="1"/>
  <c r="AY445" i="3"/>
  <c r="AZ445" i="3"/>
  <c r="AY446" i="3"/>
  <c r="AZ446" i="3" s="1"/>
  <c r="AY447" i="3"/>
  <c r="AZ447" i="3" s="1"/>
  <c r="AY448" i="3"/>
  <c r="AZ448" i="3" s="1"/>
  <c r="AY449" i="3"/>
  <c r="AZ449" i="3" s="1"/>
  <c r="AY450" i="3"/>
  <c r="AZ450" i="3" s="1"/>
  <c r="AY451" i="3"/>
  <c r="AZ451" i="3"/>
  <c r="AY452" i="3"/>
  <c r="AZ452" i="3" s="1"/>
  <c r="AY453" i="3"/>
  <c r="AZ453" i="3" s="1"/>
  <c r="AY454" i="3"/>
  <c r="AZ454" i="3" s="1"/>
  <c r="AY455" i="3"/>
  <c r="AZ455" i="3" s="1"/>
  <c r="AY456" i="3"/>
  <c r="AZ456" i="3" s="1"/>
  <c r="AY457" i="3"/>
  <c r="AZ457" i="3" s="1"/>
  <c r="AY458" i="3"/>
  <c r="AZ458" i="3" s="1"/>
  <c r="AY459" i="3"/>
  <c r="AZ459" i="3" s="1"/>
  <c r="AY460" i="3"/>
  <c r="AZ460" i="3" s="1"/>
  <c r="AY461" i="3"/>
  <c r="AZ461" i="3" s="1"/>
  <c r="AY462" i="3"/>
  <c r="AZ462" i="3" s="1"/>
  <c r="AY463" i="3"/>
  <c r="AZ463" i="3" s="1"/>
  <c r="AY464" i="3"/>
  <c r="AZ464" i="3" s="1"/>
  <c r="AY465" i="3"/>
  <c r="AZ465" i="3" s="1"/>
  <c r="AY466" i="3"/>
  <c r="AZ466" i="3"/>
  <c r="AY467" i="3"/>
  <c r="AZ467" i="3" s="1"/>
  <c r="AY468" i="3"/>
  <c r="AZ468" i="3" s="1"/>
  <c r="AY469" i="3"/>
  <c r="AZ469" i="3" s="1"/>
  <c r="AY470" i="3"/>
  <c r="AZ470" i="3" s="1"/>
  <c r="AY471" i="3"/>
  <c r="AZ471" i="3" s="1"/>
  <c r="AY472" i="3"/>
  <c r="AZ472" i="3" s="1"/>
  <c r="AY473" i="3"/>
  <c r="AZ473" i="3" s="1"/>
  <c r="AY474" i="3"/>
  <c r="AZ474" i="3" s="1"/>
  <c r="AY475" i="3"/>
  <c r="AZ475" i="3" s="1"/>
  <c r="AY476" i="3"/>
  <c r="AZ476" i="3" s="1"/>
  <c r="AY477" i="3"/>
  <c r="AZ477" i="3"/>
  <c r="AY478" i="3"/>
  <c r="AZ478" i="3" s="1"/>
  <c r="AY479" i="3"/>
  <c r="AZ479" i="3" s="1"/>
  <c r="AY480" i="3"/>
  <c r="AZ480" i="3" s="1"/>
  <c r="AY481" i="3"/>
  <c r="AZ481" i="3" s="1"/>
  <c r="AY482" i="3"/>
  <c r="AZ482" i="3" s="1"/>
  <c r="AY483" i="3"/>
  <c r="AZ483" i="3" s="1"/>
  <c r="AY484" i="3"/>
  <c r="AZ484" i="3" s="1"/>
  <c r="AY485" i="3"/>
  <c r="AZ485" i="3" s="1"/>
  <c r="AY486" i="3"/>
  <c r="AZ486" i="3" s="1"/>
  <c r="AY487" i="3"/>
  <c r="AZ487" i="3" s="1"/>
  <c r="AY488" i="3"/>
  <c r="AZ488" i="3" s="1"/>
  <c r="AY489" i="3"/>
  <c r="AZ489" i="3" s="1"/>
  <c r="AY490" i="3"/>
  <c r="AZ490" i="3" s="1"/>
  <c r="AY491" i="3"/>
  <c r="AZ491" i="3" s="1"/>
  <c r="AY492" i="3"/>
  <c r="AZ492" i="3" s="1"/>
  <c r="AY493" i="3"/>
  <c r="AZ493" i="3" s="1"/>
  <c r="AY494" i="3"/>
  <c r="AZ494" i="3" s="1"/>
  <c r="AY495" i="3"/>
  <c r="AZ495" i="3" s="1"/>
  <c r="AY496" i="3"/>
  <c r="AZ496" i="3" s="1"/>
  <c r="AY497" i="3"/>
  <c r="AZ497" i="3" s="1"/>
  <c r="AY498" i="3"/>
  <c r="AZ498" i="3" s="1"/>
  <c r="AY499" i="3"/>
  <c r="AZ499" i="3"/>
  <c r="AY500" i="3"/>
  <c r="AZ500" i="3" s="1"/>
  <c r="AY501" i="3"/>
  <c r="AZ501" i="3" s="1"/>
  <c r="AY502" i="3"/>
  <c r="AZ502" i="3" s="1"/>
  <c r="AY503" i="3"/>
  <c r="AZ503" i="3" s="1"/>
  <c r="AY504" i="3"/>
  <c r="AZ504" i="3" s="1"/>
  <c r="AY505" i="3"/>
  <c r="AZ505" i="3" s="1"/>
  <c r="AY506" i="3"/>
  <c r="AZ506" i="3" s="1"/>
  <c r="AY507" i="3"/>
  <c r="AZ507" i="3" s="1"/>
  <c r="AY508" i="3"/>
  <c r="AZ508" i="3" s="1"/>
  <c r="AY509" i="3"/>
  <c r="AZ509" i="3" s="1"/>
  <c r="AY510" i="3"/>
  <c r="AZ510" i="3" s="1"/>
  <c r="AY511" i="3"/>
  <c r="AZ511" i="3" s="1"/>
  <c r="AY512" i="3"/>
  <c r="AZ512" i="3" s="1"/>
  <c r="AY513" i="3"/>
  <c r="AZ513" i="3" s="1"/>
  <c r="AY514" i="3"/>
  <c r="AZ514" i="3" s="1"/>
  <c r="AY515" i="3"/>
  <c r="AZ515" i="3" s="1"/>
  <c r="AY516" i="3"/>
  <c r="AZ516" i="3" s="1"/>
  <c r="AY517" i="3"/>
  <c r="AZ517" i="3" s="1"/>
  <c r="AY518" i="3"/>
  <c r="AZ518" i="3" s="1"/>
  <c r="AY519" i="3"/>
  <c r="AZ519" i="3" s="1"/>
  <c r="AY520" i="3"/>
  <c r="AZ520" i="3" s="1"/>
  <c r="AY521" i="3"/>
  <c r="AZ521" i="3" s="1"/>
  <c r="AY522" i="3"/>
  <c r="AZ522" i="3" s="1"/>
  <c r="AY523" i="3"/>
  <c r="AZ523" i="3" s="1"/>
  <c r="AY524" i="3"/>
  <c r="AZ524" i="3" s="1"/>
  <c r="AY525" i="3"/>
  <c r="AZ525" i="3" s="1"/>
  <c r="AY526" i="3"/>
  <c r="AZ526" i="3" s="1"/>
  <c r="AY527" i="3"/>
  <c r="AZ527" i="3" s="1"/>
  <c r="AY528" i="3"/>
  <c r="AZ528" i="3" s="1"/>
  <c r="AY529" i="3"/>
  <c r="AZ529" i="3" s="1"/>
  <c r="AY530" i="3"/>
  <c r="AZ530" i="3" s="1"/>
  <c r="AY531" i="3"/>
  <c r="AZ531" i="3" s="1"/>
  <c r="AY532" i="3"/>
  <c r="AZ532" i="3" s="1"/>
  <c r="AY533" i="3"/>
  <c r="AZ533" i="3" s="1"/>
  <c r="AY534" i="3"/>
  <c r="AZ534" i="3" s="1"/>
  <c r="AY535" i="3"/>
  <c r="AZ535" i="3" s="1"/>
  <c r="AY536" i="3"/>
  <c r="AZ536" i="3" s="1"/>
  <c r="AY537" i="3"/>
  <c r="AZ537" i="3" s="1"/>
  <c r="AY538" i="3"/>
  <c r="AZ538" i="3" s="1"/>
  <c r="AY539" i="3"/>
  <c r="AZ539" i="3" s="1"/>
  <c r="AY540" i="3"/>
  <c r="AZ540" i="3" s="1"/>
  <c r="AY541" i="3"/>
  <c r="AZ541" i="3" s="1"/>
  <c r="AY542" i="3"/>
  <c r="AZ542" i="3" s="1"/>
  <c r="AY543" i="3"/>
  <c r="AZ543" i="3" s="1"/>
  <c r="AY544" i="3"/>
  <c r="AZ544" i="3" s="1"/>
  <c r="AY545" i="3"/>
  <c r="AZ545" i="3" s="1"/>
  <c r="AY546" i="3"/>
  <c r="AZ546" i="3" s="1"/>
  <c r="AY547" i="3"/>
  <c r="AZ547" i="3" s="1"/>
  <c r="AY548" i="3"/>
  <c r="AZ548" i="3" s="1"/>
  <c r="AY549" i="3"/>
  <c r="AZ549" i="3" s="1"/>
  <c r="AY550" i="3"/>
  <c r="AZ550" i="3" s="1"/>
  <c r="AY551" i="3"/>
  <c r="AZ551" i="3" s="1"/>
  <c r="AY552" i="3"/>
  <c r="AZ552" i="3" s="1"/>
  <c r="AY553" i="3"/>
  <c r="AZ553" i="3" s="1"/>
  <c r="AY554" i="3"/>
  <c r="AZ554" i="3" s="1"/>
  <c r="AY555" i="3"/>
  <c r="AZ555" i="3" s="1"/>
  <c r="AY556" i="3"/>
  <c r="AZ556" i="3" s="1"/>
  <c r="AY557" i="3"/>
  <c r="AZ557" i="3" s="1"/>
  <c r="AY558" i="3"/>
  <c r="AZ558" i="3" s="1"/>
  <c r="AY559" i="3"/>
  <c r="AZ559" i="3" s="1"/>
  <c r="AY560" i="3"/>
  <c r="AZ560" i="3" s="1"/>
  <c r="AY561" i="3"/>
  <c r="AZ561" i="3" s="1"/>
  <c r="AY562" i="3"/>
  <c r="AZ562" i="3" s="1"/>
  <c r="AY563" i="3"/>
  <c r="AZ563" i="3" s="1"/>
  <c r="AY564" i="3"/>
  <c r="AZ564" i="3" s="1"/>
  <c r="AY565" i="3"/>
  <c r="AZ565" i="3" s="1"/>
  <c r="AY566" i="3"/>
  <c r="AZ566" i="3" s="1"/>
  <c r="AY567" i="3"/>
  <c r="AZ567" i="3" s="1"/>
  <c r="AY568" i="3"/>
  <c r="AZ568" i="3" s="1"/>
  <c r="AY569" i="3"/>
  <c r="AZ569" i="3" s="1"/>
  <c r="AY570" i="3"/>
  <c r="AZ570" i="3" s="1"/>
  <c r="AY571" i="3"/>
  <c r="AZ571" i="3"/>
  <c r="AY572" i="3"/>
  <c r="AZ572" i="3" s="1"/>
  <c r="AY573" i="3"/>
  <c r="AZ573" i="3"/>
  <c r="AY574" i="3"/>
  <c r="AZ574" i="3" s="1"/>
  <c r="AY575" i="3"/>
  <c r="AZ575" i="3" s="1"/>
  <c r="AY576" i="3"/>
  <c r="AZ576" i="3" s="1"/>
  <c r="AY577" i="3"/>
  <c r="AZ577" i="3" s="1"/>
  <c r="AY578" i="3"/>
  <c r="AZ578" i="3" s="1"/>
  <c r="AY579" i="3"/>
  <c r="AZ579" i="3" s="1"/>
  <c r="AY580" i="3"/>
  <c r="AZ580" i="3" s="1"/>
  <c r="AY581" i="3"/>
  <c r="AZ581" i="3" s="1"/>
  <c r="AY582" i="3"/>
  <c r="AZ582" i="3" s="1"/>
  <c r="AY583" i="3"/>
  <c r="AZ583" i="3" s="1"/>
  <c r="AY584" i="3"/>
  <c r="AZ584" i="3" s="1"/>
  <c r="AY585" i="3"/>
  <c r="AZ585" i="3"/>
  <c r="AY586" i="3"/>
  <c r="AZ586" i="3"/>
  <c r="AY587" i="3"/>
  <c r="AZ587" i="3" s="1"/>
  <c r="AY588" i="3"/>
  <c r="AZ588" i="3" s="1"/>
  <c r="AY589" i="3"/>
  <c r="AZ589" i="3"/>
  <c r="AY590" i="3"/>
  <c r="AZ590" i="3" s="1"/>
  <c r="AY591" i="3"/>
  <c r="AZ591" i="3" s="1"/>
  <c r="AY592" i="3"/>
  <c r="AZ592" i="3" s="1"/>
  <c r="AY593" i="3"/>
  <c r="AZ593" i="3" s="1"/>
  <c r="AY594" i="3"/>
  <c r="AZ594" i="3" s="1"/>
  <c r="AY595" i="3"/>
  <c r="AZ595" i="3"/>
  <c r="AY596" i="3"/>
  <c r="AZ596" i="3" s="1"/>
  <c r="AY597" i="3"/>
  <c r="AZ597" i="3" s="1"/>
  <c r="AY598" i="3"/>
  <c r="AZ598" i="3" s="1"/>
  <c r="AY599" i="3"/>
  <c r="AZ599" i="3" s="1"/>
  <c r="AY600" i="3"/>
  <c r="AZ600" i="3" s="1"/>
  <c r="AY601" i="3"/>
  <c r="AZ601" i="3" s="1"/>
  <c r="AY602" i="3"/>
  <c r="AZ602" i="3" s="1"/>
  <c r="AY603" i="3"/>
  <c r="AZ603" i="3" s="1"/>
  <c r="AY604" i="3"/>
  <c r="AZ604" i="3" s="1"/>
  <c r="AY605" i="3"/>
  <c r="AZ605" i="3" s="1"/>
  <c r="AY606" i="3"/>
  <c r="AZ606" i="3" s="1"/>
  <c r="AY607" i="3"/>
  <c r="AZ607" i="3" s="1"/>
  <c r="AY608" i="3"/>
  <c r="AZ608" i="3" s="1"/>
  <c r="AY609" i="3"/>
  <c r="AZ609" i="3" s="1"/>
  <c r="AY610" i="3"/>
  <c r="AZ610" i="3" s="1"/>
  <c r="AY611" i="3"/>
  <c r="AZ611" i="3" s="1"/>
  <c r="AY612" i="3"/>
  <c r="AZ612" i="3" s="1"/>
  <c r="AY613" i="3"/>
  <c r="AZ613" i="3" s="1"/>
  <c r="AY614" i="3"/>
  <c r="AZ614" i="3" s="1"/>
  <c r="AY615" i="3"/>
  <c r="AZ615" i="3" s="1"/>
  <c r="AY616" i="3"/>
  <c r="AZ616" i="3" s="1"/>
  <c r="AY617" i="3"/>
  <c r="AZ617" i="3" s="1"/>
  <c r="AY618" i="3"/>
  <c r="AZ618" i="3"/>
  <c r="AY619" i="3"/>
  <c r="AZ619" i="3" s="1"/>
  <c r="AY620" i="3"/>
  <c r="AZ620" i="3" s="1"/>
  <c r="AY621" i="3"/>
  <c r="AZ621" i="3" s="1"/>
  <c r="AY622" i="3"/>
  <c r="AZ622" i="3" s="1"/>
  <c r="AY623" i="3"/>
  <c r="AZ623" i="3" s="1"/>
  <c r="AY624" i="3"/>
  <c r="AZ624" i="3" s="1"/>
  <c r="AY625" i="3"/>
  <c r="AZ625" i="3"/>
  <c r="AY626" i="3"/>
  <c r="AZ626" i="3" s="1"/>
  <c r="AY627" i="3"/>
  <c r="AZ627" i="3" s="1"/>
  <c r="AY628" i="3"/>
  <c r="AZ628" i="3" s="1"/>
  <c r="AY629" i="3"/>
  <c r="AZ629" i="3" s="1"/>
  <c r="AY630" i="3"/>
  <c r="AZ630" i="3" s="1"/>
  <c r="AY631" i="3"/>
  <c r="AZ631" i="3" s="1"/>
  <c r="AY632" i="3"/>
  <c r="AZ632" i="3" s="1"/>
  <c r="AY633" i="3"/>
  <c r="AZ633" i="3"/>
  <c r="AY634" i="3"/>
  <c r="AZ634" i="3"/>
  <c r="AY635" i="3"/>
  <c r="AZ635" i="3"/>
  <c r="AY636" i="3"/>
  <c r="AZ636" i="3" s="1"/>
  <c r="AY637" i="3"/>
  <c r="AZ637" i="3" s="1"/>
  <c r="AY638" i="3"/>
  <c r="AZ638" i="3" s="1"/>
  <c r="AY639" i="3"/>
  <c r="AZ639" i="3" s="1"/>
  <c r="AY640" i="3"/>
  <c r="AZ640" i="3" s="1"/>
  <c r="AY641" i="3"/>
  <c r="AZ641" i="3" s="1"/>
  <c r="AY642" i="3"/>
  <c r="AZ642" i="3" s="1"/>
  <c r="AY643" i="3"/>
  <c r="AZ643" i="3" s="1"/>
  <c r="AY644" i="3"/>
  <c r="AZ644" i="3"/>
  <c r="AY645" i="3"/>
  <c r="AZ645" i="3" s="1"/>
  <c r="AY646" i="3"/>
  <c r="AZ646" i="3" s="1"/>
  <c r="AY647" i="3"/>
  <c r="AZ647" i="3" s="1"/>
  <c r="AY648" i="3"/>
  <c r="AZ648" i="3" s="1"/>
  <c r="AY649" i="3"/>
  <c r="AZ649" i="3"/>
  <c r="AY650" i="3"/>
  <c r="AZ650" i="3" s="1"/>
  <c r="AY651" i="3"/>
  <c r="AZ651" i="3" s="1"/>
  <c r="AY652" i="3"/>
  <c r="AZ652" i="3" s="1"/>
  <c r="AY653" i="3"/>
  <c r="AZ653" i="3" s="1"/>
  <c r="AY654" i="3"/>
  <c r="AZ654" i="3" s="1"/>
  <c r="AY655" i="3"/>
  <c r="AZ655" i="3" s="1"/>
  <c r="AY656" i="3"/>
  <c r="AZ656" i="3" s="1"/>
  <c r="AY657" i="3"/>
  <c r="AZ657" i="3" s="1"/>
  <c r="AY658" i="3"/>
  <c r="AZ658" i="3" s="1"/>
  <c r="AY659" i="3"/>
  <c r="AZ659" i="3" s="1"/>
  <c r="AY660" i="3"/>
  <c r="AZ660" i="3" s="1"/>
  <c r="AY661" i="3"/>
  <c r="AZ661" i="3"/>
  <c r="AY662" i="3"/>
  <c r="AZ662" i="3" s="1"/>
  <c r="AY663" i="3"/>
  <c r="AZ663" i="3" s="1"/>
  <c r="AY664" i="3"/>
  <c r="AZ664" i="3" s="1"/>
  <c r="AY665" i="3"/>
  <c r="AZ665" i="3" s="1"/>
  <c r="AY666" i="3"/>
  <c r="AZ666" i="3" s="1"/>
  <c r="AY667" i="3"/>
  <c r="AZ667" i="3" s="1"/>
  <c r="AY668" i="3"/>
  <c r="AZ668" i="3" s="1"/>
  <c r="AY669" i="3"/>
  <c r="AZ669" i="3" s="1"/>
  <c r="AY670" i="3"/>
  <c r="AZ670" i="3" s="1"/>
  <c r="AY671" i="3"/>
  <c r="AZ671" i="3" s="1"/>
  <c r="AY672" i="3"/>
  <c r="AZ672" i="3" s="1"/>
  <c r="AY673" i="3"/>
  <c r="AZ673" i="3" s="1"/>
  <c r="AY674" i="3"/>
  <c r="AZ674" i="3" s="1"/>
  <c r="AY675" i="3"/>
  <c r="AZ675" i="3" s="1"/>
  <c r="AY676" i="3"/>
  <c r="AZ676" i="3" s="1"/>
  <c r="AY677" i="3"/>
  <c r="AZ677" i="3"/>
  <c r="AY678" i="3"/>
  <c r="AZ678" i="3" s="1"/>
  <c r="AY679" i="3"/>
  <c r="AZ679" i="3" s="1"/>
  <c r="AY680" i="3"/>
  <c r="AZ680" i="3" s="1"/>
  <c r="AY681" i="3"/>
  <c r="AZ681" i="3" s="1"/>
  <c r="AY682" i="3"/>
  <c r="AZ682" i="3" s="1"/>
  <c r="AY683" i="3"/>
  <c r="AZ683" i="3" s="1"/>
  <c r="AY684" i="3"/>
  <c r="AZ684" i="3" s="1"/>
  <c r="AY685" i="3"/>
  <c r="AZ685" i="3" s="1"/>
  <c r="AY686" i="3"/>
  <c r="AZ686" i="3" s="1"/>
  <c r="AY687" i="3"/>
  <c r="AZ687" i="3" s="1"/>
  <c r="AY688" i="3"/>
  <c r="AZ688" i="3"/>
  <c r="AY689" i="3"/>
  <c r="AZ689" i="3"/>
  <c r="AY690" i="3"/>
  <c r="AZ690" i="3" s="1"/>
  <c r="AY691" i="3"/>
  <c r="AZ691" i="3" s="1"/>
  <c r="AY3" i="3"/>
  <c r="AZ3" i="3" s="1"/>
  <c r="AY4" i="3"/>
  <c r="AZ4" i="3" s="1"/>
  <c r="AY5" i="3"/>
  <c r="AZ5" i="3" s="1"/>
  <c r="AY2" i="3"/>
  <c r="AZ2" i="3" s="1"/>
  <c r="AW15" i="3"/>
  <c r="AX15" i="3" s="1"/>
  <c r="AW16" i="3"/>
  <c r="AX16" i="3" s="1"/>
  <c r="AW17" i="3"/>
  <c r="AX17" i="3" s="1"/>
  <c r="AW18" i="3"/>
  <c r="AX18" i="3" s="1"/>
  <c r="AW19" i="3"/>
  <c r="AX19" i="3" s="1"/>
  <c r="AW20" i="3"/>
  <c r="AX20" i="3" s="1"/>
  <c r="AW21" i="3"/>
  <c r="AX21" i="3" s="1"/>
  <c r="AW22" i="3"/>
  <c r="AX22" i="3" s="1"/>
  <c r="AW23" i="3"/>
  <c r="AX23" i="3" s="1"/>
  <c r="AW24" i="3"/>
  <c r="AX24" i="3" s="1"/>
  <c r="AW25" i="3"/>
  <c r="AX25" i="3" s="1"/>
  <c r="AW26" i="3"/>
  <c r="AX26" i="3" s="1"/>
  <c r="AW27" i="3"/>
  <c r="AX27" i="3" s="1"/>
  <c r="AW28" i="3"/>
  <c r="AX28" i="3" s="1"/>
  <c r="AW29" i="3"/>
  <c r="AX29" i="3" s="1"/>
  <c r="AW30" i="3"/>
  <c r="AX30" i="3" s="1"/>
  <c r="AW31" i="3"/>
  <c r="AX31" i="3" s="1"/>
  <c r="AW32" i="3"/>
  <c r="AX32" i="3" s="1"/>
  <c r="AW33" i="3"/>
  <c r="AX33" i="3" s="1"/>
  <c r="AW34" i="3"/>
  <c r="AX34" i="3" s="1"/>
  <c r="AW35" i="3"/>
  <c r="AX35" i="3" s="1"/>
  <c r="AW36" i="3"/>
  <c r="AX36" i="3" s="1"/>
  <c r="AW37" i="3"/>
  <c r="AX37" i="3" s="1"/>
  <c r="AW38" i="3"/>
  <c r="AX38" i="3" s="1"/>
  <c r="AW39" i="3"/>
  <c r="AX39" i="3" s="1"/>
  <c r="AW40" i="3"/>
  <c r="AX40" i="3" s="1"/>
  <c r="AW41" i="3"/>
  <c r="AX41" i="3" s="1"/>
  <c r="AW42" i="3"/>
  <c r="AX42" i="3" s="1"/>
  <c r="AW43" i="3"/>
  <c r="AX43" i="3" s="1"/>
  <c r="AW44" i="3"/>
  <c r="AX44" i="3" s="1"/>
  <c r="AW45" i="3"/>
  <c r="AX45" i="3" s="1"/>
  <c r="AW46" i="3"/>
  <c r="AX46" i="3" s="1"/>
  <c r="AW47" i="3"/>
  <c r="AX47" i="3" s="1"/>
  <c r="AW48" i="3"/>
  <c r="AX48" i="3" s="1"/>
  <c r="AW49" i="3"/>
  <c r="AX49" i="3" s="1"/>
  <c r="AW50" i="3"/>
  <c r="AX50" i="3" s="1"/>
  <c r="AW51" i="3"/>
  <c r="AX51" i="3" s="1"/>
  <c r="AW52" i="3"/>
  <c r="AX52" i="3" s="1"/>
  <c r="AW53" i="3"/>
  <c r="AX53" i="3" s="1"/>
  <c r="AW54" i="3"/>
  <c r="AX54" i="3" s="1"/>
  <c r="AW55" i="3"/>
  <c r="AX55" i="3" s="1"/>
  <c r="AW56" i="3"/>
  <c r="AX56" i="3" s="1"/>
  <c r="AW57" i="3"/>
  <c r="AX57" i="3" s="1"/>
  <c r="AW58" i="3"/>
  <c r="AX58" i="3" s="1"/>
  <c r="AW59" i="3"/>
  <c r="AX59" i="3" s="1"/>
  <c r="AW60" i="3"/>
  <c r="AX60" i="3" s="1"/>
  <c r="AW61" i="3"/>
  <c r="AX61" i="3" s="1"/>
  <c r="AW62" i="3"/>
  <c r="AX62" i="3" s="1"/>
  <c r="AW63" i="3"/>
  <c r="AX63" i="3" s="1"/>
  <c r="AW64" i="3"/>
  <c r="AX64" i="3" s="1"/>
  <c r="AW65" i="3"/>
  <c r="AX65" i="3" s="1"/>
  <c r="AW66" i="3"/>
  <c r="AX66" i="3" s="1"/>
  <c r="AW67" i="3"/>
  <c r="AX67" i="3" s="1"/>
  <c r="AW68" i="3"/>
  <c r="AX68" i="3" s="1"/>
  <c r="AW69" i="3"/>
  <c r="AX69" i="3" s="1"/>
  <c r="AW70" i="3"/>
  <c r="AX70" i="3" s="1"/>
  <c r="AW71" i="3"/>
  <c r="AX71" i="3" s="1"/>
  <c r="AW72" i="3"/>
  <c r="AX72" i="3" s="1"/>
  <c r="AW73" i="3"/>
  <c r="AX73" i="3" s="1"/>
  <c r="AW74" i="3"/>
  <c r="AX74" i="3" s="1"/>
  <c r="AW75" i="3"/>
  <c r="AX75" i="3" s="1"/>
  <c r="AW76" i="3"/>
  <c r="AX76" i="3" s="1"/>
  <c r="AW77" i="3"/>
  <c r="AX77" i="3" s="1"/>
  <c r="AW78" i="3"/>
  <c r="AX78" i="3" s="1"/>
  <c r="AW79" i="3"/>
  <c r="AX79" i="3" s="1"/>
  <c r="AW80" i="3"/>
  <c r="AX80" i="3" s="1"/>
  <c r="AW81" i="3"/>
  <c r="AX81" i="3" s="1"/>
  <c r="AW82" i="3"/>
  <c r="AX82" i="3" s="1"/>
  <c r="AW83" i="3"/>
  <c r="AX83" i="3" s="1"/>
  <c r="AW84" i="3"/>
  <c r="AX84" i="3" s="1"/>
  <c r="AW85" i="3"/>
  <c r="AX85" i="3" s="1"/>
  <c r="AW86" i="3"/>
  <c r="AX86" i="3" s="1"/>
  <c r="AW87" i="3"/>
  <c r="AX87" i="3" s="1"/>
  <c r="AW88" i="3"/>
  <c r="AX88" i="3" s="1"/>
  <c r="AW89" i="3"/>
  <c r="AX89" i="3" s="1"/>
  <c r="AW90" i="3"/>
  <c r="AX90" i="3" s="1"/>
  <c r="AW91" i="3"/>
  <c r="AX91" i="3" s="1"/>
  <c r="AW92" i="3"/>
  <c r="AX92" i="3" s="1"/>
  <c r="AW93" i="3"/>
  <c r="AX93" i="3" s="1"/>
  <c r="AW94" i="3"/>
  <c r="AX94" i="3" s="1"/>
  <c r="AW95" i="3"/>
  <c r="AX95" i="3" s="1"/>
  <c r="AW96" i="3"/>
  <c r="AX96" i="3" s="1"/>
  <c r="AW97" i="3"/>
  <c r="AX97" i="3" s="1"/>
  <c r="AW98" i="3"/>
  <c r="AX98" i="3" s="1"/>
  <c r="AW99" i="3"/>
  <c r="AX99" i="3"/>
  <c r="AW100" i="3"/>
  <c r="AX100" i="3" s="1"/>
  <c r="AW101" i="3"/>
  <c r="AX101" i="3" s="1"/>
  <c r="AW102" i="3"/>
  <c r="AX102" i="3" s="1"/>
  <c r="AW103" i="3"/>
  <c r="AX103" i="3" s="1"/>
  <c r="AW104" i="3"/>
  <c r="AX104" i="3"/>
  <c r="AW105" i="3"/>
  <c r="AX105" i="3" s="1"/>
  <c r="AW106" i="3"/>
  <c r="AX106" i="3" s="1"/>
  <c r="AW107" i="3"/>
  <c r="AX107" i="3" s="1"/>
  <c r="AW108" i="3"/>
  <c r="AX108" i="3" s="1"/>
  <c r="AW109" i="3"/>
  <c r="AX109" i="3" s="1"/>
  <c r="AW110" i="3"/>
  <c r="AX110" i="3" s="1"/>
  <c r="AW111" i="3"/>
  <c r="AX111" i="3" s="1"/>
  <c r="AW112" i="3"/>
  <c r="AX112" i="3" s="1"/>
  <c r="AW113" i="3"/>
  <c r="AX113" i="3"/>
  <c r="AW114" i="3"/>
  <c r="AX114" i="3" s="1"/>
  <c r="AW115" i="3"/>
  <c r="AX115" i="3" s="1"/>
  <c r="AW116" i="3"/>
  <c r="AX116" i="3" s="1"/>
  <c r="AW117" i="3"/>
  <c r="AX117" i="3" s="1"/>
  <c r="AW118" i="3"/>
  <c r="AX118" i="3" s="1"/>
  <c r="AW119" i="3"/>
  <c r="AX119" i="3" s="1"/>
  <c r="AW120" i="3"/>
  <c r="AX120" i="3" s="1"/>
  <c r="AW121" i="3"/>
  <c r="AX121" i="3" s="1"/>
  <c r="AW122" i="3"/>
  <c r="AX122" i="3" s="1"/>
  <c r="AW123" i="3"/>
  <c r="AX123" i="3" s="1"/>
  <c r="AW124" i="3"/>
  <c r="AX124" i="3" s="1"/>
  <c r="AW125" i="3"/>
  <c r="AX125" i="3" s="1"/>
  <c r="AW126" i="3"/>
  <c r="AX126" i="3" s="1"/>
  <c r="AW127" i="3"/>
  <c r="AX127" i="3" s="1"/>
  <c r="AW128" i="3"/>
  <c r="AX128" i="3" s="1"/>
  <c r="AW129" i="3"/>
  <c r="AX129" i="3" s="1"/>
  <c r="AW130" i="3"/>
  <c r="AX130" i="3" s="1"/>
  <c r="AW131" i="3"/>
  <c r="AX131" i="3" s="1"/>
  <c r="AW132" i="3"/>
  <c r="AX132" i="3" s="1"/>
  <c r="AW133" i="3"/>
  <c r="AX133" i="3" s="1"/>
  <c r="AW134" i="3"/>
  <c r="AX134" i="3" s="1"/>
  <c r="AW135" i="3"/>
  <c r="AX135" i="3" s="1"/>
  <c r="AW136" i="3"/>
  <c r="AX136" i="3" s="1"/>
  <c r="AW137" i="3"/>
  <c r="AX137" i="3" s="1"/>
  <c r="AW138" i="3"/>
  <c r="AX138" i="3" s="1"/>
  <c r="AW139" i="3"/>
  <c r="AX139" i="3" s="1"/>
  <c r="AW140" i="3"/>
  <c r="AX140" i="3" s="1"/>
  <c r="AW141" i="3"/>
  <c r="AX141" i="3" s="1"/>
  <c r="AW142" i="3"/>
  <c r="AX142" i="3" s="1"/>
  <c r="AW143" i="3"/>
  <c r="AX143" i="3" s="1"/>
  <c r="AW144" i="3"/>
  <c r="AX144" i="3" s="1"/>
  <c r="AW145" i="3"/>
  <c r="AX145" i="3" s="1"/>
  <c r="AW146" i="3"/>
  <c r="AX146" i="3" s="1"/>
  <c r="AW147" i="3"/>
  <c r="AX147" i="3" s="1"/>
  <c r="AW148" i="3"/>
  <c r="AX148" i="3" s="1"/>
  <c r="AW149" i="3"/>
  <c r="AX149" i="3" s="1"/>
  <c r="AW150" i="3"/>
  <c r="AX150" i="3" s="1"/>
  <c r="AW151" i="3"/>
  <c r="AX151" i="3" s="1"/>
  <c r="AW152" i="3"/>
  <c r="AX152" i="3" s="1"/>
  <c r="AW153" i="3"/>
  <c r="AX153" i="3" s="1"/>
  <c r="AW154" i="3"/>
  <c r="AX154" i="3" s="1"/>
  <c r="AW155" i="3"/>
  <c r="AX155" i="3" s="1"/>
  <c r="AW156" i="3"/>
  <c r="AX156" i="3" s="1"/>
  <c r="AW157" i="3"/>
  <c r="AX157" i="3" s="1"/>
  <c r="AW158" i="3"/>
  <c r="AX158" i="3" s="1"/>
  <c r="AW159" i="3"/>
  <c r="AX159" i="3" s="1"/>
  <c r="AW160" i="3"/>
  <c r="AX160" i="3" s="1"/>
  <c r="AW161" i="3"/>
  <c r="AX161" i="3" s="1"/>
  <c r="AW162" i="3"/>
  <c r="AX162" i="3" s="1"/>
  <c r="AW163" i="3"/>
  <c r="AX163" i="3"/>
  <c r="AW164" i="3"/>
  <c r="AX164" i="3" s="1"/>
  <c r="AW165" i="3"/>
  <c r="AX165" i="3" s="1"/>
  <c r="AW166" i="3"/>
  <c r="AX166" i="3" s="1"/>
  <c r="AW167" i="3"/>
  <c r="AX167" i="3" s="1"/>
  <c r="AW168" i="3"/>
  <c r="AX168" i="3" s="1"/>
  <c r="AW169" i="3"/>
  <c r="AX169" i="3" s="1"/>
  <c r="AW170" i="3"/>
  <c r="AX170" i="3" s="1"/>
  <c r="AW171" i="3"/>
  <c r="AX171" i="3" s="1"/>
  <c r="AW172" i="3"/>
  <c r="AX172" i="3" s="1"/>
  <c r="AW173" i="3"/>
  <c r="AX173" i="3" s="1"/>
  <c r="AW174" i="3"/>
  <c r="AX174" i="3" s="1"/>
  <c r="AW175" i="3"/>
  <c r="AX175" i="3" s="1"/>
  <c r="AW176" i="3"/>
  <c r="AX176" i="3" s="1"/>
  <c r="AW177" i="3"/>
  <c r="AX177" i="3" s="1"/>
  <c r="AW178" i="3"/>
  <c r="AX178" i="3" s="1"/>
  <c r="AW179" i="3"/>
  <c r="AX179" i="3" s="1"/>
  <c r="AW180" i="3"/>
  <c r="AX180" i="3" s="1"/>
  <c r="AW181" i="3"/>
  <c r="AX181" i="3" s="1"/>
  <c r="AW182" i="3"/>
  <c r="AX182" i="3" s="1"/>
  <c r="AW183" i="3"/>
  <c r="AX183" i="3" s="1"/>
  <c r="AW184" i="3"/>
  <c r="AX184" i="3" s="1"/>
  <c r="AW185" i="3"/>
  <c r="AX185" i="3" s="1"/>
  <c r="AW186" i="3"/>
  <c r="AX186" i="3" s="1"/>
  <c r="AW187" i="3"/>
  <c r="AX187" i="3" s="1"/>
  <c r="AW188" i="3"/>
  <c r="AX188" i="3" s="1"/>
  <c r="AW189" i="3"/>
  <c r="AX189" i="3" s="1"/>
  <c r="AW190" i="3"/>
  <c r="AX190" i="3" s="1"/>
  <c r="AW191" i="3"/>
  <c r="AX191" i="3" s="1"/>
  <c r="AW192" i="3"/>
  <c r="AX192" i="3" s="1"/>
  <c r="AW193" i="3"/>
  <c r="AX193" i="3" s="1"/>
  <c r="AW194" i="3"/>
  <c r="AX194" i="3" s="1"/>
  <c r="AW195" i="3"/>
  <c r="AX195" i="3" s="1"/>
  <c r="AW196" i="3"/>
  <c r="AX196" i="3" s="1"/>
  <c r="AW197" i="3"/>
  <c r="AX197" i="3" s="1"/>
  <c r="AW198" i="3"/>
  <c r="AX198" i="3" s="1"/>
  <c r="AW199" i="3"/>
  <c r="AX199" i="3" s="1"/>
  <c r="AW200" i="3"/>
  <c r="AX200" i="3" s="1"/>
  <c r="AW201" i="3"/>
  <c r="AX201" i="3"/>
  <c r="AW202" i="3"/>
  <c r="AX202" i="3" s="1"/>
  <c r="AW203" i="3"/>
  <c r="AX203" i="3" s="1"/>
  <c r="AW204" i="3"/>
  <c r="AX204" i="3" s="1"/>
  <c r="AW205" i="3"/>
  <c r="AX205" i="3" s="1"/>
  <c r="AW206" i="3"/>
  <c r="AX206" i="3" s="1"/>
  <c r="AW207" i="3"/>
  <c r="AX207" i="3" s="1"/>
  <c r="AW208" i="3"/>
  <c r="AX208" i="3" s="1"/>
  <c r="AW209" i="3"/>
  <c r="AX209" i="3" s="1"/>
  <c r="AW210" i="3"/>
  <c r="AX210" i="3" s="1"/>
  <c r="AW211" i="3"/>
  <c r="AX211" i="3" s="1"/>
  <c r="AW212" i="3"/>
  <c r="AX212" i="3" s="1"/>
  <c r="AW213" i="3"/>
  <c r="AX213" i="3" s="1"/>
  <c r="AW214" i="3"/>
  <c r="AX214" i="3" s="1"/>
  <c r="AW215" i="3"/>
  <c r="AX215" i="3" s="1"/>
  <c r="AW216" i="3"/>
  <c r="AX216" i="3" s="1"/>
  <c r="AW217" i="3"/>
  <c r="AX217" i="3" s="1"/>
  <c r="AW218" i="3"/>
  <c r="AX218" i="3" s="1"/>
  <c r="AW219" i="3"/>
  <c r="AX219" i="3" s="1"/>
  <c r="AW220" i="3"/>
  <c r="AX220" i="3" s="1"/>
  <c r="AW221" i="3"/>
  <c r="AX221" i="3" s="1"/>
  <c r="AW222" i="3"/>
  <c r="AX222" i="3" s="1"/>
  <c r="AW223" i="3"/>
  <c r="AX223" i="3" s="1"/>
  <c r="AW224" i="3"/>
  <c r="AX224" i="3" s="1"/>
  <c r="AW225" i="3"/>
  <c r="AX225" i="3" s="1"/>
  <c r="AW226" i="3"/>
  <c r="AX226" i="3" s="1"/>
  <c r="AW227" i="3"/>
  <c r="AX227" i="3" s="1"/>
  <c r="AW228" i="3"/>
  <c r="AX228" i="3" s="1"/>
  <c r="AW229" i="3"/>
  <c r="AX229" i="3" s="1"/>
  <c r="AW230" i="3"/>
  <c r="AX230" i="3" s="1"/>
  <c r="AW231" i="3"/>
  <c r="AX231" i="3" s="1"/>
  <c r="AW232" i="3"/>
  <c r="AX232" i="3" s="1"/>
  <c r="AW233" i="3"/>
  <c r="AX233" i="3" s="1"/>
  <c r="AW234" i="3"/>
  <c r="AX234" i="3" s="1"/>
  <c r="AW235" i="3"/>
  <c r="AX235" i="3"/>
  <c r="AW236" i="3"/>
  <c r="AX236" i="3" s="1"/>
  <c r="AW237" i="3"/>
  <c r="AX237" i="3" s="1"/>
  <c r="AW238" i="3"/>
  <c r="AX238" i="3" s="1"/>
  <c r="AW239" i="3"/>
  <c r="AX239" i="3" s="1"/>
  <c r="AW240" i="3"/>
  <c r="AX240" i="3" s="1"/>
  <c r="AW241" i="3"/>
  <c r="AX241" i="3" s="1"/>
  <c r="AW242" i="3"/>
  <c r="AX242" i="3" s="1"/>
  <c r="AW243" i="3"/>
  <c r="AX243" i="3" s="1"/>
  <c r="AW244" i="3"/>
  <c r="AX244" i="3" s="1"/>
  <c r="AW245" i="3"/>
  <c r="AX245" i="3" s="1"/>
  <c r="AW246" i="3"/>
  <c r="AX246" i="3" s="1"/>
  <c r="AW247" i="3"/>
  <c r="AX247" i="3" s="1"/>
  <c r="AW248" i="3"/>
  <c r="AX248" i="3" s="1"/>
  <c r="AW249" i="3"/>
  <c r="AX249" i="3" s="1"/>
  <c r="AW250" i="3"/>
  <c r="AX250" i="3" s="1"/>
  <c r="AW251" i="3"/>
  <c r="AX251" i="3" s="1"/>
  <c r="AW252" i="3"/>
  <c r="AX252" i="3" s="1"/>
  <c r="AW253" i="3"/>
  <c r="AX253" i="3" s="1"/>
  <c r="AW254" i="3"/>
  <c r="AX254" i="3" s="1"/>
  <c r="AW255" i="3"/>
  <c r="AX255" i="3" s="1"/>
  <c r="AW256" i="3"/>
  <c r="AX256" i="3" s="1"/>
  <c r="AW257" i="3"/>
  <c r="AX257" i="3" s="1"/>
  <c r="AW258" i="3"/>
  <c r="AX258" i="3" s="1"/>
  <c r="AW259" i="3"/>
  <c r="AX259" i="3" s="1"/>
  <c r="AW260" i="3"/>
  <c r="AX260" i="3" s="1"/>
  <c r="AW261" i="3"/>
  <c r="AX261" i="3" s="1"/>
  <c r="AW262" i="3"/>
  <c r="AX262" i="3" s="1"/>
  <c r="AW263" i="3"/>
  <c r="AX263" i="3" s="1"/>
  <c r="AW264" i="3"/>
  <c r="AX264" i="3" s="1"/>
  <c r="AW265" i="3"/>
  <c r="AX265" i="3" s="1"/>
  <c r="AW266" i="3"/>
  <c r="AX266" i="3" s="1"/>
  <c r="AW267" i="3"/>
  <c r="AX267" i="3" s="1"/>
  <c r="AW268" i="3"/>
  <c r="AX268" i="3" s="1"/>
  <c r="AW269" i="3"/>
  <c r="AX269" i="3" s="1"/>
  <c r="AW270" i="3"/>
  <c r="AX270" i="3" s="1"/>
  <c r="AW271" i="3"/>
  <c r="AX271" i="3" s="1"/>
  <c r="AW272" i="3"/>
  <c r="AX272" i="3" s="1"/>
  <c r="AW273" i="3"/>
  <c r="AX273" i="3" s="1"/>
  <c r="AW274" i="3"/>
  <c r="AX274" i="3"/>
  <c r="AW275" i="3"/>
  <c r="AX275" i="3" s="1"/>
  <c r="AW276" i="3"/>
  <c r="AX276" i="3" s="1"/>
  <c r="AW277" i="3"/>
  <c r="AX277" i="3" s="1"/>
  <c r="AW278" i="3"/>
  <c r="AX278" i="3" s="1"/>
  <c r="AW279" i="3"/>
  <c r="AX279" i="3" s="1"/>
  <c r="AW280" i="3"/>
  <c r="AX280" i="3" s="1"/>
  <c r="AW281" i="3"/>
  <c r="AX281" i="3" s="1"/>
  <c r="AW282" i="3"/>
  <c r="AX282" i="3" s="1"/>
  <c r="AW283" i="3"/>
  <c r="AX283" i="3" s="1"/>
  <c r="AW284" i="3"/>
  <c r="AX284" i="3" s="1"/>
  <c r="AW285" i="3"/>
  <c r="AX285" i="3" s="1"/>
  <c r="AW286" i="3"/>
  <c r="AX286" i="3" s="1"/>
  <c r="AW287" i="3"/>
  <c r="AX287" i="3" s="1"/>
  <c r="AW288" i="3"/>
  <c r="AX288" i="3"/>
  <c r="AW289" i="3"/>
  <c r="AX289" i="3" s="1"/>
  <c r="AW290" i="3"/>
  <c r="AX290" i="3" s="1"/>
  <c r="AW291" i="3"/>
  <c r="AX291" i="3" s="1"/>
  <c r="AW292" i="3"/>
  <c r="AX292" i="3" s="1"/>
  <c r="AW293" i="3"/>
  <c r="AX293" i="3" s="1"/>
  <c r="AW294" i="3"/>
  <c r="AX294" i="3" s="1"/>
  <c r="AW295" i="3"/>
  <c r="AX295" i="3" s="1"/>
  <c r="AW296" i="3"/>
  <c r="AX296" i="3" s="1"/>
  <c r="AW297" i="3"/>
  <c r="AX297" i="3" s="1"/>
  <c r="AW298" i="3"/>
  <c r="AX298" i="3" s="1"/>
  <c r="AW299" i="3"/>
  <c r="AX299" i="3" s="1"/>
  <c r="AW300" i="3"/>
  <c r="AX300" i="3" s="1"/>
  <c r="AW301" i="3"/>
  <c r="AX301" i="3" s="1"/>
  <c r="AW302" i="3"/>
  <c r="AX302" i="3" s="1"/>
  <c r="AW303" i="3"/>
  <c r="AX303" i="3" s="1"/>
  <c r="AW304" i="3"/>
  <c r="AX304" i="3" s="1"/>
  <c r="AW305" i="3"/>
  <c r="AX305" i="3" s="1"/>
  <c r="AW306" i="3"/>
  <c r="AX306" i="3" s="1"/>
  <c r="AW307" i="3"/>
  <c r="AX307" i="3" s="1"/>
  <c r="AW308" i="3"/>
  <c r="AX308" i="3" s="1"/>
  <c r="AW309" i="3"/>
  <c r="AX309" i="3" s="1"/>
  <c r="AW310" i="3"/>
  <c r="AX310" i="3" s="1"/>
  <c r="AW311" i="3"/>
  <c r="AX311" i="3" s="1"/>
  <c r="AW312" i="3"/>
  <c r="AX312" i="3" s="1"/>
  <c r="AW313" i="3"/>
  <c r="AX313" i="3" s="1"/>
  <c r="AW314" i="3"/>
  <c r="AX314" i="3" s="1"/>
  <c r="AW315" i="3"/>
  <c r="AX315" i="3" s="1"/>
  <c r="AW316" i="3"/>
  <c r="AX316" i="3" s="1"/>
  <c r="AW317" i="3"/>
  <c r="AX317" i="3" s="1"/>
  <c r="AW318" i="3"/>
  <c r="AX318" i="3" s="1"/>
  <c r="AW319" i="3"/>
  <c r="AX319" i="3" s="1"/>
  <c r="AW320" i="3"/>
  <c r="AX320" i="3"/>
  <c r="AW321" i="3"/>
  <c r="AX321" i="3" s="1"/>
  <c r="AW322" i="3"/>
  <c r="AX322" i="3" s="1"/>
  <c r="AW323" i="3"/>
  <c r="AX323" i="3" s="1"/>
  <c r="AW324" i="3"/>
  <c r="AX324" i="3" s="1"/>
  <c r="AW325" i="3"/>
  <c r="AX325" i="3" s="1"/>
  <c r="AW326" i="3"/>
  <c r="AX326" i="3" s="1"/>
  <c r="AW327" i="3"/>
  <c r="AX327" i="3" s="1"/>
  <c r="AW328" i="3"/>
  <c r="AX328" i="3" s="1"/>
  <c r="AW329" i="3"/>
  <c r="AX329" i="3" s="1"/>
  <c r="AW330" i="3"/>
  <c r="AX330" i="3" s="1"/>
  <c r="AW331" i="3"/>
  <c r="AX331" i="3" s="1"/>
  <c r="AW332" i="3"/>
  <c r="AX332" i="3" s="1"/>
  <c r="AW333" i="3"/>
  <c r="AX333" i="3"/>
  <c r="AW334" i="3"/>
  <c r="AX334" i="3" s="1"/>
  <c r="AW335" i="3"/>
  <c r="AX335" i="3" s="1"/>
  <c r="AW336" i="3"/>
  <c r="AX336" i="3" s="1"/>
  <c r="AW337" i="3"/>
  <c r="AX337" i="3" s="1"/>
  <c r="AW338" i="3"/>
  <c r="AX338" i="3" s="1"/>
  <c r="AW339" i="3"/>
  <c r="AX339" i="3" s="1"/>
  <c r="AW340" i="3"/>
  <c r="AX340" i="3" s="1"/>
  <c r="AW341" i="3"/>
  <c r="AX341" i="3" s="1"/>
  <c r="AW342" i="3"/>
  <c r="AX342" i="3" s="1"/>
  <c r="AW343" i="3"/>
  <c r="AX343" i="3" s="1"/>
  <c r="AW344" i="3"/>
  <c r="AX344" i="3" s="1"/>
  <c r="AW345" i="3"/>
  <c r="AX345" i="3" s="1"/>
  <c r="AW346" i="3"/>
  <c r="AX346" i="3" s="1"/>
  <c r="AW347" i="3"/>
  <c r="AX347" i="3"/>
  <c r="AW348" i="3"/>
  <c r="AX348" i="3" s="1"/>
  <c r="AW349" i="3"/>
  <c r="AX349" i="3" s="1"/>
  <c r="AW350" i="3"/>
  <c r="AX350" i="3" s="1"/>
  <c r="AW351" i="3"/>
  <c r="AX351" i="3" s="1"/>
  <c r="AW352" i="3"/>
  <c r="AX352" i="3" s="1"/>
  <c r="AW353" i="3"/>
  <c r="AX353" i="3" s="1"/>
  <c r="AW354" i="3"/>
  <c r="AX354" i="3" s="1"/>
  <c r="AW355" i="3"/>
  <c r="AX355" i="3" s="1"/>
  <c r="AW356" i="3"/>
  <c r="AX356" i="3" s="1"/>
  <c r="AW357" i="3"/>
  <c r="AX357" i="3" s="1"/>
  <c r="AW358" i="3"/>
  <c r="AX358" i="3" s="1"/>
  <c r="AW359" i="3"/>
  <c r="AX359" i="3" s="1"/>
  <c r="AW360" i="3"/>
  <c r="AX360" i="3" s="1"/>
  <c r="AW361" i="3"/>
  <c r="AX361" i="3" s="1"/>
  <c r="AW362" i="3"/>
  <c r="AX362" i="3" s="1"/>
  <c r="AW363" i="3"/>
  <c r="AX363" i="3" s="1"/>
  <c r="AW364" i="3"/>
  <c r="AX364" i="3"/>
  <c r="AW365" i="3"/>
  <c r="AX365" i="3" s="1"/>
  <c r="AW366" i="3"/>
  <c r="AX366" i="3" s="1"/>
  <c r="AW367" i="3"/>
  <c r="AX367" i="3" s="1"/>
  <c r="AW368" i="3"/>
  <c r="AX368" i="3" s="1"/>
  <c r="AW369" i="3"/>
  <c r="AX369" i="3" s="1"/>
  <c r="AW370" i="3"/>
  <c r="AX370" i="3" s="1"/>
  <c r="AW371" i="3"/>
  <c r="AX371" i="3" s="1"/>
  <c r="AW372" i="3"/>
  <c r="AX372" i="3" s="1"/>
  <c r="AW373" i="3"/>
  <c r="AX373" i="3" s="1"/>
  <c r="AW374" i="3"/>
  <c r="AX374" i="3" s="1"/>
  <c r="AW375" i="3"/>
  <c r="AX375" i="3" s="1"/>
  <c r="AW376" i="3"/>
  <c r="AX376" i="3" s="1"/>
  <c r="AW377" i="3"/>
  <c r="AX377" i="3" s="1"/>
  <c r="AW378" i="3"/>
  <c r="AX378" i="3" s="1"/>
  <c r="AW379" i="3"/>
  <c r="AX379" i="3" s="1"/>
  <c r="AW380" i="3"/>
  <c r="AX380" i="3" s="1"/>
  <c r="AW381" i="3"/>
  <c r="AX381" i="3" s="1"/>
  <c r="AW382" i="3"/>
  <c r="AX382" i="3" s="1"/>
  <c r="AW383" i="3"/>
  <c r="AX383" i="3" s="1"/>
  <c r="AW384" i="3"/>
  <c r="AX384" i="3" s="1"/>
  <c r="AW385" i="3"/>
  <c r="AX385" i="3" s="1"/>
  <c r="AW386" i="3"/>
  <c r="AX386" i="3" s="1"/>
  <c r="AW387" i="3"/>
  <c r="AX387" i="3" s="1"/>
  <c r="AW388" i="3"/>
  <c r="AX388" i="3" s="1"/>
  <c r="AW389" i="3"/>
  <c r="AX389" i="3" s="1"/>
  <c r="AW390" i="3"/>
  <c r="AX390" i="3" s="1"/>
  <c r="AW391" i="3"/>
  <c r="AX391" i="3" s="1"/>
  <c r="AW392" i="3"/>
  <c r="AX392" i="3" s="1"/>
  <c r="AW393" i="3"/>
  <c r="AX393" i="3" s="1"/>
  <c r="AW394" i="3"/>
  <c r="AX394" i="3" s="1"/>
  <c r="AW395" i="3"/>
  <c r="AX395" i="3"/>
  <c r="AW396" i="3"/>
  <c r="AX396" i="3" s="1"/>
  <c r="AW397" i="3"/>
  <c r="AX397" i="3" s="1"/>
  <c r="AW398" i="3"/>
  <c r="AX398" i="3" s="1"/>
  <c r="AW399" i="3"/>
  <c r="AX399" i="3" s="1"/>
  <c r="AW400" i="3"/>
  <c r="AX400" i="3" s="1"/>
  <c r="AW401" i="3"/>
  <c r="AX401" i="3" s="1"/>
  <c r="AW402" i="3"/>
  <c r="AX402" i="3" s="1"/>
  <c r="AW403" i="3"/>
  <c r="AX403" i="3" s="1"/>
  <c r="AW404" i="3"/>
  <c r="AX404" i="3" s="1"/>
  <c r="AW405" i="3"/>
  <c r="AX405" i="3" s="1"/>
  <c r="AW406" i="3"/>
  <c r="AX406" i="3" s="1"/>
  <c r="AW407" i="3"/>
  <c r="AX407" i="3" s="1"/>
  <c r="AW408" i="3"/>
  <c r="AX408" i="3" s="1"/>
  <c r="AW409" i="3"/>
  <c r="AX409" i="3" s="1"/>
  <c r="AW410" i="3"/>
  <c r="AX410" i="3" s="1"/>
  <c r="AW411" i="3"/>
  <c r="AX411" i="3" s="1"/>
  <c r="AW412" i="3"/>
  <c r="AX412" i="3" s="1"/>
  <c r="AW413" i="3"/>
  <c r="AX413" i="3" s="1"/>
  <c r="AW414" i="3"/>
  <c r="AX414" i="3" s="1"/>
  <c r="AW415" i="3"/>
  <c r="AX415" i="3" s="1"/>
  <c r="AW416" i="3"/>
  <c r="AX416" i="3"/>
  <c r="AW417" i="3"/>
  <c r="AX417" i="3" s="1"/>
  <c r="AW418" i="3"/>
  <c r="AX418" i="3" s="1"/>
  <c r="AW419" i="3"/>
  <c r="AX419" i="3" s="1"/>
  <c r="AW420" i="3"/>
  <c r="AX420" i="3" s="1"/>
  <c r="AW421" i="3"/>
  <c r="AX421" i="3" s="1"/>
  <c r="AW422" i="3"/>
  <c r="AX422" i="3" s="1"/>
  <c r="AW423" i="3"/>
  <c r="AX423" i="3" s="1"/>
  <c r="AW424" i="3"/>
  <c r="AX424" i="3" s="1"/>
  <c r="AW425" i="3"/>
  <c r="AX425" i="3" s="1"/>
  <c r="AW426" i="3"/>
  <c r="AX426" i="3" s="1"/>
  <c r="AW427" i="3"/>
  <c r="AX427" i="3" s="1"/>
  <c r="AW428" i="3"/>
  <c r="AX428" i="3" s="1"/>
  <c r="AW429" i="3"/>
  <c r="AX429" i="3" s="1"/>
  <c r="AW430" i="3"/>
  <c r="AX430" i="3" s="1"/>
  <c r="AW431" i="3"/>
  <c r="AX431" i="3" s="1"/>
  <c r="AW432" i="3"/>
  <c r="AX432" i="3" s="1"/>
  <c r="AW433" i="3"/>
  <c r="AX433" i="3" s="1"/>
  <c r="AW434" i="3"/>
  <c r="AX434" i="3" s="1"/>
  <c r="AW435" i="3"/>
  <c r="AX435" i="3"/>
  <c r="AW436" i="3"/>
  <c r="AX436" i="3" s="1"/>
  <c r="AW437" i="3"/>
  <c r="AX437" i="3" s="1"/>
  <c r="AW438" i="3"/>
  <c r="AX438" i="3" s="1"/>
  <c r="AW439" i="3"/>
  <c r="AX439" i="3" s="1"/>
  <c r="AW440" i="3"/>
  <c r="AX440" i="3" s="1"/>
  <c r="AW441" i="3"/>
  <c r="AX441" i="3" s="1"/>
  <c r="AW442" i="3"/>
  <c r="AX442" i="3" s="1"/>
  <c r="AW443" i="3"/>
  <c r="AX443" i="3" s="1"/>
  <c r="AW444" i="3"/>
  <c r="AX444" i="3" s="1"/>
  <c r="AW445" i="3"/>
  <c r="AX445" i="3" s="1"/>
  <c r="AW446" i="3"/>
  <c r="AX446" i="3" s="1"/>
  <c r="AW447" i="3"/>
  <c r="AX447" i="3" s="1"/>
  <c r="AW448" i="3"/>
  <c r="AX448" i="3" s="1"/>
  <c r="AW449" i="3"/>
  <c r="AX449" i="3" s="1"/>
  <c r="AW450" i="3"/>
  <c r="AX450" i="3" s="1"/>
  <c r="AW451" i="3"/>
  <c r="AX451" i="3" s="1"/>
  <c r="AW452" i="3"/>
  <c r="AX452" i="3" s="1"/>
  <c r="AW453" i="3"/>
  <c r="AX453" i="3" s="1"/>
  <c r="AW454" i="3"/>
  <c r="AX454" i="3" s="1"/>
  <c r="AW455" i="3"/>
  <c r="AX455" i="3" s="1"/>
  <c r="AW456" i="3"/>
  <c r="AX456" i="3" s="1"/>
  <c r="AW457" i="3"/>
  <c r="AX457" i="3" s="1"/>
  <c r="AW458" i="3"/>
  <c r="AX458" i="3" s="1"/>
  <c r="AW459" i="3"/>
  <c r="AX459" i="3" s="1"/>
  <c r="AW460" i="3"/>
  <c r="AX460" i="3" s="1"/>
  <c r="AW461" i="3"/>
  <c r="AX461" i="3" s="1"/>
  <c r="AW462" i="3"/>
  <c r="AX462" i="3" s="1"/>
  <c r="AW463" i="3"/>
  <c r="AX463" i="3" s="1"/>
  <c r="AW464" i="3"/>
  <c r="AX464" i="3" s="1"/>
  <c r="AW465" i="3"/>
  <c r="AX465" i="3" s="1"/>
  <c r="AW466" i="3"/>
  <c r="AX466" i="3" s="1"/>
  <c r="AW467" i="3"/>
  <c r="AX467" i="3" s="1"/>
  <c r="AW468" i="3"/>
  <c r="AX468" i="3" s="1"/>
  <c r="AW469" i="3"/>
  <c r="AX469" i="3" s="1"/>
  <c r="AW470" i="3"/>
  <c r="AX470" i="3" s="1"/>
  <c r="AW471" i="3"/>
  <c r="AX471" i="3" s="1"/>
  <c r="AW472" i="3"/>
  <c r="AX472" i="3" s="1"/>
  <c r="AW473" i="3"/>
  <c r="AX473" i="3" s="1"/>
  <c r="AW474" i="3"/>
  <c r="AX474" i="3" s="1"/>
  <c r="AW475" i="3"/>
  <c r="AX475" i="3" s="1"/>
  <c r="AW476" i="3"/>
  <c r="AX476" i="3" s="1"/>
  <c r="AW477" i="3"/>
  <c r="AX477" i="3" s="1"/>
  <c r="AW478" i="3"/>
  <c r="AX478" i="3" s="1"/>
  <c r="AW479" i="3"/>
  <c r="AX479" i="3" s="1"/>
  <c r="AW480" i="3"/>
  <c r="AX480" i="3" s="1"/>
  <c r="AW481" i="3"/>
  <c r="AX481" i="3" s="1"/>
  <c r="AW482" i="3"/>
  <c r="AX482" i="3" s="1"/>
  <c r="AW483" i="3"/>
  <c r="AX483" i="3"/>
  <c r="AW484" i="3"/>
  <c r="AX484" i="3" s="1"/>
  <c r="AW485" i="3"/>
  <c r="AX485" i="3" s="1"/>
  <c r="AW486" i="3"/>
  <c r="AX486" i="3" s="1"/>
  <c r="AW487" i="3"/>
  <c r="AX487" i="3" s="1"/>
  <c r="AW488" i="3"/>
  <c r="AX488" i="3" s="1"/>
  <c r="AW489" i="3"/>
  <c r="AX489" i="3" s="1"/>
  <c r="AW490" i="3"/>
  <c r="AX490" i="3" s="1"/>
  <c r="AW491" i="3"/>
  <c r="AX491" i="3"/>
  <c r="AW492" i="3"/>
  <c r="AX492" i="3" s="1"/>
  <c r="AW493" i="3"/>
  <c r="AX493" i="3" s="1"/>
  <c r="AW494" i="3"/>
  <c r="AX494" i="3" s="1"/>
  <c r="AW495" i="3"/>
  <c r="AX495" i="3" s="1"/>
  <c r="AW496" i="3"/>
  <c r="AX496" i="3" s="1"/>
  <c r="AW497" i="3"/>
  <c r="AX497" i="3" s="1"/>
  <c r="AW498" i="3"/>
  <c r="AX498" i="3" s="1"/>
  <c r="AW499" i="3"/>
  <c r="AX499" i="3" s="1"/>
  <c r="AW500" i="3"/>
  <c r="AX500" i="3" s="1"/>
  <c r="AW501" i="3"/>
  <c r="AX501" i="3" s="1"/>
  <c r="AW502" i="3"/>
  <c r="AX502" i="3" s="1"/>
  <c r="AW503" i="3"/>
  <c r="AX503" i="3" s="1"/>
  <c r="AW504" i="3"/>
  <c r="AX504" i="3" s="1"/>
  <c r="AW505" i="3"/>
  <c r="AX505" i="3" s="1"/>
  <c r="AW506" i="3"/>
  <c r="AX506" i="3" s="1"/>
  <c r="AW507" i="3"/>
  <c r="AX507" i="3" s="1"/>
  <c r="AW508" i="3"/>
  <c r="AX508" i="3" s="1"/>
  <c r="AW509" i="3"/>
  <c r="AX509" i="3" s="1"/>
  <c r="AW510" i="3"/>
  <c r="AX510" i="3" s="1"/>
  <c r="AW511" i="3"/>
  <c r="AX511" i="3" s="1"/>
  <c r="AW512" i="3"/>
  <c r="AX512" i="3" s="1"/>
  <c r="AW513" i="3"/>
  <c r="AX513" i="3" s="1"/>
  <c r="AW514" i="3"/>
  <c r="AX514" i="3" s="1"/>
  <c r="AW515" i="3"/>
  <c r="AX515" i="3" s="1"/>
  <c r="AW516" i="3"/>
  <c r="AX516" i="3" s="1"/>
  <c r="AW517" i="3"/>
  <c r="AX517" i="3"/>
  <c r="AW518" i="3"/>
  <c r="AX518" i="3" s="1"/>
  <c r="AW519" i="3"/>
  <c r="AX519" i="3" s="1"/>
  <c r="AW520" i="3"/>
  <c r="AX520" i="3" s="1"/>
  <c r="AW521" i="3"/>
  <c r="AX521" i="3" s="1"/>
  <c r="AW522" i="3"/>
  <c r="AX522" i="3" s="1"/>
  <c r="AW523" i="3"/>
  <c r="AX523" i="3" s="1"/>
  <c r="AW524" i="3"/>
  <c r="AX524" i="3" s="1"/>
  <c r="AW525" i="3"/>
  <c r="AX525" i="3" s="1"/>
  <c r="AW526" i="3"/>
  <c r="AX526" i="3" s="1"/>
  <c r="AW527" i="3"/>
  <c r="AX527" i="3" s="1"/>
  <c r="AW528" i="3"/>
  <c r="AX528" i="3" s="1"/>
  <c r="AW529" i="3"/>
  <c r="AX529" i="3" s="1"/>
  <c r="AW530" i="3"/>
  <c r="AX530" i="3" s="1"/>
  <c r="AW531" i="3"/>
  <c r="AX531" i="3" s="1"/>
  <c r="AW532" i="3"/>
  <c r="AX532" i="3" s="1"/>
  <c r="AW533" i="3"/>
  <c r="AX533" i="3" s="1"/>
  <c r="AW534" i="3"/>
  <c r="AX534" i="3" s="1"/>
  <c r="AW535" i="3"/>
  <c r="AX535" i="3" s="1"/>
  <c r="AW536" i="3"/>
  <c r="AX536" i="3" s="1"/>
  <c r="AW537" i="3"/>
  <c r="AX537" i="3" s="1"/>
  <c r="AW538" i="3"/>
  <c r="AX538" i="3" s="1"/>
  <c r="AW539" i="3"/>
  <c r="AX539" i="3" s="1"/>
  <c r="AW540" i="3"/>
  <c r="AX540" i="3" s="1"/>
  <c r="AW541" i="3"/>
  <c r="AX541" i="3" s="1"/>
  <c r="AW542" i="3"/>
  <c r="AX542" i="3" s="1"/>
  <c r="AW543" i="3"/>
  <c r="AX543" i="3" s="1"/>
  <c r="AW544" i="3"/>
  <c r="AX544" i="3" s="1"/>
  <c r="AW545" i="3"/>
  <c r="AX545" i="3" s="1"/>
  <c r="AW546" i="3"/>
  <c r="AX546" i="3" s="1"/>
  <c r="AW547" i="3"/>
  <c r="AX547" i="3" s="1"/>
  <c r="AW548" i="3"/>
  <c r="AX548" i="3" s="1"/>
  <c r="AW549" i="3"/>
  <c r="AX549" i="3" s="1"/>
  <c r="AW550" i="3"/>
  <c r="AX550" i="3" s="1"/>
  <c r="AW551" i="3"/>
  <c r="AX551" i="3" s="1"/>
  <c r="AW552" i="3"/>
  <c r="AX552" i="3" s="1"/>
  <c r="AW553" i="3"/>
  <c r="AX553" i="3" s="1"/>
  <c r="AW554" i="3"/>
  <c r="AX554" i="3" s="1"/>
  <c r="AW555" i="3"/>
  <c r="AX555" i="3" s="1"/>
  <c r="AW556" i="3"/>
  <c r="AX556" i="3" s="1"/>
  <c r="AW557" i="3"/>
  <c r="AX557" i="3" s="1"/>
  <c r="AW558" i="3"/>
  <c r="AX558" i="3" s="1"/>
  <c r="AW559" i="3"/>
  <c r="AX559" i="3" s="1"/>
  <c r="AW560" i="3"/>
  <c r="AX560" i="3" s="1"/>
  <c r="AW561" i="3"/>
  <c r="AX561" i="3" s="1"/>
  <c r="AW562" i="3"/>
  <c r="AX562" i="3" s="1"/>
  <c r="AW563" i="3"/>
  <c r="AX563" i="3" s="1"/>
  <c r="AW564" i="3"/>
  <c r="AX564" i="3" s="1"/>
  <c r="AW565" i="3"/>
  <c r="AX565" i="3" s="1"/>
  <c r="AW566" i="3"/>
  <c r="AX566" i="3" s="1"/>
  <c r="AW567" i="3"/>
  <c r="AX567" i="3" s="1"/>
  <c r="AW568" i="3"/>
  <c r="AX568" i="3" s="1"/>
  <c r="AW569" i="3"/>
  <c r="AX569" i="3" s="1"/>
  <c r="AW570" i="3"/>
  <c r="AX570" i="3" s="1"/>
  <c r="AW571" i="3"/>
  <c r="AX571" i="3" s="1"/>
  <c r="AW572" i="3"/>
  <c r="AX572" i="3" s="1"/>
  <c r="AW573" i="3"/>
  <c r="AX573" i="3" s="1"/>
  <c r="AW574" i="3"/>
  <c r="AX574" i="3" s="1"/>
  <c r="AW575" i="3"/>
  <c r="AX575" i="3" s="1"/>
  <c r="AW576" i="3"/>
  <c r="AX576" i="3" s="1"/>
  <c r="AW577" i="3"/>
  <c r="AX577" i="3" s="1"/>
  <c r="AW578" i="3"/>
  <c r="AX578" i="3" s="1"/>
  <c r="AW579" i="3"/>
  <c r="AX579" i="3" s="1"/>
  <c r="AW580" i="3"/>
  <c r="AX580" i="3" s="1"/>
  <c r="AW581" i="3"/>
  <c r="AX581" i="3" s="1"/>
  <c r="AW582" i="3"/>
  <c r="AX582" i="3" s="1"/>
  <c r="AW583" i="3"/>
  <c r="AX583" i="3" s="1"/>
  <c r="AW584" i="3"/>
  <c r="AX584" i="3" s="1"/>
  <c r="AW585" i="3"/>
  <c r="AX585" i="3" s="1"/>
  <c r="AW586" i="3"/>
  <c r="AX586" i="3" s="1"/>
  <c r="AW587" i="3"/>
  <c r="AX587" i="3" s="1"/>
  <c r="AW588" i="3"/>
  <c r="AX588" i="3" s="1"/>
  <c r="AW589" i="3"/>
  <c r="AX589" i="3"/>
  <c r="AW590" i="3"/>
  <c r="AX590" i="3" s="1"/>
  <c r="AW591" i="3"/>
  <c r="AX591" i="3" s="1"/>
  <c r="AW592" i="3"/>
  <c r="AX592" i="3" s="1"/>
  <c r="AW593" i="3"/>
  <c r="AX593" i="3" s="1"/>
  <c r="AW594" i="3"/>
  <c r="AX594" i="3" s="1"/>
  <c r="AW595" i="3"/>
  <c r="AX595" i="3" s="1"/>
  <c r="AW596" i="3"/>
  <c r="AX596" i="3" s="1"/>
  <c r="AW597" i="3"/>
  <c r="AX597" i="3" s="1"/>
  <c r="AW598" i="3"/>
  <c r="AX598" i="3" s="1"/>
  <c r="AW599" i="3"/>
  <c r="AX599" i="3" s="1"/>
  <c r="AW600" i="3"/>
  <c r="AX600" i="3" s="1"/>
  <c r="AW601" i="3"/>
  <c r="AX601" i="3" s="1"/>
  <c r="AW602" i="3"/>
  <c r="AX602" i="3" s="1"/>
  <c r="AW603" i="3"/>
  <c r="AX603" i="3" s="1"/>
  <c r="AW604" i="3"/>
  <c r="AX604" i="3" s="1"/>
  <c r="AW605" i="3"/>
  <c r="AX605" i="3" s="1"/>
  <c r="AW606" i="3"/>
  <c r="AX606" i="3" s="1"/>
  <c r="AW607" i="3"/>
  <c r="AX607" i="3" s="1"/>
  <c r="AW608" i="3"/>
  <c r="AX608" i="3" s="1"/>
  <c r="AW609" i="3"/>
  <c r="AX609" i="3" s="1"/>
  <c r="AW610" i="3"/>
  <c r="AX610" i="3" s="1"/>
  <c r="AW611" i="3"/>
  <c r="AX611" i="3" s="1"/>
  <c r="AW612" i="3"/>
  <c r="AX612" i="3" s="1"/>
  <c r="AW613" i="3"/>
  <c r="AX613" i="3" s="1"/>
  <c r="AW614" i="3"/>
  <c r="AX614" i="3" s="1"/>
  <c r="AW615" i="3"/>
  <c r="AX615" i="3" s="1"/>
  <c r="AW616" i="3"/>
  <c r="AX616" i="3" s="1"/>
  <c r="AW617" i="3"/>
  <c r="AX617" i="3" s="1"/>
  <c r="AW618" i="3"/>
  <c r="AX618" i="3" s="1"/>
  <c r="AW619" i="3"/>
  <c r="AX619" i="3" s="1"/>
  <c r="AW620" i="3"/>
  <c r="AX620" i="3" s="1"/>
  <c r="AW621" i="3"/>
  <c r="AX621" i="3" s="1"/>
  <c r="AW622" i="3"/>
  <c r="AX622" i="3" s="1"/>
  <c r="AW623" i="3"/>
  <c r="AX623" i="3" s="1"/>
  <c r="AW624" i="3"/>
  <c r="AX624" i="3" s="1"/>
  <c r="AW625" i="3"/>
  <c r="AX625" i="3" s="1"/>
  <c r="AW626" i="3"/>
  <c r="AX626" i="3" s="1"/>
  <c r="AW627" i="3"/>
  <c r="AX627" i="3" s="1"/>
  <c r="AW628" i="3"/>
  <c r="AX628" i="3" s="1"/>
  <c r="AW629" i="3"/>
  <c r="AX629" i="3" s="1"/>
  <c r="AW630" i="3"/>
  <c r="AX630" i="3" s="1"/>
  <c r="AW631" i="3"/>
  <c r="AX631" i="3" s="1"/>
  <c r="AW632" i="3"/>
  <c r="AX632" i="3" s="1"/>
  <c r="AW633" i="3"/>
  <c r="AX633" i="3" s="1"/>
  <c r="AW634" i="3"/>
  <c r="AX634" i="3" s="1"/>
  <c r="AW635" i="3"/>
  <c r="AX635" i="3" s="1"/>
  <c r="AW636" i="3"/>
  <c r="AX636" i="3" s="1"/>
  <c r="AW637" i="3"/>
  <c r="AX637" i="3" s="1"/>
  <c r="AW638" i="3"/>
  <c r="AX638" i="3" s="1"/>
  <c r="AW639" i="3"/>
  <c r="AX639" i="3" s="1"/>
  <c r="AW640" i="3"/>
  <c r="AX640" i="3" s="1"/>
  <c r="AW641" i="3"/>
  <c r="AX641" i="3" s="1"/>
  <c r="AW642" i="3"/>
  <c r="AX642" i="3" s="1"/>
  <c r="AW643" i="3"/>
  <c r="AX643" i="3" s="1"/>
  <c r="AW644" i="3"/>
  <c r="AX644" i="3" s="1"/>
  <c r="AW645" i="3"/>
  <c r="AX645" i="3" s="1"/>
  <c r="AW646" i="3"/>
  <c r="AX646" i="3" s="1"/>
  <c r="AW647" i="3"/>
  <c r="AX647" i="3" s="1"/>
  <c r="AW648" i="3"/>
  <c r="AX648" i="3" s="1"/>
  <c r="AW649" i="3"/>
  <c r="AX649" i="3" s="1"/>
  <c r="AW650" i="3"/>
  <c r="AX650" i="3" s="1"/>
  <c r="AW651" i="3"/>
  <c r="AX651" i="3" s="1"/>
  <c r="AW652" i="3"/>
  <c r="AX652" i="3" s="1"/>
  <c r="AW653" i="3"/>
  <c r="AX653" i="3" s="1"/>
  <c r="AW654" i="3"/>
  <c r="AX654" i="3" s="1"/>
  <c r="AW655" i="3"/>
  <c r="AX655" i="3" s="1"/>
  <c r="AW656" i="3"/>
  <c r="AX656" i="3" s="1"/>
  <c r="AW657" i="3"/>
  <c r="AX657" i="3" s="1"/>
  <c r="AW658" i="3"/>
  <c r="AX658" i="3" s="1"/>
  <c r="AW659" i="3"/>
  <c r="AX659" i="3" s="1"/>
  <c r="AW660" i="3"/>
  <c r="AX660" i="3" s="1"/>
  <c r="AW661" i="3"/>
  <c r="AX661" i="3" s="1"/>
  <c r="AW662" i="3"/>
  <c r="AX662" i="3" s="1"/>
  <c r="AW663" i="3"/>
  <c r="AX663" i="3" s="1"/>
  <c r="AW664" i="3"/>
  <c r="AX664" i="3" s="1"/>
  <c r="AW665" i="3"/>
  <c r="AX665" i="3" s="1"/>
  <c r="AW666" i="3"/>
  <c r="AX666" i="3" s="1"/>
  <c r="AW667" i="3"/>
  <c r="AX667" i="3" s="1"/>
  <c r="AW668" i="3"/>
  <c r="AX668" i="3" s="1"/>
  <c r="AW669" i="3"/>
  <c r="AX669" i="3" s="1"/>
  <c r="AW670" i="3"/>
  <c r="AX670" i="3"/>
  <c r="AW671" i="3"/>
  <c r="AX671" i="3" s="1"/>
  <c r="AW672" i="3"/>
  <c r="AX672" i="3" s="1"/>
  <c r="AW673" i="3"/>
  <c r="AX673" i="3" s="1"/>
  <c r="AW674" i="3"/>
  <c r="AX674" i="3" s="1"/>
  <c r="AW675" i="3"/>
  <c r="AX675" i="3" s="1"/>
  <c r="AW676" i="3"/>
  <c r="AX676" i="3" s="1"/>
  <c r="AW677" i="3"/>
  <c r="AX677" i="3" s="1"/>
  <c r="AW678" i="3"/>
  <c r="AX678" i="3"/>
  <c r="AW679" i="3"/>
  <c r="AX679" i="3" s="1"/>
  <c r="AW680" i="3"/>
  <c r="AX680" i="3" s="1"/>
  <c r="AW681" i="3"/>
  <c r="AX681" i="3" s="1"/>
  <c r="AW682" i="3"/>
  <c r="AX682" i="3" s="1"/>
  <c r="AW683" i="3"/>
  <c r="AX683" i="3" s="1"/>
  <c r="AW684" i="3"/>
  <c r="AX684" i="3" s="1"/>
  <c r="AW685" i="3"/>
  <c r="AX685" i="3"/>
  <c r="AW686" i="3"/>
  <c r="AX686" i="3" s="1"/>
  <c r="AW687" i="3"/>
  <c r="AX687" i="3" s="1"/>
  <c r="AW688" i="3"/>
  <c r="AX688" i="3" s="1"/>
  <c r="AW689" i="3"/>
  <c r="AX689" i="3" s="1"/>
  <c r="AW690" i="3"/>
  <c r="AX690" i="3" s="1"/>
  <c r="AW691" i="3"/>
  <c r="AX691" i="3" s="1"/>
  <c r="AW3" i="3"/>
  <c r="AX3" i="3" s="1"/>
  <c r="AW4" i="3"/>
  <c r="AX4" i="3" s="1"/>
  <c r="AW5" i="3"/>
  <c r="AX5" i="3" s="1"/>
  <c r="AW6" i="3"/>
  <c r="AX6" i="3" s="1"/>
  <c r="AW7" i="3"/>
  <c r="AX7" i="3" s="1"/>
  <c r="AW8" i="3"/>
  <c r="AX8" i="3" s="1"/>
  <c r="AW9" i="3"/>
  <c r="AX9" i="3"/>
  <c r="AW10" i="3"/>
  <c r="AX10" i="3" s="1"/>
  <c r="AW11" i="3"/>
  <c r="AX11" i="3" s="1"/>
  <c r="AW12" i="3"/>
  <c r="AX12" i="3" s="1"/>
  <c r="AW13" i="3"/>
  <c r="AX13" i="3" s="1"/>
  <c r="AW14" i="3"/>
  <c r="AX14" i="3" s="1"/>
  <c r="AW2" i="3"/>
  <c r="AX2" i="3" s="1"/>
  <c r="G14" i="7"/>
  <c r="G13" i="7"/>
  <c r="G12" i="7"/>
  <c r="G11" i="7"/>
  <c r="G10" i="7"/>
  <c r="G9" i="7"/>
  <c r="G8" i="7"/>
  <c r="G7" i="7"/>
  <c r="G6" i="7"/>
  <c r="G5" i="7"/>
  <c r="G4" i="7"/>
  <c r="G3" i="7"/>
  <c r="G2" i="7"/>
  <c r="G14" i="6"/>
  <c r="G13" i="6"/>
  <c r="G12" i="6"/>
  <c r="G11" i="6"/>
  <c r="G10" i="6"/>
  <c r="G9" i="6"/>
  <c r="G8" i="6"/>
  <c r="G7" i="6"/>
  <c r="G6" i="6"/>
  <c r="G5" i="6"/>
  <c r="G4" i="6"/>
  <c r="G3" i="6"/>
  <c r="G2" i="6"/>
  <c r="G16" i="5"/>
  <c r="G17" i="5"/>
  <c r="G18" i="5"/>
  <c r="G19" i="5"/>
  <c r="G20" i="5"/>
  <c r="G21" i="5"/>
  <c r="G22" i="5"/>
  <c r="G23" i="5"/>
  <c r="G24" i="5"/>
  <c r="G25" i="5"/>
  <c r="G26" i="5"/>
  <c r="G27" i="5"/>
  <c r="G15" i="5"/>
  <c r="U691" i="2" l="1"/>
  <c r="T691" i="2"/>
  <c r="S691" i="2"/>
  <c r="R691" i="2"/>
  <c r="Q691" i="2"/>
  <c r="P691" i="2"/>
  <c r="O691" i="2"/>
  <c r="N691" i="2"/>
  <c r="M691" i="2"/>
  <c r="L691" i="2"/>
  <c r="K691" i="2"/>
  <c r="J691" i="2"/>
  <c r="H691" i="2"/>
  <c r="V691" i="2" s="1"/>
  <c r="V690" i="2"/>
  <c r="U690" i="2"/>
  <c r="T690" i="2"/>
  <c r="S690" i="2"/>
  <c r="R690" i="2"/>
  <c r="Q690" i="2"/>
  <c r="P690" i="2"/>
  <c r="O690" i="2"/>
  <c r="M690" i="2"/>
  <c r="L690" i="2"/>
  <c r="K690" i="2"/>
  <c r="J690" i="2"/>
  <c r="H690" i="2"/>
  <c r="N690" i="2" s="1"/>
  <c r="V689" i="2"/>
  <c r="U689" i="2"/>
  <c r="T689" i="2"/>
  <c r="S689" i="2"/>
  <c r="R689" i="2"/>
  <c r="Q689" i="2"/>
  <c r="P689" i="2"/>
  <c r="O689" i="2"/>
  <c r="M689" i="2"/>
  <c r="L689" i="2"/>
  <c r="K689" i="2"/>
  <c r="J689" i="2"/>
  <c r="H689" i="2"/>
  <c r="N689" i="2" s="1"/>
  <c r="V688" i="2"/>
  <c r="U688" i="2"/>
  <c r="T688" i="2"/>
  <c r="S688" i="2"/>
  <c r="R688" i="2"/>
  <c r="Q688" i="2"/>
  <c r="P688" i="2"/>
  <c r="O688" i="2"/>
  <c r="M688" i="2"/>
  <c r="L688" i="2"/>
  <c r="K688" i="2"/>
  <c r="J688" i="2"/>
  <c r="H688" i="2"/>
  <c r="N688" i="2" s="1"/>
  <c r="V687" i="2"/>
  <c r="U687" i="2"/>
  <c r="T687" i="2"/>
  <c r="S687" i="2"/>
  <c r="R687" i="2"/>
  <c r="Q687" i="2"/>
  <c r="P687" i="2"/>
  <c r="O687" i="2"/>
  <c r="N687" i="2"/>
  <c r="L687" i="2"/>
  <c r="K687" i="2"/>
  <c r="J687" i="2"/>
  <c r="H687" i="2"/>
  <c r="M687" i="2" s="1"/>
  <c r="V686" i="2"/>
  <c r="U686" i="2"/>
  <c r="T686" i="2"/>
  <c r="S686" i="2"/>
  <c r="R686" i="2"/>
  <c r="Q686" i="2"/>
  <c r="P686" i="2"/>
  <c r="O686" i="2"/>
  <c r="N686" i="2"/>
  <c r="M686" i="2"/>
  <c r="K686" i="2"/>
  <c r="J686" i="2"/>
  <c r="H686" i="2"/>
  <c r="L686" i="2" s="1"/>
  <c r="V685" i="2"/>
  <c r="U685" i="2"/>
  <c r="T685" i="2"/>
  <c r="S685" i="2"/>
  <c r="R685" i="2"/>
  <c r="Q685" i="2"/>
  <c r="P685" i="2"/>
  <c r="O685" i="2"/>
  <c r="N685" i="2"/>
  <c r="M685" i="2"/>
  <c r="K685" i="2"/>
  <c r="J685" i="2"/>
  <c r="H685" i="2"/>
  <c r="L685" i="2" s="1"/>
  <c r="V684" i="2"/>
  <c r="U684" i="2"/>
  <c r="T684" i="2"/>
  <c r="S684" i="2"/>
  <c r="R684" i="2"/>
  <c r="Q684" i="2"/>
  <c r="P684" i="2"/>
  <c r="O684" i="2"/>
  <c r="N684" i="2"/>
  <c r="M684" i="2"/>
  <c r="K684" i="2"/>
  <c r="J684" i="2"/>
  <c r="H684" i="2"/>
  <c r="L684" i="2" s="1"/>
  <c r="V683" i="2"/>
  <c r="U683" i="2"/>
  <c r="T683" i="2"/>
  <c r="S683" i="2"/>
  <c r="R683" i="2"/>
  <c r="Q683" i="2"/>
  <c r="P683" i="2"/>
  <c r="O683" i="2"/>
  <c r="N683" i="2"/>
  <c r="M683" i="2"/>
  <c r="L683" i="2"/>
  <c r="J683" i="2"/>
  <c r="H683" i="2"/>
  <c r="K683" i="2" s="1"/>
  <c r="V682" i="2"/>
  <c r="U682" i="2"/>
  <c r="T682" i="2"/>
  <c r="S682" i="2"/>
  <c r="R682" i="2"/>
  <c r="Q682" i="2"/>
  <c r="O682" i="2"/>
  <c r="N682" i="2"/>
  <c r="M682" i="2"/>
  <c r="L682" i="2"/>
  <c r="K682" i="2"/>
  <c r="J682" i="2"/>
  <c r="H682" i="2"/>
  <c r="P682" i="2" s="1"/>
  <c r="U681" i="2"/>
  <c r="T681" i="2"/>
  <c r="S681" i="2"/>
  <c r="R681" i="2"/>
  <c r="Q681" i="2"/>
  <c r="P681" i="2"/>
  <c r="O681" i="2"/>
  <c r="N681" i="2"/>
  <c r="M681" i="2"/>
  <c r="L681" i="2"/>
  <c r="K681" i="2"/>
  <c r="J681" i="2"/>
  <c r="H681" i="2"/>
  <c r="V681" i="2" s="1"/>
  <c r="V680" i="2"/>
  <c r="U680" i="2"/>
  <c r="T680" i="2"/>
  <c r="S680" i="2"/>
  <c r="R680" i="2"/>
  <c r="Q680" i="2"/>
  <c r="O680" i="2"/>
  <c r="N680" i="2"/>
  <c r="M680" i="2"/>
  <c r="L680" i="2"/>
  <c r="K680" i="2"/>
  <c r="J680" i="2"/>
  <c r="H680" i="2"/>
  <c r="P680" i="2" s="1"/>
  <c r="U679" i="2"/>
  <c r="T679" i="2"/>
  <c r="S679" i="2"/>
  <c r="R679" i="2"/>
  <c r="Q679" i="2"/>
  <c r="P679" i="2"/>
  <c r="O679" i="2"/>
  <c r="N679" i="2"/>
  <c r="M679" i="2"/>
  <c r="L679" i="2"/>
  <c r="K679" i="2"/>
  <c r="J679" i="2"/>
  <c r="H679" i="2"/>
  <c r="V679" i="2" s="1"/>
  <c r="V678" i="2"/>
  <c r="U678" i="2"/>
  <c r="T678" i="2"/>
  <c r="S678" i="2"/>
  <c r="R678" i="2"/>
  <c r="Q678" i="2"/>
  <c r="P678" i="2"/>
  <c r="O678" i="2"/>
  <c r="N678" i="2"/>
  <c r="M678" i="2"/>
  <c r="K678" i="2"/>
  <c r="J678" i="2"/>
  <c r="H678" i="2"/>
  <c r="L678" i="2" s="1"/>
  <c r="V677" i="2"/>
  <c r="U677" i="2"/>
  <c r="T677" i="2"/>
  <c r="S677" i="2"/>
  <c r="R677" i="2"/>
  <c r="Q677" i="2"/>
  <c r="P677" i="2"/>
  <c r="O677" i="2"/>
  <c r="N677" i="2"/>
  <c r="M677" i="2"/>
  <c r="K677" i="2"/>
  <c r="J677" i="2"/>
  <c r="H677" i="2"/>
  <c r="L677" i="2" s="1"/>
  <c r="V676" i="2"/>
  <c r="U676" i="2"/>
  <c r="T676" i="2"/>
  <c r="S676" i="2"/>
  <c r="R676" i="2"/>
  <c r="Q676" i="2"/>
  <c r="O676" i="2"/>
  <c r="N676" i="2"/>
  <c r="M676" i="2"/>
  <c r="L676" i="2"/>
  <c r="K676" i="2"/>
  <c r="J676" i="2"/>
  <c r="H676" i="2"/>
  <c r="P676" i="2" s="1"/>
  <c r="V675" i="2"/>
  <c r="U675" i="2"/>
  <c r="T675" i="2"/>
  <c r="S675" i="2"/>
  <c r="R675" i="2"/>
  <c r="Q675" i="2"/>
  <c r="O675" i="2"/>
  <c r="N675" i="2"/>
  <c r="M675" i="2"/>
  <c r="L675" i="2"/>
  <c r="K675" i="2"/>
  <c r="J675" i="2"/>
  <c r="H675" i="2"/>
  <c r="P675" i="2" s="1"/>
  <c r="V674" i="2"/>
  <c r="U674" i="2"/>
  <c r="T674" i="2"/>
  <c r="S674" i="2"/>
  <c r="R674" i="2"/>
  <c r="Q674" i="2"/>
  <c r="O674" i="2"/>
  <c r="N674" i="2"/>
  <c r="M674" i="2"/>
  <c r="L674" i="2"/>
  <c r="K674" i="2"/>
  <c r="J674" i="2"/>
  <c r="H674" i="2"/>
  <c r="P674" i="2" s="1"/>
  <c r="V673" i="2"/>
  <c r="U673" i="2"/>
  <c r="T673" i="2"/>
  <c r="S673" i="2"/>
  <c r="R673" i="2"/>
  <c r="Q673" i="2"/>
  <c r="O673" i="2"/>
  <c r="N673" i="2"/>
  <c r="M673" i="2"/>
  <c r="L673" i="2"/>
  <c r="K673" i="2"/>
  <c r="J673" i="2"/>
  <c r="H673" i="2"/>
  <c r="P673" i="2" s="1"/>
  <c r="V672" i="2"/>
  <c r="U672" i="2"/>
  <c r="T672" i="2"/>
  <c r="S672" i="2"/>
  <c r="R672" i="2"/>
  <c r="Q672" i="2"/>
  <c r="P672" i="2"/>
  <c r="O672" i="2"/>
  <c r="N672" i="2"/>
  <c r="M672" i="2"/>
  <c r="K672" i="2"/>
  <c r="J672" i="2"/>
  <c r="H672" i="2"/>
  <c r="L672" i="2" s="1"/>
  <c r="V671" i="2"/>
  <c r="U671" i="2"/>
  <c r="T671" i="2"/>
  <c r="S671" i="2"/>
  <c r="R671" i="2"/>
  <c r="Q671" i="2"/>
  <c r="O671" i="2"/>
  <c r="N671" i="2"/>
  <c r="M671" i="2"/>
  <c r="L671" i="2"/>
  <c r="K671" i="2"/>
  <c r="J671" i="2"/>
  <c r="H671" i="2"/>
  <c r="P671" i="2" s="1"/>
  <c r="V670" i="2"/>
  <c r="U670" i="2"/>
  <c r="T670" i="2"/>
  <c r="S670" i="2"/>
  <c r="R670" i="2"/>
  <c r="Q670" i="2"/>
  <c r="P670" i="2"/>
  <c r="O670" i="2"/>
  <c r="N670" i="2"/>
  <c r="L670" i="2"/>
  <c r="K670" i="2"/>
  <c r="J670" i="2"/>
  <c r="H670" i="2"/>
  <c r="M670" i="2" s="1"/>
  <c r="V669" i="2"/>
  <c r="U669" i="2"/>
  <c r="T669" i="2"/>
  <c r="S669" i="2"/>
  <c r="R669" i="2"/>
  <c r="Q669" i="2"/>
  <c r="P669" i="2"/>
  <c r="O669" i="2"/>
  <c r="N669" i="2"/>
  <c r="M669" i="2"/>
  <c r="K669" i="2"/>
  <c r="J669" i="2"/>
  <c r="H669" i="2"/>
  <c r="L669" i="2" s="1"/>
  <c r="V668" i="2"/>
  <c r="U668" i="2"/>
  <c r="S668" i="2"/>
  <c r="R668" i="2"/>
  <c r="Q668" i="2"/>
  <c r="P668" i="2"/>
  <c r="O668" i="2"/>
  <c r="N668" i="2"/>
  <c r="M668" i="2"/>
  <c r="L668" i="2"/>
  <c r="K668" i="2"/>
  <c r="J668" i="2"/>
  <c r="H668" i="2"/>
  <c r="T668" i="2" s="1"/>
  <c r="V667" i="2"/>
  <c r="U667" i="2"/>
  <c r="T667" i="2"/>
  <c r="S667" i="2"/>
  <c r="R667" i="2"/>
  <c r="Q667" i="2"/>
  <c r="O667" i="2"/>
  <c r="N667" i="2"/>
  <c r="M667" i="2"/>
  <c r="L667" i="2"/>
  <c r="K667" i="2"/>
  <c r="J667" i="2"/>
  <c r="H667" i="2"/>
  <c r="P667" i="2" s="1"/>
  <c r="V666" i="2"/>
  <c r="U666" i="2"/>
  <c r="T666" i="2"/>
  <c r="S666" i="2"/>
  <c r="R666" i="2"/>
  <c r="Q666" i="2"/>
  <c r="P666" i="2"/>
  <c r="O666" i="2"/>
  <c r="N666" i="2"/>
  <c r="M666" i="2"/>
  <c r="K666" i="2"/>
  <c r="J666" i="2"/>
  <c r="H666" i="2"/>
  <c r="L666" i="2" s="1"/>
  <c r="V665" i="2"/>
  <c r="U665" i="2"/>
  <c r="T665" i="2"/>
  <c r="S665" i="2"/>
  <c r="R665" i="2"/>
  <c r="Q665" i="2"/>
  <c r="O665" i="2"/>
  <c r="N665" i="2"/>
  <c r="M665" i="2"/>
  <c r="L665" i="2"/>
  <c r="K665" i="2"/>
  <c r="J665" i="2"/>
  <c r="H665" i="2"/>
  <c r="P665" i="2" s="1"/>
  <c r="V664" i="2"/>
  <c r="U664" i="2"/>
  <c r="T664" i="2"/>
  <c r="S664" i="2"/>
  <c r="R664" i="2"/>
  <c r="Q664" i="2"/>
  <c r="O664" i="2"/>
  <c r="N664" i="2"/>
  <c r="M664" i="2"/>
  <c r="L664" i="2"/>
  <c r="K664" i="2"/>
  <c r="J664" i="2"/>
  <c r="H664" i="2"/>
  <c r="P664" i="2" s="1"/>
  <c r="V663" i="2"/>
  <c r="U663" i="2"/>
  <c r="T663" i="2"/>
  <c r="S663" i="2"/>
  <c r="R663" i="2"/>
  <c r="Q663" i="2"/>
  <c r="P663" i="2"/>
  <c r="O663" i="2"/>
  <c r="N663" i="2"/>
  <c r="M663" i="2"/>
  <c r="K663" i="2"/>
  <c r="J663" i="2"/>
  <c r="H663" i="2"/>
  <c r="L663" i="2" s="1"/>
  <c r="V662" i="2"/>
  <c r="U662" i="2"/>
  <c r="T662" i="2"/>
  <c r="S662" i="2"/>
  <c r="R662" i="2"/>
  <c r="Q662" i="2"/>
  <c r="P662" i="2"/>
  <c r="O662" i="2"/>
  <c r="M662" i="2"/>
  <c r="L662" i="2"/>
  <c r="K662" i="2"/>
  <c r="J662" i="2"/>
  <c r="H662" i="2"/>
  <c r="N662" i="2" s="1"/>
  <c r="V661" i="2"/>
  <c r="U661" i="2"/>
  <c r="T661" i="2"/>
  <c r="S661" i="2"/>
  <c r="R661" i="2"/>
  <c r="Q661" i="2"/>
  <c r="P661" i="2"/>
  <c r="O661" i="2"/>
  <c r="N661" i="2"/>
  <c r="M661" i="2"/>
  <c r="K661" i="2"/>
  <c r="J661" i="2"/>
  <c r="H661" i="2"/>
  <c r="L661" i="2" s="1"/>
  <c r="V660" i="2"/>
  <c r="U660" i="2"/>
  <c r="T660" i="2"/>
  <c r="S660" i="2"/>
  <c r="R660" i="2"/>
  <c r="Q660" i="2"/>
  <c r="P660" i="2"/>
  <c r="O660" i="2"/>
  <c r="M660" i="2"/>
  <c r="L660" i="2"/>
  <c r="K660" i="2"/>
  <c r="J660" i="2"/>
  <c r="H660" i="2"/>
  <c r="N660" i="2" s="1"/>
  <c r="U659" i="2"/>
  <c r="T659" i="2"/>
  <c r="S659" i="2"/>
  <c r="R659" i="2"/>
  <c r="Q659" i="2"/>
  <c r="P659" i="2"/>
  <c r="O659" i="2"/>
  <c r="N659" i="2"/>
  <c r="M659" i="2"/>
  <c r="L659" i="2"/>
  <c r="K659" i="2"/>
  <c r="J659" i="2"/>
  <c r="H659" i="2"/>
  <c r="V659" i="2" s="1"/>
  <c r="V658" i="2"/>
  <c r="U658" i="2"/>
  <c r="T658" i="2"/>
  <c r="S658" i="2"/>
  <c r="R658" i="2"/>
  <c r="Q658" i="2"/>
  <c r="O658" i="2"/>
  <c r="N658" i="2"/>
  <c r="M658" i="2"/>
  <c r="L658" i="2"/>
  <c r="K658" i="2"/>
  <c r="J658" i="2"/>
  <c r="H658" i="2"/>
  <c r="P658" i="2" s="1"/>
  <c r="V657" i="2"/>
  <c r="U657" i="2"/>
  <c r="T657" i="2"/>
  <c r="S657" i="2"/>
  <c r="R657" i="2"/>
  <c r="Q657" i="2"/>
  <c r="P657" i="2"/>
  <c r="O657" i="2"/>
  <c r="N657" i="2"/>
  <c r="L657" i="2"/>
  <c r="K657" i="2"/>
  <c r="J657" i="2"/>
  <c r="H657" i="2"/>
  <c r="M657" i="2" s="1"/>
  <c r="U656" i="2"/>
  <c r="T656" i="2"/>
  <c r="S656" i="2"/>
  <c r="R656" i="2"/>
  <c r="Q656" i="2"/>
  <c r="P656" i="2"/>
  <c r="O656" i="2"/>
  <c r="N656" i="2"/>
  <c r="M656" i="2"/>
  <c r="L656" i="2"/>
  <c r="K656" i="2"/>
  <c r="J656" i="2"/>
  <c r="H656" i="2"/>
  <c r="V656" i="2" s="1"/>
  <c r="V655" i="2"/>
  <c r="U655" i="2"/>
  <c r="T655" i="2"/>
  <c r="S655" i="2"/>
  <c r="R655" i="2"/>
  <c r="Q655" i="2"/>
  <c r="P655" i="2"/>
  <c r="O655" i="2"/>
  <c r="N655" i="2"/>
  <c r="L655" i="2"/>
  <c r="K655" i="2"/>
  <c r="J655" i="2"/>
  <c r="H655" i="2"/>
  <c r="M655" i="2" s="1"/>
  <c r="V654" i="2"/>
  <c r="U654" i="2"/>
  <c r="T654" i="2"/>
  <c r="S654" i="2"/>
  <c r="R654" i="2"/>
  <c r="Q654" i="2"/>
  <c r="O654" i="2"/>
  <c r="N654" i="2"/>
  <c r="M654" i="2"/>
  <c r="L654" i="2"/>
  <c r="K654" i="2"/>
  <c r="J654" i="2"/>
  <c r="H654" i="2"/>
  <c r="P654" i="2" s="1"/>
  <c r="V653" i="2"/>
  <c r="U653" i="2"/>
  <c r="T653" i="2"/>
  <c r="S653" i="2"/>
  <c r="R653" i="2"/>
  <c r="Q653" i="2"/>
  <c r="O653" i="2"/>
  <c r="N653" i="2"/>
  <c r="M653" i="2"/>
  <c r="L653" i="2"/>
  <c r="K653" i="2"/>
  <c r="J653" i="2"/>
  <c r="H653" i="2"/>
  <c r="P653" i="2" s="1"/>
  <c r="V652" i="2"/>
  <c r="U652" i="2"/>
  <c r="T652" i="2"/>
  <c r="S652" i="2"/>
  <c r="R652" i="2"/>
  <c r="Q652" i="2"/>
  <c r="P652" i="2"/>
  <c r="O652" i="2"/>
  <c r="N652" i="2"/>
  <c r="M652" i="2"/>
  <c r="L652" i="2"/>
  <c r="K652" i="2"/>
  <c r="H652" i="2"/>
  <c r="J652" i="2" s="1"/>
  <c r="V651" i="2"/>
  <c r="U651" i="2"/>
  <c r="T651" i="2"/>
  <c r="S651" i="2"/>
  <c r="R651" i="2"/>
  <c r="Q651" i="2"/>
  <c r="P651" i="2"/>
  <c r="O651" i="2"/>
  <c r="N651" i="2"/>
  <c r="M651" i="2"/>
  <c r="K651" i="2"/>
  <c r="J651" i="2"/>
  <c r="H651" i="2"/>
  <c r="L651" i="2" s="1"/>
  <c r="V650" i="2"/>
  <c r="U650" i="2"/>
  <c r="T650" i="2"/>
  <c r="S650" i="2"/>
  <c r="R650" i="2"/>
  <c r="Q650" i="2"/>
  <c r="P650" i="2"/>
  <c r="O650" i="2"/>
  <c r="N650" i="2"/>
  <c r="M650" i="2"/>
  <c r="K650" i="2"/>
  <c r="J650" i="2"/>
  <c r="H650" i="2"/>
  <c r="L650" i="2" s="1"/>
  <c r="U649" i="2"/>
  <c r="T649" i="2"/>
  <c r="S649" i="2"/>
  <c r="R649" i="2"/>
  <c r="Q649" i="2"/>
  <c r="P649" i="2"/>
  <c r="O649" i="2"/>
  <c r="N649" i="2"/>
  <c r="M649" i="2"/>
  <c r="L649" i="2"/>
  <c r="K649" i="2"/>
  <c r="J649" i="2"/>
  <c r="H649" i="2"/>
  <c r="V649" i="2" s="1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H648" i="2"/>
  <c r="V647" i="2"/>
  <c r="U647" i="2"/>
  <c r="T647" i="2"/>
  <c r="S647" i="2"/>
  <c r="R647" i="2"/>
  <c r="Q647" i="2"/>
  <c r="P647" i="2"/>
  <c r="O647" i="2"/>
  <c r="N647" i="2"/>
  <c r="M647" i="2"/>
  <c r="K647" i="2"/>
  <c r="J647" i="2"/>
  <c r="H647" i="2"/>
  <c r="L647" i="2" s="1"/>
  <c r="V646" i="2"/>
  <c r="U646" i="2"/>
  <c r="T646" i="2"/>
  <c r="S646" i="2"/>
  <c r="R646" i="2"/>
  <c r="Q646" i="2"/>
  <c r="P646" i="2"/>
  <c r="N646" i="2"/>
  <c r="M646" i="2"/>
  <c r="L646" i="2"/>
  <c r="K646" i="2"/>
  <c r="J646" i="2"/>
  <c r="H646" i="2"/>
  <c r="O646" i="2" s="1"/>
  <c r="V645" i="2"/>
  <c r="U645" i="2"/>
  <c r="T645" i="2"/>
  <c r="S645" i="2"/>
  <c r="R645" i="2"/>
  <c r="Q645" i="2"/>
  <c r="O645" i="2"/>
  <c r="N645" i="2"/>
  <c r="M645" i="2"/>
  <c r="L645" i="2"/>
  <c r="K645" i="2"/>
  <c r="J645" i="2"/>
  <c r="H645" i="2"/>
  <c r="P645" i="2" s="1"/>
  <c r="V644" i="2"/>
  <c r="U644" i="2"/>
  <c r="T644" i="2"/>
  <c r="S644" i="2"/>
  <c r="R644" i="2"/>
  <c r="Q644" i="2"/>
  <c r="P644" i="2"/>
  <c r="O644" i="2"/>
  <c r="N644" i="2"/>
  <c r="M644" i="2"/>
  <c r="L644" i="2"/>
  <c r="J644" i="2"/>
  <c r="H644" i="2"/>
  <c r="K644" i="2" s="1"/>
  <c r="U643" i="2"/>
  <c r="T643" i="2"/>
  <c r="S643" i="2"/>
  <c r="R643" i="2"/>
  <c r="Q643" i="2"/>
  <c r="P643" i="2"/>
  <c r="O643" i="2"/>
  <c r="N643" i="2"/>
  <c r="M643" i="2"/>
  <c r="L643" i="2"/>
  <c r="K643" i="2"/>
  <c r="J643" i="2"/>
  <c r="H643" i="2"/>
  <c r="V643" i="2" s="1"/>
  <c r="V642" i="2"/>
  <c r="U642" i="2"/>
  <c r="T642" i="2"/>
  <c r="S642" i="2"/>
  <c r="R642" i="2"/>
  <c r="Q642" i="2"/>
  <c r="P642" i="2"/>
  <c r="O642" i="2"/>
  <c r="N642" i="2"/>
  <c r="M642" i="2"/>
  <c r="K642" i="2"/>
  <c r="J642" i="2"/>
  <c r="H642" i="2"/>
  <c r="L642" i="2" s="1"/>
  <c r="V641" i="2"/>
  <c r="U641" i="2"/>
  <c r="T641" i="2"/>
  <c r="S641" i="2"/>
  <c r="R641" i="2"/>
  <c r="Q641" i="2"/>
  <c r="P641" i="2"/>
  <c r="O641" i="2"/>
  <c r="N641" i="2"/>
  <c r="M641" i="2"/>
  <c r="K641" i="2"/>
  <c r="J641" i="2"/>
  <c r="H641" i="2"/>
  <c r="L641" i="2" s="1"/>
  <c r="V640" i="2"/>
  <c r="U640" i="2"/>
  <c r="T640" i="2"/>
  <c r="S640" i="2"/>
  <c r="R640" i="2"/>
  <c r="Q640" i="2"/>
  <c r="P640" i="2"/>
  <c r="O640" i="2"/>
  <c r="M640" i="2"/>
  <c r="L640" i="2"/>
  <c r="K640" i="2"/>
  <c r="J640" i="2"/>
  <c r="H640" i="2"/>
  <c r="N640" i="2" s="1"/>
  <c r="V639" i="2"/>
  <c r="U639" i="2"/>
  <c r="T639" i="2"/>
  <c r="S639" i="2"/>
  <c r="R639" i="2"/>
  <c r="Q639" i="2"/>
  <c r="P639" i="2"/>
  <c r="O639" i="2"/>
  <c r="N639" i="2"/>
  <c r="M639" i="2"/>
  <c r="L639" i="2"/>
  <c r="J639" i="2"/>
  <c r="H639" i="2"/>
  <c r="K639" i="2" s="1"/>
  <c r="V638" i="2"/>
  <c r="U638" i="2"/>
  <c r="T638" i="2"/>
  <c r="S638" i="2"/>
  <c r="R638" i="2"/>
  <c r="Q638" i="2"/>
  <c r="P638" i="2"/>
  <c r="O638" i="2"/>
  <c r="N638" i="2"/>
  <c r="M638" i="2"/>
  <c r="L638" i="2"/>
  <c r="J638" i="2"/>
  <c r="H638" i="2"/>
  <c r="K638" i="2" s="1"/>
  <c r="V637" i="2"/>
  <c r="U637" i="2"/>
  <c r="T637" i="2"/>
  <c r="S637" i="2"/>
  <c r="R637" i="2"/>
  <c r="Q637" i="2"/>
  <c r="O637" i="2"/>
  <c r="N637" i="2"/>
  <c r="M637" i="2"/>
  <c r="L637" i="2"/>
  <c r="K637" i="2"/>
  <c r="J637" i="2"/>
  <c r="H637" i="2"/>
  <c r="P637" i="2" s="1"/>
  <c r="V636" i="2"/>
  <c r="U636" i="2"/>
  <c r="T636" i="2"/>
  <c r="S636" i="2"/>
  <c r="R636" i="2"/>
  <c r="Q636" i="2"/>
  <c r="P636" i="2"/>
  <c r="O636" i="2"/>
  <c r="N636" i="2"/>
  <c r="M636" i="2"/>
  <c r="L636" i="2"/>
  <c r="J636" i="2"/>
  <c r="H636" i="2"/>
  <c r="K636" i="2" s="1"/>
  <c r="V635" i="2"/>
  <c r="U635" i="2"/>
  <c r="T635" i="2"/>
  <c r="S635" i="2"/>
  <c r="R635" i="2"/>
  <c r="Q635" i="2"/>
  <c r="O635" i="2"/>
  <c r="N635" i="2"/>
  <c r="M635" i="2"/>
  <c r="L635" i="2"/>
  <c r="K635" i="2"/>
  <c r="J635" i="2"/>
  <c r="H635" i="2"/>
  <c r="P635" i="2" s="1"/>
  <c r="V634" i="2"/>
  <c r="U634" i="2"/>
  <c r="T634" i="2"/>
  <c r="S634" i="2"/>
  <c r="R634" i="2"/>
  <c r="Q634" i="2"/>
  <c r="P634" i="2"/>
  <c r="O634" i="2"/>
  <c r="N634" i="2"/>
  <c r="M634" i="2"/>
  <c r="L634" i="2"/>
  <c r="J634" i="2"/>
  <c r="H634" i="2"/>
  <c r="K634" i="2" s="1"/>
  <c r="V633" i="2"/>
  <c r="U633" i="2"/>
  <c r="T633" i="2"/>
  <c r="S633" i="2"/>
  <c r="R633" i="2"/>
  <c r="Q633" i="2"/>
  <c r="P633" i="2"/>
  <c r="O633" i="2"/>
  <c r="N633" i="2"/>
  <c r="M633" i="2"/>
  <c r="K633" i="2"/>
  <c r="J633" i="2"/>
  <c r="H633" i="2"/>
  <c r="L633" i="2" s="1"/>
  <c r="V632" i="2"/>
  <c r="U632" i="2"/>
  <c r="T632" i="2"/>
  <c r="S632" i="2"/>
  <c r="R632" i="2"/>
  <c r="Q632" i="2"/>
  <c r="P632" i="2"/>
  <c r="O632" i="2"/>
  <c r="M632" i="2"/>
  <c r="L632" i="2"/>
  <c r="K632" i="2"/>
  <c r="J632" i="2"/>
  <c r="H632" i="2"/>
  <c r="N632" i="2" s="1"/>
  <c r="V631" i="2"/>
  <c r="U631" i="2"/>
  <c r="T631" i="2"/>
  <c r="S631" i="2"/>
  <c r="R631" i="2"/>
  <c r="Q631" i="2"/>
  <c r="P631" i="2"/>
  <c r="O631" i="2"/>
  <c r="N631" i="2"/>
  <c r="M631" i="2"/>
  <c r="L631" i="2"/>
  <c r="K631" i="2"/>
  <c r="H631" i="2"/>
  <c r="J631" i="2" s="1"/>
  <c r="V630" i="2"/>
  <c r="U630" i="2"/>
  <c r="T630" i="2"/>
  <c r="S630" i="2"/>
  <c r="R630" i="2"/>
  <c r="Q630" i="2"/>
  <c r="P630" i="2"/>
  <c r="O630" i="2"/>
  <c r="N630" i="2"/>
  <c r="M630" i="2"/>
  <c r="K630" i="2"/>
  <c r="J630" i="2"/>
  <c r="H630" i="2"/>
  <c r="L630" i="2" s="1"/>
  <c r="V629" i="2"/>
  <c r="U629" i="2"/>
  <c r="T629" i="2"/>
  <c r="S629" i="2"/>
  <c r="R629" i="2"/>
  <c r="Q629" i="2"/>
  <c r="P629" i="2"/>
  <c r="O629" i="2"/>
  <c r="N629" i="2"/>
  <c r="M629" i="2"/>
  <c r="K629" i="2"/>
  <c r="J629" i="2"/>
  <c r="H629" i="2"/>
  <c r="L629" i="2" s="1"/>
  <c r="V628" i="2"/>
  <c r="U628" i="2"/>
  <c r="T628" i="2"/>
  <c r="S628" i="2"/>
  <c r="R628" i="2"/>
  <c r="Q628" i="2"/>
  <c r="P628" i="2"/>
  <c r="O628" i="2"/>
  <c r="N628" i="2"/>
  <c r="L628" i="2"/>
  <c r="K628" i="2"/>
  <c r="J628" i="2"/>
  <c r="H628" i="2"/>
  <c r="M628" i="2" s="1"/>
  <c r="V627" i="2"/>
  <c r="U627" i="2"/>
  <c r="T627" i="2"/>
  <c r="S627" i="2"/>
  <c r="R627" i="2"/>
  <c r="Q627" i="2"/>
  <c r="P627" i="2"/>
  <c r="O627" i="2"/>
  <c r="M627" i="2"/>
  <c r="L627" i="2"/>
  <c r="K627" i="2"/>
  <c r="J627" i="2"/>
  <c r="H627" i="2"/>
  <c r="N627" i="2" s="1"/>
  <c r="V626" i="2"/>
  <c r="U626" i="2"/>
  <c r="T626" i="2"/>
  <c r="S626" i="2"/>
  <c r="R626" i="2"/>
  <c r="Q626" i="2"/>
  <c r="P626" i="2"/>
  <c r="O626" i="2"/>
  <c r="N626" i="2"/>
  <c r="M626" i="2"/>
  <c r="K626" i="2"/>
  <c r="J626" i="2"/>
  <c r="H626" i="2"/>
  <c r="L626" i="2" s="1"/>
  <c r="V625" i="2"/>
  <c r="U625" i="2"/>
  <c r="T625" i="2"/>
  <c r="S625" i="2"/>
  <c r="R625" i="2"/>
  <c r="Q625" i="2"/>
  <c r="P625" i="2"/>
  <c r="O625" i="2"/>
  <c r="N625" i="2"/>
  <c r="M625" i="2"/>
  <c r="K625" i="2"/>
  <c r="J625" i="2"/>
  <c r="H625" i="2"/>
  <c r="L625" i="2" s="1"/>
  <c r="V624" i="2"/>
  <c r="U624" i="2"/>
  <c r="T624" i="2"/>
  <c r="S624" i="2"/>
  <c r="R624" i="2"/>
  <c r="Q624" i="2"/>
  <c r="P624" i="2"/>
  <c r="O624" i="2"/>
  <c r="M624" i="2"/>
  <c r="L624" i="2"/>
  <c r="K624" i="2"/>
  <c r="J624" i="2"/>
  <c r="H624" i="2"/>
  <c r="N624" i="2" s="1"/>
  <c r="V623" i="2"/>
  <c r="U623" i="2"/>
  <c r="T623" i="2"/>
  <c r="S623" i="2"/>
  <c r="R623" i="2"/>
  <c r="Q623" i="2"/>
  <c r="P623" i="2"/>
  <c r="O623" i="2"/>
  <c r="N623" i="2"/>
  <c r="M623" i="2"/>
  <c r="K623" i="2"/>
  <c r="J623" i="2"/>
  <c r="H623" i="2"/>
  <c r="L623" i="2" s="1"/>
  <c r="U622" i="2"/>
  <c r="T622" i="2"/>
  <c r="S622" i="2"/>
  <c r="R622" i="2"/>
  <c r="Q622" i="2"/>
  <c r="P622" i="2"/>
  <c r="O622" i="2"/>
  <c r="N622" i="2"/>
  <c r="M622" i="2"/>
  <c r="L622" i="2"/>
  <c r="K622" i="2"/>
  <c r="J622" i="2"/>
  <c r="H622" i="2"/>
  <c r="V622" i="2" s="1"/>
  <c r="V621" i="2"/>
  <c r="U621" i="2"/>
  <c r="T621" i="2"/>
  <c r="S621" i="2"/>
  <c r="R621" i="2"/>
  <c r="Q621" i="2"/>
  <c r="P621" i="2"/>
  <c r="O621" i="2"/>
  <c r="M621" i="2"/>
  <c r="L621" i="2"/>
  <c r="K621" i="2"/>
  <c r="J621" i="2"/>
  <c r="H621" i="2"/>
  <c r="N621" i="2" s="1"/>
  <c r="V620" i="2"/>
  <c r="U620" i="2"/>
  <c r="T620" i="2"/>
  <c r="S620" i="2"/>
  <c r="R620" i="2"/>
  <c r="Q620" i="2"/>
  <c r="P620" i="2"/>
  <c r="O620" i="2"/>
  <c r="N620" i="2"/>
  <c r="L620" i="2"/>
  <c r="K620" i="2"/>
  <c r="J620" i="2"/>
  <c r="H620" i="2"/>
  <c r="M620" i="2" s="1"/>
  <c r="V619" i="2"/>
  <c r="U619" i="2"/>
  <c r="T619" i="2"/>
  <c r="S619" i="2"/>
  <c r="R619" i="2"/>
  <c r="Q619" i="2"/>
  <c r="P619" i="2"/>
  <c r="O619" i="2"/>
  <c r="N619" i="2"/>
  <c r="M619" i="2"/>
  <c r="K619" i="2"/>
  <c r="J619" i="2"/>
  <c r="H619" i="2"/>
  <c r="L619" i="2" s="1"/>
  <c r="V618" i="2"/>
  <c r="U618" i="2"/>
  <c r="T618" i="2"/>
  <c r="S618" i="2"/>
  <c r="R618" i="2"/>
  <c r="Q618" i="2"/>
  <c r="P618" i="2"/>
  <c r="O618" i="2"/>
  <c r="N618" i="2"/>
  <c r="M618" i="2"/>
  <c r="L618" i="2"/>
  <c r="J618" i="2"/>
  <c r="H618" i="2"/>
  <c r="K618" i="2" s="1"/>
  <c r="V617" i="2"/>
  <c r="U617" i="2"/>
  <c r="T617" i="2"/>
  <c r="S617" i="2"/>
  <c r="R617" i="2"/>
  <c r="Q617" i="2"/>
  <c r="P617" i="2"/>
  <c r="O617" i="2"/>
  <c r="N617" i="2"/>
  <c r="M617" i="2"/>
  <c r="K617" i="2"/>
  <c r="J617" i="2"/>
  <c r="H617" i="2"/>
  <c r="L617" i="2" s="1"/>
  <c r="V616" i="2"/>
  <c r="U616" i="2"/>
  <c r="T616" i="2"/>
  <c r="S616" i="2"/>
  <c r="R616" i="2"/>
  <c r="Q616" i="2"/>
  <c r="P616" i="2"/>
  <c r="O616" i="2"/>
  <c r="N616" i="2"/>
  <c r="M616" i="2"/>
  <c r="K616" i="2"/>
  <c r="J616" i="2"/>
  <c r="H616" i="2"/>
  <c r="L616" i="2" s="1"/>
  <c r="V615" i="2"/>
  <c r="U615" i="2"/>
  <c r="T615" i="2"/>
  <c r="S615" i="2"/>
  <c r="R615" i="2"/>
  <c r="Q615" i="2"/>
  <c r="P615" i="2"/>
  <c r="O615" i="2"/>
  <c r="N615" i="2"/>
  <c r="M615" i="2"/>
  <c r="L615" i="2"/>
  <c r="J615" i="2"/>
  <c r="H615" i="2"/>
  <c r="K615" i="2" s="1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H614" i="2"/>
  <c r="V613" i="2"/>
  <c r="U613" i="2"/>
  <c r="T613" i="2"/>
  <c r="S613" i="2"/>
  <c r="R613" i="2"/>
  <c r="Q613" i="2"/>
  <c r="P613" i="2"/>
  <c r="O613" i="2"/>
  <c r="N613" i="2"/>
  <c r="M613" i="2"/>
  <c r="K613" i="2"/>
  <c r="J613" i="2"/>
  <c r="H613" i="2"/>
  <c r="L613" i="2" s="1"/>
  <c r="V612" i="2"/>
  <c r="U612" i="2"/>
  <c r="T612" i="2"/>
  <c r="S612" i="2"/>
  <c r="R612" i="2"/>
  <c r="Q612" i="2"/>
  <c r="P612" i="2"/>
  <c r="O612" i="2"/>
  <c r="N612" i="2"/>
  <c r="M612" i="2"/>
  <c r="K612" i="2"/>
  <c r="J612" i="2"/>
  <c r="H612" i="2"/>
  <c r="L612" i="2" s="1"/>
  <c r="V611" i="2"/>
  <c r="U611" i="2"/>
  <c r="T611" i="2"/>
  <c r="S611" i="2"/>
  <c r="R611" i="2"/>
  <c r="Q611" i="2"/>
  <c r="P611" i="2"/>
  <c r="O611" i="2"/>
  <c r="N611" i="2"/>
  <c r="L611" i="2"/>
  <c r="K611" i="2"/>
  <c r="J611" i="2"/>
  <c r="H611" i="2"/>
  <c r="M611" i="2" s="1"/>
  <c r="U610" i="2"/>
  <c r="T610" i="2"/>
  <c r="S610" i="2"/>
  <c r="R610" i="2"/>
  <c r="Q610" i="2"/>
  <c r="P610" i="2"/>
  <c r="O610" i="2"/>
  <c r="N610" i="2"/>
  <c r="M610" i="2"/>
  <c r="L610" i="2"/>
  <c r="K610" i="2"/>
  <c r="J610" i="2"/>
  <c r="H610" i="2"/>
  <c r="V610" i="2" s="1"/>
  <c r="V609" i="2"/>
  <c r="U609" i="2"/>
  <c r="T609" i="2"/>
  <c r="S609" i="2"/>
  <c r="R609" i="2"/>
  <c r="Q609" i="2"/>
  <c r="P609" i="2"/>
  <c r="O609" i="2"/>
  <c r="M609" i="2"/>
  <c r="L609" i="2"/>
  <c r="K609" i="2"/>
  <c r="J609" i="2"/>
  <c r="H609" i="2"/>
  <c r="N609" i="2" s="1"/>
  <c r="U608" i="2"/>
  <c r="T608" i="2"/>
  <c r="S608" i="2"/>
  <c r="R608" i="2"/>
  <c r="Q608" i="2"/>
  <c r="P608" i="2"/>
  <c r="O608" i="2"/>
  <c r="N608" i="2"/>
  <c r="M608" i="2"/>
  <c r="L608" i="2"/>
  <c r="K608" i="2"/>
  <c r="J608" i="2"/>
  <c r="H608" i="2"/>
  <c r="V608" i="2" s="1"/>
  <c r="V607" i="2"/>
  <c r="U607" i="2"/>
  <c r="T607" i="2"/>
  <c r="S607" i="2"/>
  <c r="R607" i="2"/>
  <c r="Q607" i="2"/>
  <c r="P607" i="2"/>
  <c r="O607" i="2"/>
  <c r="N607" i="2"/>
  <c r="M607" i="2"/>
  <c r="K607" i="2"/>
  <c r="J607" i="2"/>
  <c r="H607" i="2"/>
  <c r="L607" i="2" s="1"/>
  <c r="V606" i="2"/>
  <c r="U606" i="2"/>
  <c r="T606" i="2"/>
  <c r="S606" i="2"/>
  <c r="R606" i="2"/>
  <c r="Q606" i="2"/>
  <c r="P606" i="2"/>
  <c r="O606" i="2"/>
  <c r="N606" i="2"/>
  <c r="M606" i="2"/>
  <c r="K606" i="2"/>
  <c r="J606" i="2"/>
  <c r="H606" i="2"/>
  <c r="L606" i="2" s="1"/>
  <c r="V605" i="2"/>
  <c r="U605" i="2"/>
  <c r="T605" i="2"/>
  <c r="S605" i="2"/>
  <c r="R605" i="2"/>
  <c r="Q605" i="2"/>
  <c r="P605" i="2"/>
  <c r="O605" i="2"/>
  <c r="N605" i="2"/>
  <c r="M605" i="2"/>
  <c r="L605" i="2"/>
  <c r="J605" i="2"/>
  <c r="H605" i="2"/>
  <c r="K605" i="2" s="1"/>
  <c r="V604" i="2"/>
  <c r="U604" i="2"/>
  <c r="T604" i="2"/>
  <c r="S604" i="2"/>
  <c r="R604" i="2"/>
  <c r="Q604" i="2"/>
  <c r="P604" i="2"/>
  <c r="O604" i="2"/>
  <c r="N604" i="2"/>
  <c r="M604" i="2"/>
  <c r="L604" i="2"/>
  <c r="K604" i="2"/>
  <c r="H604" i="2"/>
  <c r="J604" i="2" s="1"/>
  <c r="V603" i="2"/>
  <c r="U603" i="2"/>
  <c r="T603" i="2"/>
  <c r="S603" i="2"/>
  <c r="R603" i="2"/>
  <c r="Q603" i="2"/>
  <c r="P603" i="2"/>
  <c r="O603" i="2"/>
  <c r="N603" i="2"/>
  <c r="M603" i="2"/>
  <c r="K603" i="2"/>
  <c r="J603" i="2"/>
  <c r="H603" i="2"/>
  <c r="L603" i="2" s="1"/>
  <c r="V602" i="2"/>
  <c r="U602" i="2"/>
  <c r="T602" i="2"/>
  <c r="S602" i="2"/>
  <c r="R602" i="2"/>
  <c r="Q602" i="2"/>
  <c r="P602" i="2"/>
  <c r="O602" i="2"/>
  <c r="N602" i="2"/>
  <c r="M602" i="2"/>
  <c r="L602" i="2"/>
  <c r="J602" i="2"/>
  <c r="H602" i="2"/>
  <c r="K602" i="2" s="1"/>
  <c r="V601" i="2"/>
  <c r="U601" i="2"/>
  <c r="T601" i="2"/>
  <c r="S601" i="2"/>
  <c r="R601" i="2"/>
  <c r="Q601" i="2"/>
  <c r="P601" i="2"/>
  <c r="O601" i="2"/>
  <c r="N601" i="2"/>
  <c r="M601" i="2"/>
  <c r="K601" i="2"/>
  <c r="J601" i="2"/>
  <c r="H601" i="2"/>
  <c r="L601" i="2" s="1"/>
  <c r="V600" i="2"/>
  <c r="U600" i="2"/>
  <c r="T600" i="2"/>
  <c r="S600" i="2"/>
  <c r="R600" i="2"/>
  <c r="Q600" i="2"/>
  <c r="P600" i="2"/>
  <c r="O600" i="2"/>
  <c r="M600" i="2"/>
  <c r="L600" i="2"/>
  <c r="K600" i="2"/>
  <c r="J600" i="2"/>
  <c r="H600" i="2"/>
  <c r="N600" i="2" s="1"/>
  <c r="V599" i="2"/>
  <c r="U599" i="2"/>
  <c r="T599" i="2"/>
  <c r="S599" i="2"/>
  <c r="R599" i="2"/>
  <c r="Q599" i="2"/>
  <c r="P599" i="2"/>
  <c r="O599" i="2"/>
  <c r="M599" i="2"/>
  <c r="L599" i="2"/>
  <c r="K599" i="2"/>
  <c r="J599" i="2"/>
  <c r="H599" i="2"/>
  <c r="N599" i="2" s="1"/>
  <c r="V598" i="2"/>
  <c r="U598" i="2"/>
  <c r="T598" i="2"/>
  <c r="S598" i="2"/>
  <c r="R598" i="2"/>
  <c r="Q598" i="2"/>
  <c r="P598" i="2"/>
  <c r="O598" i="2"/>
  <c r="N598" i="2"/>
  <c r="M598" i="2"/>
  <c r="K598" i="2"/>
  <c r="J598" i="2"/>
  <c r="H598" i="2"/>
  <c r="L598" i="2" s="1"/>
  <c r="V597" i="2"/>
  <c r="U597" i="2"/>
  <c r="T597" i="2"/>
  <c r="S597" i="2"/>
  <c r="R597" i="2"/>
  <c r="Q597" i="2"/>
  <c r="P597" i="2"/>
  <c r="O597" i="2"/>
  <c r="N597" i="2"/>
  <c r="M597" i="2"/>
  <c r="K597" i="2"/>
  <c r="J597" i="2"/>
  <c r="H597" i="2"/>
  <c r="L597" i="2" s="1"/>
  <c r="V596" i="2"/>
  <c r="U596" i="2"/>
  <c r="T596" i="2"/>
  <c r="S596" i="2"/>
  <c r="R596" i="2"/>
  <c r="Q596" i="2"/>
  <c r="P596" i="2"/>
  <c r="O596" i="2"/>
  <c r="M596" i="2"/>
  <c r="L596" i="2"/>
  <c r="K596" i="2"/>
  <c r="J596" i="2"/>
  <c r="H596" i="2"/>
  <c r="N596" i="2" s="1"/>
  <c r="V595" i="2"/>
  <c r="U595" i="2"/>
  <c r="T595" i="2"/>
  <c r="S595" i="2"/>
  <c r="R595" i="2"/>
  <c r="Q595" i="2"/>
  <c r="P595" i="2"/>
  <c r="O595" i="2"/>
  <c r="N595" i="2"/>
  <c r="M595" i="2"/>
  <c r="L595" i="2"/>
  <c r="J595" i="2"/>
  <c r="H595" i="2"/>
  <c r="K595" i="2" s="1"/>
  <c r="V594" i="2"/>
  <c r="U594" i="2"/>
  <c r="T594" i="2"/>
  <c r="S594" i="2"/>
  <c r="R594" i="2"/>
  <c r="Q594" i="2"/>
  <c r="P594" i="2"/>
  <c r="O594" i="2"/>
  <c r="N594" i="2"/>
  <c r="M594" i="2"/>
  <c r="L594" i="2"/>
  <c r="J594" i="2"/>
  <c r="H594" i="2"/>
  <c r="K594" i="2" s="1"/>
  <c r="V593" i="2"/>
  <c r="U593" i="2"/>
  <c r="T593" i="2"/>
  <c r="S593" i="2"/>
  <c r="R593" i="2"/>
  <c r="Q593" i="2"/>
  <c r="P593" i="2"/>
  <c r="O593" i="2"/>
  <c r="N593" i="2"/>
  <c r="L593" i="2"/>
  <c r="K593" i="2"/>
  <c r="J593" i="2"/>
  <c r="H593" i="2"/>
  <c r="M593" i="2" s="1"/>
  <c r="V592" i="2"/>
  <c r="U592" i="2"/>
  <c r="T592" i="2"/>
  <c r="S592" i="2"/>
  <c r="R592" i="2"/>
  <c r="Q592" i="2"/>
  <c r="P592" i="2"/>
  <c r="O592" i="2"/>
  <c r="N592" i="2"/>
  <c r="M592" i="2"/>
  <c r="L592" i="2"/>
  <c r="J592" i="2"/>
  <c r="H592" i="2"/>
  <c r="K592" i="2" s="1"/>
  <c r="V591" i="2"/>
  <c r="U591" i="2"/>
  <c r="T591" i="2"/>
  <c r="S591" i="2"/>
  <c r="R591" i="2"/>
  <c r="Q591" i="2"/>
  <c r="P591" i="2"/>
  <c r="O591" i="2"/>
  <c r="N591" i="2"/>
  <c r="M591" i="2"/>
  <c r="L591" i="2"/>
  <c r="J591" i="2"/>
  <c r="H591" i="2"/>
  <c r="K591" i="2" s="1"/>
  <c r="V590" i="2"/>
  <c r="U590" i="2"/>
  <c r="T590" i="2"/>
  <c r="S590" i="2"/>
  <c r="R590" i="2"/>
  <c r="Q590" i="2"/>
  <c r="P590" i="2"/>
  <c r="O590" i="2"/>
  <c r="M590" i="2"/>
  <c r="L590" i="2"/>
  <c r="K590" i="2"/>
  <c r="J590" i="2"/>
  <c r="H590" i="2"/>
  <c r="N590" i="2" s="1"/>
  <c r="V589" i="2"/>
  <c r="U589" i="2"/>
  <c r="T589" i="2"/>
  <c r="S589" i="2"/>
  <c r="R589" i="2"/>
  <c r="Q589" i="2"/>
  <c r="P589" i="2"/>
  <c r="O589" i="2"/>
  <c r="M589" i="2"/>
  <c r="L589" i="2"/>
  <c r="K589" i="2"/>
  <c r="J589" i="2"/>
  <c r="H589" i="2"/>
  <c r="N589" i="2" s="1"/>
  <c r="V588" i="2"/>
  <c r="U588" i="2"/>
  <c r="T588" i="2"/>
  <c r="S588" i="2"/>
  <c r="R588" i="2"/>
  <c r="Q588" i="2"/>
  <c r="P588" i="2"/>
  <c r="O588" i="2"/>
  <c r="M588" i="2"/>
  <c r="L588" i="2"/>
  <c r="K588" i="2"/>
  <c r="J588" i="2"/>
  <c r="H588" i="2"/>
  <c r="N588" i="2" s="1"/>
  <c r="V587" i="2"/>
  <c r="U587" i="2"/>
  <c r="T587" i="2"/>
  <c r="S587" i="2"/>
  <c r="R587" i="2"/>
  <c r="Q587" i="2"/>
  <c r="P587" i="2"/>
  <c r="O587" i="2"/>
  <c r="N587" i="2"/>
  <c r="L587" i="2"/>
  <c r="K587" i="2"/>
  <c r="J587" i="2"/>
  <c r="H587" i="2"/>
  <c r="M587" i="2" s="1"/>
  <c r="V586" i="2"/>
  <c r="U586" i="2"/>
  <c r="T586" i="2"/>
  <c r="S586" i="2"/>
  <c r="R586" i="2"/>
  <c r="Q586" i="2"/>
  <c r="P586" i="2"/>
  <c r="O586" i="2"/>
  <c r="M586" i="2"/>
  <c r="L586" i="2"/>
  <c r="K586" i="2"/>
  <c r="J586" i="2"/>
  <c r="H586" i="2"/>
  <c r="N586" i="2" s="1"/>
  <c r="V585" i="2"/>
  <c r="U585" i="2"/>
  <c r="T585" i="2"/>
  <c r="S585" i="2"/>
  <c r="R585" i="2"/>
  <c r="Q585" i="2"/>
  <c r="P585" i="2"/>
  <c r="O585" i="2"/>
  <c r="M585" i="2"/>
  <c r="L585" i="2"/>
  <c r="K585" i="2"/>
  <c r="J585" i="2"/>
  <c r="H585" i="2"/>
  <c r="N585" i="2" s="1"/>
  <c r="V584" i="2"/>
  <c r="U584" i="2"/>
  <c r="T584" i="2"/>
  <c r="S584" i="2"/>
  <c r="R584" i="2"/>
  <c r="Q584" i="2"/>
  <c r="P584" i="2"/>
  <c r="O584" i="2"/>
  <c r="N584" i="2"/>
  <c r="M584" i="2"/>
  <c r="K584" i="2"/>
  <c r="J584" i="2"/>
  <c r="H584" i="2"/>
  <c r="L584" i="2" s="1"/>
  <c r="V583" i="2"/>
  <c r="U583" i="2"/>
  <c r="T583" i="2"/>
  <c r="S583" i="2"/>
  <c r="R583" i="2"/>
  <c r="Q583" i="2"/>
  <c r="P583" i="2"/>
  <c r="O583" i="2"/>
  <c r="M583" i="2"/>
  <c r="L583" i="2"/>
  <c r="K583" i="2"/>
  <c r="J583" i="2"/>
  <c r="H583" i="2"/>
  <c r="N583" i="2" s="1"/>
  <c r="V582" i="2"/>
  <c r="U582" i="2"/>
  <c r="T582" i="2"/>
  <c r="S582" i="2"/>
  <c r="R582" i="2"/>
  <c r="Q582" i="2"/>
  <c r="P582" i="2"/>
  <c r="O582" i="2"/>
  <c r="N582" i="2"/>
  <c r="M582" i="2"/>
  <c r="L582" i="2"/>
  <c r="J582" i="2"/>
  <c r="H582" i="2"/>
  <c r="K582" i="2" s="1"/>
  <c r="V581" i="2"/>
  <c r="U581" i="2"/>
  <c r="T581" i="2"/>
  <c r="S581" i="2"/>
  <c r="R581" i="2"/>
  <c r="Q581" i="2"/>
  <c r="P581" i="2"/>
  <c r="O581" i="2"/>
  <c r="N581" i="2"/>
  <c r="L581" i="2"/>
  <c r="K581" i="2"/>
  <c r="J581" i="2"/>
  <c r="H581" i="2"/>
  <c r="M581" i="2" s="1"/>
  <c r="V580" i="2"/>
  <c r="U580" i="2"/>
  <c r="T580" i="2"/>
  <c r="S580" i="2"/>
  <c r="R580" i="2"/>
  <c r="Q580" i="2"/>
  <c r="P580" i="2"/>
  <c r="O580" i="2"/>
  <c r="N580" i="2"/>
  <c r="M580" i="2"/>
  <c r="K580" i="2"/>
  <c r="J580" i="2"/>
  <c r="H580" i="2"/>
  <c r="L580" i="2" s="1"/>
  <c r="V579" i="2"/>
  <c r="U579" i="2"/>
  <c r="T579" i="2"/>
  <c r="S579" i="2"/>
  <c r="R579" i="2"/>
  <c r="Q579" i="2"/>
  <c r="P579" i="2"/>
  <c r="O579" i="2"/>
  <c r="N579" i="2"/>
  <c r="M579" i="2"/>
  <c r="K579" i="2"/>
  <c r="J579" i="2"/>
  <c r="H579" i="2"/>
  <c r="L579" i="2" s="1"/>
  <c r="V578" i="2"/>
  <c r="U578" i="2"/>
  <c r="T578" i="2"/>
  <c r="S578" i="2"/>
  <c r="R578" i="2"/>
  <c r="Q578" i="2"/>
  <c r="P578" i="2"/>
  <c r="O578" i="2"/>
  <c r="N578" i="2"/>
  <c r="M578" i="2"/>
  <c r="K578" i="2"/>
  <c r="J578" i="2"/>
  <c r="H578" i="2"/>
  <c r="L578" i="2" s="1"/>
  <c r="V577" i="2"/>
  <c r="U577" i="2"/>
  <c r="T577" i="2"/>
  <c r="S577" i="2"/>
  <c r="R577" i="2"/>
  <c r="Q577" i="2"/>
  <c r="P577" i="2"/>
  <c r="O577" i="2"/>
  <c r="N577" i="2"/>
  <c r="M577" i="2"/>
  <c r="K577" i="2"/>
  <c r="J577" i="2"/>
  <c r="H577" i="2"/>
  <c r="L577" i="2" s="1"/>
  <c r="V576" i="2"/>
  <c r="U576" i="2"/>
  <c r="T576" i="2"/>
  <c r="S576" i="2"/>
  <c r="R576" i="2"/>
  <c r="Q576" i="2"/>
  <c r="P576" i="2"/>
  <c r="O576" i="2"/>
  <c r="M576" i="2"/>
  <c r="L576" i="2"/>
  <c r="K576" i="2"/>
  <c r="J576" i="2"/>
  <c r="H576" i="2"/>
  <c r="N576" i="2" s="1"/>
  <c r="V575" i="2"/>
  <c r="U575" i="2"/>
  <c r="T575" i="2"/>
  <c r="S575" i="2"/>
  <c r="R575" i="2"/>
  <c r="Q575" i="2"/>
  <c r="P575" i="2"/>
  <c r="O575" i="2"/>
  <c r="M575" i="2"/>
  <c r="L575" i="2"/>
  <c r="K575" i="2"/>
  <c r="J575" i="2"/>
  <c r="H575" i="2"/>
  <c r="N575" i="2" s="1"/>
  <c r="V574" i="2"/>
  <c r="U574" i="2"/>
  <c r="T574" i="2"/>
  <c r="S574" i="2"/>
  <c r="R574" i="2"/>
  <c r="Q574" i="2"/>
  <c r="P574" i="2"/>
  <c r="O574" i="2"/>
  <c r="N574" i="2"/>
  <c r="M574" i="2"/>
  <c r="L574" i="2"/>
  <c r="J574" i="2"/>
  <c r="H574" i="2"/>
  <c r="K574" i="2" s="1"/>
  <c r="V573" i="2"/>
  <c r="U573" i="2"/>
  <c r="T573" i="2"/>
  <c r="S573" i="2"/>
  <c r="R573" i="2"/>
  <c r="Q573" i="2"/>
  <c r="P573" i="2"/>
  <c r="O573" i="2"/>
  <c r="N573" i="2"/>
  <c r="M573" i="2"/>
  <c r="K573" i="2"/>
  <c r="J573" i="2"/>
  <c r="H573" i="2"/>
  <c r="L573" i="2" s="1"/>
  <c r="V572" i="2"/>
  <c r="U572" i="2"/>
  <c r="T572" i="2"/>
  <c r="S572" i="2"/>
  <c r="R572" i="2"/>
  <c r="Q572" i="2"/>
  <c r="P572" i="2"/>
  <c r="O572" i="2"/>
  <c r="N572" i="2"/>
  <c r="M572" i="2"/>
  <c r="K572" i="2"/>
  <c r="J572" i="2"/>
  <c r="H572" i="2"/>
  <c r="L572" i="2" s="1"/>
  <c r="V571" i="2"/>
  <c r="U571" i="2"/>
  <c r="T571" i="2"/>
  <c r="S571" i="2"/>
  <c r="R571" i="2"/>
  <c r="Q571" i="2"/>
  <c r="P571" i="2"/>
  <c r="O571" i="2"/>
  <c r="N571" i="2"/>
  <c r="M571" i="2"/>
  <c r="K571" i="2"/>
  <c r="J571" i="2"/>
  <c r="H571" i="2"/>
  <c r="L571" i="2" s="1"/>
  <c r="V570" i="2"/>
  <c r="U570" i="2"/>
  <c r="T570" i="2"/>
  <c r="S570" i="2"/>
  <c r="R570" i="2"/>
  <c r="Q570" i="2"/>
  <c r="P570" i="2"/>
  <c r="O570" i="2"/>
  <c r="M570" i="2"/>
  <c r="L570" i="2"/>
  <c r="K570" i="2"/>
  <c r="J570" i="2"/>
  <c r="H570" i="2"/>
  <c r="N570" i="2" s="1"/>
  <c r="V569" i="2"/>
  <c r="U569" i="2"/>
  <c r="T569" i="2"/>
  <c r="S569" i="2"/>
  <c r="R569" i="2"/>
  <c r="Q569" i="2"/>
  <c r="P569" i="2"/>
  <c r="O569" i="2"/>
  <c r="M569" i="2"/>
  <c r="L569" i="2"/>
  <c r="K569" i="2"/>
  <c r="J569" i="2"/>
  <c r="H569" i="2"/>
  <c r="N569" i="2" s="1"/>
  <c r="V568" i="2"/>
  <c r="U568" i="2"/>
  <c r="T568" i="2"/>
  <c r="S568" i="2"/>
  <c r="R568" i="2"/>
  <c r="Q568" i="2"/>
  <c r="P568" i="2"/>
  <c r="O568" i="2"/>
  <c r="N568" i="2"/>
  <c r="M568" i="2"/>
  <c r="K568" i="2"/>
  <c r="J568" i="2"/>
  <c r="H568" i="2"/>
  <c r="L568" i="2" s="1"/>
  <c r="V567" i="2"/>
  <c r="U567" i="2"/>
  <c r="T567" i="2"/>
  <c r="S567" i="2"/>
  <c r="R567" i="2"/>
  <c r="Q567" i="2"/>
  <c r="P567" i="2"/>
  <c r="O567" i="2"/>
  <c r="M567" i="2"/>
  <c r="L567" i="2"/>
  <c r="K567" i="2"/>
  <c r="J567" i="2"/>
  <c r="H567" i="2"/>
  <c r="N567" i="2" s="1"/>
  <c r="V566" i="2"/>
  <c r="U566" i="2"/>
  <c r="T566" i="2"/>
  <c r="S566" i="2"/>
  <c r="R566" i="2"/>
  <c r="Q566" i="2"/>
  <c r="P566" i="2"/>
  <c r="O566" i="2"/>
  <c r="M566" i="2"/>
  <c r="L566" i="2"/>
  <c r="K566" i="2"/>
  <c r="J566" i="2"/>
  <c r="H566" i="2"/>
  <c r="N566" i="2" s="1"/>
  <c r="V565" i="2"/>
  <c r="U565" i="2"/>
  <c r="T565" i="2"/>
  <c r="S565" i="2"/>
  <c r="R565" i="2"/>
  <c r="Q565" i="2"/>
  <c r="P565" i="2"/>
  <c r="O565" i="2"/>
  <c r="N565" i="2"/>
  <c r="L565" i="2"/>
  <c r="K565" i="2"/>
  <c r="J565" i="2"/>
  <c r="H565" i="2"/>
  <c r="M565" i="2" s="1"/>
  <c r="V564" i="2"/>
  <c r="U564" i="2"/>
  <c r="T564" i="2"/>
  <c r="S564" i="2"/>
  <c r="R564" i="2"/>
  <c r="Q564" i="2"/>
  <c r="P564" i="2"/>
  <c r="O564" i="2"/>
  <c r="N564" i="2"/>
  <c r="M564" i="2"/>
  <c r="L564" i="2"/>
  <c r="J564" i="2"/>
  <c r="H564" i="2"/>
  <c r="K564" i="2" s="1"/>
  <c r="V563" i="2"/>
  <c r="U563" i="2"/>
  <c r="T563" i="2"/>
  <c r="S563" i="2"/>
  <c r="R563" i="2"/>
  <c r="Q563" i="2"/>
  <c r="P563" i="2"/>
  <c r="O563" i="2"/>
  <c r="N563" i="2"/>
  <c r="M563" i="2"/>
  <c r="L563" i="2"/>
  <c r="J563" i="2"/>
  <c r="H563" i="2"/>
  <c r="K563" i="2" s="1"/>
  <c r="V562" i="2"/>
  <c r="U562" i="2"/>
  <c r="T562" i="2"/>
  <c r="S562" i="2"/>
  <c r="R562" i="2"/>
  <c r="Q562" i="2"/>
  <c r="P562" i="2"/>
  <c r="O562" i="2"/>
  <c r="N562" i="2"/>
  <c r="M562" i="2"/>
  <c r="L562" i="2"/>
  <c r="J562" i="2"/>
  <c r="H562" i="2"/>
  <c r="K562" i="2" s="1"/>
  <c r="V561" i="2"/>
  <c r="U561" i="2"/>
  <c r="T561" i="2"/>
  <c r="S561" i="2"/>
  <c r="R561" i="2"/>
  <c r="Q561" i="2"/>
  <c r="P561" i="2"/>
  <c r="O561" i="2"/>
  <c r="N561" i="2"/>
  <c r="M561" i="2"/>
  <c r="L561" i="2"/>
  <c r="J561" i="2"/>
  <c r="H561" i="2"/>
  <c r="K561" i="2" s="1"/>
  <c r="V560" i="2"/>
  <c r="U560" i="2"/>
  <c r="T560" i="2"/>
  <c r="S560" i="2"/>
  <c r="R560" i="2"/>
  <c r="Q560" i="2"/>
  <c r="P560" i="2"/>
  <c r="O560" i="2"/>
  <c r="N560" i="2"/>
  <c r="M560" i="2"/>
  <c r="L560" i="2"/>
  <c r="J560" i="2"/>
  <c r="H560" i="2"/>
  <c r="K560" i="2" s="1"/>
  <c r="V559" i="2"/>
  <c r="U559" i="2"/>
  <c r="T559" i="2"/>
  <c r="S559" i="2"/>
  <c r="R559" i="2"/>
  <c r="Q559" i="2"/>
  <c r="P559" i="2"/>
  <c r="O559" i="2"/>
  <c r="N559" i="2"/>
  <c r="M559" i="2"/>
  <c r="L559" i="2"/>
  <c r="J559" i="2"/>
  <c r="H559" i="2"/>
  <c r="K559" i="2" s="1"/>
  <c r="V558" i="2"/>
  <c r="U558" i="2"/>
  <c r="T558" i="2"/>
  <c r="S558" i="2"/>
  <c r="R558" i="2"/>
  <c r="Q558" i="2"/>
  <c r="P558" i="2"/>
  <c r="O558" i="2"/>
  <c r="N558" i="2"/>
  <c r="M558" i="2"/>
  <c r="K558" i="2"/>
  <c r="J558" i="2"/>
  <c r="H558" i="2"/>
  <c r="L558" i="2" s="1"/>
  <c r="V557" i="2"/>
  <c r="U557" i="2"/>
  <c r="T557" i="2"/>
  <c r="S557" i="2"/>
  <c r="R557" i="2"/>
  <c r="Q557" i="2"/>
  <c r="P557" i="2"/>
  <c r="O557" i="2"/>
  <c r="N557" i="2"/>
  <c r="M557" i="2"/>
  <c r="K557" i="2"/>
  <c r="J557" i="2"/>
  <c r="H557" i="2"/>
  <c r="L557" i="2" s="1"/>
  <c r="V556" i="2"/>
  <c r="U556" i="2"/>
  <c r="T556" i="2"/>
  <c r="S556" i="2"/>
  <c r="R556" i="2"/>
  <c r="Q556" i="2"/>
  <c r="P556" i="2"/>
  <c r="O556" i="2"/>
  <c r="M556" i="2"/>
  <c r="L556" i="2"/>
  <c r="K556" i="2"/>
  <c r="J556" i="2"/>
  <c r="H556" i="2"/>
  <c r="N556" i="2" s="1"/>
  <c r="V555" i="2"/>
  <c r="U555" i="2"/>
  <c r="T555" i="2"/>
  <c r="S555" i="2"/>
  <c r="R555" i="2"/>
  <c r="Q555" i="2"/>
  <c r="P555" i="2"/>
  <c r="O555" i="2"/>
  <c r="N555" i="2"/>
  <c r="M555" i="2"/>
  <c r="K555" i="2"/>
  <c r="J555" i="2"/>
  <c r="H555" i="2"/>
  <c r="L555" i="2" s="1"/>
  <c r="V554" i="2"/>
  <c r="U554" i="2"/>
  <c r="T554" i="2"/>
  <c r="S554" i="2"/>
  <c r="R554" i="2"/>
  <c r="Q554" i="2"/>
  <c r="P554" i="2"/>
  <c r="O554" i="2"/>
  <c r="M554" i="2"/>
  <c r="L554" i="2"/>
  <c r="K554" i="2"/>
  <c r="J554" i="2"/>
  <c r="H554" i="2"/>
  <c r="N554" i="2" s="1"/>
  <c r="V553" i="2"/>
  <c r="U553" i="2"/>
  <c r="T553" i="2"/>
  <c r="S553" i="2"/>
  <c r="R553" i="2"/>
  <c r="Q553" i="2"/>
  <c r="P553" i="2"/>
  <c r="O553" i="2"/>
  <c r="M553" i="2"/>
  <c r="L553" i="2"/>
  <c r="K553" i="2"/>
  <c r="J553" i="2"/>
  <c r="H553" i="2"/>
  <c r="N553" i="2" s="1"/>
  <c r="V552" i="2"/>
  <c r="U552" i="2"/>
  <c r="T552" i="2"/>
  <c r="S552" i="2"/>
  <c r="R552" i="2"/>
  <c r="Q552" i="2"/>
  <c r="P552" i="2"/>
  <c r="O552" i="2"/>
  <c r="M552" i="2"/>
  <c r="L552" i="2"/>
  <c r="K552" i="2"/>
  <c r="J552" i="2"/>
  <c r="H552" i="2"/>
  <c r="N552" i="2" s="1"/>
  <c r="V551" i="2"/>
  <c r="U551" i="2"/>
  <c r="T551" i="2"/>
  <c r="S551" i="2"/>
  <c r="R551" i="2"/>
  <c r="Q551" i="2"/>
  <c r="P551" i="2"/>
  <c r="O551" i="2"/>
  <c r="M551" i="2"/>
  <c r="L551" i="2"/>
  <c r="K551" i="2"/>
  <c r="J551" i="2"/>
  <c r="H551" i="2"/>
  <c r="N551" i="2" s="1"/>
  <c r="V550" i="2"/>
  <c r="U550" i="2"/>
  <c r="T550" i="2"/>
  <c r="S550" i="2"/>
  <c r="R550" i="2"/>
  <c r="Q550" i="2"/>
  <c r="P550" i="2"/>
  <c r="O550" i="2"/>
  <c r="M550" i="2"/>
  <c r="L550" i="2"/>
  <c r="K550" i="2"/>
  <c r="J550" i="2"/>
  <c r="H550" i="2"/>
  <c r="N550" i="2" s="1"/>
  <c r="V549" i="2"/>
  <c r="U549" i="2"/>
  <c r="T549" i="2"/>
  <c r="S549" i="2"/>
  <c r="R549" i="2"/>
  <c r="Q549" i="2"/>
  <c r="P549" i="2"/>
  <c r="O549" i="2"/>
  <c r="N549" i="2"/>
  <c r="M549" i="2"/>
  <c r="L549" i="2"/>
  <c r="J549" i="2"/>
  <c r="H549" i="2"/>
  <c r="K549" i="2" s="1"/>
  <c r="V548" i="2"/>
  <c r="U548" i="2"/>
  <c r="T548" i="2"/>
  <c r="S548" i="2"/>
  <c r="R548" i="2"/>
  <c r="Q548" i="2"/>
  <c r="P548" i="2"/>
  <c r="O548" i="2"/>
  <c r="M548" i="2"/>
  <c r="L548" i="2"/>
  <c r="K548" i="2"/>
  <c r="J548" i="2"/>
  <c r="H548" i="2"/>
  <c r="N548" i="2" s="1"/>
  <c r="V547" i="2"/>
  <c r="U547" i="2"/>
  <c r="T547" i="2"/>
  <c r="S547" i="2"/>
  <c r="R547" i="2"/>
  <c r="Q547" i="2"/>
  <c r="P547" i="2"/>
  <c r="O547" i="2"/>
  <c r="N547" i="2"/>
  <c r="M547" i="2"/>
  <c r="K547" i="2"/>
  <c r="J547" i="2"/>
  <c r="H547" i="2"/>
  <c r="L547" i="2" s="1"/>
  <c r="V546" i="2"/>
  <c r="U546" i="2"/>
  <c r="T546" i="2"/>
  <c r="S546" i="2"/>
  <c r="R546" i="2"/>
  <c r="Q546" i="2"/>
  <c r="P546" i="2"/>
  <c r="O546" i="2"/>
  <c r="N546" i="2"/>
  <c r="M546" i="2"/>
  <c r="K546" i="2"/>
  <c r="J546" i="2"/>
  <c r="H546" i="2"/>
  <c r="L546" i="2" s="1"/>
  <c r="V545" i="2"/>
  <c r="U545" i="2"/>
  <c r="T545" i="2"/>
  <c r="S545" i="2"/>
  <c r="R545" i="2"/>
  <c r="Q545" i="2"/>
  <c r="P545" i="2"/>
  <c r="O545" i="2"/>
  <c r="N545" i="2"/>
  <c r="M545" i="2"/>
  <c r="K545" i="2"/>
  <c r="J545" i="2"/>
  <c r="H545" i="2"/>
  <c r="L545" i="2" s="1"/>
  <c r="V544" i="2"/>
  <c r="U544" i="2"/>
  <c r="T544" i="2"/>
  <c r="S544" i="2"/>
  <c r="R544" i="2"/>
  <c r="Q544" i="2"/>
  <c r="P544" i="2"/>
  <c r="O544" i="2"/>
  <c r="N544" i="2"/>
  <c r="M544" i="2"/>
  <c r="K544" i="2"/>
  <c r="J544" i="2"/>
  <c r="H544" i="2"/>
  <c r="L544" i="2" s="1"/>
  <c r="V543" i="2"/>
  <c r="U543" i="2"/>
  <c r="T543" i="2"/>
  <c r="S543" i="2"/>
  <c r="R543" i="2"/>
  <c r="Q543" i="2"/>
  <c r="P543" i="2"/>
  <c r="O543" i="2"/>
  <c r="N543" i="2"/>
  <c r="M543" i="2"/>
  <c r="L543" i="2"/>
  <c r="J543" i="2"/>
  <c r="H543" i="2"/>
  <c r="K543" i="2" s="1"/>
  <c r="V542" i="2"/>
  <c r="U542" i="2"/>
  <c r="T542" i="2"/>
  <c r="S542" i="2"/>
  <c r="R542" i="2"/>
  <c r="Q542" i="2"/>
  <c r="P542" i="2"/>
  <c r="N542" i="2"/>
  <c r="M542" i="2"/>
  <c r="L542" i="2"/>
  <c r="K542" i="2"/>
  <c r="J542" i="2"/>
  <c r="H542" i="2"/>
  <c r="O542" i="2" s="1"/>
  <c r="V541" i="2"/>
  <c r="U541" i="2"/>
  <c r="T541" i="2"/>
  <c r="S541" i="2"/>
  <c r="R541" i="2"/>
  <c r="Q541" i="2"/>
  <c r="P541" i="2"/>
  <c r="O541" i="2"/>
  <c r="N541" i="2"/>
  <c r="M541" i="2"/>
  <c r="K541" i="2"/>
  <c r="J541" i="2"/>
  <c r="H541" i="2"/>
  <c r="L541" i="2" s="1"/>
  <c r="V540" i="2"/>
  <c r="U540" i="2"/>
  <c r="T540" i="2"/>
  <c r="S540" i="2"/>
  <c r="R540" i="2"/>
  <c r="Q540" i="2"/>
  <c r="P540" i="2"/>
  <c r="O540" i="2"/>
  <c r="M540" i="2"/>
  <c r="L540" i="2"/>
  <c r="K540" i="2"/>
  <c r="J540" i="2"/>
  <c r="H540" i="2"/>
  <c r="N540" i="2" s="1"/>
  <c r="V539" i="2"/>
  <c r="U539" i="2"/>
  <c r="T539" i="2"/>
  <c r="S539" i="2"/>
  <c r="R539" i="2"/>
  <c r="Q539" i="2"/>
  <c r="P539" i="2"/>
  <c r="O539" i="2"/>
  <c r="N539" i="2"/>
  <c r="M539" i="2"/>
  <c r="L539" i="2"/>
  <c r="J539" i="2"/>
  <c r="H539" i="2"/>
  <c r="K539" i="2" s="1"/>
  <c r="V538" i="2"/>
  <c r="U538" i="2"/>
  <c r="T538" i="2"/>
  <c r="S538" i="2"/>
  <c r="R538" i="2"/>
  <c r="Q538" i="2"/>
  <c r="P538" i="2"/>
  <c r="O538" i="2"/>
  <c r="N538" i="2"/>
  <c r="M538" i="2"/>
  <c r="K538" i="2"/>
  <c r="J538" i="2"/>
  <c r="H538" i="2"/>
  <c r="L538" i="2" s="1"/>
  <c r="V537" i="2"/>
  <c r="U537" i="2"/>
  <c r="T537" i="2"/>
  <c r="S537" i="2"/>
  <c r="R537" i="2"/>
  <c r="Q537" i="2"/>
  <c r="P537" i="2"/>
  <c r="O537" i="2"/>
  <c r="N537" i="2"/>
  <c r="M537" i="2"/>
  <c r="L537" i="2"/>
  <c r="J537" i="2"/>
  <c r="H537" i="2"/>
  <c r="K537" i="2" s="1"/>
  <c r="V536" i="2"/>
  <c r="U536" i="2"/>
  <c r="T536" i="2"/>
  <c r="S536" i="2"/>
  <c r="R536" i="2"/>
  <c r="Q536" i="2"/>
  <c r="P536" i="2"/>
  <c r="O536" i="2"/>
  <c r="M536" i="2"/>
  <c r="L536" i="2"/>
  <c r="K536" i="2"/>
  <c r="J536" i="2"/>
  <c r="H536" i="2"/>
  <c r="N536" i="2" s="1"/>
  <c r="V535" i="2"/>
  <c r="U535" i="2"/>
  <c r="T535" i="2"/>
  <c r="S535" i="2"/>
  <c r="R535" i="2"/>
  <c r="Q535" i="2"/>
  <c r="P535" i="2"/>
  <c r="O535" i="2"/>
  <c r="M535" i="2"/>
  <c r="L535" i="2"/>
  <c r="K535" i="2"/>
  <c r="J535" i="2"/>
  <c r="H535" i="2"/>
  <c r="N535" i="2" s="1"/>
  <c r="V534" i="2"/>
  <c r="U534" i="2"/>
  <c r="T534" i="2"/>
  <c r="S534" i="2"/>
  <c r="R534" i="2"/>
  <c r="Q534" i="2"/>
  <c r="P534" i="2"/>
  <c r="O534" i="2"/>
  <c r="M534" i="2"/>
  <c r="L534" i="2"/>
  <c r="K534" i="2"/>
  <c r="J534" i="2"/>
  <c r="H534" i="2"/>
  <c r="N534" i="2" s="1"/>
  <c r="V533" i="2"/>
  <c r="U533" i="2"/>
  <c r="T533" i="2"/>
  <c r="S533" i="2"/>
  <c r="R533" i="2"/>
  <c r="Q533" i="2"/>
  <c r="P533" i="2"/>
  <c r="O533" i="2"/>
  <c r="N533" i="2"/>
  <c r="M533" i="2"/>
  <c r="L533" i="2"/>
  <c r="J533" i="2"/>
  <c r="H533" i="2"/>
  <c r="K533" i="2" s="1"/>
  <c r="V532" i="2"/>
  <c r="U532" i="2"/>
  <c r="T532" i="2"/>
  <c r="S532" i="2"/>
  <c r="R532" i="2"/>
  <c r="Q532" i="2"/>
  <c r="P532" i="2"/>
  <c r="O532" i="2"/>
  <c r="M532" i="2"/>
  <c r="L532" i="2"/>
  <c r="K532" i="2"/>
  <c r="J532" i="2"/>
  <c r="H532" i="2"/>
  <c r="N532" i="2" s="1"/>
  <c r="V531" i="2"/>
  <c r="U531" i="2"/>
  <c r="T531" i="2"/>
  <c r="S531" i="2"/>
  <c r="R531" i="2"/>
  <c r="Q531" i="2"/>
  <c r="P531" i="2"/>
  <c r="O531" i="2"/>
  <c r="N531" i="2"/>
  <c r="M531" i="2"/>
  <c r="K531" i="2"/>
  <c r="J531" i="2"/>
  <c r="H531" i="2"/>
  <c r="L531" i="2" s="1"/>
  <c r="V530" i="2"/>
  <c r="U530" i="2"/>
  <c r="T530" i="2"/>
  <c r="S530" i="2"/>
  <c r="R530" i="2"/>
  <c r="Q530" i="2"/>
  <c r="P530" i="2"/>
  <c r="O530" i="2"/>
  <c r="M530" i="2"/>
  <c r="L530" i="2"/>
  <c r="K530" i="2"/>
  <c r="J530" i="2"/>
  <c r="H530" i="2"/>
  <c r="N530" i="2" s="1"/>
  <c r="V529" i="2"/>
  <c r="U529" i="2"/>
  <c r="T529" i="2"/>
  <c r="S529" i="2"/>
  <c r="R529" i="2"/>
  <c r="Q529" i="2"/>
  <c r="P529" i="2"/>
  <c r="O529" i="2"/>
  <c r="M529" i="2"/>
  <c r="L529" i="2"/>
  <c r="K529" i="2"/>
  <c r="J529" i="2"/>
  <c r="H529" i="2"/>
  <c r="N529" i="2" s="1"/>
  <c r="V528" i="2"/>
  <c r="U528" i="2"/>
  <c r="T528" i="2"/>
  <c r="S528" i="2"/>
  <c r="R528" i="2"/>
  <c r="Q528" i="2"/>
  <c r="P528" i="2"/>
  <c r="O528" i="2"/>
  <c r="N528" i="2"/>
  <c r="M528" i="2"/>
  <c r="L528" i="2"/>
  <c r="J528" i="2"/>
  <c r="H528" i="2"/>
  <c r="K528" i="2" s="1"/>
  <c r="V527" i="2"/>
  <c r="U527" i="2"/>
  <c r="T527" i="2"/>
  <c r="S527" i="2"/>
  <c r="R527" i="2"/>
  <c r="Q527" i="2"/>
  <c r="P527" i="2"/>
  <c r="O527" i="2"/>
  <c r="N527" i="2"/>
  <c r="M527" i="2"/>
  <c r="K527" i="2"/>
  <c r="J527" i="2"/>
  <c r="H527" i="2"/>
  <c r="L527" i="2" s="1"/>
  <c r="V526" i="2"/>
  <c r="U526" i="2"/>
  <c r="T526" i="2"/>
  <c r="S526" i="2"/>
  <c r="R526" i="2"/>
  <c r="Q526" i="2"/>
  <c r="P526" i="2"/>
  <c r="O526" i="2"/>
  <c r="N526" i="2"/>
  <c r="M526" i="2"/>
  <c r="K526" i="2"/>
  <c r="J526" i="2"/>
  <c r="H526" i="2"/>
  <c r="L526" i="2" s="1"/>
  <c r="V525" i="2"/>
  <c r="U525" i="2"/>
  <c r="T525" i="2"/>
  <c r="S525" i="2"/>
  <c r="R525" i="2"/>
  <c r="Q525" i="2"/>
  <c r="P525" i="2"/>
  <c r="O525" i="2"/>
  <c r="N525" i="2"/>
  <c r="M525" i="2"/>
  <c r="K525" i="2"/>
  <c r="J525" i="2"/>
  <c r="H525" i="2"/>
  <c r="L525" i="2" s="1"/>
  <c r="V524" i="2"/>
  <c r="U524" i="2"/>
  <c r="T524" i="2"/>
  <c r="S524" i="2"/>
  <c r="R524" i="2"/>
  <c r="Q524" i="2"/>
  <c r="P524" i="2"/>
  <c r="O524" i="2"/>
  <c r="M524" i="2"/>
  <c r="L524" i="2"/>
  <c r="K524" i="2"/>
  <c r="J524" i="2"/>
  <c r="H524" i="2"/>
  <c r="N524" i="2" s="1"/>
  <c r="V523" i="2"/>
  <c r="U523" i="2"/>
  <c r="T523" i="2"/>
  <c r="S523" i="2"/>
  <c r="R523" i="2"/>
  <c r="Q523" i="2"/>
  <c r="P523" i="2"/>
  <c r="O523" i="2"/>
  <c r="N523" i="2"/>
  <c r="M523" i="2"/>
  <c r="K523" i="2"/>
  <c r="J523" i="2"/>
  <c r="H523" i="2"/>
  <c r="L523" i="2" s="1"/>
  <c r="V522" i="2"/>
  <c r="U522" i="2"/>
  <c r="T522" i="2"/>
  <c r="S522" i="2"/>
  <c r="R522" i="2"/>
  <c r="Q522" i="2"/>
  <c r="P522" i="2"/>
  <c r="O522" i="2"/>
  <c r="M522" i="2"/>
  <c r="L522" i="2"/>
  <c r="K522" i="2"/>
  <c r="J522" i="2"/>
  <c r="H522" i="2"/>
  <c r="N522" i="2" s="1"/>
  <c r="V521" i="2"/>
  <c r="U521" i="2"/>
  <c r="T521" i="2"/>
  <c r="S521" i="2"/>
  <c r="R521" i="2"/>
  <c r="Q521" i="2"/>
  <c r="P521" i="2"/>
  <c r="O521" i="2"/>
  <c r="M521" i="2"/>
  <c r="L521" i="2"/>
  <c r="K521" i="2"/>
  <c r="J521" i="2"/>
  <c r="H521" i="2"/>
  <c r="N521" i="2" s="1"/>
  <c r="V520" i="2"/>
  <c r="U520" i="2"/>
  <c r="T520" i="2"/>
  <c r="S520" i="2"/>
  <c r="R520" i="2"/>
  <c r="Q520" i="2"/>
  <c r="P520" i="2"/>
  <c r="O520" i="2"/>
  <c r="M520" i="2"/>
  <c r="L520" i="2"/>
  <c r="K520" i="2"/>
  <c r="J520" i="2"/>
  <c r="H520" i="2"/>
  <c r="N520" i="2" s="1"/>
  <c r="V519" i="2"/>
  <c r="U519" i="2"/>
  <c r="T519" i="2"/>
  <c r="S519" i="2"/>
  <c r="R519" i="2"/>
  <c r="Q519" i="2"/>
  <c r="P519" i="2"/>
  <c r="O519" i="2"/>
  <c r="N519" i="2"/>
  <c r="M519" i="2"/>
  <c r="L519" i="2"/>
  <c r="J519" i="2"/>
  <c r="H519" i="2"/>
  <c r="K519" i="2" s="1"/>
  <c r="V518" i="2"/>
  <c r="U518" i="2"/>
  <c r="T518" i="2"/>
  <c r="S518" i="2"/>
  <c r="R518" i="2"/>
  <c r="Q518" i="2"/>
  <c r="P518" i="2"/>
  <c r="O518" i="2"/>
  <c r="N518" i="2"/>
  <c r="M518" i="2"/>
  <c r="K518" i="2"/>
  <c r="J518" i="2"/>
  <c r="H518" i="2"/>
  <c r="L518" i="2" s="1"/>
  <c r="V517" i="2"/>
  <c r="U517" i="2"/>
  <c r="T517" i="2"/>
  <c r="S517" i="2"/>
  <c r="R517" i="2"/>
  <c r="Q517" i="2"/>
  <c r="P517" i="2"/>
  <c r="O517" i="2"/>
  <c r="N517" i="2"/>
  <c r="M517" i="2"/>
  <c r="L517" i="2"/>
  <c r="J517" i="2"/>
  <c r="H517" i="2"/>
  <c r="K517" i="2" s="1"/>
  <c r="V516" i="2"/>
  <c r="U516" i="2"/>
  <c r="T516" i="2"/>
  <c r="S516" i="2"/>
  <c r="R516" i="2"/>
  <c r="Q516" i="2"/>
  <c r="P516" i="2"/>
  <c r="O516" i="2"/>
  <c r="N516" i="2"/>
  <c r="M516" i="2"/>
  <c r="L516" i="2"/>
  <c r="J516" i="2"/>
  <c r="H516" i="2"/>
  <c r="K516" i="2" s="1"/>
  <c r="V515" i="2"/>
  <c r="U515" i="2"/>
  <c r="T515" i="2"/>
  <c r="S515" i="2"/>
  <c r="R515" i="2"/>
  <c r="Q515" i="2"/>
  <c r="P515" i="2"/>
  <c r="O515" i="2"/>
  <c r="N515" i="2"/>
  <c r="M515" i="2"/>
  <c r="L515" i="2"/>
  <c r="J515" i="2"/>
  <c r="H515" i="2"/>
  <c r="K515" i="2" s="1"/>
  <c r="V514" i="2"/>
  <c r="U514" i="2"/>
  <c r="T514" i="2"/>
  <c r="S514" i="2"/>
  <c r="R514" i="2"/>
  <c r="Q514" i="2"/>
  <c r="P514" i="2"/>
  <c r="O514" i="2"/>
  <c r="N514" i="2"/>
  <c r="M514" i="2"/>
  <c r="L514" i="2"/>
  <c r="J514" i="2"/>
  <c r="H514" i="2"/>
  <c r="K514" i="2" s="1"/>
  <c r="V513" i="2"/>
  <c r="U513" i="2"/>
  <c r="T513" i="2"/>
  <c r="S513" i="2"/>
  <c r="R513" i="2"/>
  <c r="Q513" i="2"/>
  <c r="P513" i="2"/>
  <c r="O513" i="2"/>
  <c r="N513" i="2"/>
  <c r="M513" i="2"/>
  <c r="L513" i="2"/>
  <c r="J513" i="2"/>
  <c r="H513" i="2"/>
  <c r="K513" i="2" s="1"/>
  <c r="V512" i="2"/>
  <c r="U512" i="2"/>
  <c r="T512" i="2"/>
  <c r="S512" i="2"/>
  <c r="R512" i="2"/>
  <c r="Q512" i="2"/>
  <c r="P512" i="2"/>
  <c r="O512" i="2"/>
  <c r="N512" i="2"/>
  <c r="M512" i="2"/>
  <c r="L512" i="2"/>
  <c r="J512" i="2"/>
  <c r="H512" i="2"/>
  <c r="K512" i="2" s="1"/>
  <c r="V511" i="2"/>
  <c r="U511" i="2"/>
  <c r="T511" i="2"/>
  <c r="S511" i="2"/>
  <c r="R511" i="2"/>
  <c r="Q511" i="2"/>
  <c r="P511" i="2"/>
  <c r="O511" i="2"/>
  <c r="M511" i="2"/>
  <c r="L511" i="2"/>
  <c r="K511" i="2"/>
  <c r="J511" i="2"/>
  <c r="H511" i="2"/>
  <c r="N511" i="2" s="1"/>
  <c r="V510" i="2"/>
  <c r="U510" i="2"/>
  <c r="T510" i="2"/>
  <c r="S510" i="2"/>
  <c r="R510" i="2"/>
  <c r="Q510" i="2"/>
  <c r="P510" i="2"/>
  <c r="O510" i="2"/>
  <c r="N510" i="2"/>
  <c r="M510" i="2"/>
  <c r="L510" i="2"/>
  <c r="J510" i="2"/>
  <c r="H510" i="2"/>
  <c r="K510" i="2" s="1"/>
  <c r="V509" i="2"/>
  <c r="U509" i="2"/>
  <c r="T509" i="2"/>
  <c r="S509" i="2"/>
  <c r="R509" i="2"/>
  <c r="Q509" i="2"/>
  <c r="O509" i="2"/>
  <c r="N509" i="2"/>
  <c r="M509" i="2"/>
  <c r="L509" i="2"/>
  <c r="K509" i="2"/>
  <c r="J509" i="2"/>
  <c r="H509" i="2"/>
  <c r="P509" i="2" s="1"/>
  <c r="V508" i="2"/>
  <c r="U508" i="2"/>
  <c r="T508" i="2"/>
  <c r="S508" i="2"/>
  <c r="R508" i="2"/>
  <c r="Q508" i="2"/>
  <c r="P508" i="2"/>
  <c r="O508" i="2"/>
  <c r="N508" i="2"/>
  <c r="M508" i="2"/>
  <c r="L508" i="2"/>
  <c r="J508" i="2"/>
  <c r="H508" i="2"/>
  <c r="K508" i="2" s="1"/>
  <c r="V507" i="2"/>
  <c r="U507" i="2"/>
  <c r="T507" i="2"/>
  <c r="S507" i="2"/>
  <c r="R507" i="2"/>
  <c r="Q507" i="2"/>
  <c r="P507" i="2"/>
  <c r="O507" i="2"/>
  <c r="N507" i="2"/>
  <c r="M507" i="2"/>
  <c r="L507" i="2"/>
  <c r="J507" i="2"/>
  <c r="H507" i="2"/>
  <c r="K507" i="2" s="1"/>
  <c r="V506" i="2"/>
  <c r="U506" i="2"/>
  <c r="T506" i="2"/>
  <c r="S506" i="2"/>
  <c r="R506" i="2"/>
  <c r="Q506" i="2"/>
  <c r="P506" i="2"/>
  <c r="O506" i="2"/>
  <c r="N506" i="2"/>
  <c r="M506" i="2"/>
  <c r="L506" i="2"/>
  <c r="J506" i="2"/>
  <c r="H506" i="2"/>
  <c r="K506" i="2" s="1"/>
  <c r="V505" i="2"/>
  <c r="U505" i="2"/>
  <c r="T505" i="2"/>
  <c r="S505" i="2"/>
  <c r="R505" i="2"/>
  <c r="Q505" i="2"/>
  <c r="P505" i="2"/>
  <c r="O505" i="2"/>
  <c r="N505" i="2"/>
  <c r="M505" i="2"/>
  <c r="K505" i="2"/>
  <c r="J505" i="2"/>
  <c r="H505" i="2"/>
  <c r="L505" i="2" s="1"/>
  <c r="V504" i="2"/>
  <c r="U504" i="2"/>
  <c r="T504" i="2"/>
  <c r="S504" i="2"/>
  <c r="R504" i="2"/>
  <c r="Q504" i="2"/>
  <c r="P504" i="2"/>
  <c r="O504" i="2"/>
  <c r="N504" i="2"/>
  <c r="M504" i="2"/>
  <c r="K504" i="2"/>
  <c r="J504" i="2"/>
  <c r="H504" i="2"/>
  <c r="L504" i="2" s="1"/>
  <c r="V503" i="2"/>
  <c r="U503" i="2"/>
  <c r="T503" i="2"/>
  <c r="S503" i="2"/>
  <c r="R503" i="2"/>
  <c r="Q503" i="2"/>
  <c r="P503" i="2"/>
  <c r="O503" i="2"/>
  <c r="N503" i="2"/>
  <c r="M503" i="2"/>
  <c r="L503" i="2"/>
  <c r="J503" i="2"/>
  <c r="H503" i="2"/>
  <c r="K503" i="2" s="1"/>
  <c r="V502" i="2"/>
  <c r="U502" i="2"/>
  <c r="T502" i="2"/>
  <c r="S502" i="2"/>
  <c r="R502" i="2"/>
  <c r="Q502" i="2"/>
  <c r="P502" i="2"/>
  <c r="O502" i="2"/>
  <c r="M502" i="2"/>
  <c r="L502" i="2"/>
  <c r="K502" i="2"/>
  <c r="J502" i="2"/>
  <c r="H502" i="2"/>
  <c r="N502" i="2" s="1"/>
  <c r="V501" i="2"/>
  <c r="U501" i="2"/>
  <c r="T501" i="2"/>
  <c r="S501" i="2"/>
  <c r="R501" i="2"/>
  <c r="Q501" i="2"/>
  <c r="P501" i="2"/>
  <c r="O501" i="2"/>
  <c r="N501" i="2"/>
  <c r="M501" i="2"/>
  <c r="L501" i="2"/>
  <c r="J501" i="2"/>
  <c r="H501" i="2"/>
  <c r="K501" i="2" s="1"/>
  <c r="V500" i="2"/>
  <c r="U500" i="2"/>
  <c r="T500" i="2"/>
  <c r="S500" i="2"/>
  <c r="R500" i="2"/>
  <c r="Q500" i="2"/>
  <c r="P500" i="2"/>
  <c r="O500" i="2"/>
  <c r="M500" i="2"/>
  <c r="L500" i="2"/>
  <c r="K500" i="2"/>
  <c r="J500" i="2"/>
  <c r="H500" i="2"/>
  <c r="N500" i="2" s="1"/>
  <c r="V499" i="2"/>
  <c r="U499" i="2"/>
  <c r="T499" i="2"/>
  <c r="S499" i="2"/>
  <c r="R499" i="2"/>
  <c r="Q499" i="2"/>
  <c r="P499" i="2"/>
  <c r="O499" i="2"/>
  <c r="N499" i="2"/>
  <c r="M499" i="2"/>
  <c r="K499" i="2"/>
  <c r="J499" i="2"/>
  <c r="H499" i="2"/>
  <c r="L499" i="2" s="1"/>
  <c r="V498" i="2"/>
  <c r="U498" i="2"/>
  <c r="T498" i="2"/>
  <c r="S498" i="2"/>
  <c r="R498" i="2"/>
  <c r="Q498" i="2"/>
  <c r="P498" i="2"/>
  <c r="O498" i="2"/>
  <c r="N498" i="2"/>
  <c r="M498" i="2"/>
  <c r="K498" i="2"/>
  <c r="J498" i="2"/>
  <c r="H498" i="2"/>
  <c r="L498" i="2" s="1"/>
  <c r="V497" i="2"/>
  <c r="U497" i="2"/>
  <c r="T497" i="2"/>
  <c r="S497" i="2"/>
  <c r="R497" i="2"/>
  <c r="Q497" i="2"/>
  <c r="P497" i="2"/>
  <c r="O497" i="2"/>
  <c r="M497" i="2"/>
  <c r="L497" i="2"/>
  <c r="K497" i="2"/>
  <c r="J497" i="2"/>
  <c r="H497" i="2"/>
  <c r="N497" i="2" s="1"/>
  <c r="V496" i="2"/>
  <c r="U496" i="2"/>
  <c r="T496" i="2"/>
  <c r="S496" i="2"/>
  <c r="R496" i="2"/>
  <c r="Q496" i="2"/>
  <c r="P496" i="2"/>
  <c r="O496" i="2"/>
  <c r="N496" i="2"/>
  <c r="M496" i="2"/>
  <c r="L496" i="2"/>
  <c r="J496" i="2"/>
  <c r="H496" i="2"/>
  <c r="K496" i="2" s="1"/>
  <c r="V495" i="2"/>
  <c r="U495" i="2"/>
  <c r="T495" i="2"/>
  <c r="S495" i="2"/>
  <c r="R495" i="2"/>
  <c r="Q495" i="2"/>
  <c r="P495" i="2"/>
  <c r="O495" i="2"/>
  <c r="N495" i="2"/>
  <c r="M495" i="2"/>
  <c r="K495" i="2"/>
  <c r="J495" i="2"/>
  <c r="H495" i="2"/>
  <c r="L495" i="2" s="1"/>
  <c r="V494" i="2"/>
  <c r="U494" i="2"/>
  <c r="T494" i="2"/>
  <c r="S494" i="2"/>
  <c r="R494" i="2"/>
  <c r="Q494" i="2"/>
  <c r="P494" i="2"/>
  <c r="O494" i="2"/>
  <c r="M494" i="2"/>
  <c r="L494" i="2"/>
  <c r="K494" i="2"/>
  <c r="J494" i="2"/>
  <c r="H494" i="2"/>
  <c r="N494" i="2" s="1"/>
  <c r="V493" i="2"/>
  <c r="U493" i="2"/>
  <c r="T493" i="2"/>
  <c r="S493" i="2"/>
  <c r="R493" i="2"/>
  <c r="Q493" i="2"/>
  <c r="P493" i="2"/>
  <c r="O493" i="2"/>
  <c r="N493" i="2"/>
  <c r="M493" i="2"/>
  <c r="K493" i="2"/>
  <c r="J493" i="2"/>
  <c r="H493" i="2"/>
  <c r="L493" i="2" s="1"/>
  <c r="V492" i="2"/>
  <c r="U492" i="2"/>
  <c r="T492" i="2"/>
  <c r="S492" i="2"/>
  <c r="R492" i="2"/>
  <c r="Q492" i="2"/>
  <c r="P492" i="2"/>
  <c r="O492" i="2"/>
  <c r="N492" i="2"/>
  <c r="M492" i="2"/>
  <c r="K492" i="2"/>
  <c r="J492" i="2"/>
  <c r="H492" i="2"/>
  <c r="L492" i="2" s="1"/>
  <c r="V491" i="2"/>
  <c r="U491" i="2"/>
  <c r="T491" i="2"/>
  <c r="S491" i="2"/>
  <c r="R491" i="2"/>
  <c r="Q491" i="2"/>
  <c r="P491" i="2"/>
  <c r="O491" i="2"/>
  <c r="N491" i="2"/>
  <c r="M491" i="2"/>
  <c r="L491" i="2"/>
  <c r="J491" i="2"/>
  <c r="H491" i="2"/>
  <c r="K491" i="2" s="1"/>
  <c r="V490" i="2"/>
  <c r="U490" i="2"/>
  <c r="T490" i="2"/>
  <c r="S490" i="2"/>
  <c r="R490" i="2"/>
  <c r="Q490" i="2"/>
  <c r="P490" i="2"/>
  <c r="O490" i="2"/>
  <c r="N490" i="2"/>
  <c r="M490" i="2"/>
  <c r="L490" i="2"/>
  <c r="J490" i="2"/>
  <c r="H490" i="2"/>
  <c r="K490" i="2" s="1"/>
  <c r="V489" i="2"/>
  <c r="U489" i="2"/>
  <c r="T489" i="2"/>
  <c r="S489" i="2"/>
  <c r="R489" i="2"/>
  <c r="Q489" i="2"/>
  <c r="P489" i="2"/>
  <c r="O489" i="2"/>
  <c r="N489" i="2"/>
  <c r="M489" i="2"/>
  <c r="K489" i="2"/>
  <c r="J489" i="2"/>
  <c r="H489" i="2"/>
  <c r="L489" i="2" s="1"/>
  <c r="V488" i="2"/>
  <c r="U488" i="2"/>
  <c r="T488" i="2"/>
  <c r="S488" i="2"/>
  <c r="R488" i="2"/>
  <c r="Q488" i="2"/>
  <c r="P488" i="2"/>
  <c r="O488" i="2"/>
  <c r="N488" i="2"/>
  <c r="M488" i="2"/>
  <c r="K488" i="2"/>
  <c r="J488" i="2"/>
  <c r="H488" i="2"/>
  <c r="L488" i="2" s="1"/>
  <c r="V487" i="2"/>
  <c r="U487" i="2"/>
  <c r="T487" i="2"/>
  <c r="S487" i="2"/>
  <c r="R487" i="2"/>
  <c r="Q487" i="2"/>
  <c r="P487" i="2"/>
  <c r="O487" i="2"/>
  <c r="N487" i="2"/>
  <c r="M487" i="2"/>
  <c r="K487" i="2"/>
  <c r="J487" i="2"/>
  <c r="H487" i="2"/>
  <c r="L487" i="2" s="1"/>
  <c r="V486" i="2"/>
  <c r="U486" i="2"/>
  <c r="T486" i="2"/>
  <c r="S486" i="2"/>
  <c r="R486" i="2"/>
  <c r="Q486" i="2"/>
  <c r="P486" i="2"/>
  <c r="O486" i="2"/>
  <c r="M486" i="2"/>
  <c r="L486" i="2"/>
  <c r="K486" i="2"/>
  <c r="J486" i="2"/>
  <c r="H486" i="2"/>
  <c r="N486" i="2" s="1"/>
  <c r="V485" i="2"/>
  <c r="U485" i="2"/>
  <c r="T485" i="2"/>
  <c r="S485" i="2"/>
  <c r="R485" i="2"/>
  <c r="Q485" i="2"/>
  <c r="P485" i="2"/>
  <c r="O485" i="2"/>
  <c r="N485" i="2"/>
  <c r="M485" i="2"/>
  <c r="K485" i="2"/>
  <c r="J485" i="2"/>
  <c r="H485" i="2"/>
  <c r="L485" i="2" s="1"/>
  <c r="V484" i="2"/>
  <c r="U484" i="2"/>
  <c r="T484" i="2"/>
  <c r="S484" i="2"/>
  <c r="R484" i="2"/>
  <c r="Q484" i="2"/>
  <c r="P484" i="2"/>
  <c r="O484" i="2"/>
  <c r="N484" i="2"/>
  <c r="M484" i="2"/>
  <c r="K484" i="2"/>
  <c r="J484" i="2"/>
  <c r="H484" i="2"/>
  <c r="L484" i="2" s="1"/>
  <c r="V483" i="2"/>
  <c r="U483" i="2"/>
  <c r="T483" i="2"/>
  <c r="S483" i="2"/>
  <c r="R483" i="2"/>
  <c r="Q483" i="2"/>
  <c r="P483" i="2"/>
  <c r="O483" i="2"/>
  <c r="N483" i="2"/>
  <c r="M483" i="2"/>
  <c r="L483" i="2"/>
  <c r="J483" i="2"/>
  <c r="H483" i="2"/>
  <c r="K483" i="2" s="1"/>
  <c r="V482" i="2"/>
  <c r="U482" i="2"/>
  <c r="T482" i="2"/>
  <c r="S482" i="2"/>
  <c r="R482" i="2"/>
  <c r="Q482" i="2"/>
  <c r="P482" i="2"/>
  <c r="O482" i="2"/>
  <c r="N482" i="2"/>
  <c r="M482" i="2"/>
  <c r="L482" i="2"/>
  <c r="J482" i="2"/>
  <c r="H482" i="2"/>
  <c r="K482" i="2" s="1"/>
  <c r="V481" i="2"/>
  <c r="U481" i="2"/>
  <c r="T481" i="2"/>
  <c r="S481" i="2"/>
  <c r="R481" i="2"/>
  <c r="Q481" i="2"/>
  <c r="P481" i="2"/>
  <c r="O481" i="2"/>
  <c r="M481" i="2"/>
  <c r="L481" i="2"/>
  <c r="K481" i="2"/>
  <c r="J481" i="2"/>
  <c r="H481" i="2"/>
  <c r="N481" i="2" s="1"/>
  <c r="V480" i="2"/>
  <c r="U480" i="2"/>
  <c r="T480" i="2"/>
  <c r="S480" i="2"/>
  <c r="R480" i="2"/>
  <c r="Q480" i="2"/>
  <c r="P480" i="2"/>
  <c r="O480" i="2"/>
  <c r="N480" i="2"/>
  <c r="M480" i="2"/>
  <c r="K480" i="2"/>
  <c r="J480" i="2"/>
  <c r="H480" i="2"/>
  <c r="L480" i="2" s="1"/>
  <c r="V479" i="2"/>
  <c r="U479" i="2"/>
  <c r="T479" i="2"/>
  <c r="S479" i="2"/>
  <c r="R479" i="2"/>
  <c r="Q479" i="2"/>
  <c r="P479" i="2"/>
  <c r="O479" i="2"/>
  <c r="N479" i="2"/>
  <c r="M479" i="2"/>
  <c r="K479" i="2"/>
  <c r="J479" i="2"/>
  <c r="H479" i="2"/>
  <c r="L479" i="2" s="1"/>
  <c r="V478" i="2"/>
  <c r="U478" i="2"/>
  <c r="T478" i="2"/>
  <c r="S478" i="2"/>
  <c r="R478" i="2"/>
  <c r="Q478" i="2"/>
  <c r="P478" i="2"/>
  <c r="O478" i="2"/>
  <c r="M478" i="2"/>
  <c r="L478" i="2"/>
  <c r="K478" i="2"/>
  <c r="J478" i="2"/>
  <c r="H478" i="2"/>
  <c r="N478" i="2" s="1"/>
  <c r="V477" i="2"/>
  <c r="U477" i="2"/>
  <c r="T477" i="2"/>
  <c r="S477" i="2"/>
  <c r="R477" i="2"/>
  <c r="Q477" i="2"/>
  <c r="P477" i="2"/>
  <c r="O477" i="2"/>
  <c r="N477" i="2"/>
  <c r="M477" i="2"/>
  <c r="K477" i="2"/>
  <c r="J477" i="2"/>
  <c r="H477" i="2"/>
  <c r="L477" i="2" s="1"/>
  <c r="V476" i="2"/>
  <c r="U476" i="2"/>
  <c r="T476" i="2"/>
  <c r="S476" i="2"/>
  <c r="R476" i="2"/>
  <c r="Q476" i="2"/>
  <c r="P476" i="2"/>
  <c r="O476" i="2"/>
  <c r="N476" i="2"/>
  <c r="M476" i="2"/>
  <c r="K476" i="2"/>
  <c r="J476" i="2"/>
  <c r="H476" i="2"/>
  <c r="L476" i="2" s="1"/>
  <c r="V475" i="2"/>
  <c r="U475" i="2"/>
  <c r="T475" i="2"/>
  <c r="S475" i="2"/>
  <c r="R475" i="2"/>
  <c r="Q475" i="2"/>
  <c r="P475" i="2"/>
  <c r="O475" i="2"/>
  <c r="N475" i="2"/>
  <c r="M475" i="2"/>
  <c r="L475" i="2"/>
  <c r="J475" i="2"/>
  <c r="H475" i="2"/>
  <c r="K475" i="2" s="1"/>
  <c r="V474" i="2"/>
  <c r="U474" i="2"/>
  <c r="T474" i="2"/>
  <c r="S474" i="2"/>
  <c r="R474" i="2"/>
  <c r="Q474" i="2"/>
  <c r="P474" i="2"/>
  <c r="O474" i="2"/>
  <c r="N474" i="2"/>
  <c r="M474" i="2"/>
  <c r="K474" i="2"/>
  <c r="J474" i="2"/>
  <c r="H474" i="2"/>
  <c r="L474" i="2" s="1"/>
  <c r="V473" i="2"/>
  <c r="U473" i="2"/>
  <c r="T473" i="2"/>
  <c r="S473" i="2"/>
  <c r="R473" i="2"/>
  <c r="Q473" i="2"/>
  <c r="P473" i="2"/>
  <c r="O473" i="2"/>
  <c r="N473" i="2"/>
  <c r="M473" i="2"/>
  <c r="K473" i="2"/>
  <c r="J473" i="2"/>
  <c r="H473" i="2"/>
  <c r="L473" i="2" s="1"/>
  <c r="V472" i="2"/>
  <c r="U472" i="2"/>
  <c r="T472" i="2"/>
  <c r="S472" i="2"/>
  <c r="R472" i="2"/>
  <c r="Q472" i="2"/>
  <c r="P472" i="2"/>
  <c r="O472" i="2"/>
  <c r="N472" i="2"/>
  <c r="M472" i="2"/>
  <c r="K472" i="2"/>
  <c r="J472" i="2"/>
  <c r="H472" i="2"/>
  <c r="L472" i="2" s="1"/>
  <c r="V471" i="2"/>
  <c r="U471" i="2"/>
  <c r="T471" i="2"/>
  <c r="S471" i="2"/>
  <c r="R471" i="2"/>
  <c r="Q471" i="2"/>
  <c r="P471" i="2"/>
  <c r="O471" i="2"/>
  <c r="N471" i="2"/>
  <c r="M471" i="2"/>
  <c r="K471" i="2"/>
  <c r="J471" i="2"/>
  <c r="H471" i="2"/>
  <c r="L471" i="2" s="1"/>
  <c r="V470" i="2"/>
  <c r="U470" i="2"/>
  <c r="T470" i="2"/>
  <c r="S470" i="2"/>
  <c r="R470" i="2"/>
  <c r="Q470" i="2"/>
  <c r="P470" i="2"/>
  <c r="O470" i="2"/>
  <c r="N470" i="2"/>
  <c r="M470" i="2"/>
  <c r="K470" i="2"/>
  <c r="J470" i="2"/>
  <c r="H470" i="2"/>
  <c r="L470" i="2" s="1"/>
  <c r="V469" i="2"/>
  <c r="U469" i="2"/>
  <c r="T469" i="2"/>
  <c r="S469" i="2"/>
  <c r="R469" i="2"/>
  <c r="Q469" i="2"/>
  <c r="P469" i="2"/>
  <c r="O469" i="2"/>
  <c r="M469" i="2"/>
  <c r="L469" i="2"/>
  <c r="K469" i="2"/>
  <c r="J469" i="2"/>
  <c r="H469" i="2"/>
  <c r="N469" i="2" s="1"/>
  <c r="V468" i="2"/>
  <c r="U468" i="2"/>
  <c r="T468" i="2"/>
  <c r="S468" i="2"/>
  <c r="R468" i="2"/>
  <c r="Q468" i="2"/>
  <c r="P468" i="2"/>
  <c r="O468" i="2"/>
  <c r="M468" i="2"/>
  <c r="L468" i="2"/>
  <c r="K468" i="2"/>
  <c r="J468" i="2"/>
  <c r="H468" i="2"/>
  <c r="N468" i="2" s="1"/>
  <c r="V467" i="2"/>
  <c r="U467" i="2"/>
  <c r="T467" i="2"/>
  <c r="S467" i="2"/>
  <c r="R467" i="2"/>
  <c r="Q467" i="2"/>
  <c r="P467" i="2"/>
  <c r="O467" i="2"/>
  <c r="M467" i="2"/>
  <c r="L467" i="2"/>
  <c r="K467" i="2"/>
  <c r="J467" i="2"/>
  <c r="H467" i="2"/>
  <c r="N467" i="2" s="1"/>
  <c r="V466" i="2"/>
  <c r="U466" i="2"/>
  <c r="T466" i="2"/>
  <c r="S466" i="2"/>
  <c r="R466" i="2"/>
  <c r="Q466" i="2"/>
  <c r="P466" i="2"/>
  <c r="O466" i="2"/>
  <c r="N466" i="2"/>
  <c r="M466" i="2"/>
  <c r="K466" i="2"/>
  <c r="J466" i="2"/>
  <c r="H466" i="2"/>
  <c r="L466" i="2" s="1"/>
  <c r="V465" i="2"/>
  <c r="U465" i="2"/>
  <c r="T465" i="2"/>
  <c r="S465" i="2"/>
  <c r="R465" i="2"/>
  <c r="Q465" i="2"/>
  <c r="P465" i="2"/>
  <c r="O465" i="2"/>
  <c r="M465" i="2"/>
  <c r="L465" i="2"/>
  <c r="K465" i="2"/>
  <c r="J465" i="2"/>
  <c r="H465" i="2"/>
  <c r="N465" i="2" s="1"/>
  <c r="V464" i="2"/>
  <c r="U464" i="2"/>
  <c r="T464" i="2"/>
  <c r="S464" i="2"/>
  <c r="R464" i="2"/>
  <c r="Q464" i="2"/>
  <c r="P464" i="2"/>
  <c r="O464" i="2"/>
  <c r="M464" i="2"/>
  <c r="L464" i="2"/>
  <c r="K464" i="2"/>
  <c r="J464" i="2"/>
  <c r="H464" i="2"/>
  <c r="N464" i="2" s="1"/>
  <c r="V463" i="2"/>
  <c r="U463" i="2"/>
  <c r="T463" i="2"/>
  <c r="S463" i="2"/>
  <c r="R463" i="2"/>
  <c r="Q463" i="2"/>
  <c r="P463" i="2"/>
  <c r="O463" i="2"/>
  <c r="M463" i="2"/>
  <c r="L463" i="2"/>
  <c r="K463" i="2"/>
  <c r="J463" i="2"/>
  <c r="H463" i="2"/>
  <c r="N463" i="2" s="1"/>
  <c r="V462" i="2"/>
  <c r="U462" i="2"/>
  <c r="T462" i="2"/>
  <c r="S462" i="2"/>
  <c r="R462" i="2"/>
  <c r="Q462" i="2"/>
  <c r="P462" i="2"/>
  <c r="O462" i="2"/>
  <c r="M462" i="2"/>
  <c r="L462" i="2"/>
  <c r="K462" i="2"/>
  <c r="J462" i="2"/>
  <c r="H462" i="2"/>
  <c r="N462" i="2" s="1"/>
  <c r="V461" i="2"/>
  <c r="U461" i="2"/>
  <c r="T461" i="2"/>
  <c r="S461" i="2"/>
  <c r="R461" i="2"/>
  <c r="Q461" i="2"/>
  <c r="P461" i="2"/>
  <c r="O461" i="2"/>
  <c r="N461" i="2"/>
  <c r="M461" i="2"/>
  <c r="K461" i="2"/>
  <c r="J461" i="2"/>
  <c r="H461" i="2"/>
  <c r="L461" i="2" s="1"/>
  <c r="V460" i="2"/>
  <c r="U460" i="2"/>
  <c r="T460" i="2"/>
  <c r="S460" i="2"/>
  <c r="R460" i="2"/>
  <c r="Q460" i="2"/>
  <c r="P460" i="2"/>
  <c r="O460" i="2"/>
  <c r="M460" i="2"/>
  <c r="L460" i="2"/>
  <c r="K460" i="2"/>
  <c r="J460" i="2"/>
  <c r="H460" i="2"/>
  <c r="N460" i="2" s="1"/>
  <c r="V459" i="2"/>
  <c r="U459" i="2"/>
  <c r="T459" i="2"/>
  <c r="S459" i="2"/>
  <c r="R459" i="2"/>
  <c r="Q459" i="2"/>
  <c r="P459" i="2"/>
  <c r="O459" i="2"/>
  <c r="M459" i="2"/>
  <c r="L459" i="2"/>
  <c r="K459" i="2"/>
  <c r="J459" i="2"/>
  <c r="H459" i="2"/>
  <c r="N459" i="2" s="1"/>
  <c r="V458" i="2"/>
  <c r="U458" i="2"/>
  <c r="T458" i="2"/>
  <c r="S458" i="2"/>
  <c r="R458" i="2"/>
  <c r="Q458" i="2"/>
  <c r="P458" i="2"/>
  <c r="O458" i="2"/>
  <c r="N458" i="2"/>
  <c r="M458" i="2"/>
  <c r="K458" i="2"/>
  <c r="J458" i="2"/>
  <c r="H458" i="2"/>
  <c r="L458" i="2" s="1"/>
  <c r="V457" i="2"/>
  <c r="U457" i="2"/>
  <c r="T457" i="2"/>
  <c r="S457" i="2"/>
  <c r="R457" i="2"/>
  <c r="Q457" i="2"/>
  <c r="P457" i="2"/>
  <c r="O457" i="2"/>
  <c r="N457" i="2"/>
  <c r="M457" i="2"/>
  <c r="K457" i="2"/>
  <c r="J457" i="2"/>
  <c r="H457" i="2"/>
  <c r="L457" i="2" s="1"/>
  <c r="V456" i="2"/>
  <c r="U456" i="2"/>
  <c r="T456" i="2"/>
  <c r="S456" i="2"/>
  <c r="R456" i="2"/>
  <c r="Q456" i="2"/>
  <c r="P456" i="2"/>
  <c r="O456" i="2"/>
  <c r="N456" i="2"/>
  <c r="L456" i="2"/>
  <c r="K456" i="2"/>
  <c r="J456" i="2"/>
  <c r="H456" i="2"/>
  <c r="M456" i="2" s="1"/>
  <c r="V455" i="2"/>
  <c r="U455" i="2"/>
  <c r="T455" i="2"/>
  <c r="S455" i="2"/>
  <c r="R455" i="2"/>
  <c r="Q455" i="2"/>
  <c r="P455" i="2"/>
  <c r="O455" i="2"/>
  <c r="N455" i="2"/>
  <c r="M455" i="2"/>
  <c r="K455" i="2"/>
  <c r="J455" i="2"/>
  <c r="H455" i="2"/>
  <c r="L455" i="2" s="1"/>
  <c r="V454" i="2"/>
  <c r="U454" i="2"/>
  <c r="T454" i="2"/>
  <c r="S454" i="2"/>
  <c r="R454" i="2"/>
  <c r="Q454" i="2"/>
  <c r="P454" i="2"/>
  <c r="O454" i="2"/>
  <c r="M454" i="2"/>
  <c r="L454" i="2"/>
  <c r="K454" i="2"/>
  <c r="J454" i="2"/>
  <c r="H454" i="2"/>
  <c r="N454" i="2" s="1"/>
  <c r="V453" i="2"/>
  <c r="U453" i="2"/>
  <c r="T453" i="2"/>
  <c r="S453" i="2"/>
  <c r="R453" i="2"/>
  <c r="Q453" i="2"/>
  <c r="P453" i="2"/>
  <c r="O453" i="2"/>
  <c r="M453" i="2"/>
  <c r="L453" i="2"/>
  <c r="K453" i="2"/>
  <c r="J453" i="2"/>
  <c r="H453" i="2"/>
  <c r="N453" i="2" s="1"/>
  <c r="V452" i="2"/>
  <c r="U452" i="2"/>
  <c r="T452" i="2"/>
  <c r="S452" i="2"/>
  <c r="R452" i="2"/>
  <c r="Q452" i="2"/>
  <c r="P452" i="2"/>
  <c r="O452" i="2"/>
  <c r="M452" i="2"/>
  <c r="L452" i="2"/>
  <c r="K452" i="2"/>
  <c r="J452" i="2"/>
  <c r="H452" i="2"/>
  <c r="N452" i="2" s="1"/>
  <c r="V451" i="2"/>
  <c r="U451" i="2"/>
  <c r="T451" i="2"/>
  <c r="S451" i="2"/>
  <c r="R451" i="2"/>
  <c r="Q451" i="2"/>
  <c r="P451" i="2"/>
  <c r="O451" i="2"/>
  <c r="N451" i="2"/>
  <c r="M451" i="2"/>
  <c r="K451" i="2"/>
  <c r="J451" i="2"/>
  <c r="H451" i="2"/>
  <c r="L451" i="2" s="1"/>
  <c r="V450" i="2"/>
  <c r="U450" i="2"/>
  <c r="T450" i="2"/>
  <c r="S450" i="2"/>
  <c r="R450" i="2"/>
  <c r="Q450" i="2"/>
  <c r="P450" i="2"/>
  <c r="O450" i="2"/>
  <c r="N450" i="2"/>
  <c r="M450" i="2"/>
  <c r="K450" i="2"/>
  <c r="J450" i="2"/>
  <c r="H450" i="2"/>
  <c r="L450" i="2" s="1"/>
  <c r="V449" i="2"/>
  <c r="U449" i="2"/>
  <c r="T449" i="2"/>
  <c r="S449" i="2"/>
  <c r="R449" i="2"/>
  <c r="Q449" i="2"/>
  <c r="P449" i="2"/>
  <c r="O449" i="2"/>
  <c r="N449" i="2"/>
  <c r="M449" i="2"/>
  <c r="K449" i="2"/>
  <c r="J449" i="2"/>
  <c r="H449" i="2"/>
  <c r="L449" i="2" s="1"/>
  <c r="V448" i="2"/>
  <c r="U448" i="2"/>
  <c r="T448" i="2"/>
  <c r="S448" i="2"/>
  <c r="R448" i="2"/>
  <c r="Q448" i="2"/>
  <c r="P448" i="2"/>
  <c r="O448" i="2"/>
  <c r="N448" i="2"/>
  <c r="M448" i="2"/>
  <c r="K448" i="2"/>
  <c r="J448" i="2"/>
  <c r="H448" i="2"/>
  <c r="L448" i="2" s="1"/>
  <c r="V447" i="2"/>
  <c r="U447" i="2"/>
  <c r="T447" i="2"/>
  <c r="S447" i="2"/>
  <c r="R447" i="2"/>
  <c r="Q447" i="2"/>
  <c r="P447" i="2"/>
  <c r="O447" i="2"/>
  <c r="N447" i="2"/>
  <c r="M447" i="2"/>
  <c r="L447" i="2"/>
  <c r="J447" i="2"/>
  <c r="H447" i="2"/>
  <c r="K447" i="2" s="1"/>
  <c r="V446" i="2"/>
  <c r="U446" i="2"/>
  <c r="T446" i="2"/>
  <c r="S446" i="2"/>
  <c r="R446" i="2"/>
  <c r="Q446" i="2"/>
  <c r="P446" i="2"/>
  <c r="O446" i="2"/>
  <c r="N446" i="2"/>
  <c r="M446" i="2"/>
  <c r="K446" i="2"/>
  <c r="J446" i="2"/>
  <c r="H446" i="2"/>
  <c r="L446" i="2" s="1"/>
  <c r="V445" i="2"/>
  <c r="U445" i="2"/>
  <c r="T445" i="2"/>
  <c r="S445" i="2"/>
  <c r="R445" i="2"/>
  <c r="Q445" i="2"/>
  <c r="P445" i="2"/>
  <c r="O445" i="2"/>
  <c r="M445" i="2"/>
  <c r="L445" i="2"/>
  <c r="K445" i="2"/>
  <c r="J445" i="2"/>
  <c r="H445" i="2"/>
  <c r="N445" i="2" s="1"/>
  <c r="V444" i="2"/>
  <c r="U444" i="2"/>
  <c r="T444" i="2"/>
  <c r="S444" i="2"/>
  <c r="R444" i="2"/>
  <c r="Q444" i="2"/>
  <c r="P444" i="2"/>
  <c r="O444" i="2"/>
  <c r="M444" i="2"/>
  <c r="L444" i="2"/>
  <c r="K444" i="2"/>
  <c r="J444" i="2"/>
  <c r="H444" i="2"/>
  <c r="N444" i="2" s="1"/>
  <c r="V443" i="2"/>
  <c r="U443" i="2"/>
  <c r="T443" i="2"/>
  <c r="S443" i="2"/>
  <c r="R443" i="2"/>
  <c r="Q443" i="2"/>
  <c r="P443" i="2"/>
  <c r="O443" i="2"/>
  <c r="M443" i="2"/>
  <c r="L443" i="2"/>
  <c r="K443" i="2"/>
  <c r="J443" i="2"/>
  <c r="H443" i="2"/>
  <c r="N443" i="2" s="1"/>
  <c r="V442" i="2"/>
  <c r="U442" i="2"/>
  <c r="T442" i="2"/>
  <c r="S442" i="2"/>
  <c r="R442" i="2"/>
  <c r="Q442" i="2"/>
  <c r="P442" i="2"/>
  <c r="O442" i="2"/>
  <c r="N442" i="2"/>
  <c r="M442" i="2"/>
  <c r="K442" i="2"/>
  <c r="J442" i="2"/>
  <c r="H442" i="2"/>
  <c r="L442" i="2" s="1"/>
  <c r="V441" i="2"/>
  <c r="U441" i="2"/>
  <c r="T441" i="2"/>
  <c r="S441" i="2"/>
  <c r="R441" i="2"/>
  <c r="Q441" i="2"/>
  <c r="P441" i="2"/>
  <c r="O441" i="2"/>
  <c r="M441" i="2"/>
  <c r="L441" i="2"/>
  <c r="K441" i="2"/>
  <c r="J441" i="2"/>
  <c r="H441" i="2"/>
  <c r="N441" i="2" s="1"/>
  <c r="V440" i="2"/>
  <c r="U440" i="2"/>
  <c r="T440" i="2"/>
  <c r="S440" i="2"/>
  <c r="R440" i="2"/>
  <c r="Q440" i="2"/>
  <c r="P440" i="2"/>
  <c r="O440" i="2"/>
  <c r="N440" i="2"/>
  <c r="M440" i="2"/>
  <c r="K440" i="2"/>
  <c r="J440" i="2"/>
  <c r="H440" i="2"/>
  <c r="L440" i="2" s="1"/>
  <c r="V439" i="2"/>
  <c r="U439" i="2"/>
  <c r="T439" i="2"/>
  <c r="S439" i="2"/>
  <c r="R439" i="2"/>
  <c r="Q439" i="2"/>
  <c r="P439" i="2"/>
  <c r="O439" i="2"/>
  <c r="N439" i="2"/>
  <c r="M439" i="2"/>
  <c r="K439" i="2"/>
  <c r="J439" i="2"/>
  <c r="H439" i="2"/>
  <c r="L439" i="2" s="1"/>
  <c r="V438" i="2"/>
  <c r="U438" i="2"/>
  <c r="T438" i="2"/>
  <c r="S438" i="2"/>
  <c r="R438" i="2"/>
  <c r="Q438" i="2"/>
  <c r="P438" i="2"/>
  <c r="O438" i="2"/>
  <c r="M438" i="2"/>
  <c r="L438" i="2"/>
  <c r="K438" i="2"/>
  <c r="J438" i="2"/>
  <c r="H438" i="2"/>
  <c r="N438" i="2" s="1"/>
  <c r="V437" i="2"/>
  <c r="U437" i="2"/>
  <c r="T437" i="2"/>
  <c r="S437" i="2"/>
  <c r="R437" i="2"/>
  <c r="Q437" i="2"/>
  <c r="P437" i="2"/>
  <c r="O437" i="2"/>
  <c r="N437" i="2"/>
  <c r="M437" i="2"/>
  <c r="K437" i="2"/>
  <c r="J437" i="2"/>
  <c r="H437" i="2"/>
  <c r="L437" i="2" s="1"/>
  <c r="V436" i="2"/>
  <c r="U436" i="2"/>
  <c r="T436" i="2"/>
  <c r="S436" i="2"/>
  <c r="R436" i="2"/>
  <c r="Q436" i="2"/>
  <c r="P436" i="2"/>
  <c r="O436" i="2"/>
  <c r="M436" i="2"/>
  <c r="L436" i="2"/>
  <c r="K436" i="2"/>
  <c r="J436" i="2"/>
  <c r="H436" i="2"/>
  <c r="N436" i="2" s="1"/>
  <c r="V435" i="2"/>
  <c r="U435" i="2"/>
  <c r="T435" i="2"/>
  <c r="S435" i="2"/>
  <c r="R435" i="2"/>
  <c r="Q435" i="2"/>
  <c r="P435" i="2"/>
  <c r="O435" i="2"/>
  <c r="M435" i="2"/>
  <c r="L435" i="2"/>
  <c r="K435" i="2"/>
  <c r="J435" i="2"/>
  <c r="H435" i="2"/>
  <c r="N435" i="2" s="1"/>
  <c r="V434" i="2"/>
  <c r="U434" i="2"/>
  <c r="T434" i="2"/>
  <c r="S434" i="2"/>
  <c r="R434" i="2"/>
  <c r="Q434" i="2"/>
  <c r="P434" i="2"/>
  <c r="O434" i="2"/>
  <c r="M434" i="2"/>
  <c r="L434" i="2"/>
  <c r="K434" i="2"/>
  <c r="J434" i="2"/>
  <c r="H434" i="2"/>
  <c r="N434" i="2" s="1"/>
  <c r="V433" i="2"/>
  <c r="U433" i="2"/>
  <c r="T433" i="2"/>
  <c r="S433" i="2"/>
  <c r="R433" i="2"/>
  <c r="Q433" i="2"/>
  <c r="P433" i="2"/>
  <c r="O433" i="2"/>
  <c r="M433" i="2"/>
  <c r="L433" i="2"/>
  <c r="K433" i="2"/>
  <c r="J433" i="2"/>
  <c r="H433" i="2"/>
  <c r="N433" i="2" s="1"/>
  <c r="V432" i="2"/>
  <c r="U432" i="2"/>
  <c r="T432" i="2"/>
  <c r="S432" i="2"/>
  <c r="R432" i="2"/>
  <c r="Q432" i="2"/>
  <c r="P432" i="2"/>
  <c r="O432" i="2"/>
  <c r="N432" i="2"/>
  <c r="M432" i="2"/>
  <c r="K432" i="2"/>
  <c r="J432" i="2"/>
  <c r="H432" i="2"/>
  <c r="L432" i="2" s="1"/>
  <c r="V431" i="2"/>
  <c r="U431" i="2"/>
  <c r="T431" i="2"/>
  <c r="S431" i="2"/>
  <c r="R431" i="2"/>
  <c r="Q431" i="2"/>
  <c r="P431" i="2"/>
  <c r="O431" i="2"/>
  <c r="M431" i="2"/>
  <c r="L431" i="2"/>
  <c r="K431" i="2"/>
  <c r="J431" i="2"/>
  <c r="H431" i="2"/>
  <c r="N431" i="2" s="1"/>
  <c r="V430" i="2"/>
  <c r="U430" i="2"/>
  <c r="T430" i="2"/>
  <c r="S430" i="2"/>
  <c r="R430" i="2"/>
  <c r="Q430" i="2"/>
  <c r="P430" i="2"/>
  <c r="O430" i="2"/>
  <c r="N430" i="2"/>
  <c r="M430" i="2"/>
  <c r="K430" i="2"/>
  <c r="J430" i="2"/>
  <c r="H430" i="2"/>
  <c r="L430" i="2" s="1"/>
  <c r="V429" i="2"/>
  <c r="U429" i="2"/>
  <c r="T429" i="2"/>
  <c r="S429" i="2"/>
  <c r="R429" i="2"/>
  <c r="Q429" i="2"/>
  <c r="P429" i="2"/>
  <c r="O429" i="2"/>
  <c r="M429" i="2"/>
  <c r="L429" i="2"/>
  <c r="K429" i="2"/>
  <c r="J429" i="2"/>
  <c r="H429" i="2"/>
  <c r="N429" i="2" s="1"/>
  <c r="V428" i="2"/>
  <c r="U428" i="2"/>
  <c r="T428" i="2"/>
  <c r="S428" i="2"/>
  <c r="R428" i="2"/>
  <c r="Q428" i="2"/>
  <c r="P428" i="2"/>
  <c r="O428" i="2"/>
  <c r="N428" i="2"/>
  <c r="M428" i="2"/>
  <c r="K428" i="2"/>
  <c r="J428" i="2"/>
  <c r="H428" i="2"/>
  <c r="L428" i="2" s="1"/>
  <c r="V427" i="2"/>
  <c r="U427" i="2"/>
  <c r="T427" i="2"/>
  <c r="S427" i="2"/>
  <c r="R427" i="2"/>
  <c r="Q427" i="2"/>
  <c r="P427" i="2"/>
  <c r="O427" i="2"/>
  <c r="M427" i="2"/>
  <c r="L427" i="2"/>
  <c r="K427" i="2"/>
  <c r="J427" i="2"/>
  <c r="H427" i="2"/>
  <c r="N427" i="2" s="1"/>
  <c r="V426" i="2"/>
  <c r="U426" i="2"/>
  <c r="T426" i="2"/>
  <c r="S426" i="2"/>
  <c r="R426" i="2"/>
  <c r="Q426" i="2"/>
  <c r="P426" i="2"/>
  <c r="O426" i="2"/>
  <c r="N426" i="2"/>
  <c r="M426" i="2"/>
  <c r="K426" i="2"/>
  <c r="J426" i="2"/>
  <c r="H426" i="2"/>
  <c r="L426" i="2" s="1"/>
  <c r="V425" i="2"/>
  <c r="U425" i="2"/>
  <c r="T425" i="2"/>
  <c r="S425" i="2"/>
  <c r="R425" i="2"/>
  <c r="Q425" i="2"/>
  <c r="P425" i="2"/>
  <c r="O425" i="2"/>
  <c r="M425" i="2"/>
  <c r="L425" i="2"/>
  <c r="K425" i="2"/>
  <c r="J425" i="2"/>
  <c r="H425" i="2"/>
  <c r="N425" i="2" s="1"/>
  <c r="V424" i="2"/>
  <c r="U424" i="2"/>
  <c r="T424" i="2"/>
  <c r="S424" i="2"/>
  <c r="R424" i="2"/>
  <c r="Q424" i="2"/>
  <c r="P424" i="2"/>
  <c r="N424" i="2"/>
  <c r="M424" i="2"/>
  <c r="L424" i="2"/>
  <c r="K424" i="2"/>
  <c r="J424" i="2"/>
  <c r="H424" i="2"/>
  <c r="O424" i="2" s="1"/>
  <c r="V423" i="2"/>
  <c r="U423" i="2"/>
  <c r="T423" i="2"/>
  <c r="S423" i="2"/>
  <c r="R423" i="2"/>
  <c r="Q423" i="2"/>
  <c r="P423" i="2"/>
  <c r="O423" i="2"/>
  <c r="N423" i="2"/>
  <c r="M423" i="2"/>
  <c r="K423" i="2"/>
  <c r="J423" i="2"/>
  <c r="H423" i="2"/>
  <c r="L423" i="2" s="1"/>
  <c r="V422" i="2"/>
  <c r="U422" i="2"/>
  <c r="T422" i="2"/>
  <c r="S422" i="2"/>
  <c r="R422" i="2"/>
  <c r="Q422" i="2"/>
  <c r="P422" i="2"/>
  <c r="O422" i="2"/>
  <c r="N422" i="2"/>
  <c r="M422" i="2"/>
  <c r="K422" i="2"/>
  <c r="J422" i="2"/>
  <c r="H422" i="2"/>
  <c r="L422" i="2" s="1"/>
  <c r="V421" i="2"/>
  <c r="U421" i="2"/>
  <c r="T421" i="2"/>
  <c r="S421" i="2"/>
  <c r="R421" i="2"/>
  <c r="Q421" i="2"/>
  <c r="P421" i="2"/>
  <c r="O421" i="2"/>
  <c r="N421" i="2"/>
  <c r="M421" i="2"/>
  <c r="K421" i="2"/>
  <c r="J421" i="2"/>
  <c r="H421" i="2"/>
  <c r="L421" i="2" s="1"/>
  <c r="V420" i="2"/>
  <c r="U420" i="2"/>
  <c r="T420" i="2"/>
  <c r="S420" i="2"/>
  <c r="R420" i="2"/>
  <c r="Q420" i="2"/>
  <c r="P420" i="2"/>
  <c r="O420" i="2"/>
  <c r="N420" i="2"/>
  <c r="M420" i="2"/>
  <c r="K420" i="2"/>
  <c r="J420" i="2"/>
  <c r="H420" i="2"/>
  <c r="L420" i="2" s="1"/>
  <c r="V419" i="2"/>
  <c r="U419" i="2"/>
  <c r="T419" i="2"/>
  <c r="S419" i="2"/>
  <c r="R419" i="2"/>
  <c r="Q419" i="2"/>
  <c r="P419" i="2"/>
  <c r="O419" i="2"/>
  <c r="N419" i="2"/>
  <c r="M419" i="2"/>
  <c r="K419" i="2"/>
  <c r="J419" i="2"/>
  <c r="H419" i="2"/>
  <c r="L419" i="2" s="1"/>
  <c r="V418" i="2"/>
  <c r="U418" i="2"/>
  <c r="T418" i="2"/>
  <c r="S418" i="2"/>
  <c r="R418" i="2"/>
  <c r="Q418" i="2"/>
  <c r="P418" i="2"/>
  <c r="O418" i="2"/>
  <c r="N418" i="2"/>
  <c r="M418" i="2"/>
  <c r="K418" i="2"/>
  <c r="J418" i="2"/>
  <c r="H418" i="2"/>
  <c r="L418" i="2" s="1"/>
  <c r="V417" i="2"/>
  <c r="U417" i="2"/>
  <c r="T417" i="2"/>
  <c r="S417" i="2"/>
  <c r="R417" i="2"/>
  <c r="Q417" i="2"/>
  <c r="P417" i="2"/>
  <c r="O417" i="2"/>
  <c r="N417" i="2"/>
  <c r="M417" i="2"/>
  <c r="K417" i="2"/>
  <c r="J417" i="2"/>
  <c r="H417" i="2"/>
  <c r="L417" i="2" s="1"/>
  <c r="V416" i="2"/>
  <c r="U416" i="2"/>
  <c r="T416" i="2"/>
  <c r="S416" i="2"/>
  <c r="R416" i="2"/>
  <c r="Q416" i="2"/>
  <c r="P416" i="2"/>
  <c r="O416" i="2"/>
  <c r="N416" i="2"/>
  <c r="M416" i="2"/>
  <c r="K416" i="2"/>
  <c r="J416" i="2"/>
  <c r="H416" i="2"/>
  <c r="L416" i="2" s="1"/>
  <c r="V415" i="2"/>
  <c r="U415" i="2"/>
  <c r="T415" i="2"/>
  <c r="S415" i="2"/>
  <c r="R415" i="2"/>
  <c r="Q415" i="2"/>
  <c r="P415" i="2"/>
  <c r="O415" i="2"/>
  <c r="N415" i="2"/>
  <c r="M415" i="2"/>
  <c r="K415" i="2"/>
  <c r="J415" i="2"/>
  <c r="H415" i="2"/>
  <c r="L415" i="2" s="1"/>
  <c r="V414" i="2"/>
  <c r="U414" i="2"/>
  <c r="T414" i="2"/>
  <c r="S414" i="2"/>
  <c r="R414" i="2"/>
  <c r="Q414" i="2"/>
  <c r="P414" i="2"/>
  <c r="O414" i="2"/>
  <c r="M414" i="2"/>
  <c r="L414" i="2"/>
  <c r="K414" i="2"/>
  <c r="J414" i="2"/>
  <c r="H414" i="2"/>
  <c r="N414" i="2" s="1"/>
  <c r="V413" i="2"/>
  <c r="U413" i="2"/>
  <c r="T413" i="2"/>
  <c r="S413" i="2"/>
  <c r="R413" i="2"/>
  <c r="Q413" i="2"/>
  <c r="P413" i="2"/>
  <c r="O413" i="2"/>
  <c r="N413" i="2"/>
  <c r="M413" i="2"/>
  <c r="K413" i="2"/>
  <c r="J413" i="2"/>
  <c r="H413" i="2"/>
  <c r="L413" i="2" s="1"/>
  <c r="V412" i="2"/>
  <c r="U412" i="2"/>
  <c r="T412" i="2"/>
  <c r="S412" i="2"/>
  <c r="R412" i="2"/>
  <c r="Q412" i="2"/>
  <c r="P412" i="2"/>
  <c r="O412" i="2"/>
  <c r="N412" i="2"/>
  <c r="M412" i="2"/>
  <c r="K412" i="2"/>
  <c r="J412" i="2"/>
  <c r="H412" i="2"/>
  <c r="L412" i="2" s="1"/>
  <c r="V411" i="2"/>
  <c r="U411" i="2"/>
  <c r="T411" i="2"/>
  <c r="S411" i="2"/>
  <c r="R411" i="2"/>
  <c r="Q411" i="2"/>
  <c r="P411" i="2"/>
  <c r="O411" i="2"/>
  <c r="N411" i="2"/>
  <c r="M411" i="2"/>
  <c r="K411" i="2"/>
  <c r="J411" i="2"/>
  <c r="H411" i="2"/>
  <c r="L411" i="2" s="1"/>
  <c r="V410" i="2"/>
  <c r="U410" i="2"/>
  <c r="T410" i="2"/>
  <c r="S410" i="2"/>
  <c r="R410" i="2"/>
  <c r="Q410" i="2"/>
  <c r="P410" i="2"/>
  <c r="O410" i="2"/>
  <c r="N410" i="2"/>
  <c r="M410" i="2"/>
  <c r="K410" i="2"/>
  <c r="J410" i="2"/>
  <c r="H410" i="2"/>
  <c r="L410" i="2" s="1"/>
  <c r="V409" i="2"/>
  <c r="U409" i="2"/>
  <c r="T409" i="2"/>
  <c r="S409" i="2"/>
  <c r="R409" i="2"/>
  <c r="Q409" i="2"/>
  <c r="P409" i="2"/>
  <c r="O409" i="2"/>
  <c r="N409" i="2"/>
  <c r="M409" i="2"/>
  <c r="K409" i="2"/>
  <c r="J409" i="2"/>
  <c r="H409" i="2"/>
  <c r="L409" i="2" s="1"/>
  <c r="V408" i="2"/>
  <c r="U408" i="2"/>
  <c r="T408" i="2"/>
  <c r="S408" i="2"/>
  <c r="R408" i="2"/>
  <c r="Q408" i="2"/>
  <c r="P408" i="2"/>
  <c r="O408" i="2"/>
  <c r="N408" i="2"/>
  <c r="M408" i="2"/>
  <c r="K408" i="2"/>
  <c r="J408" i="2"/>
  <c r="H408" i="2"/>
  <c r="L408" i="2" s="1"/>
  <c r="V407" i="2"/>
  <c r="U407" i="2"/>
  <c r="T407" i="2"/>
  <c r="S407" i="2"/>
  <c r="R407" i="2"/>
  <c r="Q407" i="2"/>
  <c r="P407" i="2"/>
  <c r="O407" i="2"/>
  <c r="N407" i="2"/>
  <c r="M407" i="2"/>
  <c r="K407" i="2"/>
  <c r="J407" i="2"/>
  <c r="H407" i="2"/>
  <c r="L407" i="2" s="1"/>
  <c r="V406" i="2"/>
  <c r="U406" i="2"/>
  <c r="T406" i="2"/>
  <c r="S406" i="2"/>
  <c r="R406" i="2"/>
  <c r="Q406" i="2"/>
  <c r="P406" i="2"/>
  <c r="O406" i="2"/>
  <c r="N406" i="2"/>
  <c r="M406" i="2"/>
  <c r="K406" i="2"/>
  <c r="J406" i="2"/>
  <c r="H406" i="2"/>
  <c r="L406" i="2" s="1"/>
  <c r="V405" i="2"/>
  <c r="U405" i="2"/>
  <c r="T405" i="2"/>
  <c r="S405" i="2"/>
  <c r="R405" i="2"/>
  <c r="Q405" i="2"/>
  <c r="P405" i="2"/>
  <c r="O405" i="2"/>
  <c r="N405" i="2"/>
  <c r="M405" i="2"/>
  <c r="K405" i="2"/>
  <c r="J405" i="2"/>
  <c r="H405" i="2"/>
  <c r="L405" i="2" s="1"/>
  <c r="V404" i="2"/>
  <c r="U404" i="2"/>
  <c r="T404" i="2"/>
  <c r="S404" i="2"/>
  <c r="R404" i="2"/>
  <c r="Q404" i="2"/>
  <c r="P404" i="2"/>
  <c r="N404" i="2"/>
  <c r="M404" i="2"/>
  <c r="L404" i="2"/>
  <c r="K404" i="2"/>
  <c r="J404" i="2"/>
  <c r="H404" i="2"/>
  <c r="O404" i="2" s="1"/>
  <c r="V403" i="2"/>
  <c r="U403" i="2"/>
  <c r="T403" i="2"/>
  <c r="S403" i="2"/>
  <c r="R403" i="2"/>
  <c r="Q403" i="2"/>
  <c r="P403" i="2"/>
  <c r="O403" i="2"/>
  <c r="N403" i="2"/>
  <c r="M403" i="2"/>
  <c r="K403" i="2"/>
  <c r="J403" i="2"/>
  <c r="H403" i="2"/>
  <c r="L403" i="2" s="1"/>
  <c r="V402" i="2"/>
  <c r="U402" i="2"/>
  <c r="T402" i="2"/>
  <c r="S402" i="2"/>
  <c r="R402" i="2"/>
  <c r="Q402" i="2"/>
  <c r="P402" i="2"/>
  <c r="O402" i="2"/>
  <c r="N402" i="2"/>
  <c r="M402" i="2"/>
  <c r="K402" i="2"/>
  <c r="J402" i="2"/>
  <c r="H402" i="2"/>
  <c r="L402" i="2" s="1"/>
  <c r="V401" i="2"/>
  <c r="U401" i="2"/>
  <c r="T401" i="2"/>
  <c r="S401" i="2"/>
  <c r="R401" i="2"/>
  <c r="Q401" i="2"/>
  <c r="P401" i="2"/>
  <c r="O401" i="2"/>
  <c r="N401" i="2"/>
  <c r="M401" i="2"/>
  <c r="K401" i="2"/>
  <c r="J401" i="2"/>
  <c r="H401" i="2"/>
  <c r="L401" i="2" s="1"/>
  <c r="V400" i="2"/>
  <c r="U400" i="2"/>
  <c r="T400" i="2"/>
  <c r="S400" i="2"/>
  <c r="R400" i="2"/>
  <c r="Q400" i="2"/>
  <c r="P400" i="2"/>
  <c r="O400" i="2"/>
  <c r="N400" i="2"/>
  <c r="M400" i="2"/>
  <c r="K400" i="2"/>
  <c r="J400" i="2"/>
  <c r="H400" i="2"/>
  <c r="L400" i="2" s="1"/>
  <c r="V399" i="2"/>
  <c r="U399" i="2"/>
  <c r="T399" i="2"/>
  <c r="S399" i="2"/>
  <c r="R399" i="2"/>
  <c r="Q399" i="2"/>
  <c r="P399" i="2"/>
  <c r="O399" i="2"/>
  <c r="N399" i="2"/>
  <c r="M399" i="2"/>
  <c r="K399" i="2"/>
  <c r="J399" i="2"/>
  <c r="H399" i="2"/>
  <c r="L399" i="2" s="1"/>
  <c r="V398" i="2"/>
  <c r="U398" i="2"/>
  <c r="T398" i="2"/>
  <c r="S398" i="2"/>
  <c r="R398" i="2"/>
  <c r="Q398" i="2"/>
  <c r="P398" i="2"/>
  <c r="O398" i="2"/>
  <c r="N398" i="2"/>
  <c r="M398" i="2"/>
  <c r="K398" i="2"/>
  <c r="J398" i="2"/>
  <c r="H398" i="2"/>
  <c r="L398" i="2" s="1"/>
  <c r="V397" i="2"/>
  <c r="U397" i="2"/>
  <c r="T397" i="2"/>
  <c r="S397" i="2"/>
  <c r="R397" i="2"/>
  <c r="Q397" i="2"/>
  <c r="P397" i="2"/>
  <c r="O397" i="2"/>
  <c r="N397" i="2"/>
  <c r="M397" i="2"/>
  <c r="K397" i="2"/>
  <c r="J397" i="2"/>
  <c r="H397" i="2"/>
  <c r="L397" i="2" s="1"/>
  <c r="V396" i="2"/>
  <c r="U396" i="2"/>
  <c r="T396" i="2"/>
  <c r="S396" i="2"/>
  <c r="R396" i="2"/>
  <c r="Q396" i="2"/>
  <c r="P396" i="2"/>
  <c r="O396" i="2"/>
  <c r="N396" i="2"/>
  <c r="M396" i="2"/>
  <c r="K396" i="2"/>
  <c r="J396" i="2"/>
  <c r="H396" i="2"/>
  <c r="L396" i="2" s="1"/>
  <c r="V395" i="2"/>
  <c r="U395" i="2"/>
  <c r="T395" i="2"/>
  <c r="S395" i="2"/>
  <c r="R395" i="2"/>
  <c r="Q395" i="2"/>
  <c r="P395" i="2"/>
  <c r="O395" i="2"/>
  <c r="N395" i="2"/>
  <c r="M395" i="2"/>
  <c r="K395" i="2"/>
  <c r="J395" i="2"/>
  <c r="H395" i="2"/>
  <c r="L395" i="2" s="1"/>
  <c r="V394" i="2"/>
  <c r="U394" i="2"/>
  <c r="T394" i="2"/>
  <c r="S394" i="2"/>
  <c r="R394" i="2"/>
  <c r="Q394" i="2"/>
  <c r="P394" i="2"/>
  <c r="O394" i="2"/>
  <c r="N394" i="2"/>
  <c r="M394" i="2"/>
  <c r="K394" i="2"/>
  <c r="J394" i="2"/>
  <c r="H394" i="2"/>
  <c r="L394" i="2" s="1"/>
  <c r="V393" i="2"/>
  <c r="U393" i="2"/>
  <c r="T393" i="2"/>
  <c r="S393" i="2"/>
  <c r="R393" i="2"/>
  <c r="Q393" i="2"/>
  <c r="P393" i="2"/>
  <c r="O393" i="2"/>
  <c r="N393" i="2"/>
  <c r="M393" i="2"/>
  <c r="K393" i="2"/>
  <c r="J393" i="2"/>
  <c r="H393" i="2"/>
  <c r="L393" i="2" s="1"/>
  <c r="V392" i="2"/>
  <c r="U392" i="2"/>
  <c r="T392" i="2"/>
  <c r="S392" i="2"/>
  <c r="R392" i="2"/>
  <c r="Q392" i="2"/>
  <c r="P392" i="2"/>
  <c r="O392" i="2"/>
  <c r="N392" i="2"/>
  <c r="M392" i="2"/>
  <c r="K392" i="2"/>
  <c r="J392" i="2"/>
  <c r="H392" i="2"/>
  <c r="L392" i="2" s="1"/>
  <c r="V391" i="2"/>
  <c r="U391" i="2"/>
  <c r="T391" i="2"/>
  <c r="S391" i="2"/>
  <c r="R391" i="2"/>
  <c r="Q391" i="2"/>
  <c r="P391" i="2"/>
  <c r="O391" i="2"/>
  <c r="N391" i="2"/>
  <c r="M391" i="2"/>
  <c r="K391" i="2"/>
  <c r="J391" i="2"/>
  <c r="H391" i="2"/>
  <c r="L391" i="2" s="1"/>
  <c r="V390" i="2"/>
  <c r="U390" i="2"/>
  <c r="T390" i="2"/>
  <c r="S390" i="2"/>
  <c r="R390" i="2"/>
  <c r="Q390" i="2"/>
  <c r="P390" i="2"/>
  <c r="O390" i="2"/>
  <c r="M390" i="2"/>
  <c r="L390" i="2"/>
  <c r="K390" i="2"/>
  <c r="J390" i="2"/>
  <c r="H390" i="2"/>
  <c r="N390" i="2" s="1"/>
  <c r="V389" i="2"/>
  <c r="U389" i="2"/>
  <c r="T389" i="2"/>
  <c r="S389" i="2"/>
  <c r="R389" i="2"/>
  <c r="Q389" i="2"/>
  <c r="P389" i="2"/>
  <c r="O389" i="2"/>
  <c r="N389" i="2"/>
  <c r="M389" i="2"/>
  <c r="K389" i="2"/>
  <c r="J389" i="2"/>
  <c r="H389" i="2"/>
  <c r="L389" i="2" s="1"/>
  <c r="V388" i="2"/>
  <c r="U388" i="2"/>
  <c r="T388" i="2"/>
  <c r="S388" i="2"/>
  <c r="R388" i="2"/>
  <c r="Q388" i="2"/>
  <c r="P388" i="2"/>
  <c r="O388" i="2"/>
  <c r="N388" i="2"/>
  <c r="M388" i="2"/>
  <c r="K388" i="2"/>
  <c r="J388" i="2"/>
  <c r="H388" i="2"/>
  <c r="L388" i="2" s="1"/>
  <c r="V387" i="2"/>
  <c r="U387" i="2"/>
  <c r="T387" i="2"/>
  <c r="S387" i="2"/>
  <c r="R387" i="2"/>
  <c r="Q387" i="2"/>
  <c r="P387" i="2"/>
  <c r="O387" i="2"/>
  <c r="N387" i="2"/>
  <c r="M387" i="2"/>
  <c r="K387" i="2"/>
  <c r="J387" i="2"/>
  <c r="H387" i="2"/>
  <c r="L387" i="2" s="1"/>
  <c r="V386" i="2"/>
  <c r="U386" i="2"/>
  <c r="T386" i="2"/>
  <c r="S386" i="2"/>
  <c r="R386" i="2"/>
  <c r="Q386" i="2"/>
  <c r="P386" i="2"/>
  <c r="O386" i="2"/>
  <c r="N386" i="2"/>
  <c r="M386" i="2"/>
  <c r="K386" i="2"/>
  <c r="J386" i="2"/>
  <c r="H386" i="2"/>
  <c r="L386" i="2" s="1"/>
  <c r="V385" i="2"/>
  <c r="U385" i="2"/>
  <c r="T385" i="2"/>
  <c r="S385" i="2"/>
  <c r="R385" i="2"/>
  <c r="Q385" i="2"/>
  <c r="P385" i="2"/>
  <c r="O385" i="2"/>
  <c r="N385" i="2"/>
  <c r="M385" i="2"/>
  <c r="K385" i="2"/>
  <c r="J385" i="2"/>
  <c r="H385" i="2"/>
  <c r="L385" i="2" s="1"/>
  <c r="V384" i="2"/>
  <c r="U384" i="2"/>
  <c r="T384" i="2"/>
  <c r="S384" i="2"/>
  <c r="R384" i="2"/>
  <c r="Q384" i="2"/>
  <c r="P384" i="2"/>
  <c r="O384" i="2"/>
  <c r="N384" i="2"/>
  <c r="M384" i="2"/>
  <c r="K384" i="2"/>
  <c r="J384" i="2"/>
  <c r="H384" i="2"/>
  <c r="L384" i="2" s="1"/>
  <c r="V383" i="2"/>
  <c r="U383" i="2"/>
  <c r="T383" i="2"/>
  <c r="S383" i="2"/>
  <c r="R383" i="2"/>
  <c r="Q383" i="2"/>
  <c r="P383" i="2"/>
  <c r="O383" i="2"/>
  <c r="N383" i="2"/>
  <c r="M383" i="2"/>
  <c r="K383" i="2"/>
  <c r="J383" i="2"/>
  <c r="H383" i="2"/>
  <c r="L383" i="2" s="1"/>
  <c r="V382" i="2"/>
  <c r="U382" i="2"/>
  <c r="T382" i="2"/>
  <c r="S382" i="2"/>
  <c r="R382" i="2"/>
  <c r="Q382" i="2"/>
  <c r="P382" i="2"/>
  <c r="O382" i="2"/>
  <c r="N382" i="2"/>
  <c r="M382" i="2"/>
  <c r="K382" i="2"/>
  <c r="J382" i="2"/>
  <c r="H382" i="2"/>
  <c r="L382" i="2" s="1"/>
  <c r="V381" i="2"/>
  <c r="U381" i="2"/>
  <c r="T381" i="2"/>
  <c r="S381" i="2"/>
  <c r="R381" i="2"/>
  <c r="Q381" i="2"/>
  <c r="P381" i="2"/>
  <c r="O381" i="2"/>
  <c r="N381" i="2"/>
  <c r="M381" i="2"/>
  <c r="K381" i="2"/>
  <c r="J381" i="2"/>
  <c r="H381" i="2"/>
  <c r="L381" i="2" s="1"/>
  <c r="V380" i="2"/>
  <c r="U380" i="2"/>
  <c r="T380" i="2"/>
  <c r="S380" i="2"/>
  <c r="R380" i="2"/>
  <c r="Q380" i="2"/>
  <c r="P380" i="2"/>
  <c r="O380" i="2"/>
  <c r="N380" i="2"/>
  <c r="M380" i="2"/>
  <c r="K380" i="2"/>
  <c r="J380" i="2"/>
  <c r="H380" i="2"/>
  <c r="L380" i="2" s="1"/>
  <c r="V379" i="2"/>
  <c r="U379" i="2"/>
  <c r="T379" i="2"/>
  <c r="S379" i="2"/>
  <c r="R379" i="2"/>
  <c r="Q379" i="2"/>
  <c r="P379" i="2"/>
  <c r="O379" i="2"/>
  <c r="N379" i="2"/>
  <c r="M379" i="2"/>
  <c r="K379" i="2"/>
  <c r="J379" i="2"/>
  <c r="H379" i="2"/>
  <c r="L379" i="2" s="1"/>
  <c r="V378" i="2"/>
  <c r="U378" i="2"/>
  <c r="T378" i="2"/>
  <c r="S378" i="2"/>
  <c r="R378" i="2"/>
  <c r="Q378" i="2"/>
  <c r="P378" i="2"/>
  <c r="O378" i="2"/>
  <c r="N378" i="2"/>
  <c r="M378" i="2"/>
  <c r="K378" i="2"/>
  <c r="J378" i="2"/>
  <c r="H378" i="2"/>
  <c r="L378" i="2" s="1"/>
  <c r="V377" i="2"/>
  <c r="U377" i="2"/>
  <c r="T377" i="2"/>
  <c r="S377" i="2"/>
  <c r="R377" i="2"/>
  <c r="Q377" i="2"/>
  <c r="P377" i="2"/>
  <c r="O377" i="2"/>
  <c r="N377" i="2"/>
  <c r="M377" i="2"/>
  <c r="K377" i="2"/>
  <c r="J377" i="2"/>
  <c r="H377" i="2"/>
  <c r="L377" i="2" s="1"/>
  <c r="V376" i="2"/>
  <c r="U376" i="2"/>
  <c r="T376" i="2"/>
  <c r="S376" i="2"/>
  <c r="R376" i="2"/>
  <c r="Q376" i="2"/>
  <c r="P376" i="2"/>
  <c r="N376" i="2"/>
  <c r="M376" i="2"/>
  <c r="L376" i="2"/>
  <c r="K376" i="2"/>
  <c r="J376" i="2"/>
  <c r="H376" i="2"/>
  <c r="O376" i="2" s="1"/>
  <c r="V375" i="2"/>
  <c r="U375" i="2"/>
  <c r="T375" i="2"/>
  <c r="S375" i="2"/>
  <c r="R375" i="2"/>
  <c r="Q375" i="2"/>
  <c r="P375" i="2"/>
  <c r="O375" i="2"/>
  <c r="N375" i="2"/>
  <c r="M375" i="2"/>
  <c r="K375" i="2"/>
  <c r="J375" i="2"/>
  <c r="H375" i="2"/>
  <c r="L375" i="2" s="1"/>
  <c r="V374" i="2"/>
  <c r="U374" i="2"/>
  <c r="T374" i="2"/>
  <c r="S374" i="2"/>
  <c r="R374" i="2"/>
  <c r="Q374" i="2"/>
  <c r="P374" i="2"/>
  <c r="O374" i="2"/>
  <c r="N374" i="2"/>
  <c r="M374" i="2"/>
  <c r="K374" i="2"/>
  <c r="J374" i="2"/>
  <c r="H374" i="2"/>
  <c r="L374" i="2" s="1"/>
  <c r="V373" i="2"/>
  <c r="U373" i="2"/>
  <c r="T373" i="2"/>
  <c r="S373" i="2"/>
  <c r="R373" i="2"/>
  <c r="Q373" i="2"/>
  <c r="P373" i="2"/>
  <c r="O373" i="2"/>
  <c r="N373" i="2"/>
  <c r="M373" i="2"/>
  <c r="K373" i="2"/>
  <c r="J373" i="2"/>
  <c r="H373" i="2"/>
  <c r="L373" i="2" s="1"/>
  <c r="V372" i="2"/>
  <c r="U372" i="2"/>
  <c r="T372" i="2"/>
  <c r="S372" i="2"/>
  <c r="R372" i="2"/>
  <c r="Q372" i="2"/>
  <c r="P372" i="2"/>
  <c r="O372" i="2"/>
  <c r="N372" i="2"/>
  <c r="M372" i="2"/>
  <c r="K372" i="2"/>
  <c r="J372" i="2"/>
  <c r="H372" i="2"/>
  <c r="L372" i="2" s="1"/>
  <c r="V371" i="2"/>
  <c r="U371" i="2"/>
  <c r="T371" i="2"/>
  <c r="S371" i="2"/>
  <c r="R371" i="2"/>
  <c r="Q371" i="2"/>
  <c r="P371" i="2"/>
  <c r="O371" i="2"/>
  <c r="N371" i="2"/>
  <c r="M371" i="2"/>
  <c r="K371" i="2"/>
  <c r="J371" i="2"/>
  <c r="H371" i="2"/>
  <c r="L371" i="2" s="1"/>
  <c r="V370" i="2"/>
  <c r="U370" i="2"/>
  <c r="T370" i="2"/>
  <c r="S370" i="2"/>
  <c r="R370" i="2"/>
  <c r="Q370" i="2"/>
  <c r="P370" i="2"/>
  <c r="O370" i="2"/>
  <c r="N370" i="2"/>
  <c r="M370" i="2"/>
  <c r="K370" i="2"/>
  <c r="J370" i="2"/>
  <c r="H370" i="2"/>
  <c r="L370" i="2" s="1"/>
  <c r="V369" i="2"/>
  <c r="U369" i="2"/>
  <c r="T369" i="2"/>
  <c r="S369" i="2"/>
  <c r="R369" i="2"/>
  <c r="Q369" i="2"/>
  <c r="P369" i="2"/>
  <c r="O369" i="2"/>
  <c r="N369" i="2"/>
  <c r="M369" i="2"/>
  <c r="K369" i="2"/>
  <c r="J369" i="2"/>
  <c r="H369" i="2"/>
  <c r="L369" i="2" s="1"/>
  <c r="V368" i="2"/>
  <c r="U368" i="2"/>
  <c r="T368" i="2"/>
  <c r="S368" i="2"/>
  <c r="R368" i="2"/>
  <c r="Q368" i="2"/>
  <c r="P368" i="2"/>
  <c r="O368" i="2"/>
  <c r="N368" i="2"/>
  <c r="M368" i="2"/>
  <c r="K368" i="2"/>
  <c r="J368" i="2"/>
  <c r="H368" i="2"/>
  <c r="L368" i="2" s="1"/>
  <c r="V367" i="2"/>
  <c r="U367" i="2"/>
  <c r="T367" i="2"/>
  <c r="S367" i="2"/>
  <c r="R367" i="2"/>
  <c r="Q367" i="2"/>
  <c r="P367" i="2"/>
  <c r="O367" i="2"/>
  <c r="M367" i="2"/>
  <c r="L367" i="2"/>
  <c r="K367" i="2"/>
  <c r="J367" i="2"/>
  <c r="H367" i="2"/>
  <c r="N367" i="2" s="1"/>
  <c r="V366" i="2"/>
  <c r="U366" i="2"/>
  <c r="T366" i="2"/>
  <c r="S366" i="2"/>
  <c r="R366" i="2"/>
  <c r="Q366" i="2"/>
  <c r="P366" i="2"/>
  <c r="O366" i="2"/>
  <c r="N366" i="2"/>
  <c r="M366" i="2"/>
  <c r="L366" i="2"/>
  <c r="J366" i="2"/>
  <c r="H366" i="2"/>
  <c r="K366" i="2" s="1"/>
  <c r="V365" i="2"/>
  <c r="U365" i="2"/>
  <c r="T365" i="2"/>
  <c r="S365" i="2"/>
  <c r="R365" i="2"/>
  <c r="Q365" i="2"/>
  <c r="P365" i="2"/>
  <c r="O365" i="2"/>
  <c r="N365" i="2"/>
  <c r="M365" i="2"/>
  <c r="K365" i="2"/>
  <c r="J365" i="2"/>
  <c r="H365" i="2"/>
  <c r="L365" i="2" s="1"/>
  <c r="V364" i="2"/>
  <c r="U364" i="2"/>
  <c r="T364" i="2"/>
  <c r="S364" i="2"/>
  <c r="R364" i="2"/>
  <c r="Q364" i="2"/>
  <c r="P364" i="2"/>
  <c r="O364" i="2"/>
  <c r="N364" i="2"/>
  <c r="M364" i="2"/>
  <c r="K364" i="2"/>
  <c r="J364" i="2"/>
  <c r="H364" i="2"/>
  <c r="L364" i="2" s="1"/>
  <c r="V363" i="2"/>
  <c r="U363" i="2"/>
  <c r="T363" i="2"/>
  <c r="S363" i="2"/>
  <c r="R363" i="2"/>
  <c r="Q363" i="2"/>
  <c r="P363" i="2"/>
  <c r="O363" i="2"/>
  <c r="N363" i="2"/>
  <c r="M363" i="2"/>
  <c r="K363" i="2"/>
  <c r="J363" i="2"/>
  <c r="H363" i="2"/>
  <c r="L363" i="2" s="1"/>
  <c r="V362" i="2"/>
  <c r="U362" i="2"/>
  <c r="T362" i="2"/>
  <c r="S362" i="2"/>
  <c r="R362" i="2"/>
  <c r="Q362" i="2"/>
  <c r="P362" i="2"/>
  <c r="O362" i="2"/>
  <c r="N362" i="2"/>
  <c r="M362" i="2"/>
  <c r="L362" i="2"/>
  <c r="J362" i="2"/>
  <c r="H362" i="2"/>
  <c r="K362" i="2" s="1"/>
  <c r="V361" i="2"/>
  <c r="U361" i="2"/>
  <c r="T361" i="2"/>
  <c r="S361" i="2"/>
  <c r="R361" i="2"/>
  <c r="Q361" i="2"/>
  <c r="P361" i="2"/>
  <c r="O361" i="2"/>
  <c r="M361" i="2"/>
  <c r="L361" i="2"/>
  <c r="K361" i="2"/>
  <c r="J361" i="2"/>
  <c r="H361" i="2"/>
  <c r="N361" i="2" s="1"/>
  <c r="V360" i="2"/>
  <c r="U360" i="2"/>
  <c r="T360" i="2"/>
  <c r="S360" i="2"/>
  <c r="R360" i="2"/>
  <c r="Q360" i="2"/>
  <c r="P360" i="2"/>
  <c r="O360" i="2"/>
  <c r="N360" i="2"/>
  <c r="M360" i="2"/>
  <c r="K360" i="2"/>
  <c r="J360" i="2"/>
  <c r="H360" i="2"/>
  <c r="L360" i="2" s="1"/>
  <c r="V359" i="2"/>
  <c r="U359" i="2"/>
  <c r="T359" i="2"/>
  <c r="S359" i="2"/>
  <c r="R359" i="2"/>
  <c r="Q359" i="2"/>
  <c r="P359" i="2"/>
  <c r="O359" i="2"/>
  <c r="N359" i="2"/>
  <c r="M359" i="2"/>
  <c r="K359" i="2"/>
  <c r="J359" i="2"/>
  <c r="H359" i="2"/>
  <c r="L359" i="2" s="1"/>
  <c r="V358" i="2"/>
  <c r="U358" i="2"/>
  <c r="T358" i="2"/>
  <c r="S358" i="2"/>
  <c r="R358" i="2"/>
  <c r="Q358" i="2"/>
  <c r="P358" i="2"/>
  <c r="O358" i="2"/>
  <c r="N358" i="2"/>
  <c r="M358" i="2"/>
  <c r="K358" i="2"/>
  <c r="J358" i="2"/>
  <c r="H358" i="2"/>
  <c r="L358" i="2" s="1"/>
  <c r="V357" i="2"/>
  <c r="U357" i="2"/>
  <c r="T357" i="2"/>
  <c r="S357" i="2"/>
  <c r="R357" i="2"/>
  <c r="Q357" i="2"/>
  <c r="P357" i="2"/>
  <c r="O357" i="2"/>
  <c r="M357" i="2"/>
  <c r="L357" i="2"/>
  <c r="K357" i="2"/>
  <c r="J357" i="2"/>
  <c r="H357" i="2"/>
  <c r="N357" i="2" s="1"/>
  <c r="V356" i="2"/>
  <c r="U356" i="2"/>
  <c r="T356" i="2"/>
  <c r="S356" i="2"/>
  <c r="R356" i="2"/>
  <c r="Q356" i="2"/>
  <c r="P356" i="2"/>
  <c r="O356" i="2"/>
  <c r="N356" i="2"/>
  <c r="L356" i="2"/>
  <c r="K356" i="2"/>
  <c r="J356" i="2"/>
  <c r="H356" i="2"/>
  <c r="M356" i="2" s="1"/>
  <c r="V355" i="2"/>
  <c r="U355" i="2"/>
  <c r="T355" i="2"/>
  <c r="S355" i="2"/>
  <c r="R355" i="2"/>
  <c r="Q355" i="2"/>
  <c r="P355" i="2"/>
  <c r="O355" i="2"/>
  <c r="N355" i="2"/>
  <c r="M355" i="2"/>
  <c r="K355" i="2"/>
  <c r="J355" i="2"/>
  <c r="H355" i="2"/>
  <c r="L355" i="2" s="1"/>
  <c r="V354" i="2"/>
  <c r="U354" i="2"/>
  <c r="T354" i="2"/>
  <c r="S354" i="2"/>
  <c r="R354" i="2"/>
  <c r="Q354" i="2"/>
  <c r="P354" i="2"/>
  <c r="O354" i="2"/>
  <c r="M354" i="2"/>
  <c r="L354" i="2"/>
  <c r="K354" i="2"/>
  <c r="J354" i="2"/>
  <c r="H354" i="2"/>
  <c r="N354" i="2" s="1"/>
  <c r="V353" i="2"/>
  <c r="U353" i="2"/>
  <c r="T353" i="2"/>
  <c r="S353" i="2"/>
  <c r="R353" i="2"/>
  <c r="Q353" i="2"/>
  <c r="P353" i="2"/>
  <c r="O353" i="2"/>
  <c r="M353" i="2"/>
  <c r="L353" i="2"/>
  <c r="K353" i="2"/>
  <c r="J353" i="2"/>
  <c r="H353" i="2"/>
  <c r="N353" i="2" s="1"/>
  <c r="V352" i="2"/>
  <c r="U352" i="2"/>
  <c r="T352" i="2"/>
  <c r="S352" i="2"/>
  <c r="R352" i="2"/>
  <c r="Q352" i="2"/>
  <c r="P352" i="2"/>
  <c r="O352" i="2"/>
  <c r="N352" i="2"/>
  <c r="M352" i="2"/>
  <c r="L352" i="2"/>
  <c r="J352" i="2"/>
  <c r="H352" i="2"/>
  <c r="K352" i="2" s="1"/>
  <c r="V351" i="2"/>
  <c r="U351" i="2"/>
  <c r="T351" i="2"/>
  <c r="S351" i="2"/>
  <c r="R351" i="2"/>
  <c r="Q351" i="2"/>
  <c r="P351" i="2"/>
  <c r="O351" i="2"/>
  <c r="M351" i="2"/>
  <c r="L351" i="2"/>
  <c r="K351" i="2"/>
  <c r="J351" i="2"/>
  <c r="H351" i="2"/>
  <c r="N351" i="2" s="1"/>
  <c r="V350" i="2"/>
  <c r="U350" i="2"/>
  <c r="T350" i="2"/>
  <c r="S350" i="2"/>
  <c r="R350" i="2"/>
  <c r="Q350" i="2"/>
  <c r="P350" i="2"/>
  <c r="O350" i="2"/>
  <c r="M350" i="2"/>
  <c r="L350" i="2"/>
  <c r="K350" i="2"/>
  <c r="J350" i="2"/>
  <c r="H350" i="2"/>
  <c r="N350" i="2" s="1"/>
  <c r="V349" i="2"/>
  <c r="U349" i="2"/>
  <c r="T349" i="2"/>
  <c r="S349" i="2"/>
  <c r="R349" i="2"/>
  <c r="Q349" i="2"/>
  <c r="P349" i="2"/>
  <c r="O349" i="2"/>
  <c r="N349" i="2"/>
  <c r="M349" i="2"/>
  <c r="L349" i="2"/>
  <c r="J349" i="2"/>
  <c r="H349" i="2"/>
  <c r="K349" i="2" s="1"/>
  <c r="V348" i="2"/>
  <c r="U348" i="2"/>
  <c r="T348" i="2"/>
  <c r="S348" i="2"/>
  <c r="R348" i="2"/>
  <c r="Q348" i="2"/>
  <c r="P348" i="2"/>
  <c r="O348" i="2"/>
  <c r="M348" i="2"/>
  <c r="L348" i="2"/>
  <c r="K348" i="2"/>
  <c r="J348" i="2"/>
  <c r="H348" i="2"/>
  <c r="N348" i="2" s="1"/>
  <c r="V347" i="2"/>
  <c r="U347" i="2"/>
  <c r="T347" i="2"/>
  <c r="S347" i="2"/>
  <c r="R347" i="2"/>
  <c r="Q347" i="2"/>
  <c r="P347" i="2"/>
  <c r="O347" i="2"/>
  <c r="N347" i="2"/>
  <c r="M347" i="2"/>
  <c r="L347" i="2"/>
  <c r="J347" i="2"/>
  <c r="H347" i="2"/>
  <c r="K347" i="2" s="1"/>
  <c r="V346" i="2"/>
  <c r="U346" i="2"/>
  <c r="T346" i="2"/>
  <c r="S346" i="2"/>
  <c r="R346" i="2"/>
  <c r="Q346" i="2"/>
  <c r="P346" i="2"/>
  <c r="O346" i="2"/>
  <c r="M346" i="2"/>
  <c r="L346" i="2"/>
  <c r="K346" i="2"/>
  <c r="J346" i="2"/>
  <c r="H346" i="2"/>
  <c r="N346" i="2" s="1"/>
  <c r="V345" i="2"/>
  <c r="U345" i="2"/>
  <c r="T345" i="2"/>
  <c r="S345" i="2"/>
  <c r="R345" i="2"/>
  <c r="Q345" i="2"/>
  <c r="P345" i="2"/>
  <c r="O345" i="2"/>
  <c r="N345" i="2"/>
  <c r="M345" i="2"/>
  <c r="L345" i="2"/>
  <c r="J345" i="2"/>
  <c r="H345" i="2"/>
  <c r="K345" i="2" s="1"/>
  <c r="V344" i="2"/>
  <c r="U344" i="2"/>
  <c r="T344" i="2"/>
  <c r="S344" i="2"/>
  <c r="R344" i="2"/>
  <c r="Q344" i="2"/>
  <c r="P344" i="2"/>
  <c r="O344" i="2"/>
  <c r="N344" i="2"/>
  <c r="M344" i="2"/>
  <c r="L344" i="2"/>
  <c r="J344" i="2"/>
  <c r="H344" i="2"/>
  <c r="K344" i="2" s="1"/>
  <c r="V343" i="2"/>
  <c r="U343" i="2"/>
  <c r="T343" i="2"/>
  <c r="S343" i="2"/>
  <c r="R343" i="2"/>
  <c r="Q343" i="2"/>
  <c r="P343" i="2"/>
  <c r="O343" i="2"/>
  <c r="M343" i="2"/>
  <c r="L343" i="2"/>
  <c r="K343" i="2"/>
  <c r="J343" i="2"/>
  <c r="H343" i="2"/>
  <c r="N343" i="2" s="1"/>
  <c r="V342" i="2"/>
  <c r="U342" i="2"/>
  <c r="T342" i="2"/>
  <c r="S342" i="2"/>
  <c r="R342" i="2"/>
  <c r="Q342" i="2"/>
  <c r="P342" i="2"/>
  <c r="O342" i="2"/>
  <c r="N342" i="2"/>
  <c r="M342" i="2"/>
  <c r="L342" i="2"/>
  <c r="J342" i="2"/>
  <c r="H342" i="2"/>
  <c r="K342" i="2" s="1"/>
  <c r="V341" i="2"/>
  <c r="U341" i="2"/>
  <c r="T341" i="2"/>
  <c r="S341" i="2"/>
  <c r="R341" i="2"/>
  <c r="Q341" i="2"/>
  <c r="P341" i="2"/>
  <c r="O341" i="2"/>
  <c r="M341" i="2"/>
  <c r="L341" i="2"/>
  <c r="K341" i="2"/>
  <c r="J341" i="2"/>
  <c r="H341" i="2"/>
  <c r="N341" i="2" s="1"/>
  <c r="V340" i="2"/>
  <c r="U340" i="2"/>
  <c r="T340" i="2"/>
  <c r="S340" i="2"/>
  <c r="R340" i="2"/>
  <c r="Q340" i="2"/>
  <c r="P340" i="2"/>
  <c r="O340" i="2"/>
  <c r="M340" i="2"/>
  <c r="L340" i="2"/>
  <c r="K340" i="2"/>
  <c r="J340" i="2"/>
  <c r="H340" i="2"/>
  <c r="N340" i="2" s="1"/>
  <c r="V339" i="2"/>
  <c r="U339" i="2"/>
  <c r="T339" i="2"/>
  <c r="S339" i="2"/>
  <c r="R339" i="2"/>
  <c r="Q339" i="2"/>
  <c r="P339" i="2"/>
  <c r="O339" i="2"/>
  <c r="M339" i="2"/>
  <c r="L339" i="2"/>
  <c r="K339" i="2"/>
  <c r="J339" i="2"/>
  <c r="H339" i="2"/>
  <c r="N339" i="2" s="1"/>
  <c r="V338" i="2"/>
  <c r="U338" i="2"/>
  <c r="T338" i="2"/>
  <c r="S338" i="2"/>
  <c r="R338" i="2"/>
  <c r="Q338" i="2"/>
  <c r="P338" i="2"/>
  <c r="O338" i="2"/>
  <c r="N338" i="2"/>
  <c r="M338" i="2"/>
  <c r="L338" i="2"/>
  <c r="J338" i="2"/>
  <c r="H338" i="2"/>
  <c r="K338" i="2" s="1"/>
  <c r="V337" i="2"/>
  <c r="U337" i="2"/>
  <c r="T337" i="2"/>
  <c r="S337" i="2"/>
  <c r="R337" i="2"/>
  <c r="Q337" i="2"/>
  <c r="P337" i="2"/>
  <c r="O337" i="2"/>
  <c r="N337" i="2"/>
  <c r="M337" i="2"/>
  <c r="L337" i="2"/>
  <c r="J337" i="2"/>
  <c r="H337" i="2"/>
  <c r="K337" i="2" s="1"/>
  <c r="V336" i="2"/>
  <c r="U336" i="2"/>
  <c r="T336" i="2"/>
  <c r="S336" i="2"/>
  <c r="R336" i="2"/>
  <c r="Q336" i="2"/>
  <c r="P336" i="2"/>
  <c r="O336" i="2"/>
  <c r="M336" i="2"/>
  <c r="L336" i="2"/>
  <c r="K336" i="2"/>
  <c r="J336" i="2"/>
  <c r="H336" i="2"/>
  <c r="N336" i="2" s="1"/>
  <c r="V335" i="2"/>
  <c r="U335" i="2"/>
  <c r="T335" i="2"/>
  <c r="S335" i="2"/>
  <c r="R335" i="2"/>
  <c r="Q335" i="2"/>
  <c r="P335" i="2"/>
  <c r="O335" i="2"/>
  <c r="M335" i="2"/>
  <c r="L335" i="2"/>
  <c r="K335" i="2"/>
  <c r="J335" i="2"/>
  <c r="H335" i="2"/>
  <c r="N335" i="2" s="1"/>
  <c r="V334" i="2"/>
  <c r="U334" i="2"/>
  <c r="T334" i="2"/>
  <c r="S334" i="2"/>
  <c r="R334" i="2"/>
  <c r="Q334" i="2"/>
  <c r="P334" i="2"/>
  <c r="O334" i="2"/>
  <c r="N334" i="2"/>
  <c r="M334" i="2"/>
  <c r="L334" i="2"/>
  <c r="J334" i="2"/>
  <c r="H334" i="2"/>
  <c r="K334" i="2" s="1"/>
  <c r="V333" i="2"/>
  <c r="U333" i="2"/>
  <c r="T333" i="2"/>
  <c r="S333" i="2"/>
  <c r="R333" i="2"/>
  <c r="Q333" i="2"/>
  <c r="P333" i="2"/>
  <c r="O333" i="2"/>
  <c r="M333" i="2"/>
  <c r="L333" i="2"/>
  <c r="K333" i="2"/>
  <c r="J333" i="2"/>
  <c r="H333" i="2"/>
  <c r="N333" i="2" s="1"/>
  <c r="V332" i="2"/>
  <c r="U332" i="2"/>
  <c r="T332" i="2"/>
  <c r="S332" i="2"/>
  <c r="R332" i="2"/>
  <c r="Q332" i="2"/>
  <c r="P332" i="2"/>
  <c r="O332" i="2"/>
  <c r="M332" i="2"/>
  <c r="L332" i="2"/>
  <c r="K332" i="2"/>
  <c r="J332" i="2"/>
  <c r="H332" i="2"/>
  <c r="N332" i="2" s="1"/>
  <c r="V331" i="2"/>
  <c r="U331" i="2"/>
  <c r="T331" i="2"/>
  <c r="S331" i="2"/>
  <c r="R331" i="2"/>
  <c r="Q331" i="2"/>
  <c r="P331" i="2"/>
  <c r="O331" i="2"/>
  <c r="M331" i="2"/>
  <c r="L331" i="2"/>
  <c r="K331" i="2"/>
  <c r="J331" i="2"/>
  <c r="H331" i="2"/>
  <c r="N331" i="2" s="1"/>
  <c r="V330" i="2"/>
  <c r="U330" i="2"/>
  <c r="T330" i="2"/>
  <c r="S330" i="2"/>
  <c r="R330" i="2"/>
  <c r="Q330" i="2"/>
  <c r="P330" i="2"/>
  <c r="O330" i="2"/>
  <c r="M330" i="2"/>
  <c r="L330" i="2"/>
  <c r="K330" i="2"/>
  <c r="J330" i="2"/>
  <c r="H330" i="2"/>
  <c r="N330" i="2" s="1"/>
  <c r="V329" i="2"/>
  <c r="U329" i="2"/>
  <c r="T329" i="2"/>
  <c r="S329" i="2"/>
  <c r="R329" i="2"/>
  <c r="Q329" i="2"/>
  <c r="P329" i="2"/>
  <c r="O329" i="2"/>
  <c r="M329" i="2"/>
  <c r="L329" i="2"/>
  <c r="K329" i="2"/>
  <c r="J329" i="2"/>
  <c r="H329" i="2"/>
  <c r="N329" i="2" s="1"/>
  <c r="V328" i="2"/>
  <c r="U328" i="2"/>
  <c r="T328" i="2"/>
  <c r="S328" i="2"/>
  <c r="R328" i="2"/>
  <c r="Q328" i="2"/>
  <c r="P328" i="2"/>
  <c r="O328" i="2"/>
  <c r="M328" i="2"/>
  <c r="L328" i="2"/>
  <c r="K328" i="2"/>
  <c r="J328" i="2"/>
  <c r="H328" i="2"/>
  <c r="N328" i="2" s="1"/>
  <c r="V327" i="2"/>
  <c r="U327" i="2"/>
  <c r="T327" i="2"/>
  <c r="S327" i="2"/>
  <c r="R327" i="2"/>
  <c r="Q327" i="2"/>
  <c r="P327" i="2"/>
  <c r="O327" i="2"/>
  <c r="M327" i="2"/>
  <c r="L327" i="2"/>
  <c r="K327" i="2"/>
  <c r="J327" i="2"/>
  <c r="H327" i="2"/>
  <c r="N327" i="2" s="1"/>
  <c r="V326" i="2"/>
  <c r="U326" i="2"/>
  <c r="T326" i="2"/>
  <c r="S326" i="2"/>
  <c r="R326" i="2"/>
  <c r="Q326" i="2"/>
  <c r="P326" i="2"/>
  <c r="O326" i="2"/>
  <c r="M326" i="2"/>
  <c r="L326" i="2"/>
  <c r="K326" i="2"/>
  <c r="J326" i="2"/>
  <c r="H326" i="2"/>
  <c r="N326" i="2" s="1"/>
  <c r="V325" i="2"/>
  <c r="U325" i="2"/>
  <c r="T325" i="2"/>
  <c r="S325" i="2"/>
  <c r="R325" i="2"/>
  <c r="Q325" i="2"/>
  <c r="P325" i="2"/>
  <c r="O325" i="2"/>
  <c r="M325" i="2"/>
  <c r="L325" i="2"/>
  <c r="K325" i="2"/>
  <c r="J325" i="2"/>
  <c r="H325" i="2"/>
  <c r="N325" i="2" s="1"/>
  <c r="V324" i="2"/>
  <c r="U324" i="2"/>
  <c r="T324" i="2"/>
  <c r="S324" i="2"/>
  <c r="R324" i="2"/>
  <c r="Q324" i="2"/>
  <c r="P324" i="2"/>
  <c r="O324" i="2"/>
  <c r="M324" i="2"/>
  <c r="L324" i="2"/>
  <c r="K324" i="2"/>
  <c r="J324" i="2"/>
  <c r="H324" i="2"/>
  <c r="N324" i="2" s="1"/>
  <c r="V323" i="2"/>
  <c r="U323" i="2"/>
  <c r="T323" i="2"/>
  <c r="S323" i="2"/>
  <c r="R323" i="2"/>
  <c r="Q323" i="2"/>
  <c r="P323" i="2"/>
  <c r="O323" i="2"/>
  <c r="N323" i="2"/>
  <c r="M323" i="2"/>
  <c r="L323" i="2"/>
  <c r="J323" i="2"/>
  <c r="H323" i="2"/>
  <c r="K323" i="2" s="1"/>
  <c r="V322" i="2"/>
  <c r="U322" i="2"/>
  <c r="T322" i="2"/>
  <c r="S322" i="2"/>
  <c r="R322" i="2"/>
  <c r="Q322" i="2"/>
  <c r="P322" i="2"/>
  <c r="O322" i="2"/>
  <c r="M322" i="2"/>
  <c r="L322" i="2"/>
  <c r="K322" i="2"/>
  <c r="J322" i="2"/>
  <c r="H322" i="2"/>
  <c r="N322" i="2" s="1"/>
  <c r="V321" i="2"/>
  <c r="U321" i="2"/>
  <c r="T321" i="2"/>
  <c r="S321" i="2"/>
  <c r="R321" i="2"/>
  <c r="Q321" i="2"/>
  <c r="P321" i="2"/>
  <c r="O321" i="2"/>
  <c r="M321" i="2"/>
  <c r="L321" i="2"/>
  <c r="K321" i="2"/>
  <c r="J321" i="2"/>
  <c r="H321" i="2"/>
  <c r="N321" i="2" s="1"/>
  <c r="V320" i="2"/>
  <c r="U320" i="2"/>
  <c r="T320" i="2"/>
  <c r="S320" i="2"/>
  <c r="R320" i="2"/>
  <c r="Q320" i="2"/>
  <c r="P320" i="2"/>
  <c r="O320" i="2"/>
  <c r="M320" i="2"/>
  <c r="L320" i="2"/>
  <c r="K320" i="2"/>
  <c r="J320" i="2"/>
  <c r="H320" i="2"/>
  <c r="N320" i="2" s="1"/>
  <c r="V319" i="2"/>
  <c r="U319" i="2"/>
  <c r="T319" i="2"/>
  <c r="S319" i="2"/>
  <c r="R319" i="2"/>
  <c r="Q319" i="2"/>
  <c r="P319" i="2"/>
  <c r="O319" i="2"/>
  <c r="M319" i="2"/>
  <c r="L319" i="2"/>
  <c r="K319" i="2"/>
  <c r="J319" i="2"/>
  <c r="H319" i="2"/>
  <c r="N319" i="2" s="1"/>
  <c r="V318" i="2"/>
  <c r="U318" i="2"/>
  <c r="T318" i="2"/>
  <c r="S318" i="2"/>
  <c r="R318" i="2"/>
  <c r="Q318" i="2"/>
  <c r="P318" i="2"/>
  <c r="O318" i="2"/>
  <c r="M318" i="2"/>
  <c r="L318" i="2"/>
  <c r="K318" i="2"/>
  <c r="J318" i="2"/>
  <c r="H318" i="2"/>
  <c r="N318" i="2" s="1"/>
  <c r="V317" i="2"/>
  <c r="U317" i="2"/>
  <c r="T317" i="2"/>
  <c r="S317" i="2"/>
  <c r="R317" i="2"/>
  <c r="Q317" i="2"/>
  <c r="P317" i="2"/>
  <c r="O317" i="2"/>
  <c r="N317" i="2"/>
  <c r="M317" i="2"/>
  <c r="K317" i="2"/>
  <c r="J317" i="2"/>
  <c r="H317" i="2"/>
  <c r="L317" i="2" s="1"/>
  <c r="V316" i="2"/>
  <c r="U316" i="2"/>
  <c r="T316" i="2"/>
  <c r="S316" i="2"/>
  <c r="R316" i="2"/>
  <c r="Q316" i="2"/>
  <c r="P316" i="2"/>
  <c r="O316" i="2"/>
  <c r="M316" i="2"/>
  <c r="L316" i="2"/>
  <c r="K316" i="2"/>
  <c r="J316" i="2"/>
  <c r="H316" i="2"/>
  <c r="N316" i="2" s="1"/>
  <c r="V315" i="2"/>
  <c r="U315" i="2"/>
  <c r="T315" i="2"/>
  <c r="S315" i="2"/>
  <c r="R315" i="2"/>
  <c r="Q315" i="2"/>
  <c r="P315" i="2"/>
  <c r="O315" i="2"/>
  <c r="M315" i="2"/>
  <c r="L315" i="2"/>
  <c r="K315" i="2"/>
  <c r="J315" i="2"/>
  <c r="H315" i="2"/>
  <c r="N315" i="2" s="1"/>
  <c r="V314" i="2"/>
  <c r="U314" i="2"/>
  <c r="T314" i="2"/>
  <c r="S314" i="2"/>
  <c r="R314" i="2"/>
  <c r="Q314" i="2"/>
  <c r="P314" i="2"/>
  <c r="O314" i="2"/>
  <c r="N314" i="2"/>
  <c r="M314" i="2"/>
  <c r="L314" i="2"/>
  <c r="J314" i="2"/>
  <c r="H314" i="2"/>
  <c r="K314" i="2" s="1"/>
  <c r="V313" i="2"/>
  <c r="U313" i="2"/>
  <c r="T313" i="2"/>
  <c r="S313" i="2"/>
  <c r="R313" i="2"/>
  <c r="Q313" i="2"/>
  <c r="P313" i="2"/>
  <c r="O313" i="2"/>
  <c r="M313" i="2"/>
  <c r="L313" i="2"/>
  <c r="K313" i="2"/>
  <c r="J313" i="2"/>
  <c r="H313" i="2"/>
  <c r="N313" i="2" s="1"/>
  <c r="V312" i="2"/>
  <c r="U312" i="2"/>
  <c r="T312" i="2"/>
  <c r="S312" i="2"/>
  <c r="R312" i="2"/>
  <c r="Q312" i="2"/>
  <c r="P312" i="2"/>
  <c r="O312" i="2"/>
  <c r="M312" i="2"/>
  <c r="L312" i="2"/>
  <c r="K312" i="2"/>
  <c r="J312" i="2"/>
  <c r="H312" i="2"/>
  <c r="N312" i="2" s="1"/>
  <c r="V311" i="2"/>
  <c r="U311" i="2"/>
  <c r="T311" i="2"/>
  <c r="S311" i="2"/>
  <c r="R311" i="2"/>
  <c r="Q311" i="2"/>
  <c r="P311" i="2"/>
  <c r="O311" i="2"/>
  <c r="M311" i="2"/>
  <c r="L311" i="2"/>
  <c r="K311" i="2"/>
  <c r="J311" i="2"/>
  <c r="H311" i="2"/>
  <c r="N311" i="2" s="1"/>
  <c r="V310" i="2"/>
  <c r="U310" i="2"/>
  <c r="T310" i="2"/>
  <c r="S310" i="2"/>
  <c r="R310" i="2"/>
  <c r="Q310" i="2"/>
  <c r="P310" i="2"/>
  <c r="O310" i="2"/>
  <c r="M310" i="2"/>
  <c r="L310" i="2"/>
  <c r="K310" i="2"/>
  <c r="J310" i="2"/>
  <c r="H310" i="2"/>
  <c r="N310" i="2" s="1"/>
  <c r="V309" i="2"/>
  <c r="U309" i="2"/>
  <c r="T309" i="2"/>
  <c r="S309" i="2"/>
  <c r="R309" i="2"/>
  <c r="Q309" i="2"/>
  <c r="P309" i="2"/>
  <c r="O309" i="2"/>
  <c r="N309" i="2"/>
  <c r="M309" i="2"/>
  <c r="L309" i="2"/>
  <c r="J309" i="2"/>
  <c r="H309" i="2"/>
  <c r="K309" i="2" s="1"/>
  <c r="V308" i="2"/>
  <c r="U308" i="2"/>
  <c r="T308" i="2"/>
  <c r="S308" i="2"/>
  <c r="R308" i="2"/>
  <c r="Q308" i="2"/>
  <c r="P308" i="2"/>
  <c r="O308" i="2"/>
  <c r="M308" i="2"/>
  <c r="L308" i="2"/>
  <c r="K308" i="2"/>
  <c r="J308" i="2"/>
  <c r="H308" i="2"/>
  <c r="N308" i="2" s="1"/>
  <c r="V307" i="2"/>
  <c r="U307" i="2"/>
  <c r="T307" i="2"/>
  <c r="S307" i="2"/>
  <c r="R307" i="2"/>
  <c r="Q307" i="2"/>
  <c r="P307" i="2"/>
  <c r="O307" i="2"/>
  <c r="M307" i="2"/>
  <c r="L307" i="2"/>
  <c r="K307" i="2"/>
  <c r="J307" i="2"/>
  <c r="H307" i="2"/>
  <c r="N307" i="2" s="1"/>
  <c r="V306" i="2"/>
  <c r="U306" i="2"/>
  <c r="T306" i="2"/>
  <c r="S306" i="2"/>
  <c r="R306" i="2"/>
  <c r="Q306" i="2"/>
  <c r="P306" i="2"/>
  <c r="O306" i="2"/>
  <c r="M306" i="2"/>
  <c r="L306" i="2"/>
  <c r="K306" i="2"/>
  <c r="J306" i="2"/>
  <c r="H306" i="2"/>
  <c r="N306" i="2" s="1"/>
  <c r="V305" i="2"/>
  <c r="U305" i="2"/>
  <c r="T305" i="2"/>
  <c r="S305" i="2"/>
  <c r="R305" i="2"/>
  <c r="Q305" i="2"/>
  <c r="P305" i="2"/>
  <c r="O305" i="2"/>
  <c r="M305" i="2"/>
  <c r="L305" i="2"/>
  <c r="K305" i="2"/>
  <c r="J305" i="2"/>
  <c r="H305" i="2"/>
  <c r="N305" i="2" s="1"/>
  <c r="V304" i="2"/>
  <c r="U304" i="2"/>
  <c r="T304" i="2"/>
  <c r="S304" i="2"/>
  <c r="R304" i="2"/>
  <c r="Q304" i="2"/>
  <c r="P304" i="2"/>
  <c r="O304" i="2"/>
  <c r="M304" i="2"/>
  <c r="L304" i="2"/>
  <c r="K304" i="2"/>
  <c r="J304" i="2"/>
  <c r="H304" i="2"/>
  <c r="N304" i="2" s="1"/>
  <c r="V303" i="2"/>
  <c r="U303" i="2"/>
  <c r="T303" i="2"/>
  <c r="S303" i="2"/>
  <c r="R303" i="2"/>
  <c r="Q303" i="2"/>
  <c r="P303" i="2"/>
  <c r="O303" i="2"/>
  <c r="M303" i="2"/>
  <c r="L303" i="2"/>
  <c r="K303" i="2"/>
  <c r="J303" i="2"/>
  <c r="H303" i="2"/>
  <c r="N303" i="2" s="1"/>
  <c r="V302" i="2"/>
  <c r="U302" i="2"/>
  <c r="T302" i="2"/>
  <c r="S302" i="2"/>
  <c r="R302" i="2"/>
  <c r="Q302" i="2"/>
  <c r="P302" i="2"/>
  <c r="O302" i="2"/>
  <c r="M302" i="2"/>
  <c r="L302" i="2"/>
  <c r="K302" i="2"/>
  <c r="J302" i="2"/>
  <c r="H302" i="2"/>
  <c r="N302" i="2" s="1"/>
  <c r="V301" i="2"/>
  <c r="U301" i="2"/>
  <c r="T301" i="2"/>
  <c r="S301" i="2"/>
  <c r="R301" i="2"/>
  <c r="Q301" i="2"/>
  <c r="P301" i="2"/>
  <c r="O301" i="2"/>
  <c r="M301" i="2"/>
  <c r="L301" i="2"/>
  <c r="K301" i="2"/>
  <c r="J301" i="2"/>
  <c r="H301" i="2"/>
  <c r="N301" i="2" s="1"/>
  <c r="V300" i="2"/>
  <c r="U300" i="2"/>
  <c r="T300" i="2"/>
  <c r="S300" i="2"/>
  <c r="R300" i="2"/>
  <c r="Q300" i="2"/>
  <c r="P300" i="2"/>
  <c r="O300" i="2"/>
  <c r="M300" i="2"/>
  <c r="L300" i="2"/>
  <c r="K300" i="2"/>
  <c r="J300" i="2"/>
  <c r="H300" i="2"/>
  <c r="N300" i="2" s="1"/>
  <c r="V299" i="2"/>
  <c r="U299" i="2"/>
  <c r="T299" i="2"/>
  <c r="S299" i="2"/>
  <c r="R299" i="2"/>
  <c r="Q299" i="2"/>
  <c r="P299" i="2"/>
  <c r="O299" i="2"/>
  <c r="M299" i="2"/>
  <c r="L299" i="2"/>
  <c r="K299" i="2"/>
  <c r="J299" i="2"/>
  <c r="H299" i="2"/>
  <c r="N299" i="2" s="1"/>
  <c r="V298" i="2"/>
  <c r="U298" i="2"/>
  <c r="T298" i="2"/>
  <c r="S298" i="2"/>
  <c r="R298" i="2"/>
  <c r="Q298" i="2"/>
  <c r="P298" i="2"/>
  <c r="O298" i="2"/>
  <c r="N298" i="2"/>
  <c r="M298" i="2"/>
  <c r="L298" i="2"/>
  <c r="J298" i="2"/>
  <c r="H298" i="2"/>
  <c r="K298" i="2" s="1"/>
  <c r="V297" i="2"/>
  <c r="U297" i="2"/>
  <c r="T297" i="2"/>
  <c r="S297" i="2"/>
  <c r="R297" i="2"/>
  <c r="Q297" i="2"/>
  <c r="P297" i="2"/>
  <c r="O297" i="2"/>
  <c r="M297" i="2"/>
  <c r="L297" i="2"/>
  <c r="K297" i="2"/>
  <c r="J297" i="2"/>
  <c r="H297" i="2"/>
  <c r="N297" i="2" s="1"/>
  <c r="V296" i="2"/>
  <c r="U296" i="2"/>
  <c r="T296" i="2"/>
  <c r="S296" i="2"/>
  <c r="R296" i="2"/>
  <c r="Q296" i="2"/>
  <c r="P296" i="2"/>
  <c r="O296" i="2"/>
  <c r="N296" i="2"/>
  <c r="M296" i="2"/>
  <c r="L296" i="2"/>
  <c r="J296" i="2"/>
  <c r="H296" i="2"/>
  <c r="K296" i="2" s="1"/>
  <c r="V295" i="2"/>
  <c r="U295" i="2"/>
  <c r="T295" i="2"/>
  <c r="S295" i="2"/>
  <c r="R295" i="2"/>
  <c r="Q295" i="2"/>
  <c r="P295" i="2"/>
  <c r="O295" i="2"/>
  <c r="M295" i="2"/>
  <c r="L295" i="2"/>
  <c r="K295" i="2"/>
  <c r="J295" i="2"/>
  <c r="H295" i="2"/>
  <c r="N295" i="2" s="1"/>
  <c r="V294" i="2"/>
  <c r="U294" i="2"/>
  <c r="T294" i="2"/>
  <c r="S294" i="2"/>
  <c r="R294" i="2"/>
  <c r="Q294" i="2"/>
  <c r="P294" i="2"/>
  <c r="O294" i="2"/>
  <c r="M294" i="2"/>
  <c r="L294" i="2"/>
  <c r="K294" i="2"/>
  <c r="J294" i="2"/>
  <c r="H294" i="2"/>
  <c r="N294" i="2" s="1"/>
  <c r="V293" i="2"/>
  <c r="U293" i="2"/>
  <c r="T293" i="2"/>
  <c r="S293" i="2"/>
  <c r="R293" i="2"/>
  <c r="Q293" i="2"/>
  <c r="P293" i="2"/>
  <c r="O293" i="2"/>
  <c r="M293" i="2"/>
  <c r="L293" i="2"/>
  <c r="K293" i="2"/>
  <c r="J293" i="2"/>
  <c r="H293" i="2"/>
  <c r="N293" i="2" s="1"/>
  <c r="V292" i="2"/>
  <c r="U292" i="2"/>
  <c r="T292" i="2"/>
  <c r="S292" i="2"/>
  <c r="R292" i="2"/>
  <c r="Q292" i="2"/>
  <c r="P292" i="2"/>
  <c r="O292" i="2"/>
  <c r="M292" i="2"/>
  <c r="L292" i="2"/>
  <c r="K292" i="2"/>
  <c r="J292" i="2"/>
  <c r="H292" i="2"/>
  <c r="N292" i="2" s="1"/>
  <c r="V291" i="2"/>
  <c r="U291" i="2"/>
  <c r="T291" i="2"/>
  <c r="S291" i="2"/>
  <c r="R291" i="2"/>
  <c r="Q291" i="2"/>
  <c r="P291" i="2"/>
  <c r="O291" i="2"/>
  <c r="N291" i="2"/>
  <c r="M291" i="2"/>
  <c r="K291" i="2"/>
  <c r="J291" i="2"/>
  <c r="H291" i="2"/>
  <c r="L291" i="2" s="1"/>
  <c r="V290" i="2"/>
  <c r="U290" i="2"/>
  <c r="T290" i="2"/>
  <c r="S290" i="2"/>
  <c r="R290" i="2"/>
  <c r="Q290" i="2"/>
  <c r="P290" i="2"/>
  <c r="O290" i="2"/>
  <c r="N290" i="2"/>
  <c r="M290" i="2"/>
  <c r="K290" i="2"/>
  <c r="J290" i="2"/>
  <c r="H290" i="2"/>
  <c r="L290" i="2" s="1"/>
  <c r="V289" i="2"/>
  <c r="U289" i="2"/>
  <c r="T289" i="2"/>
  <c r="S289" i="2"/>
  <c r="R289" i="2"/>
  <c r="Q289" i="2"/>
  <c r="P289" i="2"/>
  <c r="O289" i="2"/>
  <c r="N289" i="2"/>
  <c r="M289" i="2"/>
  <c r="K289" i="2"/>
  <c r="J289" i="2"/>
  <c r="H289" i="2"/>
  <c r="L289" i="2" s="1"/>
  <c r="V288" i="2"/>
  <c r="U288" i="2"/>
  <c r="T288" i="2"/>
  <c r="S288" i="2"/>
  <c r="R288" i="2"/>
  <c r="Q288" i="2"/>
  <c r="P288" i="2"/>
  <c r="O288" i="2"/>
  <c r="N288" i="2"/>
  <c r="M288" i="2"/>
  <c r="K288" i="2"/>
  <c r="J288" i="2"/>
  <c r="H288" i="2"/>
  <c r="L288" i="2" s="1"/>
  <c r="V287" i="2"/>
  <c r="U287" i="2"/>
  <c r="T287" i="2"/>
  <c r="S287" i="2"/>
  <c r="R287" i="2"/>
  <c r="Q287" i="2"/>
  <c r="P287" i="2"/>
  <c r="O287" i="2"/>
  <c r="M287" i="2"/>
  <c r="L287" i="2"/>
  <c r="K287" i="2"/>
  <c r="J287" i="2"/>
  <c r="H287" i="2"/>
  <c r="N287" i="2" s="1"/>
  <c r="V286" i="2"/>
  <c r="U286" i="2"/>
  <c r="T286" i="2"/>
  <c r="S286" i="2"/>
  <c r="R286" i="2"/>
  <c r="Q286" i="2"/>
  <c r="P286" i="2"/>
  <c r="O286" i="2"/>
  <c r="N286" i="2"/>
  <c r="M286" i="2"/>
  <c r="L286" i="2"/>
  <c r="J286" i="2"/>
  <c r="H286" i="2"/>
  <c r="K286" i="2" s="1"/>
  <c r="V285" i="2"/>
  <c r="U285" i="2"/>
  <c r="T285" i="2"/>
  <c r="S285" i="2"/>
  <c r="R285" i="2"/>
  <c r="Q285" i="2"/>
  <c r="P285" i="2"/>
  <c r="O285" i="2"/>
  <c r="M285" i="2"/>
  <c r="L285" i="2"/>
  <c r="K285" i="2"/>
  <c r="J285" i="2"/>
  <c r="H285" i="2"/>
  <c r="N285" i="2" s="1"/>
  <c r="V284" i="2"/>
  <c r="U284" i="2"/>
  <c r="T284" i="2"/>
  <c r="S284" i="2"/>
  <c r="R284" i="2"/>
  <c r="Q284" i="2"/>
  <c r="P284" i="2"/>
  <c r="O284" i="2"/>
  <c r="M284" i="2"/>
  <c r="L284" i="2"/>
  <c r="K284" i="2"/>
  <c r="J284" i="2"/>
  <c r="H284" i="2"/>
  <c r="N284" i="2" s="1"/>
  <c r="V283" i="2"/>
  <c r="U283" i="2"/>
  <c r="T283" i="2"/>
  <c r="S283" i="2"/>
  <c r="R283" i="2"/>
  <c r="Q283" i="2"/>
  <c r="P283" i="2"/>
  <c r="O283" i="2"/>
  <c r="M283" i="2"/>
  <c r="L283" i="2"/>
  <c r="K283" i="2"/>
  <c r="J283" i="2"/>
  <c r="H283" i="2"/>
  <c r="N283" i="2" s="1"/>
  <c r="V282" i="2"/>
  <c r="U282" i="2"/>
  <c r="T282" i="2"/>
  <c r="S282" i="2"/>
  <c r="R282" i="2"/>
  <c r="Q282" i="2"/>
  <c r="P282" i="2"/>
  <c r="O282" i="2"/>
  <c r="M282" i="2"/>
  <c r="L282" i="2"/>
  <c r="K282" i="2"/>
  <c r="J282" i="2"/>
  <c r="H282" i="2"/>
  <c r="N282" i="2" s="1"/>
  <c r="V281" i="2"/>
  <c r="U281" i="2"/>
  <c r="T281" i="2"/>
  <c r="S281" i="2"/>
  <c r="R281" i="2"/>
  <c r="Q281" i="2"/>
  <c r="P281" i="2"/>
  <c r="O281" i="2"/>
  <c r="M281" i="2"/>
  <c r="L281" i="2"/>
  <c r="K281" i="2"/>
  <c r="J281" i="2"/>
  <c r="H281" i="2"/>
  <c r="N281" i="2" s="1"/>
  <c r="V280" i="2"/>
  <c r="U280" i="2"/>
  <c r="T280" i="2"/>
  <c r="S280" i="2"/>
  <c r="R280" i="2"/>
  <c r="Q280" i="2"/>
  <c r="P280" i="2"/>
  <c r="O280" i="2"/>
  <c r="M280" i="2"/>
  <c r="L280" i="2"/>
  <c r="K280" i="2"/>
  <c r="J280" i="2"/>
  <c r="H280" i="2"/>
  <c r="N280" i="2" s="1"/>
  <c r="V279" i="2"/>
  <c r="U279" i="2"/>
  <c r="T279" i="2"/>
  <c r="S279" i="2"/>
  <c r="R279" i="2"/>
  <c r="Q279" i="2"/>
  <c r="P279" i="2"/>
  <c r="O279" i="2"/>
  <c r="M279" i="2"/>
  <c r="L279" i="2"/>
  <c r="K279" i="2"/>
  <c r="J279" i="2"/>
  <c r="H279" i="2"/>
  <c r="N279" i="2" s="1"/>
  <c r="V278" i="2"/>
  <c r="U278" i="2"/>
  <c r="T278" i="2"/>
  <c r="S278" i="2"/>
  <c r="R278" i="2"/>
  <c r="Q278" i="2"/>
  <c r="P278" i="2"/>
  <c r="O278" i="2"/>
  <c r="M278" i="2"/>
  <c r="L278" i="2"/>
  <c r="K278" i="2"/>
  <c r="J278" i="2"/>
  <c r="H278" i="2"/>
  <c r="N278" i="2" s="1"/>
  <c r="V277" i="2"/>
  <c r="U277" i="2"/>
  <c r="T277" i="2"/>
  <c r="S277" i="2"/>
  <c r="R277" i="2"/>
  <c r="Q277" i="2"/>
  <c r="P277" i="2"/>
  <c r="O277" i="2"/>
  <c r="N277" i="2"/>
  <c r="M277" i="2"/>
  <c r="L277" i="2"/>
  <c r="J277" i="2"/>
  <c r="H277" i="2"/>
  <c r="K277" i="2" s="1"/>
  <c r="V276" i="2"/>
  <c r="U276" i="2"/>
  <c r="T276" i="2"/>
  <c r="S276" i="2"/>
  <c r="R276" i="2"/>
  <c r="Q276" i="2"/>
  <c r="P276" i="2"/>
  <c r="O276" i="2"/>
  <c r="M276" i="2"/>
  <c r="L276" i="2"/>
  <c r="K276" i="2"/>
  <c r="J276" i="2"/>
  <c r="H276" i="2"/>
  <c r="N276" i="2" s="1"/>
  <c r="V275" i="2"/>
  <c r="U275" i="2"/>
  <c r="T275" i="2"/>
  <c r="S275" i="2"/>
  <c r="R275" i="2"/>
  <c r="Q275" i="2"/>
  <c r="P275" i="2"/>
  <c r="O275" i="2"/>
  <c r="M275" i="2"/>
  <c r="L275" i="2"/>
  <c r="K275" i="2"/>
  <c r="J275" i="2"/>
  <c r="H275" i="2"/>
  <c r="N275" i="2" s="1"/>
  <c r="V274" i="2"/>
  <c r="U274" i="2"/>
  <c r="T274" i="2"/>
  <c r="S274" i="2"/>
  <c r="R274" i="2"/>
  <c r="Q274" i="2"/>
  <c r="P274" i="2"/>
  <c r="O274" i="2"/>
  <c r="M274" i="2"/>
  <c r="L274" i="2"/>
  <c r="K274" i="2"/>
  <c r="J274" i="2"/>
  <c r="H274" i="2"/>
  <c r="N274" i="2" s="1"/>
  <c r="V273" i="2"/>
  <c r="U273" i="2"/>
  <c r="T273" i="2"/>
  <c r="S273" i="2"/>
  <c r="R273" i="2"/>
  <c r="Q273" i="2"/>
  <c r="P273" i="2"/>
  <c r="O273" i="2"/>
  <c r="M273" i="2"/>
  <c r="L273" i="2"/>
  <c r="K273" i="2"/>
  <c r="J273" i="2"/>
  <c r="H273" i="2"/>
  <c r="N273" i="2" s="1"/>
  <c r="V272" i="2"/>
  <c r="U272" i="2"/>
  <c r="T272" i="2"/>
  <c r="S272" i="2"/>
  <c r="R272" i="2"/>
  <c r="Q272" i="2"/>
  <c r="P272" i="2"/>
  <c r="O272" i="2"/>
  <c r="M272" i="2"/>
  <c r="L272" i="2"/>
  <c r="K272" i="2"/>
  <c r="J272" i="2"/>
  <c r="H272" i="2"/>
  <c r="N272" i="2" s="1"/>
  <c r="V271" i="2"/>
  <c r="U271" i="2"/>
  <c r="T271" i="2"/>
  <c r="S271" i="2"/>
  <c r="R271" i="2"/>
  <c r="Q271" i="2"/>
  <c r="P271" i="2"/>
  <c r="O271" i="2"/>
  <c r="N271" i="2"/>
  <c r="M271" i="2"/>
  <c r="K271" i="2"/>
  <c r="J271" i="2"/>
  <c r="H271" i="2"/>
  <c r="L271" i="2" s="1"/>
  <c r="V270" i="2"/>
  <c r="U270" i="2"/>
  <c r="T270" i="2"/>
  <c r="S270" i="2"/>
  <c r="R270" i="2"/>
  <c r="Q270" i="2"/>
  <c r="P270" i="2"/>
  <c r="O270" i="2"/>
  <c r="M270" i="2"/>
  <c r="L270" i="2"/>
  <c r="K270" i="2"/>
  <c r="J270" i="2"/>
  <c r="H270" i="2"/>
  <c r="N270" i="2" s="1"/>
  <c r="V269" i="2"/>
  <c r="U269" i="2"/>
  <c r="T269" i="2"/>
  <c r="S269" i="2"/>
  <c r="R269" i="2"/>
  <c r="Q269" i="2"/>
  <c r="P269" i="2"/>
  <c r="O269" i="2"/>
  <c r="M269" i="2"/>
  <c r="L269" i="2"/>
  <c r="K269" i="2"/>
  <c r="J269" i="2"/>
  <c r="H269" i="2"/>
  <c r="N269" i="2" s="1"/>
  <c r="V268" i="2"/>
  <c r="U268" i="2"/>
  <c r="T268" i="2"/>
  <c r="S268" i="2"/>
  <c r="R268" i="2"/>
  <c r="Q268" i="2"/>
  <c r="P268" i="2"/>
  <c r="O268" i="2"/>
  <c r="M268" i="2"/>
  <c r="L268" i="2"/>
  <c r="K268" i="2"/>
  <c r="J268" i="2"/>
  <c r="H268" i="2"/>
  <c r="N268" i="2" s="1"/>
  <c r="V267" i="2"/>
  <c r="U267" i="2"/>
  <c r="T267" i="2"/>
  <c r="S267" i="2"/>
  <c r="R267" i="2"/>
  <c r="Q267" i="2"/>
  <c r="P267" i="2"/>
  <c r="O267" i="2"/>
  <c r="N267" i="2"/>
  <c r="M267" i="2"/>
  <c r="L267" i="2"/>
  <c r="J267" i="2"/>
  <c r="H267" i="2"/>
  <c r="K267" i="2" s="1"/>
  <c r="V266" i="2"/>
  <c r="U266" i="2"/>
  <c r="T266" i="2"/>
  <c r="S266" i="2"/>
  <c r="R266" i="2"/>
  <c r="Q266" i="2"/>
  <c r="P266" i="2"/>
  <c r="O266" i="2"/>
  <c r="M266" i="2"/>
  <c r="L266" i="2"/>
  <c r="K266" i="2"/>
  <c r="J266" i="2"/>
  <c r="H266" i="2"/>
  <c r="N266" i="2" s="1"/>
  <c r="V265" i="2"/>
  <c r="U265" i="2"/>
  <c r="T265" i="2"/>
  <c r="S265" i="2"/>
  <c r="R265" i="2"/>
  <c r="Q265" i="2"/>
  <c r="P265" i="2"/>
  <c r="O265" i="2"/>
  <c r="M265" i="2"/>
  <c r="L265" i="2"/>
  <c r="K265" i="2"/>
  <c r="J265" i="2"/>
  <c r="H265" i="2"/>
  <c r="N265" i="2" s="1"/>
  <c r="V264" i="2"/>
  <c r="U264" i="2"/>
  <c r="T264" i="2"/>
  <c r="S264" i="2"/>
  <c r="R264" i="2"/>
  <c r="Q264" i="2"/>
  <c r="P264" i="2"/>
  <c r="O264" i="2"/>
  <c r="N264" i="2"/>
  <c r="M264" i="2"/>
  <c r="L264" i="2"/>
  <c r="J264" i="2"/>
  <c r="H264" i="2"/>
  <c r="K264" i="2" s="1"/>
  <c r="V263" i="2"/>
  <c r="U263" i="2"/>
  <c r="T263" i="2"/>
  <c r="S263" i="2"/>
  <c r="R263" i="2"/>
  <c r="Q263" i="2"/>
  <c r="P263" i="2"/>
  <c r="O263" i="2"/>
  <c r="N263" i="2"/>
  <c r="M263" i="2"/>
  <c r="L263" i="2"/>
  <c r="J263" i="2"/>
  <c r="H263" i="2"/>
  <c r="K263" i="2" s="1"/>
  <c r="V262" i="2"/>
  <c r="U262" i="2"/>
  <c r="T262" i="2"/>
  <c r="S262" i="2"/>
  <c r="R262" i="2"/>
  <c r="Q262" i="2"/>
  <c r="P262" i="2"/>
  <c r="O262" i="2"/>
  <c r="M262" i="2"/>
  <c r="L262" i="2"/>
  <c r="K262" i="2"/>
  <c r="J262" i="2"/>
  <c r="H262" i="2"/>
  <c r="N262" i="2" s="1"/>
  <c r="V261" i="2"/>
  <c r="U261" i="2"/>
  <c r="T261" i="2"/>
  <c r="S261" i="2"/>
  <c r="R261" i="2"/>
  <c r="Q261" i="2"/>
  <c r="P261" i="2"/>
  <c r="O261" i="2"/>
  <c r="N261" i="2"/>
  <c r="M261" i="2"/>
  <c r="L261" i="2"/>
  <c r="J261" i="2"/>
  <c r="H261" i="2"/>
  <c r="K261" i="2" s="1"/>
  <c r="V260" i="2"/>
  <c r="U260" i="2"/>
  <c r="T260" i="2"/>
  <c r="S260" i="2"/>
  <c r="R260" i="2"/>
  <c r="Q260" i="2"/>
  <c r="P260" i="2"/>
  <c r="O260" i="2"/>
  <c r="N260" i="2"/>
  <c r="M260" i="2"/>
  <c r="L260" i="2"/>
  <c r="J260" i="2"/>
  <c r="H260" i="2"/>
  <c r="K260" i="2" s="1"/>
  <c r="V259" i="2"/>
  <c r="U259" i="2"/>
  <c r="T259" i="2"/>
  <c r="S259" i="2"/>
  <c r="R259" i="2"/>
  <c r="Q259" i="2"/>
  <c r="P259" i="2"/>
  <c r="O259" i="2"/>
  <c r="M259" i="2"/>
  <c r="L259" i="2"/>
  <c r="K259" i="2"/>
  <c r="J259" i="2"/>
  <c r="H259" i="2"/>
  <c r="N259" i="2" s="1"/>
  <c r="V258" i="2"/>
  <c r="U258" i="2"/>
  <c r="T258" i="2"/>
  <c r="S258" i="2"/>
  <c r="R258" i="2"/>
  <c r="Q258" i="2"/>
  <c r="P258" i="2"/>
  <c r="O258" i="2"/>
  <c r="M258" i="2"/>
  <c r="L258" i="2"/>
  <c r="K258" i="2"/>
  <c r="J258" i="2"/>
  <c r="H258" i="2"/>
  <c r="N258" i="2" s="1"/>
  <c r="V257" i="2"/>
  <c r="U257" i="2"/>
  <c r="T257" i="2"/>
  <c r="S257" i="2"/>
  <c r="R257" i="2"/>
  <c r="Q257" i="2"/>
  <c r="P257" i="2"/>
  <c r="O257" i="2"/>
  <c r="N257" i="2"/>
  <c r="M257" i="2"/>
  <c r="L257" i="2"/>
  <c r="J257" i="2"/>
  <c r="H257" i="2"/>
  <c r="K257" i="2" s="1"/>
  <c r="V256" i="2"/>
  <c r="U256" i="2"/>
  <c r="T256" i="2"/>
  <c r="S256" i="2"/>
  <c r="R256" i="2"/>
  <c r="Q256" i="2"/>
  <c r="P256" i="2"/>
  <c r="O256" i="2"/>
  <c r="M256" i="2"/>
  <c r="L256" i="2"/>
  <c r="K256" i="2"/>
  <c r="J256" i="2"/>
  <c r="H256" i="2"/>
  <c r="N256" i="2" s="1"/>
  <c r="V255" i="2"/>
  <c r="U255" i="2"/>
  <c r="T255" i="2"/>
  <c r="S255" i="2"/>
  <c r="R255" i="2"/>
  <c r="Q255" i="2"/>
  <c r="P255" i="2"/>
  <c r="O255" i="2"/>
  <c r="M255" i="2"/>
  <c r="L255" i="2"/>
  <c r="K255" i="2"/>
  <c r="J255" i="2"/>
  <c r="H255" i="2"/>
  <c r="N255" i="2" s="1"/>
  <c r="V254" i="2"/>
  <c r="U254" i="2"/>
  <c r="T254" i="2"/>
  <c r="S254" i="2"/>
  <c r="R254" i="2"/>
  <c r="Q254" i="2"/>
  <c r="P254" i="2"/>
  <c r="O254" i="2"/>
  <c r="M254" i="2"/>
  <c r="L254" i="2"/>
  <c r="K254" i="2"/>
  <c r="J254" i="2"/>
  <c r="H254" i="2"/>
  <c r="N254" i="2" s="1"/>
  <c r="V253" i="2"/>
  <c r="U253" i="2"/>
  <c r="T253" i="2"/>
  <c r="S253" i="2"/>
  <c r="R253" i="2"/>
  <c r="Q253" i="2"/>
  <c r="P253" i="2"/>
  <c r="O253" i="2"/>
  <c r="M253" i="2"/>
  <c r="L253" i="2"/>
  <c r="K253" i="2"/>
  <c r="J253" i="2"/>
  <c r="H253" i="2"/>
  <c r="N253" i="2" s="1"/>
  <c r="V252" i="2"/>
  <c r="U252" i="2"/>
  <c r="T252" i="2"/>
  <c r="S252" i="2"/>
  <c r="R252" i="2"/>
  <c r="Q252" i="2"/>
  <c r="P252" i="2"/>
  <c r="O252" i="2"/>
  <c r="M252" i="2"/>
  <c r="L252" i="2"/>
  <c r="K252" i="2"/>
  <c r="J252" i="2"/>
  <c r="H252" i="2"/>
  <c r="N252" i="2" s="1"/>
  <c r="V251" i="2"/>
  <c r="U251" i="2"/>
  <c r="T251" i="2"/>
  <c r="S251" i="2"/>
  <c r="R251" i="2"/>
  <c r="Q251" i="2"/>
  <c r="P251" i="2"/>
  <c r="O251" i="2"/>
  <c r="M251" i="2"/>
  <c r="L251" i="2"/>
  <c r="K251" i="2"/>
  <c r="J251" i="2"/>
  <c r="H251" i="2"/>
  <c r="N251" i="2" s="1"/>
  <c r="V250" i="2"/>
  <c r="U250" i="2"/>
  <c r="T250" i="2"/>
  <c r="S250" i="2"/>
  <c r="R250" i="2"/>
  <c r="Q250" i="2"/>
  <c r="P250" i="2"/>
  <c r="O250" i="2"/>
  <c r="M250" i="2"/>
  <c r="L250" i="2"/>
  <c r="K250" i="2"/>
  <c r="J250" i="2"/>
  <c r="H250" i="2"/>
  <c r="N250" i="2" s="1"/>
  <c r="V249" i="2"/>
  <c r="U249" i="2"/>
  <c r="T249" i="2"/>
  <c r="S249" i="2"/>
  <c r="R249" i="2"/>
  <c r="Q249" i="2"/>
  <c r="P249" i="2"/>
  <c r="O249" i="2"/>
  <c r="M249" i="2"/>
  <c r="L249" i="2"/>
  <c r="K249" i="2"/>
  <c r="J249" i="2"/>
  <c r="H249" i="2"/>
  <c r="N249" i="2" s="1"/>
  <c r="V248" i="2"/>
  <c r="U248" i="2"/>
  <c r="T248" i="2"/>
  <c r="S248" i="2"/>
  <c r="R248" i="2"/>
  <c r="Q248" i="2"/>
  <c r="P248" i="2"/>
  <c r="O248" i="2"/>
  <c r="M248" i="2"/>
  <c r="L248" i="2"/>
  <c r="K248" i="2"/>
  <c r="J248" i="2"/>
  <c r="H248" i="2"/>
  <c r="N248" i="2" s="1"/>
  <c r="V247" i="2"/>
  <c r="U247" i="2"/>
  <c r="T247" i="2"/>
  <c r="S247" i="2"/>
  <c r="R247" i="2"/>
  <c r="Q247" i="2"/>
  <c r="P247" i="2"/>
  <c r="O247" i="2"/>
  <c r="M247" i="2"/>
  <c r="L247" i="2"/>
  <c r="K247" i="2"/>
  <c r="J247" i="2"/>
  <c r="H247" i="2"/>
  <c r="N247" i="2" s="1"/>
  <c r="V246" i="2"/>
  <c r="U246" i="2"/>
  <c r="T246" i="2"/>
  <c r="S246" i="2"/>
  <c r="R246" i="2"/>
  <c r="Q246" i="2"/>
  <c r="P246" i="2"/>
  <c r="O246" i="2"/>
  <c r="M246" i="2"/>
  <c r="L246" i="2"/>
  <c r="K246" i="2"/>
  <c r="J246" i="2"/>
  <c r="H246" i="2"/>
  <c r="N246" i="2" s="1"/>
  <c r="V245" i="2"/>
  <c r="U245" i="2"/>
  <c r="T245" i="2"/>
  <c r="S245" i="2"/>
  <c r="R245" i="2"/>
  <c r="Q245" i="2"/>
  <c r="P245" i="2"/>
  <c r="O245" i="2"/>
  <c r="M245" i="2"/>
  <c r="L245" i="2"/>
  <c r="K245" i="2"/>
  <c r="J245" i="2"/>
  <c r="H245" i="2"/>
  <c r="N245" i="2" s="1"/>
  <c r="V244" i="2"/>
  <c r="U244" i="2"/>
  <c r="T244" i="2"/>
  <c r="S244" i="2"/>
  <c r="R244" i="2"/>
  <c r="Q244" i="2"/>
  <c r="P244" i="2"/>
  <c r="O244" i="2"/>
  <c r="M244" i="2"/>
  <c r="L244" i="2"/>
  <c r="K244" i="2"/>
  <c r="J244" i="2"/>
  <c r="H244" i="2"/>
  <c r="N244" i="2" s="1"/>
  <c r="V243" i="2"/>
  <c r="U243" i="2"/>
  <c r="T243" i="2"/>
  <c r="S243" i="2"/>
  <c r="R243" i="2"/>
  <c r="Q243" i="2"/>
  <c r="P243" i="2"/>
  <c r="O243" i="2"/>
  <c r="N243" i="2"/>
  <c r="M243" i="2"/>
  <c r="L243" i="2"/>
  <c r="J243" i="2"/>
  <c r="H243" i="2"/>
  <c r="K243" i="2" s="1"/>
  <c r="V242" i="2"/>
  <c r="U242" i="2"/>
  <c r="T242" i="2"/>
  <c r="S242" i="2"/>
  <c r="R242" i="2"/>
  <c r="Q242" i="2"/>
  <c r="P242" i="2"/>
  <c r="O242" i="2"/>
  <c r="M242" i="2"/>
  <c r="L242" i="2"/>
  <c r="K242" i="2"/>
  <c r="J242" i="2"/>
  <c r="H242" i="2"/>
  <c r="N242" i="2" s="1"/>
  <c r="V241" i="2"/>
  <c r="U241" i="2"/>
  <c r="T241" i="2"/>
  <c r="S241" i="2"/>
  <c r="R241" i="2"/>
  <c r="Q241" i="2"/>
  <c r="P241" i="2"/>
  <c r="O241" i="2"/>
  <c r="N241" i="2"/>
  <c r="M241" i="2"/>
  <c r="L241" i="2"/>
  <c r="J241" i="2"/>
  <c r="H241" i="2"/>
  <c r="K241" i="2" s="1"/>
  <c r="V240" i="2"/>
  <c r="U240" i="2"/>
  <c r="T240" i="2"/>
  <c r="S240" i="2"/>
  <c r="R240" i="2"/>
  <c r="Q240" i="2"/>
  <c r="P240" i="2"/>
  <c r="O240" i="2"/>
  <c r="N240" i="2"/>
  <c r="M240" i="2"/>
  <c r="L240" i="2"/>
  <c r="J240" i="2"/>
  <c r="H240" i="2"/>
  <c r="K240" i="2" s="1"/>
  <c r="V239" i="2"/>
  <c r="U239" i="2"/>
  <c r="T239" i="2"/>
  <c r="S239" i="2"/>
  <c r="R239" i="2"/>
  <c r="Q239" i="2"/>
  <c r="P239" i="2"/>
  <c r="O239" i="2"/>
  <c r="M239" i="2"/>
  <c r="L239" i="2"/>
  <c r="K239" i="2"/>
  <c r="J239" i="2"/>
  <c r="H239" i="2"/>
  <c r="N239" i="2" s="1"/>
  <c r="V238" i="2"/>
  <c r="U238" i="2"/>
  <c r="T238" i="2"/>
  <c r="S238" i="2"/>
  <c r="R238" i="2"/>
  <c r="Q238" i="2"/>
  <c r="P238" i="2"/>
  <c r="O238" i="2"/>
  <c r="M238" i="2"/>
  <c r="L238" i="2"/>
  <c r="K238" i="2"/>
  <c r="J238" i="2"/>
  <c r="H238" i="2"/>
  <c r="N238" i="2" s="1"/>
  <c r="V237" i="2"/>
  <c r="U237" i="2"/>
  <c r="T237" i="2"/>
  <c r="S237" i="2"/>
  <c r="R237" i="2"/>
  <c r="Q237" i="2"/>
  <c r="P237" i="2"/>
  <c r="O237" i="2"/>
  <c r="M237" i="2"/>
  <c r="L237" i="2"/>
  <c r="K237" i="2"/>
  <c r="J237" i="2"/>
  <c r="H237" i="2"/>
  <c r="N237" i="2" s="1"/>
  <c r="V236" i="2"/>
  <c r="U236" i="2"/>
  <c r="T236" i="2"/>
  <c r="S236" i="2"/>
  <c r="R236" i="2"/>
  <c r="Q236" i="2"/>
  <c r="P236" i="2"/>
  <c r="O236" i="2"/>
  <c r="M236" i="2"/>
  <c r="L236" i="2"/>
  <c r="K236" i="2"/>
  <c r="J236" i="2"/>
  <c r="H236" i="2"/>
  <c r="N236" i="2" s="1"/>
  <c r="V235" i="2"/>
  <c r="U235" i="2"/>
  <c r="T235" i="2"/>
  <c r="S235" i="2"/>
  <c r="R235" i="2"/>
  <c r="Q235" i="2"/>
  <c r="P235" i="2"/>
  <c r="O235" i="2"/>
  <c r="M235" i="2"/>
  <c r="L235" i="2"/>
  <c r="K235" i="2"/>
  <c r="J235" i="2"/>
  <c r="H235" i="2"/>
  <c r="N235" i="2" s="1"/>
  <c r="V234" i="2"/>
  <c r="U234" i="2"/>
  <c r="T234" i="2"/>
  <c r="S234" i="2"/>
  <c r="R234" i="2"/>
  <c r="Q234" i="2"/>
  <c r="P234" i="2"/>
  <c r="O234" i="2"/>
  <c r="M234" i="2"/>
  <c r="L234" i="2"/>
  <c r="K234" i="2"/>
  <c r="J234" i="2"/>
  <c r="H234" i="2"/>
  <c r="N234" i="2" s="1"/>
  <c r="V233" i="2"/>
  <c r="U233" i="2"/>
  <c r="T233" i="2"/>
  <c r="S233" i="2"/>
  <c r="R233" i="2"/>
  <c r="Q233" i="2"/>
  <c r="P233" i="2"/>
  <c r="O233" i="2"/>
  <c r="M233" i="2"/>
  <c r="L233" i="2"/>
  <c r="K233" i="2"/>
  <c r="J233" i="2"/>
  <c r="H233" i="2"/>
  <c r="N233" i="2" s="1"/>
  <c r="V232" i="2"/>
  <c r="U232" i="2"/>
  <c r="T232" i="2"/>
  <c r="S232" i="2"/>
  <c r="R232" i="2"/>
  <c r="Q232" i="2"/>
  <c r="P232" i="2"/>
  <c r="N232" i="2"/>
  <c r="M232" i="2"/>
  <c r="L232" i="2"/>
  <c r="K232" i="2"/>
  <c r="J232" i="2"/>
  <c r="H232" i="2"/>
  <c r="O232" i="2" s="1"/>
  <c r="V231" i="2"/>
  <c r="U231" i="2"/>
  <c r="T231" i="2"/>
  <c r="S231" i="2"/>
  <c r="R231" i="2"/>
  <c r="Q231" i="2"/>
  <c r="P231" i="2"/>
  <c r="O231" i="2"/>
  <c r="N231" i="2"/>
  <c r="M231" i="2"/>
  <c r="L231" i="2"/>
  <c r="J231" i="2"/>
  <c r="H231" i="2"/>
  <c r="K231" i="2" s="1"/>
  <c r="V230" i="2"/>
  <c r="U230" i="2"/>
  <c r="T230" i="2"/>
  <c r="S230" i="2"/>
  <c r="R230" i="2"/>
  <c r="Q230" i="2"/>
  <c r="P230" i="2"/>
  <c r="O230" i="2"/>
  <c r="M230" i="2"/>
  <c r="L230" i="2"/>
  <c r="K230" i="2"/>
  <c r="J230" i="2"/>
  <c r="H230" i="2"/>
  <c r="N230" i="2" s="1"/>
  <c r="V229" i="2"/>
  <c r="U229" i="2"/>
  <c r="T229" i="2"/>
  <c r="S229" i="2"/>
  <c r="R229" i="2"/>
  <c r="Q229" i="2"/>
  <c r="P229" i="2"/>
  <c r="O229" i="2"/>
  <c r="M229" i="2"/>
  <c r="L229" i="2"/>
  <c r="K229" i="2"/>
  <c r="J229" i="2"/>
  <c r="H229" i="2"/>
  <c r="N229" i="2" s="1"/>
  <c r="V228" i="2"/>
  <c r="U228" i="2"/>
  <c r="T228" i="2"/>
  <c r="S228" i="2"/>
  <c r="R228" i="2"/>
  <c r="Q228" i="2"/>
  <c r="P228" i="2"/>
  <c r="O228" i="2"/>
  <c r="M228" i="2"/>
  <c r="L228" i="2"/>
  <c r="K228" i="2"/>
  <c r="J228" i="2"/>
  <c r="H228" i="2"/>
  <c r="N228" i="2" s="1"/>
  <c r="V227" i="2"/>
  <c r="U227" i="2"/>
  <c r="T227" i="2"/>
  <c r="S227" i="2"/>
  <c r="R227" i="2"/>
  <c r="Q227" i="2"/>
  <c r="P227" i="2"/>
  <c r="O227" i="2"/>
  <c r="M227" i="2"/>
  <c r="L227" i="2"/>
  <c r="K227" i="2"/>
  <c r="J227" i="2"/>
  <c r="H227" i="2"/>
  <c r="N227" i="2" s="1"/>
  <c r="V226" i="2"/>
  <c r="U226" i="2"/>
  <c r="T226" i="2"/>
  <c r="S226" i="2"/>
  <c r="R226" i="2"/>
  <c r="Q226" i="2"/>
  <c r="P226" i="2"/>
  <c r="O226" i="2"/>
  <c r="M226" i="2"/>
  <c r="L226" i="2"/>
  <c r="K226" i="2"/>
  <c r="J226" i="2"/>
  <c r="H226" i="2"/>
  <c r="N226" i="2" s="1"/>
  <c r="V225" i="2"/>
  <c r="U225" i="2"/>
  <c r="T225" i="2"/>
  <c r="S225" i="2"/>
  <c r="R225" i="2"/>
  <c r="Q225" i="2"/>
  <c r="P225" i="2"/>
  <c r="O225" i="2"/>
  <c r="N225" i="2"/>
  <c r="M225" i="2"/>
  <c r="L225" i="2"/>
  <c r="J225" i="2"/>
  <c r="H225" i="2"/>
  <c r="K225" i="2" s="1"/>
  <c r="V224" i="2"/>
  <c r="U224" i="2"/>
  <c r="T224" i="2"/>
  <c r="S224" i="2"/>
  <c r="R224" i="2"/>
  <c r="Q224" i="2"/>
  <c r="P224" i="2"/>
  <c r="O224" i="2"/>
  <c r="M224" i="2"/>
  <c r="L224" i="2"/>
  <c r="K224" i="2"/>
  <c r="J224" i="2"/>
  <c r="H224" i="2"/>
  <c r="N224" i="2" s="1"/>
  <c r="V223" i="2"/>
  <c r="U223" i="2"/>
  <c r="T223" i="2"/>
  <c r="S223" i="2"/>
  <c r="R223" i="2"/>
  <c r="Q223" i="2"/>
  <c r="P223" i="2"/>
  <c r="O223" i="2"/>
  <c r="M223" i="2"/>
  <c r="L223" i="2"/>
  <c r="K223" i="2"/>
  <c r="J223" i="2"/>
  <c r="H223" i="2"/>
  <c r="N223" i="2" s="1"/>
  <c r="V222" i="2"/>
  <c r="U222" i="2"/>
  <c r="T222" i="2"/>
  <c r="S222" i="2"/>
  <c r="R222" i="2"/>
  <c r="Q222" i="2"/>
  <c r="P222" i="2"/>
  <c r="O222" i="2"/>
  <c r="M222" i="2"/>
  <c r="L222" i="2"/>
  <c r="K222" i="2"/>
  <c r="J222" i="2"/>
  <c r="H222" i="2"/>
  <c r="N222" i="2" s="1"/>
  <c r="V221" i="2"/>
  <c r="U221" i="2"/>
  <c r="T221" i="2"/>
  <c r="S221" i="2"/>
  <c r="R221" i="2"/>
  <c r="Q221" i="2"/>
  <c r="P221" i="2"/>
  <c r="O221" i="2"/>
  <c r="N221" i="2"/>
  <c r="M221" i="2"/>
  <c r="L221" i="2"/>
  <c r="J221" i="2"/>
  <c r="H221" i="2"/>
  <c r="K221" i="2" s="1"/>
  <c r="V220" i="2"/>
  <c r="U220" i="2"/>
  <c r="T220" i="2"/>
  <c r="S220" i="2"/>
  <c r="R220" i="2"/>
  <c r="Q220" i="2"/>
  <c r="P220" i="2"/>
  <c r="O220" i="2"/>
  <c r="M220" i="2"/>
  <c r="L220" i="2"/>
  <c r="K220" i="2"/>
  <c r="J220" i="2"/>
  <c r="H220" i="2"/>
  <c r="N220" i="2" s="1"/>
  <c r="V219" i="2"/>
  <c r="U219" i="2"/>
  <c r="T219" i="2"/>
  <c r="S219" i="2"/>
  <c r="R219" i="2"/>
  <c r="Q219" i="2"/>
  <c r="P219" i="2"/>
  <c r="O219" i="2"/>
  <c r="M219" i="2"/>
  <c r="L219" i="2"/>
  <c r="K219" i="2"/>
  <c r="J219" i="2"/>
  <c r="H219" i="2"/>
  <c r="N219" i="2" s="1"/>
  <c r="V218" i="2"/>
  <c r="U218" i="2"/>
  <c r="T218" i="2"/>
  <c r="S218" i="2"/>
  <c r="R218" i="2"/>
  <c r="Q218" i="2"/>
  <c r="P218" i="2"/>
  <c r="O218" i="2"/>
  <c r="M218" i="2"/>
  <c r="L218" i="2"/>
  <c r="K218" i="2"/>
  <c r="J218" i="2"/>
  <c r="H218" i="2"/>
  <c r="N218" i="2" s="1"/>
  <c r="V217" i="2"/>
  <c r="U217" i="2"/>
  <c r="T217" i="2"/>
  <c r="S217" i="2"/>
  <c r="R217" i="2"/>
  <c r="Q217" i="2"/>
  <c r="P217" i="2"/>
  <c r="O217" i="2"/>
  <c r="M217" i="2"/>
  <c r="L217" i="2"/>
  <c r="K217" i="2"/>
  <c r="J217" i="2"/>
  <c r="H217" i="2"/>
  <c r="N217" i="2" s="1"/>
  <c r="V216" i="2"/>
  <c r="U216" i="2"/>
  <c r="T216" i="2"/>
  <c r="S216" i="2"/>
  <c r="R216" i="2"/>
  <c r="Q216" i="2"/>
  <c r="P216" i="2"/>
  <c r="O216" i="2"/>
  <c r="M216" i="2"/>
  <c r="L216" i="2"/>
  <c r="K216" i="2"/>
  <c r="J216" i="2"/>
  <c r="H216" i="2"/>
  <c r="N216" i="2" s="1"/>
  <c r="V215" i="2"/>
  <c r="U215" i="2"/>
  <c r="T215" i="2"/>
  <c r="S215" i="2"/>
  <c r="R215" i="2"/>
  <c r="Q215" i="2"/>
  <c r="P215" i="2"/>
  <c r="O215" i="2"/>
  <c r="N215" i="2"/>
  <c r="M215" i="2"/>
  <c r="K215" i="2"/>
  <c r="J215" i="2"/>
  <c r="H215" i="2"/>
  <c r="L215" i="2" s="1"/>
  <c r="V214" i="2"/>
  <c r="U214" i="2"/>
  <c r="T214" i="2"/>
  <c r="S214" i="2"/>
  <c r="R214" i="2"/>
  <c r="Q214" i="2"/>
  <c r="P214" i="2"/>
  <c r="O214" i="2"/>
  <c r="M214" i="2"/>
  <c r="L214" i="2"/>
  <c r="K214" i="2"/>
  <c r="J214" i="2"/>
  <c r="H214" i="2"/>
  <c r="N214" i="2" s="1"/>
  <c r="V213" i="2"/>
  <c r="U213" i="2"/>
  <c r="T213" i="2"/>
  <c r="S213" i="2"/>
  <c r="R213" i="2"/>
  <c r="Q213" i="2"/>
  <c r="P213" i="2"/>
  <c r="O213" i="2"/>
  <c r="M213" i="2"/>
  <c r="L213" i="2"/>
  <c r="K213" i="2"/>
  <c r="J213" i="2"/>
  <c r="H213" i="2"/>
  <c r="N213" i="2" s="1"/>
  <c r="V212" i="2"/>
  <c r="U212" i="2"/>
  <c r="T212" i="2"/>
  <c r="S212" i="2"/>
  <c r="R212" i="2"/>
  <c r="Q212" i="2"/>
  <c r="P212" i="2"/>
  <c r="O212" i="2"/>
  <c r="M212" i="2"/>
  <c r="L212" i="2"/>
  <c r="K212" i="2"/>
  <c r="J212" i="2"/>
  <c r="H212" i="2"/>
  <c r="N212" i="2" s="1"/>
  <c r="V211" i="2"/>
  <c r="U211" i="2"/>
  <c r="T211" i="2"/>
  <c r="S211" i="2"/>
  <c r="R211" i="2"/>
  <c r="Q211" i="2"/>
  <c r="P211" i="2"/>
  <c r="O211" i="2"/>
  <c r="M211" i="2"/>
  <c r="L211" i="2"/>
  <c r="K211" i="2"/>
  <c r="J211" i="2"/>
  <c r="H211" i="2"/>
  <c r="N211" i="2" s="1"/>
  <c r="V210" i="2"/>
  <c r="U210" i="2"/>
  <c r="T210" i="2"/>
  <c r="S210" i="2"/>
  <c r="R210" i="2"/>
  <c r="Q210" i="2"/>
  <c r="P210" i="2"/>
  <c r="O210" i="2"/>
  <c r="M210" i="2"/>
  <c r="L210" i="2"/>
  <c r="K210" i="2"/>
  <c r="J210" i="2"/>
  <c r="H210" i="2"/>
  <c r="N210" i="2" s="1"/>
  <c r="V209" i="2"/>
  <c r="U209" i="2"/>
  <c r="T209" i="2"/>
  <c r="S209" i="2"/>
  <c r="R209" i="2"/>
  <c r="Q209" i="2"/>
  <c r="P209" i="2"/>
  <c r="O209" i="2"/>
  <c r="M209" i="2"/>
  <c r="L209" i="2"/>
  <c r="K209" i="2"/>
  <c r="J209" i="2"/>
  <c r="H209" i="2"/>
  <c r="N209" i="2" s="1"/>
  <c r="V208" i="2"/>
  <c r="U208" i="2"/>
  <c r="T208" i="2"/>
  <c r="S208" i="2"/>
  <c r="R208" i="2"/>
  <c r="Q208" i="2"/>
  <c r="P208" i="2"/>
  <c r="O208" i="2"/>
  <c r="M208" i="2"/>
  <c r="L208" i="2"/>
  <c r="K208" i="2"/>
  <c r="J208" i="2"/>
  <c r="H208" i="2"/>
  <c r="N208" i="2" s="1"/>
  <c r="V207" i="2"/>
  <c r="U207" i="2"/>
  <c r="T207" i="2"/>
  <c r="S207" i="2"/>
  <c r="R207" i="2"/>
  <c r="Q207" i="2"/>
  <c r="P207" i="2"/>
  <c r="O207" i="2"/>
  <c r="N207" i="2"/>
  <c r="M207" i="2"/>
  <c r="L207" i="2"/>
  <c r="J207" i="2"/>
  <c r="H207" i="2"/>
  <c r="K207" i="2" s="1"/>
  <c r="V206" i="2"/>
  <c r="U206" i="2"/>
  <c r="T206" i="2"/>
  <c r="S206" i="2"/>
  <c r="R206" i="2"/>
  <c r="Q206" i="2"/>
  <c r="P206" i="2"/>
  <c r="O206" i="2"/>
  <c r="N206" i="2"/>
  <c r="M206" i="2"/>
  <c r="L206" i="2"/>
  <c r="J206" i="2"/>
  <c r="H206" i="2"/>
  <c r="K206" i="2" s="1"/>
  <c r="V205" i="2"/>
  <c r="U205" i="2"/>
  <c r="T205" i="2"/>
  <c r="S205" i="2"/>
  <c r="R205" i="2"/>
  <c r="Q205" i="2"/>
  <c r="P205" i="2"/>
  <c r="O205" i="2"/>
  <c r="M205" i="2"/>
  <c r="L205" i="2"/>
  <c r="K205" i="2"/>
  <c r="J205" i="2"/>
  <c r="H205" i="2"/>
  <c r="N205" i="2" s="1"/>
  <c r="V204" i="2"/>
  <c r="U204" i="2"/>
  <c r="T204" i="2"/>
  <c r="S204" i="2"/>
  <c r="R204" i="2"/>
  <c r="Q204" i="2"/>
  <c r="P204" i="2"/>
  <c r="O204" i="2"/>
  <c r="M204" i="2"/>
  <c r="L204" i="2"/>
  <c r="K204" i="2"/>
  <c r="J204" i="2"/>
  <c r="H204" i="2"/>
  <c r="N204" i="2" s="1"/>
  <c r="V203" i="2"/>
  <c r="U203" i="2"/>
  <c r="T203" i="2"/>
  <c r="S203" i="2"/>
  <c r="R203" i="2"/>
  <c r="Q203" i="2"/>
  <c r="P203" i="2"/>
  <c r="O203" i="2"/>
  <c r="M203" i="2"/>
  <c r="L203" i="2"/>
  <c r="K203" i="2"/>
  <c r="J203" i="2"/>
  <c r="H203" i="2"/>
  <c r="N203" i="2" s="1"/>
  <c r="V202" i="2"/>
  <c r="U202" i="2"/>
  <c r="T202" i="2"/>
  <c r="S202" i="2"/>
  <c r="R202" i="2"/>
  <c r="Q202" i="2"/>
  <c r="P202" i="2"/>
  <c r="O202" i="2"/>
  <c r="N202" i="2"/>
  <c r="M202" i="2"/>
  <c r="L202" i="2"/>
  <c r="J202" i="2"/>
  <c r="H202" i="2"/>
  <c r="K202" i="2" s="1"/>
  <c r="V201" i="2"/>
  <c r="U201" i="2"/>
  <c r="T201" i="2"/>
  <c r="S201" i="2"/>
  <c r="R201" i="2"/>
  <c r="Q201" i="2"/>
  <c r="P201" i="2"/>
  <c r="O201" i="2"/>
  <c r="N201" i="2"/>
  <c r="M201" i="2"/>
  <c r="L201" i="2"/>
  <c r="J201" i="2"/>
  <c r="H201" i="2"/>
  <c r="K201" i="2" s="1"/>
  <c r="V200" i="2"/>
  <c r="U200" i="2"/>
  <c r="T200" i="2"/>
  <c r="S200" i="2"/>
  <c r="R200" i="2"/>
  <c r="Q200" i="2"/>
  <c r="P200" i="2"/>
  <c r="O200" i="2"/>
  <c r="M200" i="2"/>
  <c r="L200" i="2"/>
  <c r="K200" i="2"/>
  <c r="J200" i="2"/>
  <c r="H200" i="2"/>
  <c r="N200" i="2" s="1"/>
  <c r="V199" i="2"/>
  <c r="U199" i="2"/>
  <c r="T199" i="2"/>
  <c r="S199" i="2"/>
  <c r="R199" i="2"/>
  <c r="Q199" i="2"/>
  <c r="P199" i="2"/>
  <c r="O199" i="2"/>
  <c r="M199" i="2"/>
  <c r="L199" i="2"/>
  <c r="K199" i="2"/>
  <c r="J199" i="2"/>
  <c r="H199" i="2"/>
  <c r="N199" i="2" s="1"/>
  <c r="V198" i="2"/>
  <c r="U198" i="2"/>
  <c r="T198" i="2"/>
  <c r="S198" i="2"/>
  <c r="R198" i="2"/>
  <c r="Q198" i="2"/>
  <c r="P198" i="2"/>
  <c r="O198" i="2"/>
  <c r="N198" i="2"/>
  <c r="M198" i="2"/>
  <c r="L198" i="2"/>
  <c r="J198" i="2"/>
  <c r="H198" i="2"/>
  <c r="K198" i="2" s="1"/>
  <c r="V197" i="2"/>
  <c r="U197" i="2"/>
  <c r="T197" i="2"/>
  <c r="S197" i="2"/>
  <c r="R197" i="2"/>
  <c r="Q197" i="2"/>
  <c r="P197" i="2"/>
  <c r="O197" i="2"/>
  <c r="M197" i="2"/>
  <c r="L197" i="2"/>
  <c r="K197" i="2"/>
  <c r="J197" i="2"/>
  <c r="H197" i="2"/>
  <c r="N197" i="2" s="1"/>
  <c r="V196" i="2"/>
  <c r="U196" i="2"/>
  <c r="T196" i="2"/>
  <c r="S196" i="2"/>
  <c r="R196" i="2"/>
  <c r="Q196" i="2"/>
  <c r="P196" i="2"/>
  <c r="O196" i="2"/>
  <c r="N196" i="2"/>
  <c r="M196" i="2"/>
  <c r="L196" i="2"/>
  <c r="J196" i="2"/>
  <c r="H196" i="2"/>
  <c r="K196" i="2" s="1"/>
  <c r="V195" i="2"/>
  <c r="U195" i="2"/>
  <c r="T195" i="2"/>
  <c r="S195" i="2"/>
  <c r="R195" i="2"/>
  <c r="Q195" i="2"/>
  <c r="P195" i="2"/>
  <c r="O195" i="2"/>
  <c r="M195" i="2"/>
  <c r="L195" i="2"/>
  <c r="K195" i="2"/>
  <c r="J195" i="2"/>
  <c r="H195" i="2"/>
  <c r="N195" i="2" s="1"/>
  <c r="V194" i="2"/>
  <c r="U194" i="2"/>
  <c r="T194" i="2"/>
  <c r="S194" i="2"/>
  <c r="R194" i="2"/>
  <c r="Q194" i="2"/>
  <c r="P194" i="2"/>
  <c r="O194" i="2"/>
  <c r="N194" i="2"/>
  <c r="M194" i="2"/>
  <c r="L194" i="2"/>
  <c r="J194" i="2"/>
  <c r="H194" i="2"/>
  <c r="K194" i="2" s="1"/>
  <c r="V193" i="2"/>
  <c r="U193" i="2"/>
  <c r="T193" i="2"/>
  <c r="S193" i="2"/>
  <c r="R193" i="2"/>
  <c r="Q193" i="2"/>
  <c r="P193" i="2"/>
  <c r="O193" i="2"/>
  <c r="N193" i="2"/>
  <c r="M193" i="2"/>
  <c r="L193" i="2"/>
  <c r="J193" i="2"/>
  <c r="H193" i="2"/>
  <c r="K193" i="2" s="1"/>
  <c r="V192" i="2"/>
  <c r="U192" i="2"/>
  <c r="T192" i="2"/>
  <c r="S192" i="2"/>
  <c r="R192" i="2"/>
  <c r="Q192" i="2"/>
  <c r="P192" i="2"/>
  <c r="O192" i="2"/>
  <c r="M192" i="2"/>
  <c r="L192" i="2"/>
  <c r="K192" i="2"/>
  <c r="J192" i="2"/>
  <c r="H192" i="2"/>
  <c r="N192" i="2" s="1"/>
  <c r="V191" i="2"/>
  <c r="U191" i="2"/>
  <c r="T191" i="2"/>
  <c r="S191" i="2"/>
  <c r="R191" i="2"/>
  <c r="Q191" i="2"/>
  <c r="P191" i="2"/>
  <c r="O191" i="2"/>
  <c r="M191" i="2"/>
  <c r="L191" i="2"/>
  <c r="K191" i="2"/>
  <c r="J191" i="2"/>
  <c r="H191" i="2"/>
  <c r="N191" i="2" s="1"/>
  <c r="V190" i="2"/>
  <c r="U190" i="2"/>
  <c r="T190" i="2"/>
  <c r="S190" i="2"/>
  <c r="R190" i="2"/>
  <c r="Q190" i="2"/>
  <c r="P190" i="2"/>
  <c r="O190" i="2"/>
  <c r="N190" i="2"/>
  <c r="M190" i="2"/>
  <c r="L190" i="2"/>
  <c r="J190" i="2"/>
  <c r="H190" i="2"/>
  <c r="K190" i="2" s="1"/>
  <c r="V189" i="2"/>
  <c r="U189" i="2"/>
  <c r="T189" i="2"/>
  <c r="S189" i="2"/>
  <c r="R189" i="2"/>
  <c r="Q189" i="2"/>
  <c r="P189" i="2"/>
  <c r="O189" i="2"/>
  <c r="M189" i="2"/>
  <c r="L189" i="2"/>
  <c r="K189" i="2"/>
  <c r="J189" i="2"/>
  <c r="H189" i="2"/>
  <c r="N189" i="2" s="1"/>
  <c r="V188" i="2"/>
  <c r="U188" i="2"/>
  <c r="T188" i="2"/>
  <c r="S188" i="2"/>
  <c r="R188" i="2"/>
  <c r="Q188" i="2"/>
  <c r="P188" i="2"/>
  <c r="O188" i="2"/>
  <c r="N188" i="2"/>
  <c r="M188" i="2"/>
  <c r="L188" i="2"/>
  <c r="J188" i="2"/>
  <c r="H188" i="2"/>
  <c r="K188" i="2" s="1"/>
  <c r="V187" i="2"/>
  <c r="U187" i="2"/>
  <c r="T187" i="2"/>
  <c r="S187" i="2"/>
  <c r="R187" i="2"/>
  <c r="Q187" i="2"/>
  <c r="P187" i="2"/>
  <c r="O187" i="2"/>
  <c r="M187" i="2"/>
  <c r="L187" i="2"/>
  <c r="K187" i="2"/>
  <c r="J187" i="2"/>
  <c r="H187" i="2"/>
  <c r="N187" i="2" s="1"/>
  <c r="V186" i="2"/>
  <c r="U186" i="2"/>
  <c r="T186" i="2"/>
  <c r="S186" i="2"/>
  <c r="R186" i="2"/>
  <c r="Q186" i="2"/>
  <c r="P186" i="2"/>
  <c r="O186" i="2"/>
  <c r="M186" i="2"/>
  <c r="L186" i="2"/>
  <c r="K186" i="2"/>
  <c r="J186" i="2"/>
  <c r="H186" i="2"/>
  <c r="N186" i="2" s="1"/>
  <c r="V185" i="2"/>
  <c r="U185" i="2"/>
  <c r="T185" i="2"/>
  <c r="S185" i="2"/>
  <c r="R185" i="2"/>
  <c r="Q185" i="2"/>
  <c r="P185" i="2"/>
  <c r="O185" i="2"/>
  <c r="M185" i="2"/>
  <c r="L185" i="2"/>
  <c r="K185" i="2"/>
  <c r="J185" i="2"/>
  <c r="H185" i="2"/>
  <c r="N185" i="2" s="1"/>
  <c r="V184" i="2"/>
  <c r="U184" i="2"/>
  <c r="T184" i="2"/>
  <c r="S184" i="2"/>
  <c r="R184" i="2"/>
  <c r="Q184" i="2"/>
  <c r="P184" i="2"/>
  <c r="O184" i="2"/>
  <c r="M184" i="2"/>
  <c r="L184" i="2"/>
  <c r="K184" i="2"/>
  <c r="J184" i="2"/>
  <c r="H184" i="2"/>
  <c r="N184" i="2" s="1"/>
  <c r="V183" i="2"/>
  <c r="U183" i="2"/>
  <c r="T183" i="2"/>
  <c r="S183" i="2"/>
  <c r="R183" i="2"/>
  <c r="Q183" i="2"/>
  <c r="P183" i="2"/>
  <c r="O183" i="2"/>
  <c r="M183" i="2"/>
  <c r="L183" i="2"/>
  <c r="K183" i="2"/>
  <c r="J183" i="2"/>
  <c r="H183" i="2"/>
  <c r="N183" i="2" s="1"/>
  <c r="V182" i="2"/>
  <c r="U182" i="2"/>
  <c r="T182" i="2"/>
  <c r="S182" i="2"/>
  <c r="R182" i="2"/>
  <c r="Q182" i="2"/>
  <c r="P182" i="2"/>
  <c r="O182" i="2"/>
  <c r="M182" i="2"/>
  <c r="L182" i="2"/>
  <c r="K182" i="2"/>
  <c r="J182" i="2"/>
  <c r="H182" i="2"/>
  <c r="N182" i="2" s="1"/>
  <c r="V181" i="2"/>
  <c r="U181" i="2"/>
  <c r="T181" i="2"/>
  <c r="S181" i="2"/>
  <c r="R181" i="2"/>
  <c r="Q181" i="2"/>
  <c r="P181" i="2"/>
  <c r="O181" i="2"/>
  <c r="N181" i="2"/>
  <c r="M181" i="2"/>
  <c r="L181" i="2"/>
  <c r="J181" i="2"/>
  <c r="H181" i="2"/>
  <c r="K181" i="2" s="1"/>
  <c r="V180" i="2"/>
  <c r="U180" i="2"/>
  <c r="T180" i="2"/>
  <c r="S180" i="2"/>
  <c r="R180" i="2"/>
  <c r="Q180" i="2"/>
  <c r="P180" i="2"/>
  <c r="O180" i="2"/>
  <c r="M180" i="2"/>
  <c r="L180" i="2"/>
  <c r="K180" i="2"/>
  <c r="J180" i="2"/>
  <c r="H180" i="2"/>
  <c r="N180" i="2" s="1"/>
  <c r="V179" i="2"/>
  <c r="U179" i="2"/>
  <c r="T179" i="2"/>
  <c r="S179" i="2"/>
  <c r="R179" i="2"/>
  <c r="Q179" i="2"/>
  <c r="P179" i="2"/>
  <c r="O179" i="2"/>
  <c r="M179" i="2"/>
  <c r="L179" i="2"/>
  <c r="K179" i="2"/>
  <c r="J179" i="2"/>
  <c r="H179" i="2"/>
  <c r="N179" i="2" s="1"/>
  <c r="V178" i="2"/>
  <c r="U178" i="2"/>
  <c r="T178" i="2"/>
  <c r="S178" i="2"/>
  <c r="R178" i="2"/>
  <c r="Q178" i="2"/>
  <c r="P178" i="2"/>
  <c r="O178" i="2"/>
  <c r="M178" i="2"/>
  <c r="L178" i="2"/>
  <c r="K178" i="2"/>
  <c r="J178" i="2"/>
  <c r="H178" i="2"/>
  <c r="N178" i="2" s="1"/>
  <c r="V177" i="2"/>
  <c r="U177" i="2"/>
  <c r="T177" i="2"/>
  <c r="S177" i="2"/>
  <c r="R177" i="2"/>
  <c r="Q177" i="2"/>
  <c r="P177" i="2"/>
  <c r="O177" i="2"/>
  <c r="M177" i="2"/>
  <c r="L177" i="2"/>
  <c r="K177" i="2"/>
  <c r="J177" i="2"/>
  <c r="H177" i="2"/>
  <c r="N177" i="2" s="1"/>
  <c r="V176" i="2"/>
  <c r="U176" i="2"/>
  <c r="T176" i="2"/>
  <c r="S176" i="2"/>
  <c r="R176" i="2"/>
  <c r="Q176" i="2"/>
  <c r="P176" i="2"/>
  <c r="O176" i="2"/>
  <c r="M176" i="2"/>
  <c r="L176" i="2"/>
  <c r="K176" i="2"/>
  <c r="J176" i="2"/>
  <c r="H176" i="2"/>
  <c r="N176" i="2" s="1"/>
  <c r="V175" i="2"/>
  <c r="U175" i="2"/>
  <c r="T175" i="2"/>
  <c r="S175" i="2"/>
  <c r="R175" i="2"/>
  <c r="Q175" i="2"/>
  <c r="P175" i="2"/>
  <c r="O175" i="2"/>
  <c r="M175" i="2"/>
  <c r="L175" i="2"/>
  <c r="K175" i="2"/>
  <c r="J175" i="2"/>
  <c r="H175" i="2"/>
  <c r="N175" i="2" s="1"/>
  <c r="V174" i="2"/>
  <c r="U174" i="2"/>
  <c r="T174" i="2"/>
  <c r="S174" i="2"/>
  <c r="R174" i="2"/>
  <c r="Q174" i="2"/>
  <c r="P174" i="2"/>
  <c r="O174" i="2"/>
  <c r="N174" i="2"/>
  <c r="M174" i="2"/>
  <c r="L174" i="2"/>
  <c r="J174" i="2"/>
  <c r="H174" i="2"/>
  <c r="K174" i="2" s="1"/>
  <c r="V173" i="2"/>
  <c r="U173" i="2"/>
  <c r="T173" i="2"/>
  <c r="S173" i="2"/>
  <c r="R173" i="2"/>
  <c r="Q173" i="2"/>
  <c r="P173" i="2"/>
  <c r="O173" i="2"/>
  <c r="N173" i="2"/>
  <c r="M173" i="2"/>
  <c r="L173" i="2"/>
  <c r="J173" i="2"/>
  <c r="H173" i="2"/>
  <c r="K173" i="2" s="1"/>
  <c r="V172" i="2"/>
  <c r="U172" i="2"/>
  <c r="T172" i="2"/>
  <c r="S172" i="2"/>
  <c r="R172" i="2"/>
  <c r="Q172" i="2"/>
  <c r="P172" i="2"/>
  <c r="O172" i="2"/>
  <c r="M172" i="2"/>
  <c r="L172" i="2"/>
  <c r="K172" i="2"/>
  <c r="J172" i="2"/>
  <c r="H172" i="2"/>
  <c r="N172" i="2" s="1"/>
  <c r="V171" i="2"/>
  <c r="U171" i="2"/>
  <c r="T171" i="2"/>
  <c r="S171" i="2"/>
  <c r="R171" i="2"/>
  <c r="Q171" i="2"/>
  <c r="P171" i="2"/>
  <c r="O171" i="2"/>
  <c r="N171" i="2"/>
  <c r="M171" i="2"/>
  <c r="L171" i="2"/>
  <c r="J171" i="2"/>
  <c r="H171" i="2"/>
  <c r="K171" i="2" s="1"/>
  <c r="V170" i="2"/>
  <c r="U170" i="2"/>
  <c r="T170" i="2"/>
  <c r="S170" i="2"/>
  <c r="R170" i="2"/>
  <c r="Q170" i="2"/>
  <c r="P170" i="2"/>
  <c r="O170" i="2"/>
  <c r="N170" i="2"/>
  <c r="M170" i="2"/>
  <c r="K170" i="2"/>
  <c r="J170" i="2"/>
  <c r="H170" i="2"/>
  <c r="L170" i="2" s="1"/>
  <c r="V169" i="2"/>
  <c r="U169" i="2"/>
  <c r="T169" i="2"/>
  <c r="S169" i="2"/>
  <c r="R169" i="2"/>
  <c r="Q169" i="2"/>
  <c r="P169" i="2"/>
  <c r="O169" i="2"/>
  <c r="N169" i="2"/>
  <c r="M169" i="2"/>
  <c r="L169" i="2"/>
  <c r="J169" i="2"/>
  <c r="H169" i="2"/>
  <c r="K169" i="2" s="1"/>
  <c r="V168" i="2"/>
  <c r="U168" i="2"/>
  <c r="T168" i="2"/>
  <c r="S168" i="2"/>
  <c r="R168" i="2"/>
  <c r="Q168" i="2"/>
  <c r="P168" i="2"/>
  <c r="O168" i="2"/>
  <c r="M168" i="2"/>
  <c r="L168" i="2"/>
  <c r="K168" i="2"/>
  <c r="J168" i="2"/>
  <c r="H168" i="2"/>
  <c r="N168" i="2" s="1"/>
  <c r="V167" i="2"/>
  <c r="U167" i="2"/>
  <c r="T167" i="2"/>
  <c r="S167" i="2"/>
  <c r="R167" i="2"/>
  <c r="Q167" i="2"/>
  <c r="P167" i="2"/>
  <c r="O167" i="2"/>
  <c r="N167" i="2"/>
  <c r="M167" i="2"/>
  <c r="L167" i="2"/>
  <c r="J167" i="2"/>
  <c r="H167" i="2"/>
  <c r="K167" i="2" s="1"/>
  <c r="V166" i="2"/>
  <c r="U166" i="2"/>
  <c r="T166" i="2"/>
  <c r="S166" i="2"/>
  <c r="R166" i="2"/>
  <c r="Q166" i="2"/>
  <c r="P166" i="2"/>
  <c r="O166" i="2"/>
  <c r="M166" i="2"/>
  <c r="L166" i="2"/>
  <c r="K166" i="2"/>
  <c r="J166" i="2"/>
  <c r="H166" i="2"/>
  <c r="N166" i="2" s="1"/>
  <c r="V165" i="2"/>
  <c r="U165" i="2"/>
  <c r="T165" i="2"/>
  <c r="S165" i="2"/>
  <c r="R165" i="2"/>
  <c r="Q165" i="2"/>
  <c r="P165" i="2"/>
  <c r="O165" i="2"/>
  <c r="M165" i="2"/>
  <c r="L165" i="2"/>
  <c r="K165" i="2"/>
  <c r="J165" i="2"/>
  <c r="H165" i="2"/>
  <c r="N165" i="2" s="1"/>
  <c r="V164" i="2"/>
  <c r="U164" i="2"/>
  <c r="T164" i="2"/>
  <c r="S164" i="2"/>
  <c r="R164" i="2"/>
  <c r="Q164" i="2"/>
  <c r="P164" i="2"/>
  <c r="O164" i="2"/>
  <c r="N164" i="2"/>
  <c r="M164" i="2"/>
  <c r="L164" i="2"/>
  <c r="J164" i="2"/>
  <c r="H164" i="2"/>
  <c r="K164" i="2" s="1"/>
  <c r="V163" i="2"/>
  <c r="U163" i="2"/>
  <c r="T163" i="2"/>
  <c r="S163" i="2"/>
  <c r="R163" i="2"/>
  <c r="Q163" i="2"/>
  <c r="P163" i="2"/>
  <c r="O163" i="2"/>
  <c r="M163" i="2"/>
  <c r="L163" i="2"/>
  <c r="K163" i="2"/>
  <c r="J163" i="2"/>
  <c r="H163" i="2"/>
  <c r="N163" i="2" s="1"/>
  <c r="V162" i="2"/>
  <c r="U162" i="2"/>
  <c r="T162" i="2"/>
  <c r="S162" i="2"/>
  <c r="R162" i="2"/>
  <c r="Q162" i="2"/>
  <c r="P162" i="2"/>
  <c r="O162" i="2"/>
  <c r="N162" i="2"/>
  <c r="M162" i="2"/>
  <c r="L162" i="2"/>
  <c r="J162" i="2"/>
  <c r="H162" i="2"/>
  <c r="K162" i="2" s="1"/>
  <c r="V161" i="2"/>
  <c r="U161" i="2"/>
  <c r="T161" i="2"/>
  <c r="S161" i="2"/>
  <c r="R161" i="2"/>
  <c r="Q161" i="2"/>
  <c r="P161" i="2"/>
  <c r="O161" i="2"/>
  <c r="N161" i="2"/>
  <c r="M161" i="2"/>
  <c r="L161" i="2"/>
  <c r="J161" i="2"/>
  <c r="H161" i="2"/>
  <c r="K161" i="2" s="1"/>
  <c r="V160" i="2"/>
  <c r="U160" i="2"/>
  <c r="T160" i="2"/>
  <c r="S160" i="2"/>
  <c r="R160" i="2"/>
  <c r="Q160" i="2"/>
  <c r="P160" i="2"/>
  <c r="O160" i="2"/>
  <c r="M160" i="2"/>
  <c r="L160" i="2"/>
  <c r="K160" i="2"/>
  <c r="J160" i="2"/>
  <c r="H160" i="2"/>
  <c r="N160" i="2" s="1"/>
  <c r="V159" i="2"/>
  <c r="U159" i="2"/>
  <c r="T159" i="2"/>
  <c r="S159" i="2"/>
  <c r="R159" i="2"/>
  <c r="Q159" i="2"/>
  <c r="P159" i="2"/>
  <c r="O159" i="2"/>
  <c r="M159" i="2"/>
  <c r="L159" i="2"/>
  <c r="K159" i="2"/>
  <c r="J159" i="2"/>
  <c r="H159" i="2"/>
  <c r="N159" i="2" s="1"/>
  <c r="V158" i="2"/>
  <c r="U158" i="2"/>
  <c r="T158" i="2"/>
  <c r="S158" i="2"/>
  <c r="R158" i="2"/>
  <c r="Q158" i="2"/>
  <c r="P158" i="2"/>
  <c r="O158" i="2"/>
  <c r="M158" i="2"/>
  <c r="L158" i="2"/>
  <c r="K158" i="2"/>
  <c r="J158" i="2"/>
  <c r="H158" i="2"/>
  <c r="N158" i="2" s="1"/>
  <c r="V157" i="2"/>
  <c r="U157" i="2"/>
  <c r="T157" i="2"/>
  <c r="S157" i="2"/>
  <c r="R157" i="2"/>
  <c r="Q157" i="2"/>
  <c r="P157" i="2"/>
  <c r="O157" i="2"/>
  <c r="N157" i="2"/>
  <c r="M157" i="2"/>
  <c r="L157" i="2"/>
  <c r="J157" i="2"/>
  <c r="H157" i="2"/>
  <c r="K157" i="2" s="1"/>
  <c r="V156" i="2"/>
  <c r="U156" i="2"/>
  <c r="T156" i="2"/>
  <c r="S156" i="2"/>
  <c r="R156" i="2"/>
  <c r="Q156" i="2"/>
  <c r="P156" i="2"/>
  <c r="O156" i="2"/>
  <c r="M156" i="2"/>
  <c r="L156" i="2"/>
  <c r="K156" i="2"/>
  <c r="J156" i="2"/>
  <c r="H156" i="2"/>
  <c r="N156" i="2" s="1"/>
  <c r="V155" i="2"/>
  <c r="U155" i="2"/>
  <c r="T155" i="2"/>
  <c r="S155" i="2"/>
  <c r="R155" i="2"/>
  <c r="Q155" i="2"/>
  <c r="P155" i="2"/>
  <c r="O155" i="2"/>
  <c r="M155" i="2"/>
  <c r="L155" i="2"/>
  <c r="K155" i="2"/>
  <c r="J155" i="2"/>
  <c r="H155" i="2"/>
  <c r="N155" i="2" s="1"/>
  <c r="V154" i="2"/>
  <c r="U154" i="2"/>
  <c r="T154" i="2"/>
  <c r="S154" i="2"/>
  <c r="R154" i="2"/>
  <c r="Q154" i="2"/>
  <c r="P154" i="2"/>
  <c r="O154" i="2"/>
  <c r="N154" i="2"/>
  <c r="M154" i="2"/>
  <c r="L154" i="2"/>
  <c r="J154" i="2"/>
  <c r="H154" i="2"/>
  <c r="K154" i="2" s="1"/>
  <c r="V153" i="2"/>
  <c r="U153" i="2"/>
  <c r="T153" i="2"/>
  <c r="S153" i="2"/>
  <c r="R153" i="2"/>
  <c r="Q153" i="2"/>
  <c r="P153" i="2"/>
  <c r="O153" i="2"/>
  <c r="N153" i="2"/>
  <c r="M153" i="2"/>
  <c r="L153" i="2"/>
  <c r="J153" i="2"/>
  <c r="H153" i="2"/>
  <c r="K153" i="2" s="1"/>
  <c r="V152" i="2"/>
  <c r="U152" i="2"/>
  <c r="T152" i="2"/>
  <c r="S152" i="2"/>
  <c r="R152" i="2"/>
  <c r="Q152" i="2"/>
  <c r="P152" i="2"/>
  <c r="O152" i="2"/>
  <c r="M152" i="2"/>
  <c r="L152" i="2"/>
  <c r="K152" i="2"/>
  <c r="J152" i="2"/>
  <c r="H152" i="2"/>
  <c r="N152" i="2" s="1"/>
  <c r="V151" i="2"/>
  <c r="U151" i="2"/>
  <c r="T151" i="2"/>
  <c r="S151" i="2"/>
  <c r="R151" i="2"/>
  <c r="Q151" i="2"/>
  <c r="P151" i="2"/>
  <c r="O151" i="2"/>
  <c r="M151" i="2"/>
  <c r="L151" i="2"/>
  <c r="K151" i="2"/>
  <c r="J151" i="2"/>
  <c r="H151" i="2"/>
  <c r="N151" i="2" s="1"/>
  <c r="V150" i="2"/>
  <c r="U150" i="2"/>
  <c r="T150" i="2"/>
  <c r="S150" i="2"/>
  <c r="R150" i="2"/>
  <c r="Q150" i="2"/>
  <c r="P150" i="2"/>
  <c r="O150" i="2"/>
  <c r="M150" i="2"/>
  <c r="L150" i="2"/>
  <c r="K150" i="2"/>
  <c r="J150" i="2"/>
  <c r="H150" i="2"/>
  <c r="N150" i="2" s="1"/>
  <c r="V149" i="2"/>
  <c r="U149" i="2"/>
  <c r="T149" i="2"/>
  <c r="S149" i="2"/>
  <c r="R149" i="2"/>
  <c r="Q149" i="2"/>
  <c r="P149" i="2"/>
  <c r="O149" i="2"/>
  <c r="N149" i="2"/>
  <c r="M149" i="2"/>
  <c r="L149" i="2"/>
  <c r="J149" i="2"/>
  <c r="H149" i="2"/>
  <c r="K149" i="2" s="1"/>
  <c r="V148" i="2"/>
  <c r="U148" i="2"/>
  <c r="T148" i="2"/>
  <c r="S148" i="2"/>
  <c r="R148" i="2"/>
  <c r="Q148" i="2"/>
  <c r="P148" i="2"/>
  <c r="O148" i="2"/>
  <c r="M148" i="2"/>
  <c r="L148" i="2"/>
  <c r="K148" i="2"/>
  <c r="J148" i="2"/>
  <c r="H148" i="2"/>
  <c r="N148" i="2" s="1"/>
  <c r="V147" i="2"/>
  <c r="U147" i="2"/>
  <c r="T147" i="2"/>
  <c r="S147" i="2"/>
  <c r="R147" i="2"/>
  <c r="Q147" i="2"/>
  <c r="P147" i="2"/>
  <c r="O147" i="2"/>
  <c r="M147" i="2"/>
  <c r="L147" i="2"/>
  <c r="K147" i="2"/>
  <c r="J147" i="2"/>
  <c r="H147" i="2"/>
  <c r="N147" i="2" s="1"/>
  <c r="V146" i="2"/>
  <c r="U146" i="2"/>
  <c r="T146" i="2"/>
  <c r="S146" i="2"/>
  <c r="R146" i="2"/>
  <c r="Q146" i="2"/>
  <c r="P146" i="2"/>
  <c r="O146" i="2"/>
  <c r="N146" i="2"/>
  <c r="M146" i="2"/>
  <c r="K146" i="2"/>
  <c r="J146" i="2"/>
  <c r="H146" i="2"/>
  <c r="L146" i="2" s="1"/>
  <c r="V145" i="2"/>
  <c r="U145" i="2"/>
  <c r="T145" i="2"/>
  <c r="S145" i="2"/>
  <c r="R145" i="2"/>
  <c r="Q145" i="2"/>
  <c r="P145" i="2"/>
  <c r="O145" i="2"/>
  <c r="M145" i="2"/>
  <c r="L145" i="2"/>
  <c r="K145" i="2"/>
  <c r="J145" i="2"/>
  <c r="H145" i="2"/>
  <c r="N145" i="2" s="1"/>
  <c r="V144" i="2"/>
  <c r="U144" i="2"/>
  <c r="T144" i="2"/>
  <c r="S144" i="2"/>
  <c r="R144" i="2"/>
  <c r="Q144" i="2"/>
  <c r="P144" i="2"/>
  <c r="O144" i="2"/>
  <c r="N144" i="2"/>
  <c r="M144" i="2"/>
  <c r="L144" i="2"/>
  <c r="J144" i="2"/>
  <c r="H144" i="2"/>
  <c r="K144" i="2" s="1"/>
  <c r="V143" i="2"/>
  <c r="U143" i="2"/>
  <c r="T143" i="2"/>
  <c r="S143" i="2"/>
  <c r="R143" i="2"/>
  <c r="Q143" i="2"/>
  <c r="P143" i="2"/>
  <c r="O143" i="2"/>
  <c r="N143" i="2"/>
  <c r="M143" i="2"/>
  <c r="K143" i="2"/>
  <c r="J143" i="2"/>
  <c r="H143" i="2"/>
  <c r="L143" i="2" s="1"/>
  <c r="V142" i="2"/>
  <c r="U142" i="2"/>
  <c r="T142" i="2"/>
  <c r="S142" i="2"/>
  <c r="R142" i="2"/>
  <c r="Q142" i="2"/>
  <c r="P142" i="2"/>
  <c r="O142" i="2"/>
  <c r="M142" i="2"/>
  <c r="L142" i="2"/>
  <c r="K142" i="2"/>
  <c r="J142" i="2"/>
  <c r="H142" i="2"/>
  <c r="N142" i="2" s="1"/>
  <c r="V141" i="2"/>
  <c r="U141" i="2"/>
  <c r="T141" i="2"/>
  <c r="S141" i="2"/>
  <c r="R141" i="2"/>
  <c r="Q141" i="2"/>
  <c r="P141" i="2"/>
  <c r="O141" i="2"/>
  <c r="N141" i="2"/>
  <c r="M141" i="2"/>
  <c r="L141" i="2"/>
  <c r="J141" i="2"/>
  <c r="H141" i="2"/>
  <c r="K141" i="2" s="1"/>
  <c r="V140" i="2"/>
  <c r="U140" i="2"/>
  <c r="T140" i="2"/>
  <c r="S140" i="2"/>
  <c r="R140" i="2"/>
  <c r="Q140" i="2"/>
  <c r="P140" i="2"/>
  <c r="O140" i="2"/>
  <c r="M140" i="2"/>
  <c r="L140" i="2"/>
  <c r="K140" i="2"/>
  <c r="J140" i="2"/>
  <c r="H140" i="2"/>
  <c r="N140" i="2" s="1"/>
  <c r="V139" i="2"/>
  <c r="U139" i="2"/>
  <c r="T139" i="2"/>
  <c r="S139" i="2"/>
  <c r="R139" i="2"/>
  <c r="Q139" i="2"/>
  <c r="P139" i="2"/>
  <c r="O139" i="2"/>
  <c r="M139" i="2"/>
  <c r="L139" i="2"/>
  <c r="K139" i="2"/>
  <c r="J139" i="2"/>
  <c r="H139" i="2"/>
  <c r="N139" i="2" s="1"/>
  <c r="V138" i="2"/>
  <c r="U138" i="2"/>
  <c r="T138" i="2"/>
  <c r="S138" i="2"/>
  <c r="R138" i="2"/>
  <c r="Q138" i="2"/>
  <c r="P138" i="2"/>
  <c r="O138" i="2"/>
  <c r="M138" i="2"/>
  <c r="L138" i="2"/>
  <c r="K138" i="2"/>
  <c r="J138" i="2"/>
  <c r="H138" i="2"/>
  <c r="N138" i="2" s="1"/>
  <c r="V137" i="2"/>
  <c r="U137" i="2"/>
  <c r="T137" i="2"/>
  <c r="S137" i="2"/>
  <c r="R137" i="2"/>
  <c r="Q137" i="2"/>
  <c r="P137" i="2"/>
  <c r="O137" i="2"/>
  <c r="N137" i="2"/>
  <c r="M137" i="2"/>
  <c r="L137" i="2"/>
  <c r="J137" i="2"/>
  <c r="H137" i="2"/>
  <c r="K137" i="2" s="1"/>
  <c r="V136" i="2"/>
  <c r="U136" i="2"/>
  <c r="T136" i="2"/>
  <c r="S136" i="2"/>
  <c r="R136" i="2"/>
  <c r="Q136" i="2"/>
  <c r="P136" i="2"/>
  <c r="O136" i="2"/>
  <c r="M136" i="2"/>
  <c r="L136" i="2"/>
  <c r="K136" i="2"/>
  <c r="J136" i="2"/>
  <c r="H136" i="2"/>
  <c r="N136" i="2" s="1"/>
  <c r="V135" i="2"/>
  <c r="U135" i="2"/>
  <c r="T135" i="2"/>
  <c r="S135" i="2"/>
  <c r="R135" i="2"/>
  <c r="Q135" i="2"/>
  <c r="P135" i="2"/>
  <c r="O135" i="2"/>
  <c r="M135" i="2"/>
  <c r="L135" i="2"/>
  <c r="K135" i="2"/>
  <c r="J135" i="2"/>
  <c r="H135" i="2"/>
  <c r="N135" i="2" s="1"/>
  <c r="V134" i="2"/>
  <c r="U134" i="2"/>
  <c r="T134" i="2"/>
  <c r="S134" i="2"/>
  <c r="R134" i="2"/>
  <c r="Q134" i="2"/>
  <c r="P134" i="2"/>
  <c r="O134" i="2"/>
  <c r="M134" i="2"/>
  <c r="L134" i="2"/>
  <c r="K134" i="2"/>
  <c r="J134" i="2"/>
  <c r="H134" i="2"/>
  <c r="N134" i="2" s="1"/>
  <c r="V133" i="2"/>
  <c r="U133" i="2"/>
  <c r="T133" i="2"/>
  <c r="S133" i="2"/>
  <c r="R133" i="2"/>
  <c r="Q133" i="2"/>
  <c r="P133" i="2"/>
  <c r="O133" i="2"/>
  <c r="M133" i="2"/>
  <c r="L133" i="2"/>
  <c r="K133" i="2"/>
  <c r="J133" i="2"/>
  <c r="H133" i="2"/>
  <c r="N133" i="2" s="1"/>
  <c r="V132" i="2"/>
  <c r="U132" i="2"/>
  <c r="T132" i="2"/>
  <c r="S132" i="2"/>
  <c r="R132" i="2"/>
  <c r="Q132" i="2"/>
  <c r="P132" i="2"/>
  <c r="O132" i="2"/>
  <c r="N132" i="2"/>
  <c r="M132" i="2"/>
  <c r="L132" i="2"/>
  <c r="J132" i="2"/>
  <c r="H132" i="2"/>
  <c r="K132" i="2" s="1"/>
  <c r="V131" i="2"/>
  <c r="U131" i="2"/>
  <c r="T131" i="2"/>
  <c r="S131" i="2"/>
  <c r="R131" i="2"/>
  <c r="Q131" i="2"/>
  <c r="P131" i="2"/>
  <c r="O131" i="2"/>
  <c r="M131" i="2"/>
  <c r="L131" i="2"/>
  <c r="K131" i="2"/>
  <c r="J131" i="2"/>
  <c r="H131" i="2"/>
  <c r="N131" i="2" s="1"/>
  <c r="V130" i="2"/>
  <c r="U130" i="2"/>
  <c r="T130" i="2"/>
  <c r="S130" i="2"/>
  <c r="R130" i="2"/>
  <c r="Q130" i="2"/>
  <c r="P130" i="2"/>
  <c r="O130" i="2"/>
  <c r="M130" i="2"/>
  <c r="L130" i="2"/>
  <c r="K130" i="2"/>
  <c r="J130" i="2"/>
  <c r="H130" i="2"/>
  <c r="N130" i="2" s="1"/>
  <c r="V129" i="2"/>
  <c r="U129" i="2"/>
  <c r="T129" i="2"/>
  <c r="S129" i="2"/>
  <c r="R129" i="2"/>
  <c r="Q129" i="2"/>
  <c r="P129" i="2"/>
  <c r="O129" i="2"/>
  <c r="M129" i="2"/>
  <c r="L129" i="2"/>
  <c r="K129" i="2"/>
  <c r="J129" i="2"/>
  <c r="H129" i="2"/>
  <c r="N129" i="2" s="1"/>
  <c r="V128" i="2"/>
  <c r="U128" i="2"/>
  <c r="T128" i="2"/>
  <c r="S128" i="2"/>
  <c r="R128" i="2"/>
  <c r="Q128" i="2"/>
  <c r="P128" i="2"/>
  <c r="O128" i="2"/>
  <c r="M128" i="2"/>
  <c r="L128" i="2"/>
  <c r="K128" i="2"/>
  <c r="J128" i="2"/>
  <c r="H128" i="2"/>
  <c r="N128" i="2" s="1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H127" i="2"/>
  <c r="V126" i="2"/>
  <c r="U126" i="2"/>
  <c r="T126" i="2"/>
  <c r="S126" i="2"/>
  <c r="R126" i="2"/>
  <c r="Q126" i="2"/>
  <c r="P126" i="2"/>
  <c r="O126" i="2"/>
  <c r="M126" i="2"/>
  <c r="L126" i="2"/>
  <c r="K126" i="2"/>
  <c r="J126" i="2"/>
  <c r="H126" i="2"/>
  <c r="N126" i="2" s="1"/>
  <c r="V125" i="2"/>
  <c r="U125" i="2"/>
  <c r="T125" i="2"/>
  <c r="S125" i="2"/>
  <c r="R125" i="2"/>
  <c r="Q125" i="2"/>
  <c r="P125" i="2"/>
  <c r="O125" i="2"/>
  <c r="M125" i="2"/>
  <c r="L125" i="2"/>
  <c r="K125" i="2"/>
  <c r="J125" i="2"/>
  <c r="H125" i="2"/>
  <c r="N125" i="2" s="1"/>
  <c r="V124" i="2"/>
  <c r="U124" i="2"/>
  <c r="T124" i="2"/>
  <c r="S124" i="2"/>
  <c r="R124" i="2"/>
  <c r="Q124" i="2"/>
  <c r="P124" i="2"/>
  <c r="O124" i="2"/>
  <c r="M124" i="2"/>
  <c r="L124" i="2"/>
  <c r="K124" i="2"/>
  <c r="J124" i="2"/>
  <c r="H124" i="2"/>
  <c r="N124" i="2" s="1"/>
  <c r="V123" i="2"/>
  <c r="U123" i="2"/>
  <c r="T123" i="2"/>
  <c r="S123" i="2"/>
  <c r="R123" i="2"/>
  <c r="Q123" i="2"/>
  <c r="P123" i="2"/>
  <c r="O123" i="2"/>
  <c r="M123" i="2"/>
  <c r="L123" i="2"/>
  <c r="K123" i="2"/>
  <c r="J123" i="2"/>
  <c r="H123" i="2"/>
  <c r="N123" i="2" s="1"/>
  <c r="V122" i="2"/>
  <c r="U122" i="2"/>
  <c r="T122" i="2"/>
  <c r="S122" i="2"/>
  <c r="R122" i="2"/>
  <c r="Q122" i="2"/>
  <c r="P122" i="2"/>
  <c r="O122" i="2"/>
  <c r="M122" i="2"/>
  <c r="L122" i="2"/>
  <c r="K122" i="2"/>
  <c r="J122" i="2"/>
  <c r="H122" i="2"/>
  <c r="N122" i="2" s="1"/>
  <c r="V121" i="2"/>
  <c r="U121" i="2"/>
  <c r="T121" i="2"/>
  <c r="S121" i="2"/>
  <c r="R121" i="2"/>
  <c r="Q121" i="2"/>
  <c r="P121" i="2"/>
  <c r="O121" i="2"/>
  <c r="M121" i="2"/>
  <c r="L121" i="2"/>
  <c r="K121" i="2"/>
  <c r="J121" i="2"/>
  <c r="H121" i="2"/>
  <c r="N121" i="2" s="1"/>
  <c r="V120" i="2"/>
  <c r="U120" i="2"/>
  <c r="T120" i="2"/>
  <c r="S120" i="2"/>
  <c r="R120" i="2"/>
  <c r="Q120" i="2"/>
  <c r="P120" i="2"/>
  <c r="O120" i="2"/>
  <c r="M120" i="2"/>
  <c r="L120" i="2"/>
  <c r="K120" i="2"/>
  <c r="J120" i="2"/>
  <c r="H120" i="2"/>
  <c r="N120" i="2" s="1"/>
  <c r="V119" i="2"/>
  <c r="U119" i="2"/>
  <c r="T119" i="2"/>
  <c r="S119" i="2"/>
  <c r="R119" i="2"/>
  <c r="Q119" i="2"/>
  <c r="P119" i="2"/>
  <c r="O119" i="2"/>
  <c r="M119" i="2"/>
  <c r="L119" i="2"/>
  <c r="K119" i="2"/>
  <c r="J119" i="2"/>
  <c r="H119" i="2"/>
  <c r="N119" i="2" s="1"/>
  <c r="V118" i="2"/>
  <c r="U118" i="2"/>
  <c r="T118" i="2"/>
  <c r="S118" i="2"/>
  <c r="R118" i="2"/>
  <c r="Q118" i="2"/>
  <c r="P118" i="2"/>
  <c r="O118" i="2"/>
  <c r="M118" i="2"/>
  <c r="L118" i="2"/>
  <c r="K118" i="2"/>
  <c r="J118" i="2"/>
  <c r="H118" i="2"/>
  <c r="N118" i="2" s="1"/>
  <c r="V117" i="2"/>
  <c r="U117" i="2"/>
  <c r="T117" i="2"/>
  <c r="S117" i="2"/>
  <c r="R117" i="2"/>
  <c r="Q117" i="2"/>
  <c r="P117" i="2"/>
  <c r="O117" i="2"/>
  <c r="M117" i="2"/>
  <c r="L117" i="2"/>
  <c r="K117" i="2"/>
  <c r="J117" i="2"/>
  <c r="H117" i="2"/>
  <c r="N117" i="2" s="1"/>
  <c r="V116" i="2"/>
  <c r="U116" i="2"/>
  <c r="T116" i="2"/>
  <c r="S116" i="2"/>
  <c r="R116" i="2"/>
  <c r="Q116" i="2"/>
  <c r="P116" i="2"/>
  <c r="O116" i="2"/>
  <c r="N116" i="2"/>
  <c r="M116" i="2"/>
  <c r="L116" i="2"/>
  <c r="J116" i="2"/>
  <c r="H116" i="2"/>
  <c r="K116" i="2" s="1"/>
  <c r="V115" i="2"/>
  <c r="U115" i="2"/>
  <c r="T115" i="2"/>
  <c r="S115" i="2"/>
  <c r="R115" i="2"/>
  <c r="Q115" i="2"/>
  <c r="P115" i="2"/>
  <c r="O115" i="2"/>
  <c r="M115" i="2"/>
  <c r="L115" i="2"/>
  <c r="K115" i="2"/>
  <c r="J115" i="2"/>
  <c r="H115" i="2"/>
  <c r="N115" i="2" s="1"/>
  <c r="V114" i="2"/>
  <c r="U114" i="2"/>
  <c r="T114" i="2"/>
  <c r="S114" i="2"/>
  <c r="R114" i="2"/>
  <c r="Q114" i="2"/>
  <c r="P114" i="2"/>
  <c r="O114" i="2"/>
  <c r="M114" i="2"/>
  <c r="L114" i="2"/>
  <c r="K114" i="2"/>
  <c r="J114" i="2"/>
  <c r="H114" i="2"/>
  <c r="N114" i="2" s="1"/>
  <c r="V113" i="2"/>
  <c r="U113" i="2"/>
  <c r="T113" i="2"/>
  <c r="S113" i="2"/>
  <c r="R113" i="2"/>
  <c r="Q113" i="2"/>
  <c r="P113" i="2"/>
  <c r="O113" i="2"/>
  <c r="M113" i="2"/>
  <c r="L113" i="2"/>
  <c r="K113" i="2"/>
  <c r="J113" i="2"/>
  <c r="H113" i="2"/>
  <c r="N113" i="2" s="1"/>
  <c r="V112" i="2"/>
  <c r="U112" i="2"/>
  <c r="T112" i="2"/>
  <c r="S112" i="2"/>
  <c r="R112" i="2"/>
  <c r="Q112" i="2"/>
  <c r="P112" i="2"/>
  <c r="O112" i="2"/>
  <c r="N112" i="2"/>
  <c r="M112" i="2"/>
  <c r="L112" i="2"/>
  <c r="J112" i="2"/>
  <c r="H112" i="2"/>
  <c r="K112" i="2" s="1"/>
  <c r="V111" i="2"/>
  <c r="U111" i="2"/>
  <c r="T111" i="2"/>
  <c r="S111" i="2"/>
  <c r="R111" i="2"/>
  <c r="Q111" i="2"/>
  <c r="P111" i="2"/>
  <c r="O111" i="2"/>
  <c r="M111" i="2"/>
  <c r="L111" i="2"/>
  <c r="K111" i="2"/>
  <c r="J111" i="2"/>
  <c r="H111" i="2"/>
  <c r="N111" i="2" s="1"/>
  <c r="V110" i="2"/>
  <c r="U110" i="2"/>
  <c r="T110" i="2"/>
  <c r="S110" i="2"/>
  <c r="R110" i="2"/>
  <c r="Q110" i="2"/>
  <c r="P110" i="2"/>
  <c r="O110" i="2"/>
  <c r="M110" i="2"/>
  <c r="L110" i="2"/>
  <c r="K110" i="2"/>
  <c r="J110" i="2"/>
  <c r="H110" i="2"/>
  <c r="N110" i="2" s="1"/>
  <c r="V109" i="2"/>
  <c r="U109" i="2"/>
  <c r="T109" i="2"/>
  <c r="S109" i="2"/>
  <c r="R109" i="2"/>
  <c r="Q109" i="2"/>
  <c r="P109" i="2"/>
  <c r="O109" i="2"/>
  <c r="M109" i="2"/>
  <c r="L109" i="2"/>
  <c r="K109" i="2"/>
  <c r="J109" i="2"/>
  <c r="H109" i="2"/>
  <c r="N109" i="2" s="1"/>
  <c r="V108" i="2"/>
  <c r="U108" i="2"/>
  <c r="T108" i="2"/>
  <c r="S108" i="2"/>
  <c r="R108" i="2"/>
  <c r="Q108" i="2"/>
  <c r="P108" i="2"/>
  <c r="O108" i="2"/>
  <c r="M108" i="2"/>
  <c r="L108" i="2"/>
  <c r="K108" i="2"/>
  <c r="J108" i="2"/>
  <c r="H108" i="2"/>
  <c r="N108" i="2" s="1"/>
  <c r="V107" i="2"/>
  <c r="U107" i="2"/>
  <c r="T107" i="2"/>
  <c r="S107" i="2"/>
  <c r="R107" i="2"/>
  <c r="Q107" i="2"/>
  <c r="P107" i="2"/>
  <c r="O107" i="2"/>
  <c r="M107" i="2"/>
  <c r="L107" i="2"/>
  <c r="K107" i="2"/>
  <c r="J107" i="2"/>
  <c r="H107" i="2"/>
  <c r="N107" i="2" s="1"/>
  <c r="V106" i="2"/>
  <c r="U106" i="2"/>
  <c r="T106" i="2"/>
  <c r="S106" i="2"/>
  <c r="R106" i="2"/>
  <c r="Q106" i="2"/>
  <c r="P106" i="2"/>
  <c r="O106" i="2"/>
  <c r="M106" i="2"/>
  <c r="L106" i="2"/>
  <c r="K106" i="2"/>
  <c r="J106" i="2"/>
  <c r="H106" i="2"/>
  <c r="N106" i="2" s="1"/>
  <c r="V105" i="2"/>
  <c r="U105" i="2"/>
  <c r="T105" i="2"/>
  <c r="S105" i="2"/>
  <c r="R105" i="2"/>
  <c r="Q105" i="2"/>
  <c r="P105" i="2"/>
  <c r="O105" i="2"/>
  <c r="M105" i="2"/>
  <c r="L105" i="2"/>
  <c r="K105" i="2"/>
  <c r="J105" i="2"/>
  <c r="H105" i="2"/>
  <c r="N105" i="2" s="1"/>
  <c r="V104" i="2"/>
  <c r="U104" i="2"/>
  <c r="T104" i="2"/>
  <c r="S104" i="2"/>
  <c r="R104" i="2"/>
  <c r="Q104" i="2"/>
  <c r="P104" i="2"/>
  <c r="O104" i="2"/>
  <c r="M104" i="2"/>
  <c r="L104" i="2"/>
  <c r="K104" i="2"/>
  <c r="J104" i="2"/>
  <c r="H104" i="2"/>
  <c r="N104" i="2" s="1"/>
  <c r="V103" i="2"/>
  <c r="U103" i="2"/>
  <c r="T103" i="2"/>
  <c r="S103" i="2"/>
  <c r="R103" i="2"/>
  <c r="Q103" i="2"/>
  <c r="P103" i="2"/>
  <c r="O103" i="2"/>
  <c r="M103" i="2"/>
  <c r="L103" i="2"/>
  <c r="K103" i="2"/>
  <c r="J103" i="2"/>
  <c r="H103" i="2"/>
  <c r="N103" i="2" s="1"/>
  <c r="V102" i="2"/>
  <c r="U102" i="2"/>
  <c r="T102" i="2"/>
  <c r="S102" i="2"/>
  <c r="R102" i="2"/>
  <c r="Q102" i="2"/>
  <c r="P102" i="2"/>
  <c r="O102" i="2"/>
  <c r="M102" i="2"/>
  <c r="L102" i="2"/>
  <c r="K102" i="2"/>
  <c r="J102" i="2"/>
  <c r="H102" i="2"/>
  <c r="N102" i="2" s="1"/>
  <c r="V101" i="2"/>
  <c r="U101" i="2"/>
  <c r="T101" i="2"/>
  <c r="S101" i="2"/>
  <c r="R101" i="2"/>
  <c r="Q101" i="2"/>
  <c r="P101" i="2"/>
  <c r="O101" i="2"/>
  <c r="M101" i="2"/>
  <c r="L101" i="2"/>
  <c r="K101" i="2"/>
  <c r="J101" i="2"/>
  <c r="H101" i="2"/>
  <c r="N101" i="2" s="1"/>
  <c r="V100" i="2"/>
  <c r="U100" i="2"/>
  <c r="T100" i="2"/>
  <c r="S100" i="2"/>
  <c r="R100" i="2"/>
  <c r="Q100" i="2"/>
  <c r="P100" i="2"/>
  <c r="O100" i="2"/>
  <c r="M100" i="2"/>
  <c r="L100" i="2"/>
  <c r="K100" i="2"/>
  <c r="J100" i="2"/>
  <c r="H100" i="2"/>
  <c r="N100" i="2" s="1"/>
  <c r="V99" i="2"/>
  <c r="U99" i="2"/>
  <c r="T99" i="2"/>
  <c r="S99" i="2"/>
  <c r="R99" i="2"/>
  <c r="Q99" i="2"/>
  <c r="P99" i="2"/>
  <c r="O99" i="2"/>
  <c r="M99" i="2"/>
  <c r="L99" i="2"/>
  <c r="K99" i="2"/>
  <c r="J99" i="2"/>
  <c r="H99" i="2"/>
  <c r="N99" i="2" s="1"/>
  <c r="V98" i="2"/>
  <c r="U98" i="2"/>
  <c r="T98" i="2"/>
  <c r="S98" i="2"/>
  <c r="R98" i="2"/>
  <c r="Q98" i="2"/>
  <c r="P98" i="2"/>
  <c r="O98" i="2"/>
  <c r="M98" i="2"/>
  <c r="L98" i="2"/>
  <c r="K98" i="2"/>
  <c r="J98" i="2"/>
  <c r="H98" i="2"/>
  <c r="N98" i="2" s="1"/>
  <c r="V97" i="2"/>
  <c r="U97" i="2"/>
  <c r="T97" i="2"/>
  <c r="S97" i="2"/>
  <c r="R97" i="2"/>
  <c r="Q97" i="2"/>
  <c r="P97" i="2"/>
  <c r="O97" i="2"/>
  <c r="M97" i="2"/>
  <c r="L97" i="2"/>
  <c r="K97" i="2"/>
  <c r="J97" i="2"/>
  <c r="H97" i="2"/>
  <c r="N97" i="2" s="1"/>
  <c r="V96" i="2"/>
  <c r="U96" i="2"/>
  <c r="T96" i="2"/>
  <c r="S96" i="2"/>
  <c r="R96" i="2"/>
  <c r="Q96" i="2"/>
  <c r="P96" i="2"/>
  <c r="O96" i="2"/>
  <c r="M96" i="2"/>
  <c r="L96" i="2"/>
  <c r="K96" i="2"/>
  <c r="J96" i="2"/>
  <c r="H96" i="2"/>
  <c r="N96" i="2" s="1"/>
  <c r="V95" i="2"/>
  <c r="U95" i="2"/>
  <c r="T95" i="2"/>
  <c r="S95" i="2"/>
  <c r="R95" i="2"/>
  <c r="Q95" i="2"/>
  <c r="P95" i="2"/>
  <c r="O95" i="2"/>
  <c r="M95" i="2"/>
  <c r="L95" i="2"/>
  <c r="K95" i="2"/>
  <c r="J95" i="2"/>
  <c r="H95" i="2"/>
  <c r="N95" i="2" s="1"/>
  <c r="V94" i="2"/>
  <c r="U94" i="2"/>
  <c r="T94" i="2"/>
  <c r="S94" i="2"/>
  <c r="R94" i="2"/>
  <c r="Q94" i="2"/>
  <c r="P94" i="2"/>
  <c r="O94" i="2"/>
  <c r="M94" i="2"/>
  <c r="L94" i="2"/>
  <c r="K94" i="2"/>
  <c r="J94" i="2"/>
  <c r="H94" i="2"/>
  <c r="N94" i="2" s="1"/>
  <c r="V93" i="2"/>
  <c r="U93" i="2"/>
  <c r="T93" i="2"/>
  <c r="S93" i="2"/>
  <c r="R93" i="2"/>
  <c r="Q93" i="2"/>
  <c r="P93" i="2"/>
  <c r="O93" i="2"/>
  <c r="M93" i="2"/>
  <c r="L93" i="2"/>
  <c r="K93" i="2"/>
  <c r="J93" i="2"/>
  <c r="H93" i="2"/>
  <c r="N93" i="2" s="1"/>
  <c r="V92" i="2"/>
  <c r="U92" i="2"/>
  <c r="T92" i="2"/>
  <c r="S92" i="2"/>
  <c r="R92" i="2"/>
  <c r="Q92" i="2"/>
  <c r="P92" i="2"/>
  <c r="O92" i="2"/>
  <c r="M92" i="2"/>
  <c r="L92" i="2"/>
  <c r="K92" i="2"/>
  <c r="J92" i="2"/>
  <c r="H92" i="2"/>
  <c r="N92" i="2" s="1"/>
  <c r="V91" i="2"/>
  <c r="U91" i="2"/>
  <c r="T91" i="2"/>
  <c r="S91" i="2"/>
  <c r="R91" i="2"/>
  <c r="Q91" i="2"/>
  <c r="P91" i="2"/>
  <c r="O91" i="2"/>
  <c r="M91" i="2"/>
  <c r="L91" i="2"/>
  <c r="K91" i="2"/>
  <c r="J91" i="2"/>
  <c r="H91" i="2"/>
  <c r="N91" i="2" s="1"/>
  <c r="V90" i="2"/>
  <c r="U90" i="2"/>
  <c r="T90" i="2"/>
  <c r="S90" i="2"/>
  <c r="R90" i="2"/>
  <c r="Q90" i="2"/>
  <c r="P90" i="2"/>
  <c r="O90" i="2"/>
  <c r="M90" i="2"/>
  <c r="L90" i="2"/>
  <c r="K90" i="2"/>
  <c r="J90" i="2"/>
  <c r="H90" i="2"/>
  <c r="N90" i="2" s="1"/>
  <c r="V89" i="2"/>
  <c r="U89" i="2"/>
  <c r="T89" i="2"/>
  <c r="S89" i="2"/>
  <c r="R89" i="2"/>
  <c r="Q89" i="2"/>
  <c r="P89" i="2"/>
  <c r="O89" i="2"/>
  <c r="M89" i="2"/>
  <c r="L89" i="2"/>
  <c r="K89" i="2"/>
  <c r="J89" i="2"/>
  <c r="H89" i="2"/>
  <c r="N89" i="2" s="1"/>
  <c r="V88" i="2"/>
  <c r="U88" i="2"/>
  <c r="T88" i="2"/>
  <c r="S88" i="2"/>
  <c r="R88" i="2"/>
  <c r="Q88" i="2"/>
  <c r="P88" i="2"/>
  <c r="O88" i="2"/>
  <c r="M88" i="2"/>
  <c r="L88" i="2"/>
  <c r="K88" i="2"/>
  <c r="J88" i="2"/>
  <c r="H88" i="2"/>
  <c r="N88" i="2" s="1"/>
  <c r="V87" i="2"/>
  <c r="U87" i="2"/>
  <c r="T87" i="2"/>
  <c r="S87" i="2"/>
  <c r="R87" i="2"/>
  <c r="Q87" i="2"/>
  <c r="P87" i="2"/>
  <c r="O87" i="2"/>
  <c r="M87" i="2"/>
  <c r="L87" i="2"/>
  <c r="K87" i="2"/>
  <c r="J87" i="2"/>
  <c r="H87" i="2"/>
  <c r="N87" i="2" s="1"/>
  <c r="V86" i="2"/>
  <c r="U86" i="2"/>
  <c r="T86" i="2"/>
  <c r="S86" i="2"/>
  <c r="R86" i="2"/>
  <c r="Q86" i="2"/>
  <c r="P86" i="2"/>
  <c r="O86" i="2"/>
  <c r="M86" i="2"/>
  <c r="L86" i="2"/>
  <c r="K86" i="2"/>
  <c r="J86" i="2"/>
  <c r="H86" i="2"/>
  <c r="N86" i="2" s="1"/>
  <c r="V85" i="2"/>
  <c r="U85" i="2"/>
  <c r="T85" i="2"/>
  <c r="S85" i="2"/>
  <c r="R85" i="2"/>
  <c r="Q85" i="2"/>
  <c r="P85" i="2"/>
  <c r="O85" i="2"/>
  <c r="M85" i="2"/>
  <c r="L85" i="2"/>
  <c r="K85" i="2"/>
  <c r="J85" i="2"/>
  <c r="H85" i="2"/>
  <c r="N85" i="2" s="1"/>
  <c r="V84" i="2"/>
  <c r="U84" i="2"/>
  <c r="T84" i="2"/>
  <c r="S84" i="2"/>
  <c r="R84" i="2"/>
  <c r="Q84" i="2"/>
  <c r="P84" i="2"/>
  <c r="O84" i="2"/>
  <c r="M84" i="2"/>
  <c r="L84" i="2"/>
  <c r="K84" i="2"/>
  <c r="J84" i="2"/>
  <c r="H84" i="2"/>
  <c r="N84" i="2" s="1"/>
  <c r="V83" i="2"/>
  <c r="U83" i="2"/>
  <c r="T83" i="2"/>
  <c r="S83" i="2"/>
  <c r="R83" i="2"/>
  <c r="Q83" i="2"/>
  <c r="P83" i="2"/>
  <c r="O83" i="2"/>
  <c r="M83" i="2"/>
  <c r="L83" i="2"/>
  <c r="K83" i="2"/>
  <c r="J83" i="2"/>
  <c r="H83" i="2"/>
  <c r="N83" i="2" s="1"/>
  <c r="V82" i="2"/>
  <c r="U82" i="2"/>
  <c r="T82" i="2"/>
  <c r="S82" i="2"/>
  <c r="R82" i="2"/>
  <c r="Q82" i="2"/>
  <c r="P82" i="2"/>
  <c r="O82" i="2"/>
  <c r="M82" i="2"/>
  <c r="L82" i="2"/>
  <c r="K82" i="2"/>
  <c r="J82" i="2"/>
  <c r="H82" i="2"/>
  <c r="N82" i="2" s="1"/>
  <c r="V81" i="2"/>
  <c r="U81" i="2"/>
  <c r="T81" i="2"/>
  <c r="S81" i="2"/>
  <c r="R81" i="2"/>
  <c r="Q81" i="2"/>
  <c r="P81" i="2"/>
  <c r="O81" i="2"/>
  <c r="M81" i="2"/>
  <c r="L81" i="2"/>
  <c r="K81" i="2"/>
  <c r="J81" i="2"/>
  <c r="H81" i="2"/>
  <c r="N81" i="2" s="1"/>
  <c r="V80" i="2"/>
  <c r="U80" i="2"/>
  <c r="T80" i="2"/>
  <c r="S80" i="2"/>
  <c r="R80" i="2"/>
  <c r="Q80" i="2"/>
  <c r="P80" i="2"/>
  <c r="O80" i="2"/>
  <c r="M80" i="2"/>
  <c r="L80" i="2"/>
  <c r="K80" i="2"/>
  <c r="J80" i="2"/>
  <c r="H80" i="2"/>
  <c r="N80" i="2" s="1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H79" i="2"/>
  <c r="V78" i="2"/>
  <c r="U78" i="2"/>
  <c r="T78" i="2"/>
  <c r="S78" i="2"/>
  <c r="R78" i="2"/>
  <c r="Q78" i="2"/>
  <c r="P78" i="2"/>
  <c r="O78" i="2"/>
  <c r="M78" i="2"/>
  <c r="L78" i="2"/>
  <c r="K78" i="2"/>
  <c r="J78" i="2"/>
  <c r="H78" i="2"/>
  <c r="N78" i="2" s="1"/>
  <c r="V77" i="2"/>
  <c r="U77" i="2"/>
  <c r="T77" i="2"/>
  <c r="S77" i="2"/>
  <c r="R77" i="2"/>
  <c r="Q77" i="2"/>
  <c r="P77" i="2"/>
  <c r="O77" i="2"/>
  <c r="M77" i="2"/>
  <c r="L77" i="2"/>
  <c r="K77" i="2"/>
  <c r="J77" i="2"/>
  <c r="H77" i="2"/>
  <c r="N77" i="2" s="1"/>
  <c r="V76" i="2"/>
  <c r="U76" i="2"/>
  <c r="T76" i="2"/>
  <c r="S76" i="2"/>
  <c r="R76" i="2"/>
  <c r="Q76" i="2"/>
  <c r="P76" i="2"/>
  <c r="O76" i="2"/>
  <c r="M76" i="2"/>
  <c r="L76" i="2"/>
  <c r="K76" i="2"/>
  <c r="J76" i="2"/>
  <c r="H76" i="2"/>
  <c r="N76" i="2" s="1"/>
  <c r="V75" i="2"/>
  <c r="U75" i="2"/>
  <c r="T75" i="2"/>
  <c r="S75" i="2"/>
  <c r="R75" i="2"/>
  <c r="Q75" i="2"/>
  <c r="P75" i="2"/>
  <c r="O75" i="2"/>
  <c r="N75" i="2"/>
  <c r="M75" i="2"/>
  <c r="L75" i="2"/>
  <c r="J75" i="2"/>
  <c r="H75" i="2"/>
  <c r="K75" i="2" s="1"/>
  <c r="V74" i="2"/>
  <c r="U74" i="2"/>
  <c r="T74" i="2"/>
  <c r="S74" i="2"/>
  <c r="R74" i="2"/>
  <c r="Q74" i="2"/>
  <c r="P74" i="2"/>
  <c r="O74" i="2"/>
  <c r="M74" i="2"/>
  <c r="L74" i="2"/>
  <c r="K74" i="2"/>
  <c r="J74" i="2"/>
  <c r="H74" i="2"/>
  <c r="N74" i="2" s="1"/>
  <c r="V73" i="2"/>
  <c r="U73" i="2"/>
  <c r="T73" i="2"/>
  <c r="S73" i="2"/>
  <c r="R73" i="2"/>
  <c r="Q73" i="2"/>
  <c r="P73" i="2"/>
  <c r="O73" i="2"/>
  <c r="M73" i="2"/>
  <c r="L73" i="2"/>
  <c r="K73" i="2"/>
  <c r="J73" i="2"/>
  <c r="H73" i="2"/>
  <c r="N73" i="2" s="1"/>
  <c r="V72" i="2"/>
  <c r="U72" i="2"/>
  <c r="T72" i="2"/>
  <c r="S72" i="2"/>
  <c r="R72" i="2"/>
  <c r="Q72" i="2"/>
  <c r="P72" i="2"/>
  <c r="O72" i="2"/>
  <c r="M72" i="2"/>
  <c r="L72" i="2"/>
  <c r="K72" i="2"/>
  <c r="J72" i="2"/>
  <c r="H72" i="2"/>
  <c r="N72" i="2" s="1"/>
  <c r="V71" i="2"/>
  <c r="U71" i="2"/>
  <c r="T71" i="2"/>
  <c r="S71" i="2"/>
  <c r="R71" i="2"/>
  <c r="Q71" i="2"/>
  <c r="P71" i="2"/>
  <c r="O71" i="2"/>
  <c r="M71" i="2"/>
  <c r="L71" i="2"/>
  <c r="K71" i="2"/>
  <c r="J71" i="2"/>
  <c r="H71" i="2"/>
  <c r="N71" i="2" s="1"/>
  <c r="V70" i="2"/>
  <c r="U70" i="2"/>
  <c r="T70" i="2"/>
  <c r="S70" i="2"/>
  <c r="R70" i="2"/>
  <c r="Q70" i="2"/>
  <c r="P70" i="2"/>
  <c r="O70" i="2"/>
  <c r="M70" i="2"/>
  <c r="L70" i="2"/>
  <c r="K70" i="2"/>
  <c r="J70" i="2"/>
  <c r="H70" i="2"/>
  <c r="N70" i="2" s="1"/>
  <c r="V69" i="2"/>
  <c r="U69" i="2"/>
  <c r="T69" i="2"/>
  <c r="S69" i="2"/>
  <c r="R69" i="2"/>
  <c r="Q69" i="2"/>
  <c r="P69" i="2"/>
  <c r="O69" i="2"/>
  <c r="M69" i="2"/>
  <c r="L69" i="2"/>
  <c r="K69" i="2"/>
  <c r="J69" i="2"/>
  <c r="H69" i="2"/>
  <c r="N69" i="2" s="1"/>
  <c r="V68" i="2"/>
  <c r="U68" i="2"/>
  <c r="T68" i="2"/>
  <c r="S68" i="2"/>
  <c r="R68" i="2"/>
  <c r="Q68" i="2"/>
  <c r="P68" i="2"/>
  <c r="O68" i="2"/>
  <c r="M68" i="2"/>
  <c r="L68" i="2"/>
  <c r="K68" i="2"/>
  <c r="J68" i="2"/>
  <c r="H68" i="2"/>
  <c r="N68" i="2" s="1"/>
  <c r="V67" i="2"/>
  <c r="U67" i="2"/>
  <c r="T67" i="2"/>
  <c r="S67" i="2"/>
  <c r="R67" i="2"/>
  <c r="Q67" i="2"/>
  <c r="P67" i="2"/>
  <c r="O67" i="2"/>
  <c r="M67" i="2"/>
  <c r="L67" i="2"/>
  <c r="K67" i="2"/>
  <c r="J67" i="2"/>
  <c r="H67" i="2"/>
  <c r="N67" i="2" s="1"/>
  <c r="V66" i="2"/>
  <c r="U66" i="2"/>
  <c r="T66" i="2"/>
  <c r="S66" i="2"/>
  <c r="R66" i="2"/>
  <c r="Q66" i="2"/>
  <c r="P66" i="2"/>
  <c r="O66" i="2"/>
  <c r="M66" i="2"/>
  <c r="L66" i="2"/>
  <c r="K66" i="2"/>
  <c r="J66" i="2"/>
  <c r="H66" i="2"/>
  <c r="N66" i="2" s="1"/>
  <c r="V65" i="2"/>
  <c r="U65" i="2"/>
  <c r="T65" i="2"/>
  <c r="S65" i="2"/>
  <c r="R65" i="2"/>
  <c r="Q65" i="2"/>
  <c r="P65" i="2"/>
  <c r="O65" i="2"/>
  <c r="M65" i="2"/>
  <c r="L65" i="2"/>
  <c r="K65" i="2"/>
  <c r="J65" i="2"/>
  <c r="H65" i="2"/>
  <c r="N65" i="2" s="1"/>
  <c r="V64" i="2"/>
  <c r="U64" i="2"/>
  <c r="T64" i="2"/>
  <c r="S64" i="2"/>
  <c r="R64" i="2"/>
  <c r="Q64" i="2"/>
  <c r="P64" i="2"/>
  <c r="O64" i="2"/>
  <c r="N64" i="2"/>
  <c r="M64" i="2"/>
  <c r="L64" i="2"/>
  <c r="J64" i="2"/>
  <c r="H64" i="2"/>
  <c r="K64" i="2" s="1"/>
  <c r="V63" i="2"/>
  <c r="U63" i="2"/>
  <c r="T63" i="2"/>
  <c r="S63" i="2"/>
  <c r="R63" i="2"/>
  <c r="Q63" i="2"/>
  <c r="P63" i="2"/>
  <c r="O63" i="2"/>
  <c r="N63" i="2"/>
  <c r="M63" i="2"/>
  <c r="L63" i="2"/>
  <c r="J63" i="2"/>
  <c r="H63" i="2"/>
  <c r="K63" i="2" s="1"/>
  <c r="V62" i="2"/>
  <c r="U62" i="2"/>
  <c r="T62" i="2"/>
  <c r="S62" i="2"/>
  <c r="R62" i="2"/>
  <c r="Q62" i="2"/>
  <c r="P62" i="2"/>
  <c r="O62" i="2"/>
  <c r="N62" i="2"/>
  <c r="M62" i="2"/>
  <c r="L62" i="2"/>
  <c r="J62" i="2"/>
  <c r="H62" i="2"/>
  <c r="K62" i="2" s="1"/>
  <c r="V61" i="2"/>
  <c r="U61" i="2"/>
  <c r="T61" i="2"/>
  <c r="S61" i="2"/>
  <c r="R61" i="2"/>
  <c r="Q61" i="2"/>
  <c r="P61" i="2"/>
  <c r="O61" i="2"/>
  <c r="N61" i="2"/>
  <c r="M61" i="2"/>
  <c r="L61" i="2"/>
  <c r="J61" i="2"/>
  <c r="H61" i="2"/>
  <c r="K61" i="2" s="1"/>
  <c r="V60" i="2"/>
  <c r="U60" i="2"/>
  <c r="T60" i="2"/>
  <c r="S60" i="2"/>
  <c r="R60" i="2"/>
  <c r="Q60" i="2"/>
  <c r="P60" i="2"/>
  <c r="O60" i="2"/>
  <c r="M60" i="2"/>
  <c r="L60" i="2"/>
  <c r="K60" i="2"/>
  <c r="J60" i="2"/>
  <c r="H60" i="2"/>
  <c r="N60" i="2" s="1"/>
  <c r="V59" i="2"/>
  <c r="U59" i="2"/>
  <c r="T59" i="2"/>
  <c r="S59" i="2"/>
  <c r="R59" i="2"/>
  <c r="Q59" i="2"/>
  <c r="P59" i="2"/>
  <c r="O59" i="2"/>
  <c r="M59" i="2"/>
  <c r="L59" i="2"/>
  <c r="K59" i="2"/>
  <c r="J59" i="2"/>
  <c r="H59" i="2"/>
  <c r="N59" i="2" s="1"/>
  <c r="V58" i="2"/>
  <c r="U58" i="2"/>
  <c r="T58" i="2"/>
  <c r="S58" i="2"/>
  <c r="R58" i="2"/>
  <c r="Q58" i="2"/>
  <c r="P58" i="2"/>
  <c r="O58" i="2"/>
  <c r="M58" i="2"/>
  <c r="L58" i="2"/>
  <c r="K58" i="2"/>
  <c r="J58" i="2"/>
  <c r="H58" i="2"/>
  <c r="N58" i="2" s="1"/>
  <c r="V57" i="2"/>
  <c r="U57" i="2"/>
  <c r="T57" i="2"/>
  <c r="S57" i="2"/>
  <c r="R57" i="2"/>
  <c r="Q57" i="2"/>
  <c r="P57" i="2"/>
  <c r="O57" i="2"/>
  <c r="N57" i="2"/>
  <c r="M57" i="2"/>
  <c r="L57" i="2"/>
  <c r="J57" i="2"/>
  <c r="H57" i="2"/>
  <c r="K57" i="2" s="1"/>
  <c r="V56" i="2"/>
  <c r="U56" i="2"/>
  <c r="T56" i="2"/>
  <c r="S56" i="2"/>
  <c r="R56" i="2"/>
  <c r="Q56" i="2"/>
  <c r="P56" i="2"/>
  <c r="O56" i="2"/>
  <c r="N56" i="2"/>
  <c r="M56" i="2"/>
  <c r="L56" i="2"/>
  <c r="J56" i="2"/>
  <c r="H56" i="2"/>
  <c r="K56" i="2" s="1"/>
  <c r="V55" i="2"/>
  <c r="U55" i="2"/>
  <c r="T55" i="2"/>
  <c r="S55" i="2"/>
  <c r="R55" i="2"/>
  <c r="Q55" i="2"/>
  <c r="P55" i="2"/>
  <c r="O55" i="2"/>
  <c r="M55" i="2"/>
  <c r="L55" i="2"/>
  <c r="K55" i="2"/>
  <c r="J55" i="2"/>
  <c r="H55" i="2"/>
  <c r="N55" i="2" s="1"/>
  <c r="V54" i="2"/>
  <c r="U54" i="2"/>
  <c r="T54" i="2"/>
  <c r="S54" i="2"/>
  <c r="R54" i="2"/>
  <c r="Q54" i="2"/>
  <c r="P54" i="2"/>
  <c r="O54" i="2"/>
  <c r="M54" i="2"/>
  <c r="L54" i="2"/>
  <c r="K54" i="2"/>
  <c r="J54" i="2"/>
  <c r="H54" i="2"/>
  <c r="N54" i="2" s="1"/>
  <c r="V53" i="2"/>
  <c r="U53" i="2"/>
  <c r="T53" i="2"/>
  <c r="S53" i="2"/>
  <c r="R53" i="2"/>
  <c r="Q53" i="2"/>
  <c r="P53" i="2"/>
  <c r="O53" i="2"/>
  <c r="M53" i="2"/>
  <c r="L53" i="2"/>
  <c r="K53" i="2"/>
  <c r="J53" i="2"/>
  <c r="H53" i="2"/>
  <c r="N53" i="2" s="1"/>
  <c r="V52" i="2"/>
  <c r="U52" i="2"/>
  <c r="T52" i="2"/>
  <c r="S52" i="2"/>
  <c r="R52" i="2"/>
  <c r="Q52" i="2"/>
  <c r="P52" i="2"/>
  <c r="O52" i="2"/>
  <c r="M52" i="2"/>
  <c r="L52" i="2"/>
  <c r="K52" i="2"/>
  <c r="J52" i="2"/>
  <c r="H52" i="2"/>
  <c r="N52" i="2" s="1"/>
  <c r="V51" i="2"/>
  <c r="U51" i="2"/>
  <c r="T51" i="2"/>
  <c r="S51" i="2"/>
  <c r="R51" i="2"/>
  <c r="Q51" i="2"/>
  <c r="P51" i="2"/>
  <c r="O51" i="2"/>
  <c r="M51" i="2"/>
  <c r="L51" i="2"/>
  <c r="K51" i="2"/>
  <c r="J51" i="2"/>
  <c r="H51" i="2"/>
  <c r="N51" i="2" s="1"/>
  <c r="V50" i="2"/>
  <c r="U50" i="2"/>
  <c r="T50" i="2"/>
  <c r="S50" i="2"/>
  <c r="R50" i="2"/>
  <c r="Q50" i="2"/>
  <c r="P50" i="2"/>
  <c r="O50" i="2"/>
  <c r="N50" i="2"/>
  <c r="M50" i="2"/>
  <c r="L50" i="2"/>
  <c r="J50" i="2"/>
  <c r="H50" i="2"/>
  <c r="K50" i="2" s="1"/>
  <c r="V49" i="2"/>
  <c r="U49" i="2"/>
  <c r="T49" i="2"/>
  <c r="S49" i="2"/>
  <c r="R49" i="2"/>
  <c r="Q49" i="2"/>
  <c r="P49" i="2"/>
  <c r="O49" i="2"/>
  <c r="N49" i="2"/>
  <c r="M49" i="2"/>
  <c r="L49" i="2"/>
  <c r="J49" i="2"/>
  <c r="H49" i="2"/>
  <c r="K49" i="2" s="1"/>
  <c r="V48" i="2"/>
  <c r="U48" i="2"/>
  <c r="T48" i="2"/>
  <c r="S48" i="2"/>
  <c r="R48" i="2"/>
  <c r="Q48" i="2"/>
  <c r="P48" i="2"/>
  <c r="O48" i="2"/>
  <c r="M48" i="2"/>
  <c r="L48" i="2"/>
  <c r="K48" i="2"/>
  <c r="J48" i="2"/>
  <c r="H48" i="2"/>
  <c r="N48" i="2" s="1"/>
  <c r="V47" i="2"/>
  <c r="U47" i="2"/>
  <c r="T47" i="2"/>
  <c r="S47" i="2"/>
  <c r="R47" i="2"/>
  <c r="Q47" i="2"/>
  <c r="P47" i="2"/>
  <c r="O47" i="2"/>
  <c r="M47" i="2"/>
  <c r="L47" i="2"/>
  <c r="K47" i="2"/>
  <c r="J47" i="2"/>
  <c r="H47" i="2"/>
  <c r="N47" i="2" s="1"/>
  <c r="V46" i="2"/>
  <c r="U46" i="2"/>
  <c r="T46" i="2"/>
  <c r="S46" i="2"/>
  <c r="R46" i="2"/>
  <c r="Q46" i="2"/>
  <c r="P46" i="2"/>
  <c r="O46" i="2"/>
  <c r="M46" i="2"/>
  <c r="L46" i="2"/>
  <c r="K46" i="2"/>
  <c r="J46" i="2"/>
  <c r="H46" i="2"/>
  <c r="N46" i="2" s="1"/>
  <c r="V45" i="2"/>
  <c r="U45" i="2"/>
  <c r="T45" i="2"/>
  <c r="S45" i="2"/>
  <c r="R45" i="2"/>
  <c r="Q45" i="2"/>
  <c r="P45" i="2"/>
  <c r="O45" i="2"/>
  <c r="M45" i="2"/>
  <c r="L45" i="2"/>
  <c r="K45" i="2"/>
  <c r="J45" i="2"/>
  <c r="H45" i="2"/>
  <c r="N45" i="2" s="1"/>
  <c r="V44" i="2"/>
  <c r="U44" i="2"/>
  <c r="T44" i="2"/>
  <c r="S44" i="2"/>
  <c r="R44" i="2"/>
  <c r="Q44" i="2"/>
  <c r="P44" i="2"/>
  <c r="O44" i="2"/>
  <c r="M44" i="2"/>
  <c r="L44" i="2"/>
  <c r="K44" i="2"/>
  <c r="J44" i="2"/>
  <c r="H44" i="2"/>
  <c r="N44" i="2" s="1"/>
  <c r="V43" i="2"/>
  <c r="U43" i="2"/>
  <c r="T43" i="2"/>
  <c r="S43" i="2"/>
  <c r="R43" i="2"/>
  <c r="Q43" i="2"/>
  <c r="P43" i="2"/>
  <c r="O43" i="2"/>
  <c r="N43" i="2"/>
  <c r="M43" i="2"/>
  <c r="L43" i="2"/>
  <c r="J43" i="2"/>
  <c r="H43" i="2"/>
  <c r="K43" i="2" s="1"/>
  <c r="V42" i="2"/>
  <c r="U42" i="2"/>
  <c r="T42" i="2"/>
  <c r="S42" i="2"/>
  <c r="R42" i="2"/>
  <c r="Q42" i="2"/>
  <c r="P42" i="2"/>
  <c r="O42" i="2"/>
  <c r="M42" i="2"/>
  <c r="L42" i="2"/>
  <c r="K42" i="2"/>
  <c r="J42" i="2"/>
  <c r="H42" i="2"/>
  <c r="N42" i="2" s="1"/>
  <c r="V41" i="2"/>
  <c r="U41" i="2"/>
  <c r="T41" i="2"/>
  <c r="S41" i="2"/>
  <c r="R41" i="2"/>
  <c r="Q41" i="2"/>
  <c r="P41" i="2"/>
  <c r="O41" i="2"/>
  <c r="M41" i="2"/>
  <c r="L41" i="2"/>
  <c r="K41" i="2"/>
  <c r="J41" i="2"/>
  <c r="H41" i="2"/>
  <c r="N41" i="2" s="1"/>
  <c r="V40" i="2"/>
  <c r="U40" i="2"/>
  <c r="T40" i="2"/>
  <c r="S40" i="2"/>
  <c r="R40" i="2"/>
  <c r="Q40" i="2"/>
  <c r="P40" i="2"/>
  <c r="O40" i="2"/>
  <c r="M40" i="2"/>
  <c r="L40" i="2"/>
  <c r="K40" i="2"/>
  <c r="J40" i="2"/>
  <c r="H40" i="2"/>
  <c r="N40" i="2" s="1"/>
  <c r="V39" i="2"/>
  <c r="U39" i="2"/>
  <c r="T39" i="2"/>
  <c r="S39" i="2"/>
  <c r="R39" i="2"/>
  <c r="Q39" i="2"/>
  <c r="P39" i="2"/>
  <c r="O39" i="2"/>
  <c r="M39" i="2"/>
  <c r="L39" i="2"/>
  <c r="K39" i="2"/>
  <c r="J39" i="2"/>
  <c r="H39" i="2"/>
  <c r="N39" i="2" s="1"/>
  <c r="V38" i="2"/>
  <c r="U38" i="2"/>
  <c r="T38" i="2"/>
  <c r="S38" i="2"/>
  <c r="R38" i="2"/>
  <c r="Q38" i="2"/>
  <c r="P38" i="2"/>
  <c r="O38" i="2"/>
  <c r="M38" i="2"/>
  <c r="L38" i="2"/>
  <c r="K38" i="2"/>
  <c r="J38" i="2"/>
  <c r="H38" i="2"/>
  <c r="N38" i="2" s="1"/>
  <c r="V37" i="2"/>
  <c r="U37" i="2"/>
  <c r="T37" i="2"/>
  <c r="S37" i="2"/>
  <c r="R37" i="2"/>
  <c r="Q37" i="2"/>
  <c r="P37" i="2"/>
  <c r="O37" i="2"/>
  <c r="M37" i="2"/>
  <c r="L37" i="2"/>
  <c r="K37" i="2"/>
  <c r="J37" i="2"/>
  <c r="H37" i="2"/>
  <c r="N37" i="2" s="1"/>
  <c r="V36" i="2"/>
  <c r="U36" i="2"/>
  <c r="T36" i="2"/>
  <c r="S36" i="2"/>
  <c r="R36" i="2"/>
  <c r="Q36" i="2"/>
  <c r="P36" i="2"/>
  <c r="O36" i="2"/>
  <c r="M36" i="2"/>
  <c r="L36" i="2"/>
  <c r="K36" i="2"/>
  <c r="J36" i="2"/>
  <c r="H36" i="2"/>
  <c r="N36" i="2" s="1"/>
  <c r="V35" i="2"/>
  <c r="U35" i="2"/>
  <c r="T35" i="2"/>
  <c r="S35" i="2"/>
  <c r="R35" i="2"/>
  <c r="Q35" i="2"/>
  <c r="P35" i="2"/>
  <c r="O35" i="2"/>
  <c r="M35" i="2"/>
  <c r="L35" i="2"/>
  <c r="K35" i="2"/>
  <c r="J35" i="2"/>
  <c r="H35" i="2"/>
  <c r="N35" i="2" s="1"/>
  <c r="V34" i="2"/>
  <c r="U34" i="2"/>
  <c r="T34" i="2"/>
  <c r="S34" i="2"/>
  <c r="R34" i="2"/>
  <c r="Q34" i="2"/>
  <c r="P34" i="2"/>
  <c r="O34" i="2"/>
  <c r="M34" i="2"/>
  <c r="L34" i="2"/>
  <c r="K34" i="2"/>
  <c r="J34" i="2"/>
  <c r="H34" i="2"/>
  <c r="N34" i="2" s="1"/>
  <c r="V33" i="2"/>
  <c r="U33" i="2"/>
  <c r="T33" i="2"/>
  <c r="S33" i="2"/>
  <c r="R33" i="2"/>
  <c r="Q33" i="2"/>
  <c r="P33" i="2"/>
  <c r="O33" i="2"/>
  <c r="M33" i="2"/>
  <c r="L33" i="2"/>
  <c r="K33" i="2"/>
  <c r="J33" i="2"/>
  <c r="H33" i="2"/>
  <c r="N33" i="2" s="1"/>
  <c r="V32" i="2"/>
  <c r="U32" i="2"/>
  <c r="T32" i="2"/>
  <c r="S32" i="2"/>
  <c r="R32" i="2"/>
  <c r="Q32" i="2"/>
  <c r="P32" i="2"/>
  <c r="O32" i="2"/>
  <c r="M32" i="2"/>
  <c r="L32" i="2"/>
  <c r="K32" i="2"/>
  <c r="J32" i="2"/>
  <c r="H32" i="2"/>
  <c r="N32" i="2" s="1"/>
  <c r="V31" i="2"/>
  <c r="U31" i="2"/>
  <c r="T31" i="2"/>
  <c r="S31" i="2"/>
  <c r="R31" i="2"/>
  <c r="Q31" i="2"/>
  <c r="P31" i="2"/>
  <c r="O31" i="2"/>
  <c r="M31" i="2"/>
  <c r="L31" i="2"/>
  <c r="K31" i="2"/>
  <c r="J31" i="2"/>
  <c r="H31" i="2"/>
  <c r="N31" i="2" s="1"/>
  <c r="V30" i="2"/>
  <c r="U30" i="2"/>
  <c r="T30" i="2"/>
  <c r="S30" i="2"/>
  <c r="R30" i="2"/>
  <c r="Q30" i="2"/>
  <c r="P30" i="2"/>
  <c r="O30" i="2"/>
  <c r="M30" i="2"/>
  <c r="L30" i="2"/>
  <c r="K30" i="2"/>
  <c r="J30" i="2"/>
  <c r="H30" i="2"/>
  <c r="N30" i="2" s="1"/>
  <c r="V29" i="2"/>
  <c r="U29" i="2"/>
  <c r="T29" i="2"/>
  <c r="S29" i="2"/>
  <c r="R29" i="2"/>
  <c r="Q29" i="2"/>
  <c r="P29" i="2"/>
  <c r="O29" i="2"/>
  <c r="M29" i="2"/>
  <c r="L29" i="2"/>
  <c r="K29" i="2"/>
  <c r="J29" i="2"/>
  <c r="H29" i="2"/>
  <c r="N29" i="2" s="1"/>
  <c r="V28" i="2"/>
  <c r="U28" i="2"/>
  <c r="T28" i="2"/>
  <c r="S28" i="2"/>
  <c r="R28" i="2"/>
  <c r="Q28" i="2"/>
  <c r="P28" i="2"/>
  <c r="O28" i="2"/>
  <c r="M28" i="2"/>
  <c r="L28" i="2"/>
  <c r="K28" i="2"/>
  <c r="J28" i="2"/>
  <c r="H28" i="2"/>
  <c r="N28" i="2" s="1"/>
  <c r="V27" i="2"/>
  <c r="U27" i="2"/>
  <c r="T27" i="2"/>
  <c r="S27" i="2"/>
  <c r="R27" i="2"/>
  <c r="Q27" i="2"/>
  <c r="P27" i="2"/>
  <c r="O27" i="2"/>
  <c r="M27" i="2"/>
  <c r="L27" i="2"/>
  <c r="K27" i="2"/>
  <c r="J27" i="2"/>
  <c r="H27" i="2"/>
  <c r="N27" i="2" s="1"/>
  <c r="V26" i="2"/>
  <c r="U26" i="2"/>
  <c r="T26" i="2"/>
  <c r="S26" i="2"/>
  <c r="R26" i="2"/>
  <c r="Q26" i="2"/>
  <c r="P26" i="2"/>
  <c r="O26" i="2"/>
  <c r="M26" i="2"/>
  <c r="L26" i="2"/>
  <c r="K26" i="2"/>
  <c r="J26" i="2"/>
  <c r="H26" i="2"/>
  <c r="N26" i="2" s="1"/>
  <c r="V25" i="2"/>
  <c r="U25" i="2"/>
  <c r="T25" i="2"/>
  <c r="S25" i="2"/>
  <c r="R25" i="2"/>
  <c r="Q25" i="2"/>
  <c r="P25" i="2"/>
  <c r="O25" i="2"/>
  <c r="M25" i="2"/>
  <c r="L25" i="2"/>
  <c r="K25" i="2"/>
  <c r="J25" i="2"/>
  <c r="H25" i="2"/>
  <c r="N25" i="2" s="1"/>
  <c r="V24" i="2"/>
  <c r="U24" i="2"/>
  <c r="T24" i="2"/>
  <c r="S24" i="2"/>
  <c r="R24" i="2"/>
  <c r="Q24" i="2"/>
  <c r="P24" i="2"/>
  <c r="O24" i="2"/>
  <c r="N24" i="2"/>
  <c r="M24" i="2"/>
  <c r="L24" i="2"/>
  <c r="J24" i="2"/>
  <c r="H24" i="2"/>
  <c r="K24" i="2" s="1"/>
  <c r="V23" i="2"/>
  <c r="U23" i="2"/>
  <c r="T23" i="2"/>
  <c r="S23" i="2"/>
  <c r="R23" i="2"/>
  <c r="Q23" i="2"/>
  <c r="P23" i="2"/>
  <c r="O23" i="2"/>
  <c r="M23" i="2"/>
  <c r="L23" i="2"/>
  <c r="K23" i="2"/>
  <c r="J23" i="2"/>
  <c r="H23" i="2"/>
  <c r="N23" i="2" s="1"/>
  <c r="V22" i="2"/>
  <c r="U22" i="2"/>
  <c r="T22" i="2"/>
  <c r="S22" i="2"/>
  <c r="R22" i="2"/>
  <c r="Q22" i="2"/>
  <c r="P22" i="2"/>
  <c r="O22" i="2"/>
  <c r="M22" i="2"/>
  <c r="L22" i="2"/>
  <c r="K22" i="2"/>
  <c r="J22" i="2"/>
  <c r="H22" i="2"/>
  <c r="N22" i="2" s="1"/>
  <c r="V21" i="2"/>
  <c r="U21" i="2"/>
  <c r="T21" i="2"/>
  <c r="S21" i="2"/>
  <c r="R21" i="2"/>
  <c r="Q21" i="2"/>
  <c r="P21" i="2"/>
  <c r="O21" i="2"/>
  <c r="N21" i="2"/>
  <c r="M21" i="2"/>
  <c r="L21" i="2"/>
  <c r="J21" i="2"/>
  <c r="H21" i="2"/>
  <c r="K21" i="2" s="1"/>
  <c r="V20" i="2"/>
  <c r="U20" i="2"/>
  <c r="T20" i="2"/>
  <c r="S20" i="2"/>
  <c r="R20" i="2"/>
  <c r="Q20" i="2"/>
  <c r="P20" i="2"/>
  <c r="O20" i="2"/>
  <c r="N20" i="2"/>
  <c r="M20" i="2"/>
  <c r="L20" i="2"/>
  <c r="J20" i="2"/>
  <c r="H20" i="2"/>
  <c r="K20" i="2" s="1"/>
  <c r="V19" i="2"/>
  <c r="U19" i="2"/>
  <c r="T19" i="2"/>
  <c r="S19" i="2"/>
  <c r="R19" i="2"/>
  <c r="Q19" i="2"/>
  <c r="P19" i="2"/>
  <c r="O19" i="2"/>
  <c r="M19" i="2"/>
  <c r="L19" i="2"/>
  <c r="K19" i="2"/>
  <c r="J19" i="2"/>
  <c r="H19" i="2"/>
  <c r="N19" i="2" s="1"/>
  <c r="V18" i="2"/>
  <c r="U18" i="2"/>
  <c r="T18" i="2"/>
  <c r="S18" i="2"/>
  <c r="R18" i="2"/>
  <c r="Q18" i="2"/>
  <c r="P18" i="2"/>
  <c r="O18" i="2"/>
  <c r="N18" i="2"/>
  <c r="M18" i="2"/>
  <c r="L18" i="2"/>
  <c r="J18" i="2"/>
  <c r="H18" i="2"/>
  <c r="K18" i="2" s="1"/>
  <c r="V17" i="2"/>
  <c r="U17" i="2"/>
  <c r="T17" i="2"/>
  <c r="S17" i="2"/>
  <c r="R17" i="2"/>
  <c r="Q17" i="2"/>
  <c r="P17" i="2"/>
  <c r="O17" i="2"/>
  <c r="M17" i="2"/>
  <c r="L17" i="2"/>
  <c r="K17" i="2"/>
  <c r="J17" i="2"/>
  <c r="H17" i="2"/>
  <c r="N17" i="2" s="1"/>
  <c r="V16" i="2"/>
  <c r="U16" i="2"/>
  <c r="T16" i="2"/>
  <c r="S16" i="2"/>
  <c r="R16" i="2"/>
  <c r="Q16" i="2"/>
  <c r="P16" i="2"/>
  <c r="O16" i="2"/>
  <c r="M16" i="2"/>
  <c r="L16" i="2"/>
  <c r="K16" i="2"/>
  <c r="J16" i="2"/>
  <c r="H16" i="2"/>
  <c r="N16" i="2" s="1"/>
  <c r="V15" i="2"/>
  <c r="U15" i="2"/>
  <c r="T15" i="2"/>
  <c r="S15" i="2"/>
  <c r="R15" i="2"/>
  <c r="Q15" i="2"/>
  <c r="P15" i="2"/>
  <c r="O15" i="2"/>
  <c r="M15" i="2"/>
  <c r="L15" i="2"/>
  <c r="K15" i="2"/>
  <c r="J15" i="2"/>
  <c r="H15" i="2"/>
  <c r="N15" i="2" s="1"/>
  <c r="V14" i="2"/>
  <c r="U14" i="2"/>
  <c r="T14" i="2"/>
  <c r="S14" i="2"/>
  <c r="R14" i="2"/>
  <c r="Q14" i="2"/>
  <c r="P14" i="2"/>
  <c r="O14" i="2"/>
  <c r="N14" i="2"/>
  <c r="M14" i="2"/>
  <c r="L14" i="2"/>
  <c r="J14" i="2"/>
  <c r="H14" i="2"/>
  <c r="K14" i="2" s="1"/>
  <c r="V13" i="2"/>
  <c r="U13" i="2"/>
  <c r="T13" i="2"/>
  <c r="S13" i="2"/>
  <c r="R13" i="2"/>
  <c r="Q13" i="2"/>
  <c r="P13" i="2"/>
  <c r="N13" i="2"/>
  <c r="M13" i="2"/>
  <c r="L13" i="2"/>
  <c r="K13" i="2"/>
  <c r="J13" i="2"/>
  <c r="H13" i="2"/>
  <c r="O13" i="2" s="1"/>
  <c r="V12" i="2"/>
  <c r="U12" i="2"/>
  <c r="T12" i="2"/>
  <c r="S12" i="2"/>
  <c r="R12" i="2"/>
  <c r="Q12" i="2"/>
  <c r="P12" i="2"/>
  <c r="O12" i="2"/>
  <c r="N12" i="2"/>
  <c r="M12" i="2"/>
  <c r="L12" i="2"/>
  <c r="J12" i="2"/>
  <c r="H12" i="2"/>
  <c r="K12" i="2" s="1"/>
  <c r="V11" i="2"/>
  <c r="U11" i="2"/>
  <c r="T11" i="2"/>
  <c r="S11" i="2"/>
  <c r="R11" i="2"/>
  <c r="Q11" i="2"/>
  <c r="P11" i="2"/>
  <c r="O11" i="2"/>
  <c r="M11" i="2"/>
  <c r="L11" i="2"/>
  <c r="K11" i="2"/>
  <c r="J11" i="2"/>
  <c r="H11" i="2"/>
  <c r="N11" i="2" s="1"/>
  <c r="V10" i="2"/>
  <c r="U10" i="2"/>
  <c r="T10" i="2"/>
  <c r="S10" i="2"/>
  <c r="R10" i="2"/>
  <c r="Q10" i="2"/>
  <c r="P10" i="2"/>
  <c r="O10" i="2"/>
  <c r="M10" i="2"/>
  <c r="L10" i="2"/>
  <c r="K10" i="2"/>
  <c r="J10" i="2"/>
  <c r="H10" i="2"/>
  <c r="N10" i="2" s="1"/>
  <c r="V9" i="2"/>
  <c r="U9" i="2"/>
  <c r="T9" i="2"/>
  <c r="S9" i="2"/>
  <c r="R9" i="2"/>
  <c r="Q9" i="2"/>
  <c r="P9" i="2"/>
  <c r="O9" i="2"/>
  <c r="M9" i="2"/>
  <c r="L9" i="2"/>
  <c r="K9" i="2"/>
  <c r="J9" i="2"/>
  <c r="H9" i="2"/>
  <c r="N9" i="2" s="1"/>
  <c r="V8" i="2"/>
  <c r="U8" i="2"/>
  <c r="T8" i="2"/>
  <c r="S8" i="2"/>
  <c r="R8" i="2"/>
  <c r="Q8" i="2"/>
  <c r="P8" i="2"/>
  <c r="O8" i="2"/>
  <c r="M8" i="2"/>
  <c r="L8" i="2"/>
  <c r="K8" i="2"/>
  <c r="J8" i="2"/>
  <c r="H8" i="2"/>
  <c r="N8" i="2" s="1"/>
  <c r="V7" i="2"/>
  <c r="U7" i="2"/>
  <c r="T7" i="2"/>
  <c r="S7" i="2"/>
  <c r="R7" i="2"/>
  <c r="Q7" i="2"/>
  <c r="P7" i="2"/>
  <c r="O7" i="2"/>
  <c r="M7" i="2"/>
  <c r="L7" i="2"/>
  <c r="K7" i="2"/>
  <c r="J7" i="2"/>
  <c r="H7" i="2"/>
  <c r="N7" i="2" s="1"/>
  <c r="V6" i="2"/>
  <c r="U6" i="2"/>
  <c r="T6" i="2"/>
  <c r="S6" i="2"/>
  <c r="R6" i="2"/>
  <c r="Q6" i="2"/>
  <c r="P6" i="2"/>
  <c r="O6" i="2"/>
  <c r="M6" i="2"/>
  <c r="L6" i="2"/>
  <c r="K6" i="2"/>
  <c r="J6" i="2"/>
  <c r="H6" i="2"/>
  <c r="N6" i="2" s="1"/>
  <c r="V5" i="2"/>
  <c r="U5" i="2"/>
  <c r="T5" i="2"/>
  <c r="S5" i="2"/>
  <c r="R5" i="2"/>
  <c r="Q5" i="2"/>
  <c r="P5" i="2"/>
  <c r="O5" i="2"/>
  <c r="N5" i="2"/>
  <c r="M5" i="2"/>
  <c r="L5" i="2"/>
  <c r="J5" i="2"/>
  <c r="H5" i="2"/>
  <c r="K5" i="2" s="1"/>
  <c r="V4" i="2"/>
  <c r="U4" i="2"/>
  <c r="T4" i="2"/>
  <c r="S4" i="2"/>
  <c r="R4" i="2"/>
  <c r="Q4" i="2"/>
  <c r="P4" i="2"/>
  <c r="O4" i="2"/>
  <c r="N4" i="2"/>
  <c r="M4" i="2"/>
  <c r="L4" i="2"/>
  <c r="J4" i="2"/>
  <c r="H4" i="2"/>
  <c r="K4" i="2" s="1"/>
  <c r="V3" i="2"/>
  <c r="U3" i="2"/>
  <c r="T3" i="2"/>
  <c r="S3" i="2"/>
  <c r="R3" i="2"/>
  <c r="Q3" i="2"/>
  <c r="P3" i="2"/>
  <c r="O3" i="2"/>
  <c r="N3" i="2"/>
  <c r="M3" i="2"/>
  <c r="L3" i="2"/>
  <c r="J3" i="2"/>
  <c r="H3" i="2"/>
  <c r="K3" i="2" s="1"/>
  <c r="V2" i="2"/>
  <c r="U2" i="2"/>
  <c r="T2" i="2"/>
  <c r="S2" i="2"/>
  <c r="R2" i="2"/>
  <c r="Q2" i="2"/>
  <c r="P2" i="2"/>
  <c r="O2" i="2"/>
  <c r="N2" i="2"/>
  <c r="M2" i="2"/>
  <c r="K2" i="2"/>
  <c r="J2" i="2"/>
  <c r="H2" i="2"/>
  <c r="L2" i="2" s="1"/>
  <c r="P692" i="2" l="1"/>
  <c r="R692" i="2"/>
  <c r="O692" i="2"/>
  <c r="J692" i="2"/>
  <c r="Q692" i="2"/>
  <c r="U692" i="2"/>
  <c r="S692" i="2"/>
  <c r="T692" i="2"/>
  <c r="V692" i="2"/>
  <c r="K692" i="2"/>
  <c r="L692" i="2"/>
  <c r="M692" i="2"/>
  <c r="N692" i="2"/>
  <c r="V69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顧客データベース20250213140013_0" type="6" refreshedVersion="4" background="1" saveData="1">
    <textPr codePage="932" sourceFile="C:\Users\et11\Desktop\顧客データベース20250213140013_0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9C1A3AA2-4FF2-4710-AACF-3B8948027B20}" name="顧客データベース20250213140013_01" type="6" refreshedVersion="4" background="1" saveData="1">
    <textPr codePage="932" sourceFile="C:\Users\et11\Desktop\顧客データベース20250213140013_0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<sst xmlns="http://schemas.openxmlformats.org/spreadsheetml/2006/main" count="35365" uniqueCount="5290">
  <si>
    <t>顧客ID</t>
  </si>
  <si>
    <t>氏名</t>
  </si>
  <si>
    <t>登録メールアドレス</t>
  </si>
  <si>
    <t>CLEARTRADEコミュ会員タイプ</t>
  </si>
  <si>
    <t>CLEARTRADEコミュ入会日</t>
  </si>
  <si>
    <t>CLEARTRADEコミュ退会日</t>
  </si>
  <si>
    <t>CLEARTRADEコミュ支払方法</t>
  </si>
  <si>
    <t>金額</t>
    <rPh sb="0" eb="2">
      <t>キンガク</t>
    </rPh>
    <phoneticPr fontId="2"/>
  </si>
  <si>
    <t>CLEARTRADEコミュ配信状況</t>
  </si>
  <si>
    <t>2025/02/20 00:00:00</t>
    <phoneticPr fontId="2"/>
  </si>
  <si>
    <t>2025/03/20 00:00:00</t>
  </si>
  <si>
    <t>2025/04/20 00:00:00</t>
    <phoneticPr fontId="2"/>
  </si>
  <si>
    <t>2025/05/20 00:00:00</t>
    <phoneticPr fontId="2"/>
  </si>
  <si>
    <t>2025/06/20 00:00:00</t>
    <phoneticPr fontId="2"/>
  </si>
  <si>
    <t>2025/07/20 00:00:00</t>
    <phoneticPr fontId="2"/>
  </si>
  <si>
    <t>2025/08/20 00:00:00</t>
    <phoneticPr fontId="2"/>
  </si>
  <si>
    <t>2025/09/20 00:00:00</t>
    <phoneticPr fontId="2"/>
  </si>
  <si>
    <t>2025/10/20 00:00:00</t>
    <phoneticPr fontId="2"/>
  </si>
  <si>
    <t>2025/11/20 00:00:00</t>
    <phoneticPr fontId="2"/>
  </si>
  <si>
    <t>2025/12/20 00:00:00</t>
    <phoneticPr fontId="2"/>
  </si>
  <si>
    <t>2026/01/20 00:00:00</t>
    <phoneticPr fontId="2"/>
  </si>
  <si>
    <t>2026/02/20 00:00:00</t>
    <phoneticPr fontId="2"/>
  </si>
  <si>
    <t>C-00075126</t>
  </si>
  <si>
    <t>武田祐二</t>
  </si>
  <si>
    <t>yellow.tail@docomo.ne.jp</t>
  </si>
  <si>
    <t>3ヶ月会員（ライト・クレカ自動更新）</t>
  </si>
  <si>
    <t>2025/01/23 00:00:00</t>
  </si>
  <si>
    <t>クレジットカード（ROBOT）</t>
  </si>
  <si>
    <t>1</t>
  </si>
  <si>
    <t>C-00074947</t>
  </si>
  <si>
    <t>宮川美樹</t>
  </si>
  <si>
    <t>adgjmptw2001@gmail.com</t>
  </si>
  <si>
    <t>2024/12/09 00:00:00</t>
  </si>
  <si>
    <t>2</t>
  </si>
  <si>
    <t>C-00074945</t>
  </si>
  <si>
    <t>岩崎由美子</t>
  </si>
  <si>
    <t>kouandryuu@gmail.com</t>
  </si>
  <si>
    <t>2024/12/23 00:00:00</t>
  </si>
  <si>
    <t>C-00074942</t>
  </si>
  <si>
    <t>藤山貴浩</t>
  </si>
  <si>
    <t>akeboshi06@gmail.com</t>
  </si>
  <si>
    <t>C-00074941</t>
  </si>
  <si>
    <t>橋本公洋</t>
  </si>
  <si>
    <t>kisss642_ipad@icloud.com</t>
  </si>
  <si>
    <t>6ヶ月会員（ライト・クレカ自動更新）</t>
  </si>
  <si>
    <t>2024/12/22 00:00:00</t>
  </si>
  <si>
    <t>2025/06/20 00:00:00</t>
  </si>
  <si>
    <t>C-00074937</t>
  </si>
  <si>
    <t>今泉宏章</t>
  </si>
  <si>
    <t>botzehrc@yahoo.co.jp</t>
  </si>
  <si>
    <t>銀振会員（更新要ｶｸﾆﾝ）6ヶ月</t>
  </si>
  <si>
    <t>2024/12/21 00:00:00</t>
  </si>
  <si>
    <t>銀行振込（ROBOT）</t>
  </si>
  <si>
    <t>C-00074934</t>
  </si>
  <si>
    <t>廣田雅美</t>
  </si>
  <si>
    <t>meru01312001@yahoo.co.jp</t>
  </si>
  <si>
    <t>2024/12/06 00:00:00</t>
  </si>
  <si>
    <t>C-00074931</t>
  </si>
  <si>
    <t>帆苅正典</t>
  </si>
  <si>
    <t>nor.ism@icloud.com</t>
  </si>
  <si>
    <t>C-00074928</t>
  </si>
  <si>
    <t>吉田努</t>
  </si>
  <si>
    <t>yoshimoo732507@gmail.com</t>
  </si>
  <si>
    <t>2024/12/08 00:00:00</t>
  </si>
  <si>
    <t>C-00074922</t>
  </si>
  <si>
    <t>上野利仁</t>
  </si>
  <si>
    <t>toshi.hit.u@gmail.com</t>
  </si>
  <si>
    <t>C-00074916</t>
  </si>
  <si>
    <t>近藤洋文</t>
  </si>
  <si>
    <t>kkdental1122@gmail.com</t>
  </si>
  <si>
    <t>銀振会員（更新要ｶｸﾆﾝ）3ヶ月</t>
  </si>
  <si>
    <t>C-00074914</t>
  </si>
  <si>
    <t>西村与志郎</t>
  </si>
  <si>
    <t>jl3sik@gmail.com</t>
  </si>
  <si>
    <t>2025/01/12 00:00:00</t>
  </si>
  <si>
    <t>2025/07/20 00:00:00</t>
  </si>
  <si>
    <t>C-00074903</t>
  </si>
  <si>
    <t>コーンみさ</t>
  </si>
  <si>
    <t>misanino2@gmail.com</t>
  </si>
  <si>
    <t>C-00074901</t>
  </si>
  <si>
    <t>佐藤誠</t>
  </si>
  <si>
    <t>Wa87253iop@yahoo.co.jp</t>
  </si>
  <si>
    <t>2024/12/13 00:00:00</t>
  </si>
  <si>
    <t>C-00074897</t>
  </si>
  <si>
    <t>山野操</t>
  </si>
  <si>
    <t>yamanoimo2@gmail.com</t>
  </si>
  <si>
    <t>2024/12/07 00:00:00</t>
  </si>
  <si>
    <t>C-00074892</t>
  </si>
  <si>
    <t>若松俊宏</t>
  </si>
  <si>
    <t>volken3535@i.softbank.jp</t>
  </si>
  <si>
    <t>2024/12/10 00:00:00</t>
  </si>
  <si>
    <t>C-00074891</t>
  </si>
  <si>
    <t>宮川宏美</t>
  </si>
  <si>
    <t>sabu.miyabi.no@gmail.com</t>
  </si>
  <si>
    <t>C-00074889</t>
  </si>
  <si>
    <t>塩田芳江</t>
  </si>
  <si>
    <t>yoi@yahoo.co.jp</t>
  </si>
  <si>
    <t>2024/12/20 00:00:00</t>
  </si>
  <si>
    <t>C-00074888</t>
  </si>
  <si>
    <t>本目毅</t>
  </si>
  <si>
    <t>tsu.honme@gmail.com</t>
  </si>
  <si>
    <t>2024/12/16 00:00:00</t>
  </si>
  <si>
    <t>C-00074887</t>
  </si>
  <si>
    <t>檀高博</t>
  </si>
  <si>
    <t>taka.dan.2709.dragon@gmail.com</t>
  </si>
  <si>
    <t>2024/12/27 00:00:00</t>
  </si>
  <si>
    <t>C-00074885</t>
  </si>
  <si>
    <t>工藤貴之</t>
  </si>
  <si>
    <t>mcm1801qlo1746@gmail.com</t>
  </si>
  <si>
    <t>C-00074881</t>
  </si>
  <si>
    <t>馬場昭江</t>
  </si>
  <si>
    <t>akiebaba@ybb.ne.jp</t>
  </si>
  <si>
    <t>2024/12/11 00:00:00</t>
  </si>
  <si>
    <t>C-00074876</t>
  </si>
  <si>
    <t>景山康司</t>
  </si>
  <si>
    <t>ha_sekai@yahoo.co.jp</t>
  </si>
  <si>
    <t>C-00074870</t>
  </si>
  <si>
    <t>中馬宏昌</t>
  </si>
  <si>
    <t>arms2678@gmail.com</t>
  </si>
  <si>
    <t>C-00074863</t>
  </si>
  <si>
    <t>作田圭治</t>
  </si>
  <si>
    <t>sakusaku7ks@outlook.jp</t>
  </si>
  <si>
    <t>C-00074859</t>
  </si>
  <si>
    <t>黒田真道</t>
  </si>
  <si>
    <t>shindou19900120@yahoo.co.jp</t>
  </si>
  <si>
    <t>C-00074855</t>
  </si>
  <si>
    <t>大野木俊介</t>
  </si>
  <si>
    <t>shunsukeonoki@gmail.com</t>
  </si>
  <si>
    <t>C-00074854</t>
  </si>
  <si>
    <t>藤井成行</t>
  </si>
  <si>
    <t>nariyvki@gmail.com</t>
  </si>
  <si>
    <t>C-00074851</t>
  </si>
  <si>
    <t>浅田貴大</t>
  </si>
  <si>
    <t>takahiro_a_3_9@hotmail.com</t>
  </si>
  <si>
    <t>C-00074843</t>
  </si>
  <si>
    <t>津田祐一</t>
  </si>
  <si>
    <t>sin.g0jig0ji@gmail.com</t>
  </si>
  <si>
    <t>C-00074842</t>
  </si>
  <si>
    <t>上野裕之</t>
  </si>
  <si>
    <t>vw.16890827@gmail.com</t>
  </si>
  <si>
    <t>2024/12/12 00:00:00</t>
  </si>
  <si>
    <t>C-00074841</t>
  </si>
  <si>
    <t>南出基志</t>
  </si>
  <si>
    <t>rumraisin422@gmail.com</t>
  </si>
  <si>
    <t>C-00074838</t>
  </si>
  <si>
    <t>渋谷昇</t>
  </si>
  <si>
    <t>supi2016nz@yahoo.co.jp</t>
  </si>
  <si>
    <t>C-00074831</t>
  </si>
  <si>
    <t>北原悟史</t>
  </si>
  <si>
    <t>kita1976.com@gmail.com</t>
  </si>
  <si>
    <t>2024/12/18 00:00:00</t>
  </si>
  <si>
    <t>C-00074830</t>
  </si>
  <si>
    <t>西木教子</t>
  </si>
  <si>
    <t>ririmaru.0406@gmail.com</t>
  </si>
  <si>
    <t>C-00074824</t>
  </si>
  <si>
    <t>北村憲一</t>
  </si>
  <si>
    <t>kk2010@zeus.eonet.ne.jp</t>
  </si>
  <si>
    <t>C-00074823</t>
  </si>
  <si>
    <t>竹上晴佳</t>
  </si>
  <si>
    <t>sound.on.328@gmail.com</t>
  </si>
  <si>
    <t>C-00074816</t>
  </si>
  <si>
    <t>田中勲</t>
  </si>
  <si>
    <t>tanaka140.85@gmail.com</t>
  </si>
  <si>
    <t>C-00074814</t>
  </si>
  <si>
    <t>飯田雄司</t>
  </si>
  <si>
    <t>yujis39omy@gmail.com</t>
  </si>
  <si>
    <t>C-00074811</t>
  </si>
  <si>
    <t>柳澤里実</t>
  </si>
  <si>
    <t>sawasiganay@gmail.com</t>
  </si>
  <si>
    <t>C-00074810</t>
  </si>
  <si>
    <t>酒井康輔</t>
  </si>
  <si>
    <t>skoosuke5@yahoo.co.jp</t>
  </si>
  <si>
    <t>C-00074806</t>
  </si>
  <si>
    <t>馬上尚樹</t>
  </si>
  <si>
    <t>magami.naoki@takenaka.cn</t>
  </si>
  <si>
    <t>C-00074803</t>
  </si>
  <si>
    <t>上村千賀子</t>
  </si>
  <si>
    <t>purple_yellow007-shop10@yahoo.co.jp</t>
  </si>
  <si>
    <t>2024/12/15 00:00:00</t>
  </si>
  <si>
    <t>C-00074801</t>
  </si>
  <si>
    <t>加藤克昭</t>
  </si>
  <si>
    <t>necc1234-ver1@yahoo.co.jp</t>
  </si>
  <si>
    <t>C-00074800</t>
  </si>
  <si>
    <t>俵慎一</t>
  </si>
  <si>
    <t>tawaras@mug.biglobe.ne.jp</t>
  </si>
  <si>
    <t>C-00074793</t>
  </si>
  <si>
    <t>木村典子</t>
  </si>
  <si>
    <t>noriko47kimura@gmail.com</t>
  </si>
  <si>
    <t>C-00074782</t>
  </si>
  <si>
    <t>鈴木秀雄</t>
  </si>
  <si>
    <t>oak4621@gmail.com</t>
  </si>
  <si>
    <t>C-00074777</t>
  </si>
  <si>
    <t>林健一</t>
  </si>
  <si>
    <t>bikinokobuta0921@yahoo.co.jp</t>
  </si>
  <si>
    <t>C-00074776</t>
  </si>
  <si>
    <t>福田千浩</t>
  </si>
  <si>
    <t>chihiro_f83@yahoo.co.jp</t>
  </si>
  <si>
    <t>C-00074773</t>
  </si>
  <si>
    <t>大屋富志光</t>
  </si>
  <si>
    <t>ootoshiya@yahoo.co.jp</t>
  </si>
  <si>
    <t>C-00074770</t>
  </si>
  <si>
    <t>薗田雅樹</t>
  </si>
  <si>
    <t>sonomasa1113@gmail.com</t>
  </si>
  <si>
    <t>C-00074768</t>
  </si>
  <si>
    <t>日下部博紀</t>
  </si>
  <si>
    <t>fam.hirokikusakabe@gmail.com</t>
  </si>
  <si>
    <t>C-00074766</t>
  </si>
  <si>
    <t>清水勉</t>
  </si>
  <si>
    <t>shimizu.cleartrade@gmail.com</t>
  </si>
  <si>
    <t>C-00074765</t>
  </si>
  <si>
    <t>計良健太</t>
  </si>
  <si>
    <t>health_beauty_cool_wing@yahoo.co.jp</t>
  </si>
  <si>
    <t>C-00074759</t>
  </si>
  <si>
    <t>岡本成美</t>
  </si>
  <si>
    <t>okamoto900@hotmail.com</t>
  </si>
  <si>
    <t>C-00074758</t>
  </si>
  <si>
    <t>中村昌利</t>
  </si>
  <si>
    <t>masemateka939@gmail.com</t>
  </si>
  <si>
    <t>C-00074757</t>
  </si>
  <si>
    <t>高橋昇</t>
  </si>
  <si>
    <t>noboru-takahashi@ezweb.ne.jp</t>
  </si>
  <si>
    <t>C-00074755</t>
  </si>
  <si>
    <t>平野信一</t>
  </si>
  <si>
    <t>hirano4141@gmail.com</t>
  </si>
  <si>
    <t>C-00074751</t>
  </si>
  <si>
    <t>田村剛</t>
  </si>
  <si>
    <t>investmentfrom40@gmail.com</t>
  </si>
  <si>
    <t>2024/12/19 00:00:00</t>
  </si>
  <si>
    <t>C-00074750</t>
  </si>
  <si>
    <t>恵本和佳子</t>
  </si>
  <si>
    <t>istan8@gmail.com</t>
  </si>
  <si>
    <t>C-00074749</t>
  </si>
  <si>
    <t>中村沙也子</t>
  </si>
  <si>
    <t>sayakoa24@yahoo.co.jp</t>
  </si>
  <si>
    <t>C-00074748</t>
  </si>
  <si>
    <t>浅野秀文</t>
  </si>
  <si>
    <t>asanohide@me.com</t>
  </si>
  <si>
    <t>C-00074746</t>
  </si>
  <si>
    <t>溝呂木ゆみ子</t>
  </si>
  <si>
    <t>mizorogimimi@gmail.com</t>
  </si>
  <si>
    <t>C-00074745</t>
  </si>
  <si>
    <t>野村和史</t>
  </si>
  <si>
    <t>kazuuka920@kdt.biglobe.ne.jp</t>
  </si>
  <si>
    <t>C-00074743</t>
  </si>
  <si>
    <t>光山精一</t>
  </si>
  <si>
    <t>hikari82172@gmail.com</t>
  </si>
  <si>
    <t>C-00074742</t>
  </si>
  <si>
    <t>五島大輔</t>
  </si>
  <si>
    <t>bruno1002@outlook.jp</t>
  </si>
  <si>
    <t>C-00074738</t>
  </si>
  <si>
    <t>内山友浩</t>
  </si>
  <si>
    <t>teamcrystal@yahoo.co.jp</t>
  </si>
  <si>
    <t>C-00074737</t>
  </si>
  <si>
    <t>小島日高</t>
  </si>
  <si>
    <t>nidasky.sol8@gmail.com</t>
  </si>
  <si>
    <t>C-00074736</t>
  </si>
  <si>
    <t>西村洋一</t>
  </si>
  <si>
    <t>nyoichi_2468@yahoo.co.jp</t>
  </si>
  <si>
    <t>C-00074731</t>
  </si>
  <si>
    <t>戸塚尚</t>
  </si>
  <si>
    <t>takashi_tozuka@hotmail.com</t>
  </si>
  <si>
    <t>C-00074723</t>
  </si>
  <si>
    <t>東稔行</t>
  </si>
  <si>
    <t>ryugukaihatsu@gmail.com</t>
  </si>
  <si>
    <t>C-00074721</t>
  </si>
  <si>
    <t>小野嘉洋</t>
  </si>
  <si>
    <t>onokayou@yahoo.co.jp</t>
  </si>
  <si>
    <t>C-00074720</t>
  </si>
  <si>
    <t>藤江忠</t>
  </si>
  <si>
    <t>chuuz123daa@gmail.com</t>
  </si>
  <si>
    <t>C-00074718</t>
  </si>
  <si>
    <t>野々村真悟</t>
  </si>
  <si>
    <t>nono4n5@gmail.com</t>
  </si>
  <si>
    <t>C-00074709</t>
  </si>
  <si>
    <t>升本晶子</t>
  </si>
  <si>
    <t>akomasumoto@gmail.com</t>
  </si>
  <si>
    <t>C-00074696</t>
  </si>
  <si>
    <t>下山浩一</t>
  </si>
  <si>
    <t>ks1964326@docomo.ne.jp</t>
  </si>
  <si>
    <t>C-00074695</t>
  </si>
  <si>
    <t>青木精一朗</t>
  </si>
  <si>
    <t>dorasa1515@gmail.com</t>
  </si>
  <si>
    <t>C-00074686</t>
  </si>
  <si>
    <t>蔵田文男</t>
  </si>
  <si>
    <t>fumio.kurata@gmail.com</t>
  </si>
  <si>
    <t>C-00074682</t>
  </si>
  <si>
    <t>郷義幸</t>
  </si>
  <si>
    <t>asakki.rurutyi.800@gmail.com</t>
  </si>
  <si>
    <t>C-00074679</t>
  </si>
  <si>
    <t>萩原宏紀</t>
  </si>
  <si>
    <t>hiroki.hagiwara6@gmail.com</t>
  </si>
  <si>
    <t>C-00074658</t>
  </si>
  <si>
    <t>藤田正</t>
  </si>
  <si>
    <t>tf09072700137@docomo.ne.jp</t>
  </si>
  <si>
    <t>C-00074650</t>
  </si>
  <si>
    <t>林朋彦</t>
  </si>
  <si>
    <t>submarine507@gmail.com</t>
  </si>
  <si>
    <t>C-00074647</t>
  </si>
  <si>
    <t>笹原真哉</t>
  </si>
  <si>
    <t>dec312021@bb.banban.jp</t>
  </si>
  <si>
    <t>C-00074643</t>
  </si>
  <si>
    <t>上白木敬好</t>
  </si>
  <si>
    <t>kohaku.sinjiro@icloud.com</t>
  </si>
  <si>
    <t>C-00074642</t>
  </si>
  <si>
    <t>日野直樹</t>
  </si>
  <si>
    <t>nfr3141@me.pikara.ne.jp</t>
  </si>
  <si>
    <t>C-00074637</t>
  </si>
  <si>
    <t>安江琴与</t>
  </si>
  <si>
    <t>koto123sakuya@gmail.com</t>
  </si>
  <si>
    <t>C-00074635</t>
  </si>
  <si>
    <t>高山裕成</t>
  </si>
  <si>
    <t>y.p.fantasy@gmail.com</t>
  </si>
  <si>
    <t>C-00074630</t>
  </si>
  <si>
    <t>齋藤弘勝</t>
  </si>
  <si>
    <t>hirokatsu4312@keb.biglobe.ne.jp</t>
  </si>
  <si>
    <t>C-00074629</t>
  </si>
  <si>
    <t>西崎伸彦</t>
  </si>
  <si>
    <t>nishizakinobuhiko@yahoo.co.jp</t>
  </si>
  <si>
    <t>C-00074625</t>
  </si>
  <si>
    <t>鈴木庸介</t>
  </si>
  <si>
    <t>goshu0626@gmail.com</t>
  </si>
  <si>
    <t>C-00074624</t>
  </si>
  <si>
    <t>平城徹</t>
  </si>
  <si>
    <t>gckpy178@yahoo.co.jp</t>
  </si>
  <si>
    <t>C-00074617</t>
  </si>
  <si>
    <t>金久保孝雄</t>
  </si>
  <si>
    <t>yiu19050@gmail.com</t>
  </si>
  <si>
    <t>C-00074613</t>
  </si>
  <si>
    <t>島田浩平</t>
  </si>
  <si>
    <t>kshimada958i@gmail.com</t>
  </si>
  <si>
    <t>C-00074605</t>
  </si>
  <si>
    <t>山岡瞳</t>
  </si>
  <si>
    <t>happyhitomi6078@gmail.com</t>
  </si>
  <si>
    <t>2024/12/14 00:00:00</t>
  </si>
  <si>
    <t>C-00074604</t>
  </si>
  <si>
    <t>山中新一</t>
  </si>
  <si>
    <t>yamanaka.shinichi@maroon.plala.or.jp</t>
  </si>
  <si>
    <t>C-00074602</t>
  </si>
  <si>
    <t>石川周平</t>
  </si>
  <si>
    <t>bote369ron@gmail.com</t>
  </si>
  <si>
    <t>C-00074601</t>
  </si>
  <si>
    <t>大野順子</t>
  </si>
  <si>
    <t>yori_o@icloud.com</t>
  </si>
  <si>
    <t>C-00074600</t>
  </si>
  <si>
    <t>阿部佳世子</t>
  </si>
  <si>
    <t>tibikayo1.2.3@gmail.com</t>
  </si>
  <si>
    <t>C-00074599</t>
  </si>
  <si>
    <t>山下緑山</t>
  </si>
  <si>
    <t>mmspcbmn@gmail.com</t>
  </si>
  <si>
    <t>C-00074595</t>
  </si>
  <si>
    <t>高橋恵</t>
  </si>
  <si>
    <t>nakamegu1111@yahoo.co.jp</t>
  </si>
  <si>
    <t>C-00074594</t>
  </si>
  <si>
    <t>岡田知津</t>
  </si>
  <si>
    <t>chiokada@nifty.com</t>
  </si>
  <si>
    <t>C-00074592</t>
  </si>
  <si>
    <t>山崎隆泰</t>
  </si>
  <si>
    <t>akd.femc.kog@gmail.com</t>
  </si>
  <si>
    <t>C-00074589</t>
  </si>
  <si>
    <t>大西佑治</t>
  </si>
  <si>
    <t>yuji02061984a@yahoo.co.jp</t>
  </si>
  <si>
    <t>C-00074584</t>
  </si>
  <si>
    <t>鈴木健介</t>
  </si>
  <si>
    <t>kensuke_s77@yahoo.co.jp</t>
  </si>
  <si>
    <t>C-00074580</t>
  </si>
  <si>
    <t>柴田泰英</t>
  </si>
  <si>
    <t>yshibata1980@gmail.com</t>
  </si>
  <si>
    <t>C-00074577</t>
  </si>
  <si>
    <t>後藤全郎</t>
  </si>
  <si>
    <t>machao46@gmail.com</t>
  </si>
  <si>
    <t>C-00074576</t>
  </si>
  <si>
    <t>竹村明日香</t>
  </si>
  <si>
    <t>amachitapo@yahoo.co.jp</t>
  </si>
  <si>
    <t>C-00074574</t>
  </si>
  <si>
    <t>秋武利郎</t>
  </si>
  <si>
    <t>aakitinn@ezweb.ne.jp</t>
  </si>
  <si>
    <t>2024/12/17 00:00:00</t>
  </si>
  <si>
    <t>C-00074573</t>
  </si>
  <si>
    <t>野田雄哉</t>
  </si>
  <si>
    <t>nocchi.drum@gmail.com</t>
  </si>
  <si>
    <t>C-00074495</t>
  </si>
  <si>
    <t>越野貴裕</t>
  </si>
  <si>
    <t>ym09057021053@gmail.com</t>
  </si>
  <si>
    <t>C-00074373</t>
  </si>
  <si>
    <t>高山武志</t>
  </si>
  <si>
    <t>ihsekatamayakat@gmail.com</t>
  </si>
  <si>
    <t>C-00074330</t>
  </si>
  <si>
    <t>大西俊彦</t>
  </si>
  <si>
    <t>cannibal0729@gmail.com</t>
  </si>
  <si>
    <t>C-00074171</t>
  </si>
  <si>
    <t>原豊光</t>
  </si>
  <si>
    <t>hara373@gmail.com</t>
  </si>
  <si>
    <t>C-00072712</t>
  </si>
  <si>
    <t>山城静香</t>
  </si>
  <si>
    <t>blueryukyu@gmail.com</t>
  </si>
  <si>
    <t>C-00072328</t>
  </si>
  <si>
    <t>佐藤京子</t>
  </si>
  <si>
    <t>kyokosatokyo3@icloud.com</t>
  </si>
  <si>
    <t>C-00072076</t>
  </si>
  <si>
    <t>原康雄</t>
  </si>
  <si>
    <t>x09099991225@i.softbank.jp</t>
  </si>
  <si>
    <t>C-00071581</t>
  </si>
  <si>
    <t>内藤大伍</t>
  </si>
  <si>
    <t>daigoro-08@hotmail.co.jp</t>
  </si>
  <si>
    <t>C-00071021</t>
  </si>
  <si>
    <t>山本幸範</t>
  </si>
  <si>
    <t>yama141421356@gmail.com</t>
  </si>
  <si>
    <t>C-00070967</t>
  </si>
  <si>
    <t>南岡和弥</t>
  </si>
  <si>
    <t>kazuya.minamioka@gmail.com</t>
  </si>
  <si>
    <t>C-00070808</t>
  </si>
  <si>
    <t>泉智子</t>
  </si>
  <si>
    <t>tomotomo757@gmail.com</t>
  </si>
  <si>
    <t>C-00069880</t>
  </si>
  <si>
    <t>井谷智子</t>
  </si>
  <si>
    <t>t-valley0616@outlook.jp</t>
  </si>
  <si>
    <t>C-00069855</t>
  </si>
  <si>
    <t>栗田賢二</t>
  </si>
  <si>
    <t>krtkenji@yahoo.co.jp</t>
  </si>
  <si>
    <t>C-00069584</t>
  </si>
  <si>
    <t>谷洋子</t>
  </si>
  <si>
    <t>yoko563127t@gmail.com</t>
  </si>
  <si>
    <t>C-00069350</t>
  </si>
  <si>
    <t>長谷川隆之</t>
  </si>
  <si>
    <t>ryuu@ha-se.jp</t>
  </si>
  <si>
    <t>C-00069290</t>
  </si>
  <si>
    <t>辻博之</t>
  </si>
  <si>
    <t>tsuji07052674618@gmail.com</t>
  </si>
  <si>
    <t>C-00069177</t>
  </si>
  <si>
    <t>大矢昌章</t>
  </si>
  <si>
    <t>moya095@gmail.com</t>
  </si>
  <si>
    <t>C-00069167</t>
  </si>
  <si>
    <t>山田喬之</t>
  </si>
  <si>
    <t>rv0049vr@kankyousystem.jp</t>
  </si>
  <si>
    <t>C-00069128</t>
  </si>
  <si>
    <t>鷹取功人</t>
  </si>
  <si>
    <t>takatori.1963@gmail.com</t>
  </si>
  <si>
    <t>C-00069026</t>
  </si>
  <si>
    <t>得本直人</t>
  </si>
  <si>
    <t>109moto.7oto@gmail.com</t>
  </si>
  <si>
    <t>C-00068750</t>
  </si>
  <si>
    <t>秋山裕太</t>
  </si>
  <si>
    <t>yutaway@icloud.com</t>
  </si>
  <si>
    <t>C-00068730</t>
  </si>
  <si>
    <t>佐藤浩則</t>
  </si>
  <si>
    <t>hirono1127@yahoo.co.jp</t>
  </si>
  <si>
    <t>C-00068683</t>
  </si>
  <si>
    <t>廣野恭資</t>
  </si>
  <si>
    <t>h.kyo371770@gmail.com</t>
  </si>
  <si>
    <t>C-00068632</t>
  </si>
  <si>
    <t>村上光一</t>
  </si>
  <si>
    <t>kobonta@gmail.com</t>
  </si>
  <si>
    <t>C-00068624</t>
  </si>
  <si>
    <t>和佐有起</t>
  </si>
  <si>
    <t>mas_wasa@yahoo.co.jp</t>
  </si>
  <si>
    <t>C-00068620</t>
  </si>
  <si>
    <t>樋口勇輝</t>
  </si>
  <si>
    <t>y.h.chikyugi@gmail.com</t>
  </si>
  <si>
    <t>C-00068609</t>
  </si>
  <si>
    <t>竹井勝一</t>
  </si>
  <si>
    <t>katkoichi5123@gmail.com</t>
  </si>
  <si>
    <t>C-00068599</t>
  </si>
  <si>
    <t>廣瀬夕夏</t>
  </si>
  <si>
    <t>syari098@gmail.com</t>
  </si>
  <si>
    <t>C-00068567</t>
  </si>
  <si>
    <t>大掛彰寛</t>
  </si>
  <si>
    <t>snsktdln6@gmail.com</t>
  </si>
  <si>
    <t>C-00068486</t>
  </si>
  <si>
    <t>伊藤大貴</t>
  </si>
  <si>
    <t>blair.waldorf.meester9@gmail.com</t>
  </si>
  <si>
    <t>C-00068383</t>
  </si>
  <si>
    <t>新川一美</t>
  </si>
  <si>
    <t>khsk1228@gmail.com</t>
  </si>
  <si>
    <t>C-00068382</t>
  </si>
  <si>
    <t>後藤孝啓</t>
  </si>
  <si>
    <t>mr.gocci@gmail.com</t>
  </si>
  <si>
    <t>C-00068381</t>
  </si>
  <si>
    <t>池中倫代</t>
  </si>
  <si>
    <t>min2.no.green@gmail.com</t>
  </si>
  <si>
    <t>2025/04/20 00:00:00</t>
  </si>
  <si>
    <t>C-00068380</t>
  </si>
  <si>
    <t>袴田悠介</t>
  </si>
  <si>
    <t>kb24.lom@gmail.com</t>
  </si>
  <si>
    <t>C-00068378</t>
  </si>
  <si>
    <t>手塚雅登</t>
  </si>
  <si>
    <t>botamoti2koiri@hotmail.com</t>
  </si>
  <si>
    <t>C-00068377</t>
  </si>
  <si>
    <t>成田基良</t>
  </si>
  <si>
    <t>naritamotomoto1980@gmail.com</t>
  </si>
  <si>
    <t>C-00068375</t>
  </si>
  <si>
    <t>兒島邦幸</t>
  </si>
  <si>
    <t>gtr6475@gmail.com</t>
  </si>
  <si>
    <t>C-00068364</t>
  </si>
  <si>
    <t>橋場公保</t>
  </si>
  <si>
    <t>astraealibra.13@gmail.com</t>
  </si>
  <si>
    <t>C-00068363</t>
  </si>
  <si>
    <t>小野智弘</t>
  </si>
  <si>
    <t>tomohiro.ono.prv@gmail.com</t>
  </si>
  <si>
    <t>C-00068355</t>
  </si>
  <si>
    <t>宮原健</t>
  </si>
  <si>
    <t>zyakenn46@gmail.com</t>
  </si>
  <si>
    <t>C-00068351</t>
  </si>
  <si>
    <t>花島真由美</t>
  </si>
  <si>
    <t>mayumi171727ab@softbank.ne.jp</t>
  </si>
  <si>
    <t>C-00068349</t>
  </si>
  <si>
    <t>菅原毅</t>
  </si>
  <si>
    <t>sugaport@gmail.com</t>
  </si>
  <si>
    <t>C-00068346</t>
  </si>
  <si>
    <t>金子純一郎</t>
  </si>
  <si>
    <t>jiritzu30@yahoo.co.jp</t>
  </si>
  <si>
    <t>C-00068344</t>
  </si>
  <si>
    <t>森下政史</t>
  </si>
  <si>
    <t>mini3633.mm@gmail.com</t>
  </si>
  <si>
    <t>C-00068341</t>
  </si>
  <si>
    <t>西野正孝</t>
  </si>
  <si>
    <t>nishino.vov.masataka@gmail.com</t>
  </si>
  <si>
    <t>C-00068339</t>
  </si>
  <si>
    <t>須山恵明</t>
  </si>
  <si>
    <t>symg14@gmail.com</t>
  </si>
  <si>
    <t>C-00068336</t>
  </si>
  <si>
    <t>内山昌子</t>
  </si>
  <si>
    <t>ttrex0073-kabu@yahoo.co.jp</t>
  </si>
  <si>
    <t>C-00068334</t>
  </si>
  <si>
    <t>熊沢勝明</t>
  </si>
  <si>
    <t>winner200706@gmail.com</t>
  </si>
  <si>
    <t>C-00068332</t>
  </si>
  <si>
    <t>大平裕也</t>
  </si>
  <si>
    <t>brave.man0021@gmail.com</t>
  </si>
  <si>
    <t>C-00068330</t>
  </si>
  <si>
    <t>齋藤雅和</t>
  </si>
  <si>
    <t>masakazusaito94@gmail.com</t>
  </si>
  <si>
    <t>C-00068327</t>
  </si>
  <si>
    <t>山白祐平</t>
  </si>
  <si>
    <t>yuheisekigane@gmail.com</t>
  </si>
  <si>
    <t>C-00068326</t>
  </si>
  <si>
    <t>工藤敏子</t>
  </si>
  <si>
    <t>piano_kudo@yahoo.co.jp</t>
  </si>
  <si>
    <t>C-00068325</t>
  </si>
  <si>
    <t>中野俊吾</t>
  </si>
  <si>
    <t>musselwatch@icloud.com</t>
  </si>
  <si>
    <t>C-00068322</t>
  </si>
  <si>
    <t>三浦大輝</t>
  </si>
  <si>
    <t>tamisuke1130@gmail.com</t>
  </si>
  <si>
    <t>C-00068318</t>
  </si>
  <si>
    <t>坂本淳</t>
  </si>
  <si>
    <t>cpcyv202@hct.zaq.ne.jp</t>
  </si>
  <si>
    <t>C-00068317</t>
  </si>
  <si>
    <t>橋本伸宏</t>
  </si>
  <si>
    <t>n-hashimoto@gokoh.co.jp</t>
  </si>
  <si>
    <t>C-00068316</t>
  </si>
  <si>
    <t>櫻庭幹彦</t>
  </si>
  <si>
    <t>woodyshell2fm@yahoo.ne.jp</t>
  </si>
  <si>
    <t>C-00068314</t>
  </si>
  <si>
    <t>羽田尊子</t>
  </si>
  <si>
    <t>takako0304ab@gmail.com</t>
  </si>
  <si>
    <t>C-00068312</t>
  </si>
  <si>
    <t>中野真良</t>
  </si>
  <si>
    <t>cranky.condorer@gmail.com</t>
  </si>
  <si>
    <t>C-00068311</t>
  </si>
  <si>
    <t>新田晃久</t>
  </si>
  <si>
    <t>nitta1123a@gmail.com</t>
  </si>
  <si>
    <t>2025/01/22 00:00:00</t>
  </si>
  <si>
    <t>C-00068305</t>
  </si>
  <si>
    <t>佐藤雅紀</t>
  </si>
  <si>
    <t>millionddog@gmail.com</t>
  </si>
  <si>
    <t>C-00068302</t>
  </si>
  <si>
    <t>柏﨑裕貴</t>
  </si>
  <si>
    <t>ryuga572@yahoo.co.jp</t>
  </si>
  <si>
    <t>C-00068295</t>
  </si>
  <si>
    <t>石黒修</t>
  </si>
  <si>
    <t>o.i.stone96@gmail.com</t>
  </si>
  <si>
    <t>C-00068287</t>
  </si>
  <si>
    <t>小山美智子</t>
  </si>
  <si>
    <t>raimu3812@gmail.com</t>
  </si>
  <si>
    <t>C-00068285</t>
  </si>
  <si>
    <t>小林敬子</t>
  </si>
  <si>
    <t>hkkbys@gmail.com</t>
  </si>
  <si>
    <t>C-00068279</t>
  </si>
  <si>
    <t>丸毛健資</t>
  </si>
  <si>
    <t>marutyan@zeus.eonet.ne.jp</t>
  </si>
  <si>
    <t>C-00068277</t>
  </si>
  <si>
    <t>内田海斗</t>
  </si>
  <si>
    <t>11uchiuchi22@gmail.com</t>
  </si>
  <si>
    <t>C-00068275</t>
  </si>
  <si>
    <t>服部明彦</t>
  </si>
  <si>
    <t>xpart77@gmail.com</t>
  </si>
  <si>
    <t>C-00068274</t>
  </si>
  <si>
    <t>松川剛</t>
  </si>
  <si>
    <t>pondupon2@yahoo.co.jp</t>
  </si>
  <si>
    <t>C-00068273</t>
  </si>
  <si>
    <t>一ノ瀬利彦</t>
  </si>
  <si>
    <t>tiichinose@gmail.com</t>
  </si>
  <si>
    <t>C-00068272</t>
  </si>
  <si>
    <t>高橋裕幸</t>
  </si>
  <si>
    <t>heart_beats_831@yahoo.co.jp</t>
  </si>
  <si>
    <t>C-00068271</t>
  </si>
  <si>
    <t>杉浦正剛</t>
  </si>
  <si>
    <t>suma0403@icloud.com</t>
  </si>
  <si>
    <t>C-00068264</t>
  </si>
  <si>
    <t>中山瑞恵</t>
  </si>
  <si>
    <t>mizue.222426@gmail.com</t>
  </si>
  <si>
    <t>C-00068263</t>
  </si>
  <si>
    <t>岡田浩一</t>
  </si>
  <si>
    <t>hiroichi_23-hiroichi_23@docomo.ne.jp</t>
  </si>
  <si>
    <t>C-00068260</t>
  </si>
  <si>
    <t>押田徹</t>
  </si>
  <si>
    <t>to117yu1114@gmail.com</t>
  </si>
  <si>
    <t>C-00068249</t>
  </si>
  <si>
    <t>田中亮</t>
  </si>
  <si>
    <t>tryo19881106@gmail.com</t>
  </si>
  <si>
    <t>C-00068245</t>
  </si>
  <si>
    <t>堀田康史郎</t>
  </si>
  <si>
    <t>khotter817@gmail.com</t>
  </si>
  <si>
    <t>C-00068241</t>
  </si>
  <si>
    <t>柴田悠祐</t>
  </si>
  <si>
    <t>suteys2018@gmail.com</t>
  </si>
  <si>
    <t>C-00068228</t>
  </si>
  <si>
    <t>原早苗</t>
  </si>
  <si>
    <t>pxk06015@nifty.com</t>
  </si>
  <si>
    <t>C-00068218</t>
  </si>
  <si>
    <t>柴田優香</t>
  </si>
  <si>
    <t>ys19877235@gmail.com</t>
  </si>
  <si>
    <t>C-00068216</t>
  </si>
  <si>
    <t>喜田巧</t>
  </si>
  <si>
    <t>uujitan.moja22@gmail.com</t>
  </si>
  <si>
    <t>C-00068214</t>
  </si>
  <si>
    <t>木本岳史</t>
  </si>
  <si>
    <t>takezaemon@gmail.com</t>
  </si>
  <si>
    <t>C-00068213</t>
  </si>
  <si>
    <t>富永信吾</t>
  </si>
  <si>
    <t>dodge45durango@gmail.com</t>
  </si>
  <si>
    <t>C-00068210</t>
  </si>
  <si>
    <t>久保田直子</t>
  </si>
  <si>
    <t>racco0830@gmail.com</t>
  </si>
  <si>
    <t>C-00068208</t>
  </si>
  <si>
    <t>浜本純郎</t>
  </si>
  <si>
    <t>s02@hamaden.org</t>
  </si>
  <si>
    <t>C-00068201</t>
  </si>
  <si>
    <t>田澤一則</t>
  </si>
  <si>
    <t>kazu.1116.ain@gmail.com</t>
  </si>
  <si>
    <t>C-00068199</t>
  </si>
  <si>
    <t>田島卓宗</t>
  </si>
  <si>
    <t>yueliang_lunasea-bull@yahoo.co.jp</t>
  </si>
  <si>
    <t>C-00068197</t>
  </si>
  <si>
    <t>中原宏高</t>
  </si>
  <si>
    <t>bndwt249@yahoo.co.jp</t>
  </si>
  <si>
    <t>C-00068190</t>
  </si>
  <si>
    <t>城間秀之</t>
  </si>
  <si>
    <t>viajero306@gmail.com</t>
  </si>
  <si>
    <t>C-00068189</t>
  </si>
  <si>
    <t>薮内和也</t>
  </si>
  <si>
    <t>btyjw161@yahoo.co.jp</t>
  </si>
  <si>
    <t>C-00068188</t>
  </si>
  <si>
    <t>秋場優子</t>
  </si>
  <si>
    <t>choppaxa@yahoo.co.jp</t>
  </si>
  <si>
    <t>C-00068185</t>
  </si>
  <si>
    <t>小島透</t>
  </si>
  <si>
    <t>kg_itiban@hotmail.com</t>
  </si>
  <si>
    <t>C-00068184</t>
  </si>
  <si>
    <t>青木友作</t>
  </si>
  <si>
    <t>syakuretoniwatori@gmail.com</t>
  </si>
  <si>
    <t>C-00068182</t>
  </si>
  <si>
    <t>西村康子</t>
  </si>
  <si>
    <t>earl-grey@kxf.biglobe.ne.jp</t>
  </si>
  <si>
    <t>C-00068181</t>
  </si>
  <si>
    <t>金田繁</t>
  </si>
  <si>
    <t>sss@myboom.jp</t>
  </si>
  <si>
    <t>C-00068180</t>
  </si>
  <si>
    <t>山本成司</t>
  </si>
  <si>
    <t>sy0216maru@ezweb.ne.jp</t>
  </si>
  <si>
    <t>C-00068179</t>
  </si>
  <si>
    <t>山口悦子</t>
  </si>
  <si>
    <t>bicky0805@gmail.com</t>
  </si>
  <si>
    <t>C-00068177</t>
  </si>
  <si>
    <t>土橋茂美</t>
  </si>
  <si>
    <t>tomotaku220611@gmail.com</t>
  </si>
  <si>
    <t>C-00068164</t>
  </si>
  <si>
    <t>伊藤隆啓</t>
  </si>
  <si>
    <t>takahiro31@me.com</t>
  </si>
  <si>
    <t>C-00068160</t>
  </si>
  <si>
    <t>岡田結樹子</t>
  </si>
  <si>
    <t>yukko.okd18@outlook.jp</t>
  </si>
  <si>
    <t>C-00068155</t>
  </si>
  <si>
    <t>高田孝太</t>
  </si>
  <si>
    <t>mail8253ac@gmail.com</t>
  </si>
  <si>
    <t>C-00068149</t>
  </si>
  <si>
    <t>亀井雄介</t>
  </si>
  <si>
    <t>yusuke06102255@icloud.com</t>
  </si>
  <si>
    <t>C-00068147</t>
  </si>
  <si>
    <t>鈴木浩</t>
  </si>
  <si>
    <t>hiroshi.suzuki4243@jcom.zaq.ne.jp</t>
  </si>
  <si>
    <t>C-00068143</t>
  </si>
  <si>
    <t>飯島知也</t>
  </si>
  <si>
    <t>nsppzufx@gmail.com</t>
  </si>
  <si>
    <t>C-00068137</t>
  </si>
  <si>
    <t>西尾秀樹</t>
  </si>
  <si>
    <t>nishio.private@gmail.com</t>
  </si>
  <si>
    <t>C-00068131</t>
  </si>
  <si>
    <t>坂本秀樹</t>
  </si>
  <si>
    <t>sakahide2123@gmail.com</t>
  </si>
  <si>
    <t>C-00068129</t>
  </si>
  <si>
    <t>大橋麻衣</t>
  </si>
  <si>
    <t>0084mai0620@gmail.com</t>
  </si>
  <si>
    <t>C-00068128</t>
  </si>
  <si>
    <t>熊倉嘉貴</t>
  </si>
  <si>
    <t>yoshi.kumakura@gmail.com</t>
  </si>
  <si>
    <t>C-00068127</t>
  </si>
  <si>
    <t>佐藤伸彦</t>
  </si>
  <si>
    <t>nobu-is-dora@docomo.ne.jp</t>
  </si>
  <si>
    <t>C-00068119</t>
  </si>
  <si>
    <t>石橋幸雄</t>
  </si>
  <si>
    <t>yukio1958123@yahoo.ne.jp</t>
  </si>
  <si>
    <t>C-00068117</t>
  </si>
  <si>
    <t>深町公子</t>
  </si>
  <si>
    <t>kikko.3304.fk@gmail.com</t>
  </si>
  <si>
    <t>C-00068114</t>
  </si>
  <si>
    <t>吉岡裕美</t>
  </si>
  <si>
    <t>y9626285@gmail.com</t>
  </si>
  <si>
    <t>C-00068104</t>
  </si>
  <si>
    <t>小笠原剛彦</t>
  </si>
  <si>
    <t>take_oga@hotmail.com</t>
  </si>
  <si>
    <t>C-00068101</t>
  </si>
  <si>
    <t>舟洞久人</t>
  </si>
  <si>
    <t>nisanichi8@gmail.com</t>
  </si>
  <si>
    <t>C-00068100</t>
  </si>
  <si>
    <t>花田浩二</t>
  </si>
  <si>
    <t>truecomu@yahoo.co.jp</t>
  </si>
  <si>
    <t>C-00068096</t>
  </si>
  <si>
    <t>堀江正純</t>
  </si>
  <si>
    <t>masa.holly.masa@gmail.com</t>
  </si>
  <si>
    <t>C-00068092</t>
  </si>
  <si>
    <t>吉本正義</t>
  </si>
  <si>
    <t>live.camera00@gmail.com</t>
  </si>
  <si>
    <t>C-00068091</t>
  </si>
  <si>
    <t>齋藤雅実</t>
  </si>
  <si>
    <t>mabisan@gmail.com</t>
  </si>
  <si>
    <t>C-00068087</t>
  </si>
  <si>
    <t>道脇麻里</t>
  </si>
  <si>
    <t>kuroneko-lala@outlook.jp</t>
  </si>
  <si>
    <t>C-00068085</t>
  </si>
  <si>
    <t>竹崎義清</t>
  </si>
  <si>
    <t>y.madarame@gmail.com</t>
  </si>
  <si>
    <t>C-00068081</t>
  </si>
  <si>
    <t>里見優</t>
  </si>
  <si>
    <t>yuu3103mj73@gmail.com</t>
  </si>
  <si>
    <t>C-00068079</t>
  </si>
  <si>
    <t>松本晶平</t>
  </si>
  <si>
    <t>shohei@kk.iij4u.or.jp</t>
  </si>
  <si>
    <t>2024/07/20 00:00:00</t>
  </si>
  <si>
    <t>C-00068072</t>
  </si>
  <si>
    <t>野口英明</t>
  </si>
  <si>
    <t>haiji7234a@gmail.com</t>
  </si>
  <si>
    <t>C-00068070</t>
  </si>
  <si>
    <t>村林敬将</t>
  </si>
  <si>
    <t>muraba8624@yahoo.co.jp</t>
  </si>
  <si>
    <t>C-00068057</t>
  </si>
  <si>
    <t>川邊誠一郎</t>
  </si>
  <si>
    <t>mb27wu73ml@kcn.jp</t>
  </si>
  <si>
    <t>C-00068053</t>
  </si>
  <si>
    <t>松浦直子</t>
  </si>
  <si>
    <t>naoko09210609@gmail.com</t>
  </si>
  <si>
    <t>C-00068049</t>
  </si>
  <si>
    <t>竹内雄大</t>
  </si>
  <si>
    <t>yudaitakeuchi731@gmail.com</t>
  </si>
  <si>
    <t>C-00068047</t>
  </si>
  <si>
    <t>河村靖</t>
  </si>
  <si>
    <t>kasao.vvv.ason@lime.ocn.ne.jp</t>
  </si>
  <si>
    <t>C-00068046</t>
  </si>
  <si>
    <t>落合順子</t>
  </si>
  <si>
    <t>mi616yu2003@gmail.com</t>
  </si>
  <si>
    <t>C-00068040</t>
  </si>
  <si>
    <t>齋藤久之</t>
  </si>
  <si>
    <t>saisaisa235@gmail.com</t>
  </si>
  <si>
    <t>C-00068038</t>
  </si>
  <si>
    <t>澤村高至</t>
  </si>
  <si>
    <t>takasis@gmail.com</t>
  </si>
  <si>
    <t>C-00068034</t>
  </si>
  <si>
    <t>及川太一</t>
  </si>
  <si>
    <t>0088mtec@gmail.com</t>
  </si>
  <si>
    <t>C-00068031</t>
  </si>
  <si>
    <t>川原俊彦</t>
  </si>
  <si>
    <t>fwtdn758@yahoo.co.jp</t>
  </si>
  <si>
    <t>C-00068029</t>
  </si>
  <si>
    <t>加藤弘晃</t>
  </si>
  <si>
    <t>hiiro8342@gmail.com</t>
  </si>
  <si>
    <t>C-00068026</t>
  </si>
  <si>
    <t>阿部秀一</t>
  </si>
  <si>
    <t>ebas19670609@gmail.com</t>
  </si>
  <si>
    <t>C-00068024</t>
  </si>
  <si>
    <t>桃瀬義久</t>
  </si>
  <si>
    <t>chinchilla0302@yahoo.co.jp</t>
  </si>
  <si>
    <t>C-00068015</t>
  </si>
  <si>
    <t>稲田裕司</t>
  </si>
  <si>
    <t>joeyuji@yahoo.co.jp</t>
  </si>
  <si>
    <t>C-00067927</t>
  </si>
  <si>
    <t>伊藤信一</t>
  </si>
  <si>
    <t>aquapendente7149@dc4.so-net.ne.jp</t>
  </si>
  <si>
    <t>C-00067836</t>
  </si>
  <si>
    <t>荒井泰博</t>
  </si>
  <si>
    <t>x-net@y01.jp</t>
  </si>
  <si>
    <t>C-00067833</t>
  </si>
  <si>
    <t>宮本富郷</t>
  </si>
  <si>
    <t>kariso4811@gmail.com</t>
  </si>
  <si>
    <t>C-00067810</t>
  </si>
  <si>
    <t>中倉英喜</t>
  </si>
  <si>
    <t>hideki.nakakura1228@gmail.com</t>
  </si>
  <si>
    <t>C-00067798</t>
  </si>
  <si>
    <t>舘野幸佑</t>
  </si>
  <si>
    <t>ko.tateno@yot-inc.com</t>
  </si>
  <si>
    <t>C-00067773</t>
  </si>
  <si>
    <t>栗原真実</t>
  </si>
  <si>
    <t>rutsuhuit3750@gmail.com</t>
  </si>
  <si>
    <t>C-00067243</t>
  </si>
  <si>
    <t>藤本一志</t>
  </si>
  <si>
    <t>kaz.fujimoto18@gmail.com</t>
  </si>
  <si>
    <t>C-00066789</t>
  </si>
  <si>
    <t>豊見本泰志</t>
  </si>
  <si>
    <t>yasuki9will@gmail.com</t>
  </si>
  <si>
    <t>C-00066743</t>
  </si>
  <si>
    <t>玉城浩巳</t>
  </si>
  <si>
    <t>ptamaki6@gmail.com</t>
  </si>
  <si>
    <t>C-00066116</t>
  </si>
  <si>
    <t>佐藤篤史</t>
  </si>
  <si>
    <t>ajarsenals@gmail.com</t>
  </si>
  <si>
    <t>C-00066077</t>
  </si>
  <si>
    <t>梶原英貴</t>
  </si>
  <si>
    <t>hoh.12.kok.08@gmail.com</t>
  </si>
  <si>
    <t>C-00065938</t>
  </si>
  <si>
    <t>千葉雅史</t>
  </si>
  <si>
    <t>masa0410g@gmail.com</t>
  </si>
  <si>
    <t>C-00065608</t>
  </si>
  <si>
    <t>松森菜穂子</t>
  </si>
  <si>
    <t>nahoko.matsumori@gmail.com</t>
  </si>
  <si>
    <t>C-00065140</t>
  </si>
  <si>
    <t>木村哲也</t>
  </si>
  <si>
    <t>dabasama@yahoo.co.jp</t>
  </si>
  <si>
    <t>C-00064514</t>
  </si>
  <si>
    <t>峯岸香代子</t>
  </si>
  <si>
    <t>mikayofeliz@i.softbank.jp</t>
  </si>
  <si>
    <t>C-00064485</t>
  </si>
  <si>
    <t>平石成一</t>
  </si>
  <si>
    <t>gocuuuuuu@gmail.com</t>
  </si>
  <si>
    <t>C-00063837</t>
  </si>
  <si>
    <t>前川真二</t>
  </si>
  <si>
    <t>shin.g1200t.bm@gmail.com</t>
  </si>
  <si>
    <t>2024/12/26 00:00:00</t>
  </si>
  <si>
    <t>C-00063532</t>
  </si>
  <si>
    <t>楢本雄一郎</t>
  </si>
  <si>
    <t>naramoto007@yahoo.co.jp</t>
  </si>
  <si>
    <t>C-00062930</t>
  </si>
  <si>
    <t>小西毅</t>
  </si>
  <si>
    <t>r-t.11-24.reliance@ezweb.ne.jp</t>
  </si>
  <si>
    <t>C-00062193</t>
  </si>
  <si>
    <t>羽原千晴</t>
  </si>
  <si>
    <t>chappy4680@yahoo.co.jp</t>
  </si>
  <si>
    <t>C-00062157</t>
  </si>
  <si>
    <t>杉田祐二</t>
  </si>
  <si>
    <t>yubon-bon-bon.385170y@ezweb.ne.jp</t>
  </si>
  <si>
    <t>C-00060945</t>
  </si>
  <si>
    <t>中岡由枝</t>
  </si>
  <si>
    <t>nakaoka_yoshie@icloud.com</t>
  </si>
  <si>
    <t>C-00060924</t>
  </si>
  <si>
    <t>安部慎也</t>
  </si>
  <si>
    <t>cycedelica@gmail.com</t>
  </si>
  <si>
    <t>C-00060733</t>
  </si>
  <si>
    <t>近藤洋平</t>
  </si>
  <si>
    <t>yohei.kondo.biz@gmail.com</t>
  </si>
  <si>
    <t>2024/04/10 00:00:00</t>
  </si>
  <si>
    <t>4</t>
  </si>
  <si>
    <t>C-00060320</t>
  </si>
  <si>
    <t>中尾学</t>
  </si>
  <si>
    <t>rin53kanichi5@yahoo.co.jp</t>
  </si>
  <si>
    <t>C-00060269</t>
  </si>
  <si>
    <t>福田光宏</t>
  </si>
  <si>
    <t>m.f.0913_777@docomo.ne.jp</t>
  </si>
  <si>
    <t>C-00060268</t>
  </si>
  <si>
    <t>望月篤</t>
  </si>
  <si>
    <t>a2ce3105e@gmail.com</t>
  </si>
  <si>
    <t>C-00060254</t>
  </si>
  <si>
    <t>田辺伸崇</t>
  </si>
  <si>
    <t>happy.yumpaka@gmail.com</t>
  </si>
  <si>
    <t>C-00060252</t>
  </si>
  <si>
    <t>齋藤映介</t>
  </si>
  <si>
    <t>b_rain8@hotmail.com</t>
  </si>
  <si>
    <t>C-00060244</t>
  </si>
  <si>
    <t>坂口景子</t>
  </si>
  <si>
    <t>k_sakaguchi2000jp@yahoo.co.jp</t>
  </si>
  <si>
    <t>C-00060240</t>
  </si>
  <si>
    <t>山本美武</t>
  </si>
  <si>
    <t>yote@gaia.eonet.ne.jp</t>
  </si>
  <si>
    <t>C-00060229</t>
  </si>
  <si>
    <t>山川貴行</t>
  </si>
  <si>
    <t>perceivex1@gmail.com</t>
  </si>
  <si>
    <t>C-00060226</t>
  </si>
  <si>
    <t>服部浩史</t>
  </si>
  <si>
    <t>hirofumi.nagoya@gmail.com</t>
  </si>
  <si>
    <t>C-00060224</t>
  </si>
  <si>
    <t>柴垣龍之介</t>
  </si>
  <si>
    <t>kykyky3r@gmail.com</t>
  </si>
  <si>
    <t>C-00060217</t>
  </si>
  <si>
    <t>合田幸司</t>
  </si>
  <si>
    <t>seminamrk350@gmail.com</t>
  </si>
  <si>
    <t>C-00060207</t>
  </si>
  <si>
    <t>濱名慶政</t>
  </si>
  <si>
    <t>yoshi0609216@gmail.com</t>
  </si>
  <si>
    <t>C-00060202</t>
  </si>
  <si>
    <t>福田敏一</t>
  </si>
  <si>
    <t>f.toshikazu@gmail.com</t>
  </si>
  <si>
    <t>C-00060199</t>
  </si>
  <si>
    <t>永井裕也</t>
  </si>
  <si>
    <t>yuya.nagai@gmail.com</t>
  </si>
  <si>
    <t>C-00060196</t>
  </si>
  <si>
    <t>岩城万智</t>
  </si>
  <si>
    <t>cozyplace.a.m@gmail.com</t>
  </si>
  <si>
    <t>C-00060189</t>
  </si>
  <si>
    <t>渡辺賢二</t>
  </si>
  <si>
    <t>kjoden327@gmail.com</t>
  </si>
  <si>
    <t>C-00060187</t>
  </si>
  <si>
    <t>石原浩之</t>
  </si>
  <si>
    <t>numberboygirl@gmail.com</t>
  </si>
  <si>
    <t>2024/04/24 00:00:00</t>
  </si>
  <si>
    <t>C-00060095</t>
  </si>
  <si>
    <t>貞松浩司</t>
  </si>
  <si>
    <t>kojispa26@gmail.com</t>
  </si>
  <si>
    <t>2024/04/11 00:00:00</t>
  </si>
  <si>
    <t>C-00059784</t>
  </si>
  <si>
    <t>蒲生秀俊</t>
  </si>
  <si>
    <t>hgamo9500162@gmail.com</t>
  </si>
  <si>
    <t>2024/04/15 00:00:00</t>
  </si>
  <si>
    <t>C-00059767</t>
  </si>
  <si>
    <t>秋本靖仁</t>
  </si>
  <si>
    <t>pippikup_227@yahoo.co.jp</t>
  </si>
  <si>
    <t>2024/04/22 00:00:00</t>
  </si>
  <si>
    <t>C-00059717</t>
  </si>
  <si>
    <t>坂口伸子</t>
  </si>
  <si>
    <t>nobumu-0325@outlook.jp</t>
  </si>
  <si>
    <t>C-00059602</t>
  </si>
  <si>
    <t>下垣佳子</t>
  </si>
  <si>
    <t>yoshiten729@gmail.com</t>
  </si>
  <si>
    <t>C-00058278</t>
  </si>
  <si>
    <t>井上吉弘</t>
  </si>
  <si>
    <t>yoshi-78@kyj.biglobe.ne.jp</t>
  </si>
  <si>
    <t>C-00058036</t>
  </si>
  <si>
    <t>山口欣子</t>
  </si>
  <si>
    <t>dfwhy595@yahoo.co.jp</t>
  </si>
  <si>
    <t>C-00057666</t>
  </si>
  <si>
    <t>井上昌樹</t>
  </si>
  <si>
    <t>maino124614@gmail.com</t>
  </si>
  <si>
    <t>C-00057616</t>
  </si>
  <si>
    <t>古川智之</t>
  </si>
  <si>
    <t>explorer4455@gmail.com</t>
  </si>
  <si>
    <t>C-00057534</t>
  </si>
  <si>
    <t>鈴木康之</t>
  </si>
  <si>
    <t>yasuyasu335@yahoo.co.jp</t>
  </si>
  <si>
    <t>C-00057224</t>
  </si>
  <si>
    <t>大吉純子</t>
  </si>
  <si>
    <t>wkyj.fulfill.hope@gmail.com</t>
  </si>
  <si>
    <t>C-00057132</t>
  </si>
  <si>
    <t>松本航</t>
  </si>
  <si>
    <t>wtrm_shorinji@yahoo.co.jp</t>
  </si>
  <si>
    <t>C-00057129</t>
  </si>
  <si>
    <t>伏野耕平</t>
  </si>
  <si>
    <t>kohei00032@gmail.com</t>
  </si>
  <si>
    <t>C-00057124</t>
  </si>
  <si>
    <t>松井剛志</t>
  </si>
  <si>
    <t>konto555@khh.biglobe.ne.jp</t>
  </si>
  <si>
    <t>C-00057107</t>
  </si>
  <si>
    <t>段吉雅浩</t>
  </si>
  <si>
    <t>dandan.ukiuki@gmail.com</t>
  </si>
  <si>
    <t>C-00057094</t>
  </si>
  <si>
    <t>棚木紀雄</t>
  </si>
  <si>
    <t>noritanaki34ab@outlook.jp</t>
  </si>
  <si>
    <t>C-00057089</t>
  </si>
  <si>
    <t>石田勝裕</t>
  </si>
  <si>
    <t>mikkabimikan2005ko@yahoo.co.jp</t>
  </si>
  <si>
    <t>C-00057068</t>
  </si>
  <si>
    <t>古谷進</t>
  </si>
  <si>
    <t>furukameda@icloud.com</t>
  </si>
  <si>
    <t>C-00057017</t>
  </si>
  <si>
    <t>池内尚美</t>
  </si>
  <si>
    <t>naomi5778.ikeuchi@gmail.com</t>
  </si>
  <si>
    <t>C-00056985</t>
  </si>
  <si>
    <t>加藤昌治</t>
  </si>
  <si>
    <t>mshrkt55@gmail.com</t>
  </si>
  <si>
    <t>C-00056950</t>
  </si>
  <si>
    <t>山本泰規</t>
  </si>
  <si>
    <t>cadv7081@yahoo.co.jp</t>
  </si>
  <si>
    <t>C-00056719</t>
  </si>
  <si>
    <t>伊藤祐也</t>
  </si>
  <si>
    <t>0345.y.i@gmail.com</t>
  </si>
  <si>
    <t>C-00056711</t>
  </si>
  <si>
    <t>谷岡典子</t>
  </si>
  <si>
    <t>miracle.non424@gmail.com</t>
  </si>
  <si>
    <t>C-00056668</t>
  </si>
  <si>
    <t>小原啓志</t>
  </si>
  <si>
    <t>jikerahako@gmail.com</t>
  </si>
  <si>
    <t>C-00056561</t>
  </si>
  <si>
    <t>松原伸三</t>
  </si>
  <si>
    <t>shinzo.matsubara@gmail.com</t>
  </si>
  <si>
    <t>C-00056549</t>
  </si>
  <si>
    <t>佐々木仁美</t>
  </si>
  <si>
    <t>gracesh3895@gmail.com</t>
  </si>
  <si>
    <t>C-00056344</t>
  </si>
  <si>
    <t>綿谷和紀</t>
  </si>
  <si>
    <t>otomodachi64@yahoo.co.jp</t>
  </si>
  <si>
    <t>C-00056317</t>
  </si>
  <si>
    <t>稲垣京祐</t>
  </si>
  <si>
    <t>takemu.0056@gmail.com</t>
  </si>
  <si>
    <t>C-00056175</t>
  </si>
  <si>
    <t>深井英夫</t>
  </si>
  <si>
    <t>hideo.fukai@gmail.com</t>
  </si>
  <si>
    <t>C-00056155</t>
  </si>
  <si>
    <t>小島雅之</t>
  </si>
  <si>
    <t>msyk_77@yahoo.co.jp</t>
  </si>
  <si>
    <t>C-00056152</t>
  </si>
  <si>
    <t>石井泰司</t>
  </si>
  <si>
    <t>wwwpoiwww@gmail.com</t>
  </si>
  <si>
    <t>C-00056127</t>
  </si>
  <si>
    <t>米谷伸幸</t>
  </si>
  <si>
    <t>jichikaikyouiku@gmail.com</t>
  </si>
  <si>
    <t>C-00056069</t>
  </si>
  <si>
    <t>羽場俊一郎</t>
  </si>
  <si>
    <t>haba051603181214@gmail.com</t>
  </si>
  <si>
    <t>C-00055972</t>
  </si>
  <si>
    <t>山本直也</t>
  </si>
  <si>
    <t>kawanishi-george21@ezweb.ne.jp</t>
  </si>
  <si>
    <t>C-00055891</t>
  </si>
  <si>
    <t>川瀬邦裕</t>
  </si>
  <si>
    <t>kunihiro_kawase@kplas.co.jp</t>
  </si>
  <si>
    <t>C-00055807</t>
  </si>
  <si>
    <t>後藤功</t>
  </si>
  <si>
    <t>isa.gogogolf10@gmail.com</t>
  </si>
  <si>
    <t>C-00055672</t>
  </si>
  <si>
    <t>日比野将和</t>
  </si>
  <si>
    <t>hibinomasakazu1991@gmail.com</t>
  </si>
  <si>
    <t>C-00055529</t>
  </si>
  <si>
    <t>渡辺貴之</t>
  </si>
  <si>
    <t>forged660@gmail.com</t>
  </si>
  <si>
    <t>C-00055454</t>
  </si>
  <si>
    <t>林賢太朗</t>
  </si>
  <si>
    <t>boraborabora0209@gmail.com</t>
  </si>
  <si>
    <t>C-00055441</t>
  </si>
  <si>
    <t>小原信恒</t>
  </si>
  <si>
    <t>gutentag1234@yahoo.ne.jp</t>
  </si>
  <si>
    <t>C-00055437</t>
  </si>
  <si>
    <t>宮沢隆志</t>
  </si>
  <si>
    <t>mtaka0114@gmail.com</t>
  </si>
  <si>
    <t>C-00055426</t>
  </si>
  <si>
    <t>田中真理</t>
  </si>
  <si>
    <t>sanwatanaka3@gmail.com</t>
  </si>
  <si>
    <t>C-00055413</t>
  </si>
  <si>
    <t>平中健太</t>
  </si>
  <si>
    <t>kekeke.h@icloud.com</t>
  </si>
  <si>
    <t>C-00055398</t>
  </si>
  <si>
    <t>黒岩和輝</t>
  </si>
  <si>
    <t>kazukikuroiwa@gmail.com</t>
  </si>
  <si>
    <t>C-00055345</t>
  </si>
  <si>
    <t>伊藤大輔</t>
  </si>
  <si>
    <t>monstera.a4@gmail.com</t>
  </si>
  <si>
    <t>C-00055312</t>
  </si>
  <si>
    <t>中島脩翔</t>
  </si>
  <si>
    <t>yuto.withnaru@gmail.com</t>
  </si>
  <si>
    <t>C-00055309</t>
  </si>
  <si>
    <t>碓井隆司</t>
  </si>
  <si>
    <t>stella21r@gmail.com</t>
  </si>
  <si>
    <t>C-00055303</t>
  </si>
  <si>
    <t>谷口俊一</t>
  </si>
  <si>
    <t>monkeyjanjan@yahoo.co.jp</t>
  </si>
  <si>
    <t>C-00055293</t>
  </si>
  <si>
    <t>森岡由加利</t>
  </si>
  <si>
    <t>zakuro.m.0396@gmail.com</t>
  </si>
  <si>
    <t>C-00055283</t>
  </si>
  <si>
    <t>高木秀子</t>
  </si>
  <si>
    <t>kirakira.life222@gmail.com</t>
  </si>
  <si>
    <t>C-00055260</t>
  </si>
  <si>
    <t>遠藤忍</t>
  </si>
  <si>
    <t>t7s10m11s18r11k3y21m@softbank.ne.jp</t>
  </si>
  <si>
    <t>C-00055223</t>
  </si>
  <si>
    <t>岡田武将</t>
  </si>
  <si>
    <t>taketeko@hotmail.co.jp</t>
  </si>
  <si>
    <t>C-00055209</t>
  </si>
  <si>
    <t>樋上智之</t>
  </si>
  <si>
    <t>tomo216216@hotmail.com</t>
  </si>
  <si>
    <t>C-00055119</t>
  </si>
  <si>
    <t>豊岡奈津美</t>
  </si>
  <si>
    <t>nk.mona@gmail.com</t>
  </si>
  <si>
    <t>C-00055115</t>
  </si>
  <si>
    <t>宇田川貴正</t>
  </si>
  <si>
    <t>ex.udagawa@gmail.com</t>
  </si>
  <si>
    <t>C-00055062</t>
  </si>
  <si>
    <t>坂野唯</t>
  </si>
  <si>
    <t>yui_mamechan@yahoo.co.jp</t>
  </si>
  <si>
    <t>C-00055053</t>
  </si>
  <si>
    <t>濱中宣成</t>
  </si>
  <si>
    <t>nobunari@par.odn.ne.jp</t>
  </si>
  <si>
    <t>C-00054972</t>
  </si>
  <si>
    <t>神谷亮太</t>
  </si>
  <si>
    <t>ka3ta2ryota@gmail.com</t>
  </si>
  <si>
    <t>C-00054954</t>
  </si>
  <si>
    <t>中村亮太</t>
  </si>
  <si>
    <t>drgkmry11@gmail.com</t>
  </si>
  <si>
    <t>C-00054880</t>
  </si>
  <si>
    <t>柿下浩幸</t>
  </si>
  <si>
    <t>hirosita707@gmail.com</t>
  </si>
  <si>
    <t>C-00054877</t>
  </si>
  <si>
    <t>池口辰郎</t>
  </si>
  <si>
    <t>kerotan0314@yahoo.co.jp</t>
  </si>
  <si>
    <t>C-00054867</t>
  </si>
  <si>
    <t>辻功</t>
  </si>
  <si>
    <t>isaotsuji1@gmail.com</t>
  </si>
  <si>
    <t>C-00054793</t>
  </si>
  <si>
    <t>植村圭三</t>
  </si>
  <si>
    <t>kz3728yt@yahoo.co.jp</t>
  </si>
  <si>
    <t>C-00054653</t>
  </si>
  <si>
    <t>木村元信</t>
  </si>
  <si>
    <t>mt.kim-7146@docomo.ne.jp</t>
  </si>
  <si>
    <t>C-00054614</t>
  </si>
  <si>
    <t>高木一輝</t>
  </si>
  <si>
    <t>orobanche.minor.29@gmail.com</t>
  </si>
  <si>
    <t>C-00054481</t>
  </si>
  <si>
    <t>浅田晃嗣</t>
  </si>
  <si>
    <t>asadaterry@yahoo.co.jp</t>
  </si>
  <si>
    <t>C-00054174</t>
  </si>
  <si>
    <t>中川富士子</t>
  </si>
  <si>
    <t>liar.aa1490@ezweb.ne.jp</t>
  </si>
  <si>
    <t>2024/10/13 00:00:00</t>
  </si>
  <si>
    <t>C-00054157</t>
  </si>
  <si>
    <t>内垣裕</t>
  </si>
  <si>
    <t>yuuchigaki@gmail.com</t>
  </si>
  <si>
    <t>2024/12/03 00:00:00</t>
  </si>
  <si>
    <t>2025/05/20 00:00:00</t>
  </si>
  <si>
    <t>C-00054156</t>
  </si>
  <si>
    <t>大里仁志</t>
  </si>
  <si>
    <t>jj1105b@gmail.com</t>
  </si>
  <si>
    <t>C-00054155</t>
  </si>
  <si>
    <t>金子幹也</t>
  </si>
  <si>
    <t>f1shoot@gmail.com</t>
  </si>
  <si>
    <t>2024/04/23 00:00:00</t>
  </si>
  <si>
    <t>C-00054154</t>
  </si>
  <si>
    <t>小木戸有香</t>
  </si>
  <si>
    <t>yukashichida@gmail.com</t>
  </si>
  <si>
    <t>2024/04/13 00:00:00</t>
  </si>
  <si>
    <t>C-00054150</t>
  </si>
  <si>
    <t>宮坂泰三</t>
  </si>
  <si>
    <t>taizoumiyasaka@gmail.com</t>
  </si>
  <si>
    <t>C-00054147</t>
  </si>
  <si>
    <t>辻本純子</t>
  </si>
  <si>
    <t>junko0317dianne@i.softbank.jp</t>
  </si>
  <si>
    <t>C-00054139</t>
  </si>
  <si>
    <t>浮田佳秀</t>
  </si>
  <si>
    <t>lmn7899@yahoo.co.jp</t>
  </si>
  <si>
    <t>C-00054138</t>
  </si>
  <si>
    <t>真崎徳満</t>
  </si>
  <si>
    <t>masaki3646@icloud.com</t>
  </si>
  <si>
    <t>C-00054137</t>
  </si>
  <si>
    <t>三好佳織</t>
  </si>
  <si>
    <t>arl.lune.1230@gmail.com</t>
  </si>
  <si>
    <t>2024/04/16 00:00:00</t>
  </si>
  <si>
    <t>C-00054130</t>
  </si>
  <si>
    <t>根本涼子</t>
  </si>
  <si>
    <t>ryoko.nemo@gmail.com</t>
  </si>
  <si>
    <t>2024/04/17 00:00:00</t>
  </si>
  <si>
    <t>C-00054128</t>
  </si>
  <si>
    <t>日高淳一</t>
  </si>
  <si>
    <t>j.hitaka10@gmail.com</t>
  </si>
  <si>
    <t>C-00054117</t>
  </si>
  <si>
    <t>山口日出子</t>
  </si>
  <si>
    <t>hiiko3035@gmail.com</t>
  </si>
  <si>
    <t>2024/06/07 00:00:00</t>
  </si>
  <si>
    <t>C-00054114</t>
  </si>
  <si>
    <t>佐野恒二</t>
  </si>
  <si>
    <t>okok117117@yahoo.co.jp</t>
  </si>
  <si>
    <t>2024/04/18 00:00:00</t>
  </si>
  <si>
    <t>C-00054112</t>
  </si>
  <si>
    <t>青木博之</t>
  </si>
  <si>
    <t>h.aokioffice@tenor.ocn.ne.jp</t>
  </si>
  <si>
    <t>C-00054110</t>
  </si>
  <si>
    <t>小川幹</t>
  </si>
  <si>
    <t>miki@triforce3.com</t>
  </si>
  <si>
    <t>C-00054109</t>
  </si>
  <si>
    <t>村木高志</t>
  </si>
  <si>
    <t>muraki@niigata-shiryo.co.jp</t>
  </si>
  <si>
    <t>C-00054106</t>
  </si>
  <si>
    <t>仲栄真盛也</t>
  </si>
  <si>
    <t>painapo718na00@gmail.com</t>
  </si>
  <si>
    <t>C-00054105</t>
  </si>
  <si>
    <t>真柄恵理</t>
  </si>
  <si>
    <t>mail.magara@mac.com</t>
  </si>
  <si>
    <t>2024/10/31 00:00:00</t>
  </si>
  <si>
    <t>C-00054100</t>
  </si>
  <si>
    <t>八川広実</t>
  </si>
  <si>
    <t>riohiro@nifty.com</t>
  </si>
  <si>
    <t>C-00054097</t>
  </si>
  <si>
    <t>佐々木友子</t>
  </si>
  <si>
    <t>first1991.st@gmail.com</t>
  </si>
  <si>
    <t>2024/04/12 00:00:00</t>
  </si>
  <si>
    <t>C-00054092</t>
  </si>
  <si>
    <t>真田貴子</t>
  </si>
  <si>
    <t>sanadatta7620@gmail.com</t>
  </si>
  <si>
    <t>2024/07/02 00:00:00</t>
  </si>
  <si>
    <t>C-00054091</t>
  </si>
  <si>
    <t>宮田博文</t>
  </si>
  <si>
    <t>hirofumi_miyata@outlook.jp</t>
  </si>
  <si>
    <t>2024/10/09 00:00:00</t>
  </si>
  <si>
    <t>C-00054090</t>
  </si>
  <si>
    <t>三池雄大</t>
  </si>
  <si>
    <t>tripuyurikabu20191015@yahoo.ne.jp</t>
  </si>
  <si>
    <t>2024/10/28 00:00:00</t>
  </si>
  <si>
    <t>C-00054076</t>
  </si>
  <si>
    <t>永島靖大</t>
  </si>
  <si>
    <t>ngmaster29@gmail.com</t>
  </si>
  <si>
    <t>2024/04/14 00:00:00</t>
  </si>
  <si>
    <t>C-00054072</t>
  </si>
  <si>
    <t>古川貴裕</t>
  </si>
  <si>
    <t>syuzokutidoryokuti@yahoo.co.jp</t>
  </si>
  <si>
    <t>2024/04/21 00:00:00</t>
  </si>
  <si>
    <t>C-00054060</t>
  </si>
  <si>
    <t>朝日晃大</t>
  </si>
  <si>
    <t>akiosunnday12742@gmail.com</t>
  </si>
  <si>
    <t>C-00054044</t>
  </si>
  <si>
    <t>森田哲哉</t>
  </si>
  <si>
    <t>trade@morinta.com</t>
  </si>
  <si>
    <t>C-00054041</t>
  </si>
  <si>
    <t>草原秀一郎</t>
  </si>
  <si>
    <t>ziguzagu-dekobok.357@ezweb.ne.jp</t>
  </si>
  <si>
    <t>C-00054036</t>
  </si>
  <si>
    <t>西郡英利</t>
  </si>
  <si>
    <t>hide2456@gmail.com</t>
  </si>
  <si>
    <t>C-00053960</t>
  </si>
  <si>
    <t>瀬古博之</t>
  </si>
  <si>
    <t>egao11toushi@gmail.com</t>
  </si>
  <si>
    <t>2024/10/10 00:00:00</t>
  </si>
  <si>
    <t>C-00053903</t>
  </si>
  <si>
    <t>櫻井一輝</t>
  </si>
  <si>
    <t>xxxg01w1115@gmail.com</t>
  </si>
  <si>
    <t>C-00053894</t>
  </si>
  <si>
    <t>平良勝彦</t>
  </si>
  <si>
    <t>ktaira2023@gmail.com</t>
  </si>
  <si>
    <t>2024/10/30 00:00:00</t>
  </si>
  <si>
    <t>C-00053887</t>
  </si>
  <si>
    <t>草野典生</t>
  </si>
  <si>
    <t>ididit348@gmail.com</t>
  </si>
  <si>
    <t>2024/04/19 00:00:00</t>
  </si>
  <si>
    <t>C-00053880</t>
  </si>
  <si>
    <t>吉田秀子</t>
  </si>
  <si>
    <t>tomorrow1@kyi.biglobe.ne.jp</t>
  </si>
  <si>
    <t>C-00053877</t>
  </si>
  <si>
    <t>廣川雄大</t>
  </si>
  <si>
    <t>yudai.20000222@gmail.com</t>
  </si>
  <si>
    <t>C-00053870</t>
  </si>
  <si>
    <t>岩屋こずえ</t>
  </si>
  <si>
    <t>sansankokko934@gmail.com</t>
  </si>
  <si>
    <t>2024/10/16 00:00:00</t>
  </si>
  <si>
    <t>C-00053860</t>
  </si>
  <si>
    <t>吉村由香</t>
  </si>
  <si>
    <t>yk12042177@gmail.com</t>
  </si>
  <si>
    <t>C-00053855</t>
  </si>
  <si>
    <t>亀山麻衣</t>
  </si>
  <si>
    <t>waterfall3nd@gmail.com</t>
  </si>
  <si>
    <t>C-00053845</t>
  </si>
  <si>
    <t>増田英司</t>
  </si>
  <si>
    <t>eiji.masuda1701@gmail.com</t>
  </si>
  <si>
    <t>C-00053844</t>
  </si>
  <si>
    <t>上田昇</t>
  </si>
  <si>
    <t>shyachiccu@gmail.com</t>
  </si>
  <si>
    <t>C-00053843</t>
  </si>
  <si>
    <t>朱宮陽一</t>
  </si>
  <si>
    <t>yzhugu37@gmail.com</t>
  </si>
  <si>
    <t>C-00053837</t>
  </si>
  <si>
    <t>澤谷和広</t>
  </si>
  <si>
    <t>kazupon_akipon_sawaya@yahoo.co.jp</t>
  </si>
  <si>
    <t>C-00053836</t>
  </si>
  <si>
    <t>中川淳</t>
  </si>
  <si>
    <t>nakagawa189@gmail.com</t>
  </si>
  <si>
    <t>C-00053831</t>
  </si>
  <si>
    <t>渋谷圭子</t>
  </si>
  <si>
    <t>kobuty0212@gmail.com</t>
  </si>
  <si>
    <t>2024/10/20 00:00:00</t>
  </si>
  <si>
    <t>C-00053830</t>
  </si>
  <si>
    <t>片岡昌子</t>
  </si>
  <si>
    <t>makoga717@gmail.com</t>
  </si>
  <si>
    <t>C-00053828</t>
  </si>
  <si>
    <t>別役淑美</t>
  </si>
  <si>
    <t>cocoromi424@gmail.com</t>
  </si>
  <si>
    <t>C-00053819</t>
  </si>
  <si>
    <t>松浦文彦</t>
  </si>
  <si>
    <t>fmmatsuu305@gmail.com</t>
  </si>
  <si>
    <t>C-00053817</t>
  </si>
  <si>
    <t>石渡康之</t>
  </si>
  <si>
    <t>umizaru55@gmail.com</t>
  </si>
  <si>
    <t>C-00053814</t>
  </si>
  <si>
    <t>山崎善映</t>
  </si>
  <si>
    <t>clv.foe@gmail.com</t>
  </si>
  <si>
    <t>2025/01/13 00:00:00</t>
  </si>
  <si>
    <t>C-00053810</t>
  </si>
  <si>
    <t>浜田猛志</t>
  </si>
  <si>
    <t>thamada5221@gmail.com</t>
  </si>
  <si>
    <t>C-00053802</t>
  </si>
  <si>
    <t>加納弥紗</t>
  </si>
  <si>
    <t>misakano805@gmail.com</t>
  </si>
  <si>
    <t>C-00053796</t>
  </si>
  <si>
    <t>吉田信浩</t>
  </si>
  <si>
    <t>noppu01@gmail.com</t>
  </si>
  <si>
    <t>C-00053790</t>
  </si>
  <si>
    <t>五島泰信</t>
  </si>
  <si>
    <t>jasssoul@yahoo.co.jp</t>
  </si>
  <si>
    <t>C-00053785</t>
  </si>
  <si>
    <t>永田壮二</t>
  </si>
  <si>
    <t>soji.nagata@gmail.com</t>
  </si>
  <si>
    <t>2024/04/20 00:00:00</t>
  </si>
  <si>
    <t>C-00053783</t>
  </si>
  <si>
    <t>長岐裕好</t>
  </si>
  <si>
    <t>yuimojiyuki@gmail.com</t>
  </si>
  <si>
    <t>C-00053776</t>
  </si>
  <si>
    <t>大城由香</t>
  </si>
  <si>
    <t>ariten0358@gmail.com</t>
  </si>
  <si>
    <t>C-00053767</t>
  </si>
  <si>
    <t>相澤洋太</t>
  </si>
  <si>
    <t>dng10004@gmail.com</t>
  </si>
  <si>
    <t>C-00053763</t>
  </si>
  <si>
    <t>平岡直記</t>
  </si>
  <si>
    <t>nao55-hiraoka@docomo.ne.jp</t>
  </si>
  <si>
    <t>C-00053762</t>
  </si>
  <si>
    <t>岩楯仁一</t>
  </si>
  <si>
    <t>marbo@hh.iij4u.or.jp</t>
  </si>
  <si>
    <t>C-00053760</t>
  </si>
  <si>
    <t>寺川真理</t>
  </si>
  <si>
    <t>shinri.terakawa@gmail.com</t>
  </si>
  <si>
    <t>C-00053705</t>
  </si>
  <si>
    <t>菊竹裕之</t>
  </si>
  <si>
    <t>bumpof2007@yahoo.co.jp</t>
  </si>
  <si>
    <t>C-00053664</t>
  </si>
  <si>
    <t>後藤直子</t>
  </si>
  <si>
    <t>akaru4829@gmail.com</t>
  </si>
  <si>
    <t>C-00053663</t>
  </si>
  <si>
    <t>板谷繁</t>
  </si>
  <si>
    <t>im-shige.itaya@ezweb.ne.jp</t>
  </si>
  <si>
    <t>C-00053562</t>
  </si>
  <si>
    <t>岡田一弘</t>
  </si>
  <si>
    <t>okacchi0816@gmail.com</t>
  </si>
  <si>
    <t>C-00053432</t>
  </si>
  <si>
    <t>鈴木薫子</t>
  </si>
  <si>
    <t>kunko-eezz@ezweb.ne.jp</t>
  </si>
  <si>
    <t>C-00052843</t>
  </si>
  <si>
    <t>松田節子</t>
  </si>
  <si>
    <t>sekoma04@gmail.com</t>
  </si>
  <si>
    <t>C-00052448</t>
  </si>
  <si>
    <t>野口和彦</t>
  </si>
  <si>
    <t>noguchi.k.aljl@gmail.com</t>
  </si>
  <si>
    <t>C-00052324</t>
  </si>
  <si>
    <t>伊達章</t>
  </si>
  <si>
    <t>akiradate60@gmail.com</t>
  </si>
  <si>
    <t>C-00052304</t>
  </si>
  <si>
    <t>菊池裕二</t>
  </si>
  <si>
    <t>marutyan7613@gmail.com</t>
  </si>
  <si>
    <t>2025/01/19 00:00:00</t>
  </si>
  <si>
    <t>C-00052181</t>
  </si>
  <si>
    <t>山田正俊</t>
  </si>
  <si>
    <t>cyp00464@nifty.com</t>
  </si>
  <si>
    <t>C-00051865</t>
  </si>
  <si>
    <t>林克也</t>
  </si>
  <si>
    <t>progressbar1104@gmail.com</t>
  </si>
  <si>
    <t>C-00051748</t>
  </si>
  <si>
    <t>杉田俊雄</t>
  </si>
  <si>
    <t>fumikamaru@yahoo.co.jp</t>
  </si>
  <si>
    <t>C-00051403</t>
  </si>
  <si>
    <t>服部誠一</t>
  </si>
  <si>
    <t>hattori.seiichi@gmail.com</t>
  </si>
  <si>
    <t>C-00051345</t>
  </si>
  <si>
    <t>市川雄一郎</t>
  </si>
  <si>
    <t>yuichiroichikawa4444@gmail.com</t>
  </si>
  <si>
    <t>C-00051304</t>
  </si>
  <si>
    <t>野村あつみ</t>
  </si>
  <si>
    <t>yecunatsumi@gmail.com</t>
  </si>
  <si>
    <t>2024/10/11 00:00:00</t>
  </si>
  <si>
    <t>C-00051220</t>
  </si>
  <si>
    <t>上野泰人</t>
  </si>
  <si>
    <t>ueno.yasuhito@gmail.com</t>
  </si>
  <si>
    <t>C-00051026</t>
  </si>
  <si>
    <t>左田野隆</t>
  </si>
  <si>
    <t>spr2002ymgt@gmail.com</t>
  </si>
  <si>
    <t>C-00051025</t>
  </si>
  <si>
    <t>樋口琢善</t>
  </si>
  <si>
    <t>spm92ek9@dolphin.ocn.ne.jp</t>
  </si>
  <si>
    <t>C-00050875</t>
  </si>
  <si>
    <t>大島久幸</t>
  </si>
  <si>
    <t>qbechehi@gmail.com</t>
  </si>
  <si>
    <t>C-00050872</t>
  </si>
  <si>
    <t>藤原久美子</t>
  </si>
  <si>
    <t>purinmama@ezweb.ne.jp</t>
  </si>
  <si>
    <t>C-00050780</t>
  </si>
  <si>
    <t>野村昌利</t>
  </si>
  <si>
    <t>nomura.masatoshi9943@gmail.com</t>
  </si>
  <si>
    <t>C-00050707</t>
  </si>
  <si>
    <t>臼杵千絵</t>
  </si>
  <si>
    <t>morochie1016@gmail.com</t>
  </si>
  <si>
    <t>C-00050480</t>
  </si>
  <si>
    <t>太田敬子</t>
  </si>
  <si>
    <t>keiohta@ka2.so-net.ne.jp</t>
  </si>
  <si>
    <t>C-00050413</t>
  </si>
  <si>
    <t>林耕佑</t>
  </si>
  <si>
    <t>k.dignoizeee@gmail.com</t>
  </si>
  <si>
    <t>2024/11/01 00:00:00</t>
  </si>
  <si>
    <t>C-00050387</t>
  </si>
  <si>
    <t>伊藤秀俊</t>
  </si>
  <si>
    <t>itotuhi8@gmail.com</t>
  </si>
  <si>
    <t>C-00050141</t>
  </si>
  <si>
    <t>長谷川芳春</t>
  </si>
  <si>
    <t>dchyfamily@amail.plala.or.jp</t>
  </si>
  <si>
    <t>C-00049977</t>
  </si>
  <si>
    <t>竹野弘展</t>
  </si>
  <si>
    <t>aikiumeda2000@yahoo.co.jp</t>
  </si>
  <si>
    <t>C-00049571</t>
  </si>
  <si>
    <t>飯村康正</t>
  </si>
  <si>
    <t>y-iimura@msi.biglobe.ne.jp</t>
  </si>
  <si>
    <t>C-00049394</t>
  </si>
  <si>
    <t>西部健二</t>
  </si>
  <si>
    <t>knishibu@gmail.com</t>
  </si>
  <si>
    <t>C-00049277</t>
  </si>
  <si>
    <t>山上麻理</t>
  </si>
  <si>
    <t>rosesherry81@gmail.com</t>
  </si>
  <si>
    <t>C-00049215</t>
  </si>
  <si>
    <t>朴泰秀</t>
  </si>
  <si>
    <t>pts6742@gmail.com</t>
  </si>
  <si>
    <t>C-00048983</t>
  </si>
  <si>
    <t>吉岡廣志</t>
  </si>
  <si>
    <t>hysu1641@gmail.com</t>
  </si>
  <si>
    <t>C-00048142</t>
  </si>
  <si>
    <t>石橋智子</t>
  </si>
  <si>
    <t>ishibashitomoko14@gmail.com</t>
  </si>
  <si>
    <t>C-00047948</t>
  </si>
  <si>
    <t>岡村仁美</t>
  </si>
  <si>
    <t>wkohi@docomo.ne.jp</t>
  </si>
  <si>
    <t>C-00047842</t>
  </si>
  <si>
    <t>花園さやか</t>
  </si>
  <si>
    <t>c082887@yahoo.co.jp</t>
  </si>
  <si>
    <t>C-00047559</t>
  </si>
  <si>
    <t>前中浩典</t>
  </si>
  <si>
    <t>zensan9320@icloud.com</t>
  </si>
  <si>
    <t>C-00047514</t>
  </si>
  <si>
    <t>真田ひろみ</t>
  </si>
  <si>
    <t>mmm.820ami.cutenainainai@gmail.com</t>
  </si>
  <si>
    <t>C-00047315</t>
  </si>
  <si>
    <t>越後和正</t>
  </si>
  <si>
    <t>wech713@gmail.com</t>
  </si>
  <si>
    <t>C-00047104</t>
  </si>
  <si>
    <t>近藤年昭</t>
  </si>
  <si>
    <t>wine_nomisugi@icloud.com</t>
  </si>
  <si>
    <t>C-00046792</t>
  </si>
  <si>
    <t>樋口博之</t>
  </si>
  <si>
    <t>hirop.ip@gmail.com</t>
  </si>
  <si>
    <t>C-00046739</t>
  </si>
  <si>
    <t>酒田三栄子</t>
  </si>
  <si>
    <t>mieko7511@gmail.com</t>
  </si>
  <si>
    <t>2024/05/28 00:00:00</t>
  </si>
  <si>
    <t>3</t>
  </si>
  <si>
    <t>C-00046580</t>
  </si>
  <si>
    <t>加納宏行</t>
  </si>
  <si>
    <t>possible750@yahoo.co.jp</t>
  </si>
  <si>
    <t>C-00046230</t>
  </si>
  <si>
    <t>小澤栄二</t>
  </si>
  <si>
    <t>haichan766@gmail.com</t>
  </si>
  <si>
    <t>C-00045916</t>
  </si>
  <si>
    <t>簾内淑恵</t>
  </si>
  <si>
    <t>yoshie.khbar@icloud.com</t>
  </si>
  <si>
    <t>C-00045814</t>
  </si>
  <si>
    <t>船本全信</t>
  </si>
  <si>
    <t>funamoto@funacli.or.jp</t>
  </si>
  <si>
    <t>C-00045636</t>
  </si>
  <si>
    <t>江上美好</t>
  </si>
  <si>
    <t>egami1008@gmail.com</t>
  </si>
  <si>
    <t>C-00045537</t>
  </si>
  <si>
    <t>槙平和騎</t>
  </si>
  <si>
    <t>maki.kazu2@gmail.com</t>
  </si>
  <si>
    <t>C-00045088</t>
  </si>
  <si>
    <t>山田晶美</t>
  </si>
  <si>
    <t>a-yellow.h-mint.0728-03@docomo.ne.jp</t>
  </si>
  <si>
    <t>C-00045078</t>
  </si>
  <si>
    <t>河嶋弥栄子</t>
  </si>
  <si>
    <t>yako_1127@yahoo.co.jp</t>
  </si>
  <si>
    <t>C-00044986</t>
  </si>
  <si>
    <t>川瀬一広</t>
  </si>
  <si>
    <t>Magome3zun@gmail.com</t>
  </si>
  <si>
    <t>C-00044384</t>
  </si>
  <si>
    <t>富永敬子</t>
  </si>
  <si>
    <t>cozyscents01@gmail.com</t>
  </si>
  <si>
    <t>C-00044315</t>
  </si>
  <si>
    <t>内堀壽典</t>
  </si>
  <si>
    <t>hi_takatuki@yahoo.co.jp</t>
  </si>
  <si>
    <t>C-00044277</t>
  </si>
  <si>
    <t>水谷猛</t>
  </si>
  <si>
    <t>clubmin3@gmail.com</t>
  </si>
  <si>
    <t>C-00044248</t>
  </si>
  <si>
    <t>新海裕慎</t>
  </si>
  <si>
    <t>tom.chan.ron.voka@gmail.com</t>
  </si>
  <si>
    <t>C-00044133</t>
  </si>
  <si>
    <t>八橋康則</t>
  </si>
  <si>
    <t>yassy210y@sk9.so-net.ne.jp</t>
  </si>
  <si>
    <t>C-00043792</t>
  </si>
  <si>
    <t>北原正彦</t>
  </si>
  <si>
    <t>ka877500@gmail.com</t>
  </si>
  <si>
    <t>C-00043509</t>
  </si>
  <si>
    <t>郡司文夫</t>
  </si>
  <si>
    <t>giocodue@gmail.com</t>
  </si>
  <si>
    <t>C-00043307</t>
  </si>
  <si>
    <t>小串真司</t>
  </si>
  <si>
    <t>dengluyongmerumaga@gmail.com</t>
  </si>
  <si>
    <t>C-00043206</t>
  </si>
  <si>
    <t>大村建介</t>
  </si>
  <si>
    <t>egaodelink@gmail.com</t>
  </si>
  <si>
    <t>C-00043097</t>
  </si>
  <si>
    <t>定光紀明</t>
  </si>
  <si>
    <t>n-sada@nifty.ne.jp</t>
  </si>
  <si>
    <t>C-00043062</t>
  </si>
  <si>
    <t>森本一希</t>
  </si>
  <si>
    <t>triple.trees.kazu@gmail.com</t>
  </si>
  <si>
    <t>C-00042892</t>
  </si>
  <si>
    <t>陣内洋樹</t>
  </si>
  <si>
    <t>jinnouchi516@gmail.com</t>
  </si>
  <si>
    <t>C-00042880</t>
  </si>
  <si>
    <t>田中康之</t>
  </si>
  <si>
    <t>yasu.t0511@gmail.com</t>
  </si>
  <si>
    <t>C-00042862</t>
  </si>
  <si>
    <t>前田啓之</t>
  </si>
  <si>
    <t>darumataishi858-net@yahoo.co.jp</t>
  </si>
  <si>
    <t>C-00042704</t>
  </si>
  <si>
    <t>佐野かおる</t>
  </si>
  <si>
    <t>s_kaoru812@yahoo.co.jp</t>
  </si>
  <si>
    <t>C-00042684</t>
  </si>
  <si>
    <t>高橋宏明</t>
  </si>
  <si>
    <t>cs.montmorillonite@gmail.com</t>
  </si>
  <si>
    <t>C-00042662</t>
  </si>
  <si>
    <t>金子清貴</t>
  </si>
  <si>
    <t>kiyotaka25m@gmail.com</t>
  </si>
  <si>
    <t>C-00042587</t>
  </si>
  <si>
    <t>三村憲一</t>
  </si>
  <si>
    <t>saekimon@hotmail.com</t>
  </si>
  <si>
    <t>C-00042446</t>
  </si>
  <si>
    <t>佐藤信輔</t>
  </si>
  <si>
    <t>sato@highvolume.co.jp</t>
  </si>
  <si>
    <t>C-00042408</t>
  </si>
  <si>
    <t>濵地尊</t>
  </si>
  <si>
    <t>golfsuki72@gmail.com</t>
  </si>
  <si>
    <t>C-00042364</t>
  </si>
  <si>
    <t>吉田妙子</t>
  </si>
  <si>
    <t>himawari55577@gmail.com</t>
  </si>
  <si>
    <t>C-00042362</t>
  </si>
  <si>
    <t>山本純子</t>
  </si>
  <si>
    <t>jukym2t218@gmail.com</t>
  </si>
  <si>
    <t>C-00042359</t>
  </si>
  <si>
    <t>篠塚ともこ</t>
  </si>
  <si>
    <t>nezun1951@gmail.com</t>
  </si>
  <si>
    <t>C-00042340</t>
  </si>
  <si>
    <t>林昌宏</t>
  </si>
  <si>
    <t>mars.jupiter.fam@gmail.com</t>
  </si>
  <si>
    <t>C-00042238</t>
  </si>
  <si>
    <t>小川直記</t>
  </si>
  <si>
    <t>namihei1167@gmail.com</t>
  </si>
  <si>
    <t>C-00042197</t>
  </si>
  <si>
    <t>尾村泰裕</t>
  </si>
  <si>
    <t>yattin77@icloud.com</t>
  </si>
  <si>
    <t>C-00042185</t>
  </si>
  <si>
    <t>濱崎雅子</t>
  </si>
  <si>
    <t>nano873n@gmail.com</t>
  </si>
  <si>
    <t>C-00042005</t>
  </si>
  <si>
    <t>橋本孝弘</t>
  </si>
  <si>
    <t>nankaitaka0117@gmail.com</t>
  </si>
  <si>
    <t>C-00041996</t>
  </si>
  <si>
    <t>大城光二</t>
  </si>
  <si>
    <t>k.ohki1983@gmail.com</t>
  </si>
  <si>
    <t>C-00041972</t>
  </si>
  <si>
    <t>阿久津豊</t>
  </si>
  <si>
    <t>yutakakutsu@gmail.com</t>
  </si>
  <si>
    <t>2024/10/29 00:00:00</t>
  </si>
  <si>
    <t>C-00041922</t>
  </si>
  <si>
    <t>森下和樹</t>
  </si>
  <si>
    <t>kazuki.m.1210@gmail.com</t>
  </si>
  <si>
    <t>C-00041904</t>
  </si>
  <si>
    <t>高槁純子</t>
  </si>
  <si>
    <t>disneyjunco@gmail.com</t>
  </si>
  <si>
    <t>C-00041671</t>
  </si>
  <si>
    <t>藤崎比佐衣</t>
  </si>
  <si>
    <t>bienemajagogo@yahoo.co.jp</t>
  </si>
  <si>
    <t>C-00041588</t>
  </si>
  <si>
    <t>久田松祐子</t>
  </si>
  <si>
    <t>yuko.famik@icloud.com</t>
  </si>
  <si>
    <t>C-00041450</t>
  </si>
  <si>
    <t>井田牧子</t>
  </si>
  <si>
    <t>makiron-ida1226@outlook.jp</t>
  </si>
  <si>
    <t>C-00041432</t>
  </si>
  <si>
    <t>宮沢暁</t>
  </si>
  <si>
    <t>midnight117.1182@gmail.com</t>
  </si>
  <si>
    <t>2023/09/28 00:00:00</t>
  </si>
  <si>
    <t>5</t>
  </si>
  <si>
    <t>C-00041429</t>
  </si>
  <si>
    <t>柏葉京子</t>
  </si>
  <si>
    <t>izako@aria.ocn.ne.jp</t>
  </si>
  <si>
    <t>C-00041389</t>
  </si>
  <si>
    <t>尾田知之</t>
  </si>
  <si>
    <t>tmykoda@yahoo.co.jp</t>
  </si>
  <si>
    <t>2023/09/19 00:00:00</t>
  </si>
  <si>
    <t>C-00041385</t>
  </si>
  <si>
    <t>樋田栄一</t>
  </si>
  <si>
    <t>greenecho@nifty.com</t>
  </si>
  <si>
    <t>C-00041352</t>
  </si>
  <si>
    <t>三好陽子</t>
  </si>
  <si>
    <t>hochi@hotmail.co.jp</t>
  </si>
  <si>
    <t>C-00041302</t>
  </si>
  <si>
    <t>成瀬温子</t>
  </si>
  <si>
    <t>a.ti.ko.0827@gmail.com</t>
  </si>
  <si>
    <t>2023/09/10 00:00:00</t>
  </si>
  <si>
    <t>C-00041271</t>
  </si>
  <si>
    <t>古賀若菜</t>
  </si>
  <si>
    <t>fujityaku830813@outlook.jp</t>
  </si>
  <si>
    <t>2024/03/06 00:00:00</t>
  </si>
  <si>
    <t>C-00041264</t>
  </si>
  <si>
    <t>末永真也</t>
  </si>
  <si>
    <t>s.suenaga19703@gmail.com</t>
  </si>
  <si>
    <t>2024/03/28 00:00:00</t>
  </si>
  <si>
    <t>C-00041255</t>
  </si>
  <si>
    <t>前田ゆかり</t>
  </si>
  <si>
    <t>ringopaimy@gmail.com</t>
  </si>
  <si>
    <t>2025/02/02 00:00:00</t>
  </si>
  <si>
    <t>2025/08/20 00:00:00</t>
  </si>
  <si>
    <t>C-00041248</t>
  </si>
  <si>
    <t>石井明憲</t>
  </si>
  <si>
    <t>cute.3521.paradise@docomo.ne.jp</t>
  </si>
  <si>
    <t>2023/09/09 00:00:00</t>
  </si>
  <si>
    <t>C-00041239</t>
  </si>
  <si>
    <t>北井孝彦</t>
  </si>
  <si>
    <t>amenokoyanekita@m7.gyao.ne.jp</t>
  </si>
  <si>
    <t>C-00041236</t>
  </si>
  <si>
    <t>神保俊哉</t>
  </si>
  <si>
    <t>jnb3743@gmail.com</t>
  </si>
  <si>
    <t>2024/03/25 00:00:00</t>
  </si>
  <si>
    <t>C-00041229</t>
  </si>
  <si>
    <t>吉田朋弘</t>
  </si>
  <si>
    <t>ugn03132@nifty.com</t>
  </si>
  <si>
    <t>C-00041196</t>
  </si>
  <si>
    <t>縣直和</t>
  </si>
  <si>
    <t>nao.universe0906@gmail.com</t>
  </si>
  <si>
    <t>2023/12/13 00:00:00</t>
  </si>
  <si>
    <t>C-00041194</t>
  </si>
  <si>
    <t>梶原龍太</t>
  </si>
  <si>
    <t>tatsunoya19990514@docomo.ne.jp</t>
  </si>
  <si>
    <t>C-00041180</t>
  </si>
  <si>
    <t>梶本公</t>
  </si>
  <si>
    <t>tadashi_05_25@yahoo.co.jp</t>
  </si>
  <si>
    <t>2023/09/26 00:00:00</t>
  </si>
  <si>
    <t>C-00041146</t>
  </si>
  <si>
    <t>鈴木武史</t>
  </si>
  <si>
    <t>sic.seaum@gmail.com</t>
  </si>
  <si>
    <t>2023/09/25 00:00:00</t>
  </si>
  <si>
    <t>C-00041128</t>
  </si>
  <si>
    <t>濱野友生</t>
  </si>
  <si>
    <t>friendlife45@gmail.com</t>
  </si>
  <si>
    <t>2023/10/09 00:00:00</t>
  </si>
  <si>
    <t>C-00041074</t>
  </si>
  <si>
    <t>福田恵美</t>
  </si>
  <si>
    <t>kokoroodayaka333@gmail.com</t>
  </si>
  <si>
    <t>2023/09/22 00:00:00</t>
  </si>
  <si>
    <t>C-00040921</t>
  </si>
  <si>
    <t>小沢英郎</t>
  </si>
  <si>
    <t>ichicabachica.0611@gmail.com</t>
  </si>
  <si>
    <t>C-00040116</t>
  </si>
  <si>
    <t>山口治秀</t>
  </si>
  <si>
    <t>haru03401@gmail.com</t>
  </si>
  <si>
    <t>C-00039825</t>
  </si>
  <si>
    <t>平城芳樹</t>
  </si>
  <si>
    <t>maisuta1987@gmail.com</t>
  </si>
  <si>
    <t>C-00039735</t>
  </si>
  <si>
    <t>待鳥尚子</t>
  </si>
  <si>
    <t>matt_naorin@yahoo.co.jp</t>
  </si>
  <si>
    <t>C-00039555</t>
  </si>
  <si>
    <t>伊藤航</t>
  </si>
  <si>
    <t>wataruuuuu4230@gmail.com</t>
  </si>
  <si>
    <t>C-00039297</t>
  </si>
  <si>
    <t>篠崎幸造</t>
  </si>
  <si>
    <t>kozysmart@gmail.com</t>
  </si>
  <si>
    <t>C-00039287</t>
  </si>
  <si>
    <t>安藤徹</t>
  </si>
  <si>
    <t>300and800@gmail.com</t>
  </si>
  <si>
    <t>C-00038837</t>
  </si>
  <si>
    <t>鈴木直人</t>
  </si>
  <si>
    <t>s@etc-karada.com</t>
  </si>
  <si>
    <t>C-00038641</t>
  </si>
  <si>
    <t>久田幸正</t>
  </si>
  <si>
    <t>yusan7820@gmail.com</t>
  </si>
  <si>
    <t>C-00038590</t>
  </si>
  <si>
    <t>櫻井加代子</t>
  </si>
  <si>
    <t>kk.sakura@cosmochemicals.co.jp</t>
  </si>
  <si>
    <t>C-00038508</t>
  </si>
  <si>
    <t>鹿毛真也</t>
  </si>
  <si>
    <t>nkage00@gmail.com</t>
  </si>
  <si>
    <t>C-00038092</t>
  </si>
  <si>
    <t>竹内伸夫</t>
  </si>
  <si>
    <t>dkk921258@gmail.com</t>
  </si>
  <si>
    <t>C-00037916</t>
  </si>
  <si>
    <t>竹内朗人</t>
  </si>
  <si>
    <t>kazuemonn@lion.ocn.ne.jp</t>
  </si>
  <si>
    <t>C-00037567</t>
  </si>
  <si>
    <t>権田武則</t>
  </si>
  <si>
    <t>takegonda427@gmail.com</t>
  </si>
  <si>
    <t>C-00037417</t>
  </si>
  <si>
    <t>澤津川誠</t>
  </si>
  <si>
    <t>makotosawa@gmail.com</t>
  </si>
  <si>
    <t>C-00036830</t>
  </si>
  <si>
    <t>黒須直子</t>
  </si>
  <si>
    <t>kurosu3102@outlook.jp</t>
  </si>
  <si>
    <t>C-00036778</t>
  </si>
  <si>
    <t>平澤暁美</t>
  </si>
  <si>
    <t>ahira010101@gmail.com</t>
  </si>
  <si>
    <t>C-00036117</t>
  </si>
  <si>
    <t>角家泉</t>
  </si>
  <si>
    <t>minidragon.snufkin278@gmail.com</t>
  </si>
  <si>
    <t>2024/03/04 00:00:00</t>
  </si>
  <si>
    <t>C-00035422</t>
  </si>
  <si>
    <t>平井善顕</t>
  </si>
  <si>
    <t>crew53065306@gmail.com</t>
  </si>
  <si>
    <t>C-00035395</t>
  </si>
  <si>
    <t>佐藤裕也</t>
  </si>
  <si>
    <t>sleet.seacow@gmail.com</t>
  </si>
  <si>
    <t>C-00035161</t>
  </si>
  <si>
    <t>海津行雄</t>
  </si>
  <si>
    <t>15850xingxiong55@gmail.com</t>
  </si>
  <si>
    <t>C-00034704</t>
  </si>
  <si>
    <t>明石融貴</t>
  </si>
  <si>
    <t>mobilesskwrkingmobileschirping@gmail.com</t>
  </si>
  <si>
    <t>C-00034588</t>
  </si>
  <si>
    <t>衣川倫</t>
  </si>
  <si>
    <t>four-of-a-kind142030@docomo.ne.jp</t>
  </si>
  <si>
    <t>2025/01/15 00:00:00</t>
  </si>
  <si>
    <t>C-00034063</t>
  </si>
  <si>
    <t>田中佳乃</t>
  </si>
  <si>
    <t>yoshino.anne@gmail.com</t>
  </si>
  <si>
    <t>C-00033672</t>
  </si>
  <si>
    <t>杉河修</t>
  </si>
  <si>
    <t>sosamu@rose.ocn.ne.jp</t>
  </si>
  <si>
    <t>C-00032703</t>
  </si>
  <si>
    <t>遠藤陸也</t>
  </si>
  <si>
    <t>rikuya.endy@docomo.ne.jp</t>
  </si>
  <si>
    <t>C-00032684</t>
  </si>
  <si>
    <t>大谷高史</t>
  </si>
  <si>
    <t>taka_ohtani@yahoo.co.jp</t>
  </si>
  <si>
    <t>C-00032324</t>
  </si>
  <si>
    <t>高橋泰子</t>
  </si>
  <si>
    <t>yasu2highbri@yahoo.co.jp</t>
  </si>
  <si>
    <t>C-00032168</t>
  </si>
  <si>
    <t>酒井方子</t>
  </si>
  <si>
    <t>boofoowoo28@gmail.com</t>
  </si>
  <si>
    <t>2025/01/02 00:00:00</t>
  </si>
  <si>
    <t>C-00031945</t>
  </si>
  <si>
    <t>杉田直也</t>
  </si>
  <si>
    <t>naoya1717@gmail.com</t>
  </si>
  <si>
    <t>2023/09/24 00:00:00</t>
  </si>
  <si>
    <t>C-00031786</t>
  </si>
  <si>
    <t>西沢秀男</t>
  </si>
  <si>
    <t>hideo2430a@gmail.com</t>
  </si>
  <si>
    <t>C-00031713</t>
  </si>
  <si>
    <t>関口幸栄</t>
  </si>
  <si>
    <t>jacaranda2425@gmail.com</t>
  </si>
  <si>
    <t>C-00031694</t>
  </si>
  <si>
    <t>栗原正弘</t>
  </si>
  <si>
    <t>nitoro.hazard@gmail.com</t>
  </si>
  <si>
    <t>C-00031497</t>
  </si>
  <si>
    <t>佐藤彰郎</t>
  </si>
  <si>
    <t>s10026626@yahoo.co.jp</t>
  </si>
  <si>
    <t>C-00031402</t>
  </si>
  <si>
    <t>外海清吾</t>
  </si>
  <si>
    <t>golf54003088@iris.eonet.ne.jp</t>
  </si>
  <si>
    <t>C-00031388</t>
  </si>
  <si>
    <t>清水秀朗</t>
  </si>
  <si>
    <t>shimizu930@gmail.com</t>
  </si>
  <si>
    <t>C-00031282</t>
  </si>
  <si>
    <t>谷詰周成</t>
  </si>
  <si>
    <t>dq6shu17@gmail.com</t>
  </si>
  <si>
    <t>C-00031281</t>
  </si>
  <si>
    <t>佐藤信次</t>
  </si>
  <si>
    <t>blackjackatom@yahoo.co.jp</t>
  </si>
  <si>
    <t>C-00031174</t>
  </si>
  <si>
    <t>後藤義行</t>
  </si>
  <si>
    <t>yocchin.510@gmail.com</t>
  </si>
  <si>
    <t>C-00031119</t>
  </si>
  <si>
    <t>伊藤幸喜代</t>
  </si>
  <si>
    <t>htm.y2017krv@gmail.com</t>
  </si>
  <si>
    <t>C-00030849</t>
  </si>
  <si>
    <t>大石雅弘</t>
  </si>
  <si>
    <t>oishi-ma@tokai.or.jp</t>
  </si>
  <si>
    <t>C-00030731</t>
  </si>
  <si>
    <t>大館謙二</t>
  </si>
  <si>
    <t>k-ohdate@mrfj.co.jp</t>
  </si>
  <si>
    <t>C-00030709</t>
  </si>
  <si>
    <t>嵐隆幸</t>
  </si>
  <si>
    <t>qjrmc677@yahoo.co.jp</t>
  </si>
  <si>
    <t>C-00030654</t>
  </si>
  <si>
    <t>堀野直哉</t>
  </si>
  <si>
    <t>hfield108@gmail.com</t>
  </si>
  <si>
    <t>C-00030502</t>
  </si>
  <si>
    <t>瓜生英一</t>
  </si>
  <si>
    <t>eddieuriu@gmail.com</t>
  </si>
  <si>
    <t>C-00030352</t>
  </si>
  <si>
    <t>菊地郁夫</t>
  </si>
  <si>
    <t>ikuokiku100@gmail.com</t>
  </si>
  <si>
    <t>2023/09/05 00:00:00</t>
  </si>
  <si>
    <t>C-00030319</t>
  </si>
  <si>
    <t>青柳圭太</t>
  </si>
  <si>
    <t>aoyagi-k@mist.dti.ne.jp</t>
  </si>
  <si>
    <t>C-00030314</t>
  </si>
  <si>
    <t>須崎嘉文</t>
  </si>
  <si>
    <t>suzaki.yoshifumi@kagawa-u.ac.jp</t>
  </si>
  <si>
    <t>2025/01/06 00:00:00</t>
  </si>
  <si>
    <t>C-00029821</t>
  </si>
  <si>
    <t>太安孝允</t>
  </si>
  <si>
    <t>nine_planets_in_solar_system@yahoo.co.jp</t>
  </si>
  <si>
    <t>C-00029736</t>
  </si>
  <si>
    <t>春柳圭</t>
  </si>
  <si>
    <t>horuyagi@gmail.com</t>
  </si>
  <si>
    <t>C-00029684</t>
  </si>
  <si>
    <t>前田拓哉</t>
  </si>
  <si>
    <t>maetaku4319@gmail.com</t>
  </si>
  <si>
    <t>C-00029406</t>
  </si>
  <si>
    <t>江里川雅一</t>
  </si>
  <si>
    <t>R53erika32@gmail.com</t>
  </si>
  <si>
    <t>C-00029385</t>
  </si>
  <si>
    <t>田中義一</t>
  </si>
  <si>
    <t>ginger1969715@gmail.com</t>
  </si>
  <si>
    <t>C-00029079</t>
  </si>
  <si>
    <t>伊藤真基</t>
  </si>
  <si>
    <t>taiheimaru2117@gmail.com</t>
  </si>
  <si>
    <t>C-00029014</t>
  </si>
  <si>
    <t>城田大輔</t>
  </si>
  <si>
    <t>daisukedaisuke0000@yahoo.co.jp</t>
  </si>
  <si>
    <t>C-00028845</t>
  </si>
  <si>
    <t>金田智樹</t>
  </si>
  <si>
    <t>tomoki5170@gmail.com</t>
  </si>
  <si>
    <t>C-00028768</t>
  </si>
  <si>
    <t>鮫島常高</t>
  </si>
  <si>
    <t>link1218@i.softbank.jp</t>
  </si>
  <si>
    <t>C-00028480</t>
  </si>
  <si>
    <t>山田宏</t>
  </si>
  <si>
    <t>fighterscan2015@gmail.com</t>
  </si>
  <si>
    <t>C-00028329</t>
  </si>
  <si>
    <t>國枝洋子</t>
  </si>
  <si>
    <t>kunitakumama@gmail.com</t>
  </si>
  <si>
    <t>C-00027938</t>
  </si>
  <si>
    <t>堀之内千秋</t>
  </si>
  <si>
    <t>from.1.123@docomo.ne.jp</t>
  </si>
  <si>
    <t>C-00027712</t>
  </si>
  <si>
    <t>山村三信</t>
  </si>
  <si>
    <t>mi.yamamura@gmail.com</t>
  </si>
  <si>
    <t>C-00027549</t>
  </si>
  <si>
    <t>山本茂市</t>
  </si>
  <si>
    <t>syamamoto1103@yahoo.co.jp</t>
  </si>
  <si>
    <t>2023/05/27 00:00:00</t>
  </si>
  <si>
    <t>C-00027491</t>
  </si>
  <si>
    <t>海老澤裕三</t>
  </si>
  <si>
    <t>ebizou03@gmail.com</t>
  </si>
  <si>
    <t>C-00027128</t>
  </si>
  <si>
    <t>堀谷真実</t>
  </si>
  <si>
    <t>lovelin.mamitan@gmail.com</t>
  </si>
  <si>
    <t>C-00026928</t>
  </si>
  <si>
    <t>立川太一</t>
  </si>
  <si>
    <t>seamaster007007@yahoo.co.jp</t>
  </si>
  <si>
    <t>C-00026900</t>
  </si>
  <si>
    <t>中村康志</t>
  </si>
  <si>
    <t>yasu5645jp@gmail.com</t>
  </si>
  <si>
    <t>C-00026888</t>
  </si>
  <si>
    <t>中道雅義</t>
  </si>
  <si>
    <t>masayoshinakamichi@gmail.com</t>
  </si>
  <si>
    <t>C-00026694</t>
  </si>
  <si>
    <t>北山拓真</t>
  </si>
  <si>
    <t>inkotg@gmail.com</t>
  </si>
  <si>
    <t>2023/05/28 00:00:00</t>
  </si>
  <si>
    <t>C-00026649</t>
  </si>
  <si>
    <t>野崎耕司</t>
  </si>
  <si>
    <t>grunpa.715.kn@gmail.com</t>
  </si>
  <si>
    <t>C-00026435</t>
  </si>
  <si>
    <t>人見慎治</t>
  </si>
  <si>
    <t>j_tommy3skm@ybb.ne.jp</t>
  </si>
  <si>
    <t>C-00025744</t>
  </si>
  <si>
    <t>岩橋竜士</t>
  </si>
  <si>
    <t>convoy.funk.co@gmail.com</t>
  </si>
  <si>
    <t>C-00025274</t>
  </si>
  <si>
    <t>松本州司</t>
  </si>
  <si>
    <t>shumatsu3387@gmail.com</t>
  </si>
  <si>
    <t>2024/04/01 00:00:00</t>
  </si>
  <si>
    <t>C-00025264</t>
  </si>
  <si>
    <t>北川勝浩</t>
  </si>
  <si>
    <t>jh3prr@gmail.com</t>
  </si>
  <si>
    <t>C-00025215</t>
  </si>
  <si>
    <t>土手貴博</t>
  </si>
  <si>
    <t>takahiro.d.925@outlook.jp</t>
  </si>
  <si>
    <t>2023/05/19 00:00:00</t>
  </si>
  <si>
    <t>C-00024875</t>
  </si>
  <si>
    <t>橋爪史子</t>
  </si>
  <si>
    <t>fumiko524@yahoo.co.jp</t>
  </si>
  <si>
    <t>2023/09/23 00:00:00</t>
  </si>
  <si>
    <t>C-00024856</t>
  </si>
  <si>
    <t>三輪雄二</t>
  </si>
  <si>
    <t>yanh7016@gmail.com</t>
  </si>
  <si>
    <t>C-00024635</t>
  </si>
  <si>
    <t>大平祐造</t>
  </si>
  <si>
    <t>nobi_sen@yahoo.co.jp</t>
  </si>
  <si>
    <t>C-00024070</t>
  </si>
  <si>
    <t>伊藤勝司</t>
  </si>
  <si>
    <t>tk02100117y@yahoo.co.jp</t>
  </si>
  <si>
    <t>C-00023673</t>
  </si>
  <si>
    <t>田中太</t>
  </si>
  <si>
    <t>futa11@msn.com</t>
  </si>
  <si>
    <t>C-00021295</t>
  </si>
  <si>
    <t>北川浩太郎</t>
  </si>
  <si>
    <t>kotaro.kitagawa@gmail.com</t>
  </si>
  <si>
    <t>C-00021132</t>
  </si>
  <si>
    <t>竹内大輔</t>
  </si>
  <si>
    <t>takeuchi.disk.0.0.zzz@gmail.com</t>
  </si>
  <si>
    <t>C-00020743</t>
  </si>
  <si>
    <t>中村多都夫</t>
  </si>
  <si>
    <t>ttonkm2723@gmail.com</t>
  </si>
  <si>
    <t>2024/10/12 00:00:00</t>
  </si>
  <si>
    <t>C-00020577</t>
  </si>
  <si>
    <t>西留良輔</t>
  </si>
  <si>
    <t>tometype2@yahoo.co.jp</t>
  </si>
  <si>
    <t>C-00020461</t>
  </si>
  <si>
    <t>浦山亜紀子</t>
  </si>
  <si>
    <t>akikoyogo45@gmail.com</t>
  </si>
  <si>
    <t>C-00020383</t>
  </si>
  <si>
    <t>高宮文秀</t>
  </si>
  <si>
    <t>takamiya@gf7.so-net.ne.jp</t>
  </si>
  <si>
    <t>2023/02/16 00:00:00</t>
  </si>
  <si>
    <t>2025/02/20 00:00:00</t>
  </si>
  <si>
    <t>6</t>
  </si>
  <si>
    <t>C-00020073</t>
  </si>
  <si>
    <t>新海晃</t>
  </si>
  <si>
    <t>amkakki7@yahoo.co.jp</t>
  </si>
  <si>
    <t>2023/09/29 00:00:00</t>
  </si>
  <si>
    <t>C-00019885</t>
  </si>
  <si>
    <t>中村光男</t>
  </si>
  <si>
    <t>nkmrtro@i.softbank.jp</t>
  </si>
  <si>
    <t>C-00019706</t>
  </si>
  <si>
    <t>村松淳</t>
  </si>
  <si>
    <t>jm3210jm32100@gmail.com</t>
  </si>
  <si>
    <t>C-00019691</t>
  </si>
  <si>
    <t>船山美芳</t>
  </si>
  <si>
    <t>haka78827@gmail.com</t>
  </si>
  <si>
    <t>Apex年間会員（自動更新）</t>
  </si>
  <si>
    <t>2025/02/06 00:00:00</t>
  </si>
  <si>
    <t>2026/02/20 00:00:00</t>
  </si>
  <si>
    <t>C-00019662</t>
  </si>
  <si>
    <t>松山結城</t>
  </si>
  <si>
    <t>yuki.mat1122@gmail.com</t>
  </si>
  <si>
    <t>C-00019024</t>
  </si>
  <si>
    <t>伊藤秀昭</t>
  </si>
  <si>
    <t>haryuki110@yahoo.co.jp</t>
  </si>
  <si>
    <t>C-00018184</t>
  </si>
  <si>
    <t>武山直之</t>
  </si>
  <si>
    <t>chosuke_0308@yahoo.co.jp</t>
  </si>
  <si>
    <t>2023/05/20 00:00:00</t>
  </si>
  <si>
    <t>C-00018166</t>
  </si>
  <si>
    <t>鈴木隆永</t>
  </si>
  <si>
    <t>maro-takatsukasa-tkn@ezweb.ne.jp</t>
  </si>
  <si>
    <t>C-00018088</t>
  </si>
  <si>
    <t>福井雄士</t>
  </si>
  <si>
    <t>hp@mayro.biz</t>
  </si>
  <si>
    <t>C-00017686</t>
  </si>
  <si>
    <t>テスト東</t>
  </si>
  <si>
    <t>hiroaki.higashi.res@gmail.com</t>
  </si>
  <si>
    <t>C-00017451</t>
  </si>
  <si>
    <t>福島泉</t>
  </si>
  <si>
    <t>izumi000126@gmail.com</t>
  </si>
  <si>
    <t>2023/09/21 00:00:00</t>
  </si>
  <si>
    <t>C-00017224</t>
  </si>
  <si>
    <t>五月女真英</t>
  </si>
  <si>
    <t>sagittarius.ms1975@gmail.com</t>
  </si>
  <si>
    <t>C-00017086</t>
  </si>
  <si>
    <t>因幡義人</t>
  </si>
  <si>
    <t>toyako178@gmail.com</t>
  </si>
  <si>
    <t>C-00017042</t>
  </si>
  <si>
    <t>長野修也</t>
  </si>
  <si>
    <t>spirytushu@gmail.com</t>
  </si>
  <si>
    <t>2023/09/30 00:00:00</t>
  </si>
  <si>
    <t>C-00017016</t>
  </si>
  <si>
    <t>鷲山淳</t>
  </si>
  <si>
    <t>wasshoy.jun@gmail.com</t>
  </si>
  <si>
    <t>C-00016827</t>
  </si>
  <si>
    <t>中西祷</t>
  </si>
  <si>
    <t>suntao0430@hotmail.com</t>
  </si>
  <si>
    <t>2023/11/28 00:00:00</t>
  </si>
  <si>
    <t>C-00016687</t>
  </si>
  <si>
    <t>今井英樹</t>
  </si>
  <si>
    <t>hide19730513@icloud.com</t>
  </si>
  <si>
    <t>C-00016374</t>
  </si>
  <si>
    <t>北原勇</t>
  </si>
  <si>
    <t>yunyou889@yahoo.co.jp</t>
  </si>
  <si>
    <t>C-00016159</t>
  </si>
  <si>
    <t>田中志郎</t>
  </si>
  <si>
    <t>syart0928@gmail.com</t>
  </si>
  <si>
    <t>C-00015663</t>
  </si>
  <si>
    <t>林静枝</t>
  </si>
  <si>
    <t>parukawa1809@yahoo.co.jp</t>
  </si>
  <si>
    <t>C-00015564</t>
  </si>
  <si>
    <t>森山善弘</t>
  </si>
  <si>
    <t>zenkou.m@gmail.com</t>
  </si>
  <si>
    <t>C-00015365</t>
  </si>
  <si>
    <t>高桑一也</t>
  </si>
  <si>
    <t>onego15@gmail.com</t>
  </si>
  <si>
    <t>C-00015272</t>
  </si>
  <si>
    <t>施其楽</t>
  </si>
  <si>
    <t>free-style._0619_@i.softbank.jp</t>
  </si>
  <si>
    <t>C-00014763</t>
  </si>
  <si>
    <t>秋山行普</t>
  </si>
  <si>
    <t>hu84477343@yahoo.co.jp</t>
  </si>
  <si>
    <t>2024/05/29 00:00:00</t>
  </si>
  <si>
    <t>C-00014741</t>
  </si>
  <si>
    <t>森田昌志</t>
  </si>
  <si>
    <t>morita1m2@gmail.com</t>
  </si>
  <si>
    <t>C-00014706</t>
  </si>
  <si>
    <t>矢野美奈子</t>
  </si>
  <si>
    <t>mina.yan375@ezweb.ne.jp</t>
  </si>
  <si>
    <t>C-00014442</t>
  </si>
  <si>
    <t>西山祐子</t>
  </si>
  <si>
    <t>lovelyuko@gmail.com</t>
  </si>
  <si>
    <t>2023/09/01 00:00:00</t>
  </si>
  <si>
    <t>C-00014173</t>
  </si>
  <si>
    <t>原田直子</t>
  </si>
  <si>
    <t>haranao5005@gmail.com</t>
  </si>
  <si>
    <t>C-00014148</t>
  </si>
  <si>
    <t>有村規子</t>
  </si>
  <si>
    <t>gon5chako2@gmail.com</t>
  </si>
  <si>
    <t>C-00013943</t>
  </si>
  <si>
    <t>庄子徳一</t>
  </si>
  <si>
    <t>shoji123@fgbb.jp</t>
  </si>
  <si>
    <t>2023/09/17 00:00:00</t>
  </si>
  <si>
    <t>C-00013941</t>
  </si>
  <si>
    <t>伊藤誠司</t>
  </si>
  <si>
    <t>seiji.deen@gmail.com</t>
  </si>
  <si>
    <t>2024/08/16 00:00:00</t>
  </si>
  <si>
    <t>C-00013880</t>
  </si>
  <si>
    <t>松下和樹</t>
  </si>
  <si>
    <t>delirayarc@yahoo.co.jp</t>
  </si>
  <si>
    <t>C-00013819</t>
  </si>
  <si>
    <t>池田寿子</t>
  </si>
  <si>
    <t>rakuchakochan@gmail.com</t>
  </si>
  <si>
    <t>2024/08/02 00:00:00</t>
  </si>
  <si>
    <t>C-00013797</t>
  </si>
  <si>
    <t>伴野均</t>
  </si>
  <si>
    <t>banbanbee@yahoo.co.jp</t>
  </si>
  <si>
    <t>C-00013600</t>
  </si>
  <si>
    <t>川口緑子</t>
  </si>
  <si>
    <t>mitdy.236714k@ezweb.ne.jp</t>
  </si>
  <si>
    <t>C-00013450</t>
  </si>
  <si>
    <t>榎田昭彦</t>
  </si>
  <si>
    <t>11043865e@gmail.com</t>
  </si>
  <si>
    <t>C-00013377</t>
  </si>
  <si>
    <t>大山郁文</t>
  </si>
  <si>
    <t>ohyamagon@yahoo.co.jp</t>
  </si>
  <si>
    <t>C-00012524</t>
  </si>
  <si>
    <t>東江明子</t>
  </si>
  <si>
    <t>hkhrf700@yahoo.co.jp</t>
  </si>
  <si>
    <t>C-00012509</t>
  </si>
  <si>
    <t>高山聡</t>
  </si>
  <si>
    <t>takarinayan910@gmail.com</t>
  </si>
  <si>
    <t>2025/02/05 00:00:00</t>
  </si>
  <si>
    <t>C-00011849</t>
  </si>
  <si>
    <t>喜田利生</t>
  </si>
  <si>
    <t>athj1101@bcc.bai.ne.jp</t>
  </si>
  <si>
    <t>2023/09/15 00:00:00</t>
  </si>
  <si>
    <t>C-00011840</t>
  </si>
  <si>
    <t>渡慶次春美</t>
  </si>
  <si>
    <t>tokeshi3831@gmail.com</t>
  </si>
  <si>
    <t>2024/08/09 00:00:00</t>
  </si>
  <si>
    <t>C-00011781</t>
  </si>
  <si>
    <t>松田則子</t>
  </si>
  <si>
    <t>jajauma1@i.softbank.jp</t>
  </si>
  <si>
    <t>2024/07/05 00:00:00</t>
  </si>
  <si>
    <t>7</t>
  </si>
  <si>
    <t>C-00011517</t>
  </si>
  <si>
    <t>石原澄香</t>
  </si>
  <si>
    <t>agashi@za.ztv.ne.jp</t>
  </si>
  <si>
    <t>C-00011116</t>
  </si>
  <si>
    <t>テスト秋池</t>
  </si>
  <si>
    <t>saori.akiike.jim@gmail.com</t>
  </si>
  <si>
    <t>2024/04/04 00:00:00</t>
  </si>
  <si>
    <t>C-00010769</t>
  </si>
  <si>
    <t>角谷啓太</t>
  </si>
  <si>
    <t>baconjapan@gmail.com</t>
  </si>
  <si>
    <t>C-00010742</t>
  </si>
  <si>
    <t>平井満晴</t>
  </si>
  <si>
    <t>escamillas@docomo.ne.jp</t>
  </si>
  <si>
    <t>C-00010694</t>
  </si>
  <si>
    <t>上田公美子</t>
  </si>
  <si>
    <t>hanahana.po@gmail.com</t>
  </si>
  <si>
    <t>C-00010674</t>
  </si>
  <si>
    <t>澤田又彦</t>
  </si>
  <si>
    <t>youyuan0420@yahoo.co.jp</t>
  </si>
  <si>
    <t>C-00010415</t>
  </si>
  <si>
    <t>安藤浩二</t>
  </si>
  <si>
    <t>ando913224904@gmail.com</t>
  </si>
  <si>
    <t>C-00010413</t>
  </si>
  <si>
    <t>國崎真</t>
  </si>
  <si>
    <t>kunisaki.cc@gmail.com</t>
  </si>
  <si>
    <t>2024/08/03 00:00:00</t>
  </si>
  <si>
    <t>C-00010380</t>
  </si>
  <si>
    <t>渡辺敏明</t>
  </si>
  <si>
    <t>tswatana@gmail.com</t>
  </si>
  <si>
    <t>2024/05/03 00:00:00</t>
  </si>
  <si>
    <t>9</t>
  </si>
  <si>
    <t>C-00010361</t>
  </si>
  <si>
    <t>水谷敏彦</t>
  </si>
  <si>
    <t>mzt2-104hk-7hk@coda.ocn.ne.jp</t>
  </si>
  <si>
    <t>C-00010357</t>
  </si>
  <si>
    <t>内田葉子</t>
  </si>
  <si>
    <t>hakochan@gmail.com</t>
  </si>
  <si>
    <t>2024/05/14 00:00:00</t>
  </si>
  <si>
    <t>C-00010349</t>
  </si>
  <si>
    <t>岡村吉泰</t>
  </si>
  <si>
    <t>montoyo3012@gmail.com</t>
  </si>
  <si>
    <t>C-00010289</t>
  </si>
  <si>
    <t>川井聡子</t>
  </si>
  <si>
    <t>satosato104@gmail.com</t>
  </si>
  <si>
    <t>C-00010227</t>
  </si>
  <si>
    <t>小澤範鎮</t>
  </si>
  <si>
    <t>norizou0726@yahoo.co.jp</t>
  </si>
  <si>
    <t>C-00010084</t>
  </si>
  <si>
    <t>池元俊士</t>
  </si>
  <si>
    <t>ae86apex13@hotmail.com</t>
  </si>
  <si>
    <t>2024/04/05 00:00:00</t>
  </si>
  <si>
    <t>10</t>
  </si>
  <si>
    <t>C-00010029</t>
  </si>
  <si>
    <t>直井由香里</t>
  </si>
  <si>
    <t>wainaoi@yahoo.co.jp</t>
  </si>
  <si>
    <t>C-00010021</t>
  </si>
  <si>
    <t>諸戸芳雄</t>
  </si>
  <si>
    <t>u36015@i.softbank.jp</t>
  </si>
  <si>
    <t>2024/04/03 00:00:00</t>
  </si>
  <si>
    <t>C-00009999</t>
  </si>
  <si>
    <t>村上裕一</t>
  </si>
  <si>
    <t>srikych5lg@outlook.jp</t>
  </si>
  <si>
    <t>C-00009991</t>
  </si>
  <si>
    <t>安部明</t>
  </si>
  <si>
    <t>akirasato0927@gmail.com</t>
  </si>
  <si>
    <t>C-00009990</t>
  </si>
  <si>
    <t>寺田大樹</t>
  </si>
  <si>
    <t>zwu10716@gmail.com</t>
  </si>
  <si>
    <t>2024/04/02 00:00:00</t>
  </si>
  <si>
    <t>C-00009989</t>
  </si>
  <si>
    <t>光田宏</t>
  </si>
  <si>
    <t>minamoto724@icloud.com</t>
  </si>
  <si>
    <t>C-00009981</t>
  </si>
  <si>
    <t>喜多岡雅典</t>
  </si>
  <si>
    <t>info@kitaokaclinic.jp</t>
  </si>
  <si>
    <t>2025/01/04 00:00:00</t>
  </si>
  <si>
    <t>2025/12/20 00:00:00</t>
  </si>
  <si>
    <t>C-00009974</t>
  </si>
  <si>
    <t>辻和子</t>
  </si>
  <si>
    <t>fortuna783kaichan@ezweb.ne.jp</t>
  </si>
  <si>
    <t>C-00009968</t>
  </si>
  <si>
    <t>元栄慎一郎</t>
  </si>
  <si>
    <t>qqba55bd@oasis.ocn.ne.jp</t>
  </si>
  <si>
    <t>2024/05/05 00:00:00</t>
  </si>
  <si>
    <t>C-00009957</t>
  </si>
  <si>
    <t>矢吹江里子</t>
  </si>
  <si>
    <t>ybkerk@gmail.com</t>
  </si>
  <si>
    <t>C-00009954</t>
  </si>
  <si>
    <t>高浪英二</t>
  </si>
  <si>
    <t>takanami007731@i.softbank.jp</t>
  </si>
  <si>
    <t>C-00009951</t>
  </si>
  <si>
    <t>池田祐二</t>
  </si>
  <si>
    <t>juydki@gmail.com</t>
  </si>
  <si>
    <t>2024/08/20 00:00:00</t>
  </si>
  <si>
    <t>C-00009945</t>
  </si>
  <si>
    <t>大泉聡</t>
  </si>
  <si>
    <t>stv.oizumi@gmail.com</t>
  </si>
  <si>
    <t>C-00009943</t>
  </si>
  <si>
    <t>小宮山実</t>
  </si>
  <si>
    <t>mino.komiyama@gmail.com</t>
  </si>
  <si>
    <t>C-00009930</t>
  </si>
  <si>
    <t>郷貴代子</t>
  </si>
  <si>
    <t>lilac2701@gmail.com</t>
  </si>
  <si>
    <t>2024/08/13 00:00:00</t>
  </si>
  <si>
    <t>C-00009922</t>
  </si>
  <si>
    <t>扇和洋</t>
  </si>
  <si>
    <t>okaz876@gmail.com</t>
  </si>
  <si>
    <t>C-00009867</t>
  </si>
  <si>
    <t>長坂泰光</t>
  </si>
  <si>
    <t>nagayanda@yahoo.co.jp</t>
  </si>
  <si>
    <t>C-00009845</t>
  </si>
  <si>
    <t>畦地秀幸</t>
  </si>
  <si>
    <t>hidesato571526@yahoo.co.jp</t>
  </si>
  <si>
    <t>2025/02/03 00:00:00</t>
  </si>
  <si>
    <t>C-00009844</t>
  </si>
  <si>
    <t>太田光博</t>
  </si>
  <si>
    <t>trader3216@yahoo.co.jp</t>
  </si>
  <si>
    <t>C-00009735</t>
  </si>
  <si>
    <t>渡邉稔久</t>
  </si>
  <si>
    <t>tku05210903@gmail.com</t>
  </si>
  <si>
    <t>C-00009716</t>
  </si>
  <si>
    <t>高橋秀巳</t>
  </si>
  <si>
    <t>hide777keitai@ezweb.ne.jp</t>
  </si>
  <si>
    <t>2024/08/05 00:00:00</t>
  </si>
  <si>
    <t>C-00008161</t>
  </si>
  <si>
    <t>西家善明</t>
  </si>
  <si>
    <t>nishiya8@gmail.com</t>
  </si>
  <si>
    <t>C-00008001</t>
  </si>
  <si>
    <t>黒河内健</t>
  </si>
  <si>
    <t>tkskurokochi@gmail.com</t>
  </si>
  <si>
    <t>C-00007952</t>
  </si>
  <si>
    <t>伊藤照雄</t>
  </si>
  <si>
    <t>d86u2xfd@i.softbank.jp</t>
  </si>
  <si>
    <t>C-00005599</t>
  </si>
  <si>
    <t>江川準一</t>
  </si>
  <si>
    <t>egawajunichi1002@gmail.com</t>
  </si>
  <si>
    <t>C-00005086</t>
  </si>
  <si>
    <t>中村安博</t>
  </si>
  <si>
    <t>naka8344@gmail.com</t>
  </si>
  <si>
    <t>2023/11/17 00:00:00</t>
  </si>
  <si>
    <t>C-00004918</t>
  </si>
  <si>
    <t>木住野貴嗣</t>
  </si>
  <si>
    <t>takashikishino6387@gmail.com</t>
  </si>
  <si>
    <t>2024/12/25 00:00:00</t>
  </si>
  <si>
    <t>C-00003854</t>
  </si>
  <si>
    <t>竹尾克之</t>
  </si>
  <si>
    <t>cxk00451@nifty.ne.jp</t>
  </si>
  <si>
    <t>C-00000788</t>
  </si>
  <si>
    <t>横野智子</t>
  </si>
  <si>
    <t>sumire1231po@outlook.jp</t>
  </si>
  <si>
    <t>C-00000014</t>
  </si>
  <si>
    <t>中ノ上美恵</t>
  </si>
  <si>
    <t>mee.neko.nyao@gmail.com</t>
  </si>
  <si>
    <t>2025/02/11 00:00:00</t>
  </si>
  <si>
    <t>合計</t>
    <rPh sb="0" eb="2">
      <t>ゴウケイ</t>
    </rPh>
    <phoneticPr fontId="2"/>
  </si>
  <si>
    <t>PEAK ONE. LLC[山崎裕久(Mr.K)]</t>
  </si>
  <si>
    <t>新 業務提携者（従属）</t>
  </si>
  <si>
    <t>行ラベル</t>
  </si>
  <si>
    <t>総計</t>
  </si>
  <si>
    <t>2025年2月</t>
    <phoneticPr fontId="2"/>
  </si>
  <si>
    <t>2025年3月</t>
    <phoneticPr fontId="2"/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</si>
  <si>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</si>
  <si>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</si>
  <si>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</si>
  <si>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</si>
  <si>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</si>
  <si>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</si>
  <si>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</si>
  <si>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</si>
  <si>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</si>
  <si>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  <phoneticPr fontId="2"/>
  </si>
  <si>
    <t>2026年2月</t>
    <phoneticPr fontId="2"/>
  </si>
  <si>
    <t>合計 / 2025年2月</t>
  </si>
  <si>
    <t>合計 / 2025年3月</t>
  </si>
  <si>
    <t>合計 / 2025年4月</t>
  </si>
  <si>
    <t>合計 / 2025年5月</t>
  </si>
  <si>
    <t>合計 / 2025年6月</t>
  </si>
  <si>
    <t>合計 / 2025年7月</t>
  </si>
  <si>
    <t>合計 / 2025年8月</t>
  </si>
  <si>
    <t>合計 / 2025年9月</t>
  </si>
  <si>
    <t>合計 / 2025年10月</t>
  </si>
  <si>
    <t>合計 / 2025年11月</t>
  </si>
  <si>
    <t>合計 / 2025年12月</t>
  </si>
  <si>
    <t>合計 / 2026年1月</t>
  </si>
  <si>
    <t>合計 / 2026年2月</t>
  </si>
  <si>
    <t>2025年3月</t>
  </si>
  <si>
    <t>計上月</t>
    <rPh sb="0" eb="3">
      <t>ケイジョウツキ</t>
    </rPh>
    <phoneticPr fontId="2"/>
  </si>
  <si>
    <t>合計金額</t>
    <rPh sb="0" eb="2">
      <t>ゴウケイ</t>
    </rPh>
    <rPh sb="2" eb="4">
      <t>キンガク</t>
    </rPh>
    <phoneticPr fontId="2"/>
  </si>
  <si>
    <t>件数</t>
    <rPh sb="0" eb="2">
      <t>ケンスウ</t>
    </rPh>
    <phoneticPr fontId="2"/>
  </si>
  <si>
    <t>タイプ</t>
    <phoneticPr fontId="2"/>
  </si>
  <si>
    <t>おまとめ継続</t>
    <phoneticPr fontId="2"/>
  </si>
  <si>
    <t>新 報酬率(自社)</t>
    <phoneticPr fontId="2"/>
  </si>
  <si>
    <t>自社報酬分</t>
    <rPh sb="0" eb="5">
      <t>ジシャホウシュウブン</t>
    </rPh>
    <phoneticPr fontId="2"/>
  </si>
  <si>
    <t>タイプ1</t>
    <phoneticPr fontId="2"/>
  </si>
  <si>
    <t>タイプ2</t>
    <phoneticPr fontId="2"/>
  </si>
  <si>
    <t>自社報酬率</t>
    <rPh sb="2" eb="5">
      <t>ホウシュウリツ</t>
    </rPh>
    <phoneticPr fontId="2"/>
  </si>
  <si>
    <t>全体売上</t>
    <rPh sb="0" eb="2">
      <t>ゼンタイ</t>
    </rPh>
    <rPh sb="2" eb="4">
      <t>ウリアゲ</t>
    </rPh>
    <phoneticPr fontId="2"/>
  </si>
  <si>
    <t>自社分</t>
    <rPh sb="0" eb="3">
      <t>ジシャブン</t>
    </rPh>
    <phoneticPr fontId="2"/>
  </si>
  <si>
    <t>期間</t>
    <rPh sb="0" eb="2">
      <t>キカン</t>
    </rPh>
    <phoneticPr fontId="2"/>
  </si>
  <si>
    <t>2026年3月</t>
    <phoneticPr fontId="2"/>
  </si>
  <si>
    <t>2026年4月</t>
    <phoneticPr fontId="2"/>
  </si>
  <si>
    <t>2026年5月</t>
    <phoneticPr fontId="2"/>
  </si>
  <si>
    <t>2026年6月</t>
    <phoneticPr fontId="2"/>
  </si>
  <si>
    <t>2026年7月</t>
    <phoneticPr fontId="2"/>
  </si>
  <si>
    <t>2026年8月</t>
  </si>
  <si>
    <t>2026年9月</t>
  </si>
  <si>
    <t>2026年10月</t>
  </si>
  <si>
    <t>2026年11月</t>
  </si>
  <si>
    <t>2026年12月</t>
  </si>
  <si>
    <t>2027年1月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</si>
  <si>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</si>
  <si>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</si>
  <si>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</si>
  <si>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</si>
  <si>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合計 / 2025年2月2</t>
  </si>
  <si>
    <t>合計 / 2025年3月2</t>
  </si>
  <si>
    <t>合計 / 2025年4月2</t>
  </si>
  <si>
    <t>合計 / 2025年5月2</t>
  </si>
  <si>
    <t>合計 / 2025年6月2</t>
  </si>
  <si>
    <t>合計 / 2025年7月2</t>
  </si>
  <si>
    <t>合計 / 2025年8月2</t>
  </si>
  <si>
    <t>合計 / 2025年9月2</t>
  </si>
  <si>
    <t>合計 / 2025年10月2</t>
  </si>
  <si>
    <t>合計 / 2025年11月2</t>
  </si>
  <si>
    <t>合計 / 2025年12月2</t>
  </si>
  <si>
    <t>合計 / 2026年1月2</t>
  </si>
  <si>
    <t>合計 / 2026年2月2</t>
  </si>
  <si>
    <t>合計 / 2026年3月</t>
  </si>
  <si>
    <t>合計 / 2026年4月</t>
  </si>
  <si>
    <t>合計 / 2026年5月</t>
  </si>
  <si>
    <t>合計 / 2026年6月</t>
  </si>
  <si>
    <t>合計 / 2026年7月</t>
  </si>
  <si>
    <t>合計 / 2026年8月</t>
  </si>
  <si>
    <t>合計 / 2026年9月</t>
  </si>
  <si>
    <t>合計 / 2026年10月</t>
  </si>
  <si>
    <t>合計 / 2026年11月</t>
  </si>
  <si>
    <t>合計 / 2026年12月</t>
  </si>
  <si>
    <t>合計 / 2027年1月</t>
  </si>
  <si>
    <t>(複数のアイテム)</t>
  </si>
  <si>
    <t>発生（分割計上前）</t>
    <rPh sb="0" eb="2">
      <t>ハッセイ</t>
    </rPh>
    <rPh sb="3" eb="8">
      <t>ブンカツケイジョウマエ</t>
    </rPh>
    <phoneticPr fontId="2"/>
  </si>
  <si>
    <t>分割計上後</t>
    <rPh sb="0" eb="5">
      <t>ブンカツケイジョウゴ</t>
    </rPh>
    <phoneticPr fontId="2"/>
  </si>
  <si>
    <t>商品名</t>
    <rPh sb="0" eb="3">
      <t>ショウヒンメイ</t>
    </rPh>
    <phoneticPr fontId="2"/>
  </si>
  <si>
    <t>2025年10月</t>
    <rPh sb="4" eb="5">
      <t>ネン</t>
    </rPh>
    <rPh sb="7" eb="8">
      <t>ツキ</t>
    </rPh>
    <phoneticPr fontId="2"/>
  </si>
  <si>
    <t>2025年11月</t>
    <rPh sb="4" eb="5">
      <t>ネン</t>
    </rPh>
    <rPh sb="7" eb="8">
      <t>ツキ</t>
    </rPh>
    <phoneticPr fontId="2"/>
  </si>
  <si>
    <t>2025年12月</t>
    <rPh sb="4" eb="5">
      <t>ネン</t>
    </rPh>
    <rPh sb="7" eb="8">
      <t>ツキ</t>
    </rPh>
    <phoneticPr fontId="2"/>
  </si>
  <si>
    <t>2026年10月</t>
    <rPh sb="4" eb="5">
      <t>ネン</t>
    </rPh>
    <rPh sb="7" eb="8">
      <t>ツキ</t>
    </rPh>
    <phoneticPr fontId="2"/>
  </si>
  <si>
    <t>2026年11月</t>
    <rPh sb="4" eb="5">
      <t>ネン</t>
    </rPh>
    <rPh sb="7" eb="8">
      <t>ツキ</t>
    </rPh>
    <phoneticPr fontId="2"/>
  </si>
  <si>
    <t>2026年12月</t>
    <rPh sb="4" eb="5">
      <t>ネン</t>
    </rPh>
    <rPh sb="7" eb="8">
      <t>ツキ</t>
    </rPh>
    <phoneticPr fontId="2"/>
  </si>
  <si>
    <t>合計金額</t>
    <rPh sb="0" eb="4">
      <t>ゴウケイキンガク</t>
    </rPh>
    <phoneticPr fontId="2"/>
  </si>
  <si>
    <t>まとめ継続</t>
    <rPh sb="3" eb="5">
      <t>ケイゾク</t>
    </rPh>
    <phoneticPr fontId="2"/>
  </si>
  <si>
    <t>全体売上</t>
    <rPh sb="0" eb="4">
      <t>ゼンタイウリアゲ</t>
    </rPh>
    <phoneticPr fontId="2"/>
  </si>
  <si>
    <t>2025年02月</t>
    <rPh sb="4" eb="5">
      <t>ネン</t>
    </rPh>
    <rPh sb="7" eb="8">
      <t>ツキ</t>
    </rPh>
    <phoneticPr fontId="2"/>
  </si>
  <si>
    <t>2025年03月</t>
    <rPh sb="4" eb="5">
      <t>ネン</t>
    </rPh>
    <rPh sb="7" eb="8">
      <t>ツキ</t>
    </rPh>
    <phoneticPr fontId="2"/>
  </si>
  <si>
    <t>2025年04月</t>
    <rPh sb="4" eb="5">
      <t>ネン</t>
    </rPh>
    <rPh sb="7" eb="8">
      <t>ツキ</t>
    </rPh>
    <phoneticPr fontId="2"/>
  </si>
  <si>
    <t>2025年05月</t>
    <rPh sb="4" eb="5">
      <t>ネン</t>
    </rPh>
    <rPh sb="7" eb="8">
      <t>ツキ</t>
    </rPh>
    <phoneticPr fontId="2"/>
  </si>
  <si>
    <t>2025年06月</t>
    <rPh sb="4" eb="5">
      <t>ネン</t>
    </rPh>
    <rPh sb="7" eb="8">
      <t>ツキ</t>
    </rPh>
    <phoneticPr fontId="2"/>
  </si>
  <si>
    <t>2025年07月</t>
    <rPh sb="4" eb="5">
      <t>ネン</t>
    </rPh>
    <rPh sb="7" eb="8">
      <t>ツキ</t>
    </rPh>
    <phoneticPr fontId="2"/>
  </si>
  <si>
    <t>2025年07月</t>
    <phoneticPr fontId="2"/>
  </si>
  <si>
    <t>2025年08月</t>
    <rPh sb="4" eb="5">
      <t>ネン</t>
    </rPh>
    <rPh sb="7" eb="8">
      <t>ツキ</t>
    </rPh>
    <phoneticPr fontId="2"/>
  </si>
  <si>
    <t>2025年09月</t>
    <rPh sb="4" eb="5">
      <t>ネン</t>
    </rPh>
    <rPh sb="7" eb="8">
      <t>ツキ</t>
    </rPh>
    <phoneticPr fontId="2"/>
  </si>
  <si>
    <t>2026年02月</t>
    <rPh sb="4" eb="5">
      <t>ネン</t>
    </rPh>
    <rPh sb="7" eb="8">
      <t>ツキ</t>
    </rPh>
    <phoneticPr fontId="2"/>
  </si>
  <si>
    <t>2026年01月</t>
    <rPh sb="4" eb="5">
      <t>ネン</t>
    </rPh>
    <rPh sb="7" eb="8">
      <t>ツキ</t>
    </rPh>
    <phoneticPr fontId="2"/>
  </si>
  <si>
    <t>2026年03月</t>
    <rPh sb="4" eb="5">
      <t>ネン</t>
    </rPh>
    <rPh sb="7" eb="8">
      <t>ツキ</t>
    </rPh>
    <phoneticPr fontId="2"/>
  </si>
  <si>
    <t>2026年04月</t>
    <rPh sb="4" eb="5">
      <t>ネン</t>
    </rPh>
    <rPh sb="7" eb="8">
      <t>ツキ</t>
    </rPh>
    <phoneticPr fontId="2"/>
  </si>
  <si>
    <t>2026年05月</t>
    <rPh sb="4" eb="5">
      <t>ネン</t>
    </rPh>
    <rPh sb="7" eb="8">
      <t>ツキ</t>
    </rPh>
    <phoneticPr fontId="2"/>
  </si>
  <si>
    <t>2026年06月</t>
    <rPh sb="4" eb="5">
      <t>ネン</t>
    </rPh>
    <rPh sb="7" eb="8">
      <t>ツキ</t>
    </rPh>
    <phoneticPr fontId="2"/>
  </si>
  <si>
    <t>2026年07月</t>
    <rPh sb="4" eb="5">
      <t>ネン</t>
    </rPh>
    <rPh sb="7" eb="8">
      <t>ツキ</t>
    </rPh>
    <phoneticPr fontId="2"/>
  </si>
  <si>
    <t>2026年08月</t>
    <rPh sb="4" eb="5">
      <t>ネン</t>
    </rPh>
    <rPh sb="7" eb="8">
      <t>ツキ</t>
    </rPh>
    <phoneticPr fontId="2"/>
  </si>
  <si>
    <t>2026年09月</t>
    <rPh sb="4" eb="5">
      <t>ネン</t>
    </rPh>
    <rPh sb="7" eb="8">
      <t>ツキ</t>
    </rPh>
    <phoneticPr fontId="2"/>
  </si>
  <si>
    <t>2027年01月</t>
    <rPh sb="4" eb="5">
      <t>ネン</t>
    </rPh>
    <rPh sb="7" eb="8">
      <t>ツキ</t>
    </rPh>
    <phoneticPr fontId="2"/>
  </si>
  <si>
    <t>自社分</t>
    <rPh sb="0" eb="2">
      <t>ジシャ</t>
    </rPh>
    <rPh sb="2" eb="3">
      <t>ブン</t>
    </rPh>
    <phoneticPr fontId="2"/>
  </si>
  <si>
    <t>列ラベル</t>
  </si>
  <si>
    <t>2025年02月</t>
  </si>
  <si>
    <t>2025年03月</t>
  </si>
  <si>
    <t>2025年04月</t>
  </si>
  <si>
    <t>2025年05月</t>
  </si>
  <si>
    <t>2025年06月</t>
  </si>
  <si>
    <t>2025年07月</t>
  </si>
  <si>
    <t>2025年08月</t>
  </si>
  <si>
    <t>2025年09月</t>
  </si>
  <si>
    <t>2026年01月</t>
  </si>
  <si>
    <t>2026年02月</t>
  </si>
  <si>
    <t>2026年03月</t>
  </si>
  <si>
    <t>2026年04月</t>
  </si>
  <si>
    <t>2026年05月</t>
  </si>
  <si>
    <t>2026年06月</t>
  </si>
  <si>
    <t>2026年07月</t>
  </si>
  <si>
    <t>2026年08月</t>
  </si>
  <si>
    <t>2026年09月</t>
  </si>
  <si>
    <t>2027年01月</t>
  </si>
  <si>
    <t>合計 / 合計金額</t>
  </si>
  <si>
    <t>自社分</t>
  </si>
  <si>
    <t>全体売上</t>
  </si>
  <si>
    <t>GMO継続ID(LV)</t>
  </si>
  <si>
    <t>顧客属性</t>
  </si>
  <si>
    <t>注文履歴</t>
  </si>
  <si>
    <t>配送履歴</t>
  </si>
  <si>
    <t>ふりがな</t>
  </si>
  <si>
    <t>電話番号</t>
  </si>
  <si>
    <t>MD</t>
  </si>
  <si>
    <t>予備メールアドレス</t>
  </si>
  <si>
    <t>郵便番号</t>
  </si>
  <si>
    <t>都道府県</t>
  </si>
  <si>
    <t>住所（市区町村）</t>
  </si>
  <si>
    <t>それ以降の住所</t>
  </si>
  <si>
    <t>GMO継続ID(JIS)</t>
  </si>
  <si>
    <t>オプトイン</t>
  </si>
  <si>
    <t>顧客登録日</t>
  </si>
  <si>
    <t>2025年4月</t>
    <phoneticPr fontId="2"/>
  </si>
  <si>
    <t>2026年3月</t>
  </si>
  <si>
    <t>2026年4月</t>
  </si>
  <si>
    <t>2026年5月</t>
  </si>
  <si>
    <t>2026年6月</t>
  </si>
  <si>
    <t>2026年7月</t>
  </si>
  <si>
    <t>2027年2月</t>
  </si>
  <si>
    <t>2027年3月</t>
  </si>
  <si>
    <t>億り人：相場研究会員タイプ</t>
  </si>
  <si>
    <t>億り人：相場研究退会日</t>
  </si>
  <si>
    <t>りゅうじじデイトレ会員タイプ</t>
  </si>
  <si>
    <t>りゅうじじデイトレ退会日</t>
  </si>
  <si>
    <t>次世代知的投資家クラブ会員タイプ</t>
  </si>
  <si>
    <t>次世代知的投資家クラブ退会日</t>
  </si>
  <si>
    <t>奥村尚の金融リテラシー会員タイプ</t>
  </si>
  <si>
    <t>奥村尚の金融リテラシー退会日</t>
  </si>
  <si>
    <t>CLEARエッセンシャル会員タイプ</t>
  </si>
  <si>
    <t>CLEARエッセンシャル退会日</t>
  </si>
  <si>
    <t>大魔神会員タイプ</t>
  </si>
  <si>
    <t>大魔神退会日</t>
  </si>
  <si>
    <t>MSTP通信会員タイプ</t>
  </si>
  <si>
    <t>MSTP通信退会日</t>
  </si>
  <si>
    <t>高子ファミリー会員タイプ（プライスライン）</t>
  </si>
  <si>
    <t>高子ファミリー退会日</t>
  </si>
  <si>
    <t>高子ファミリー【配信】会員タイプ</t>
  </si>
  <si>
    <t>高子ファミリー【配信】退会日</t>
  </si>
  <si>
    <t>エバトレ会員タイプ</t>
  </si>
  <si>
    <t>エバトレ退会日</t>
  </si>
  <si>
    <t>秋田式ライトコース会員タイプ</t>
  </si>
  <si>
    <t>秋田式ライトコース退会日</t>
  </si>
  <si>
    <t>CLEARマスタープログラム分割会員</t>
  </si>
  <si>
    <t>CLEARマスタープログラム分割退会日</t>
  </si>
  <si>
    <t>トレンドサイン会員タイプ</t>
  </si>
  <si>
    <t>トレンドサイン退会日</t>
  </si>
  <si>
    <t>PEAKFINDER会員タイプ</t>
  </si>
  <si>
    <t>PEAKFINDER退会日</t>
  </si>
  <si>
    <t>ADT継続会員タイプ</t>
  </si>
  <si>
    <t>ADT継続退会日</t>
  </si>
  <si>
    <t>ＤＭ</t>
  </si>
  <si>
    <t>メルマガ</t>
  </si>
  <si>
    <t>初回商品購入日</t>
  </si>
  <si>
    <t>最終商品購入日</t>
  </si>
  <si>
    <t>在籍期間</t>
  </si>
  <si>
    <t>売上累計</t>
  </si>
  <si>
    <t>購入回数</t>
  </si>
  <si>
    <t>トレンドサインマスター講座：LINEアカウント</t>
  </si>
  <si>
    <t>C-00083249</t>
  </si>
  <si>
    <t>田辺博史</t>
  </si>
  <si>
    <t>たなべひろふみ</t>
  </si>
  <si>
    <t>tanabe@yen-group.com</t>
  </si>
  <si>
    <t>https://mdpink.maildealer.jp/wapi.php</t>
  </si>
  <si>
    <t>540-0004</t>
  </si>
  <si>
    <t>大阪府</t>
  </si>
  <si>
    <t>大阪市東成区中道</t>
  </si>
  <si>
    <t>1-10-10Hoxinpeace森ノ宮105</t>
  </si>
  <si>
    <t>res_youtube_mrk</t>
  </si>
  <si>
    <t>C-00081946</t>
  </si>
  <si>
    <t>山田世賢</t>
  </si>
  <si>
    <t>やまだせいけん</t>
  </si>
  <si>
    <t>isohatago@yahoo.co.jp</t>
  </si>
  <si>
    <t>115-0045</t>
  </si>
  <si>
    <t>東京都</t>
  </si>
  <si>
    <t>北区</t>
  </si>
  <si>
    <t>赤羽1-40-11-704 プレールドゥーク赤羽Ⅱ</t>
  </si>
  <si>
    <t>res_youtube_mrk_seminar241005</t>
  </si>
  <si>
    <t>ID重複用</t>
  </si>
  <si>
    <t>たけだゆうじ</t>
  </si>
  <si>
    <t>421-0117</t>
  </si>
  <si>
    <t>静岡県</t>
  </si>
  <si>
    <t>静岡市駿河区下川原南</t>
  </si>
  <si>
    <t>みやかわよしき</t>
  </si>
  <si>
    <t>005-0004</t>
  </si>
  <si>
    <t>北海道</t>
  </si>
  <si>
    <t>札幌市南区澄川4条</t>
  </si>
  <si>
    <t>3丁目8-44-1</t>
  </si>
  <si>
    <t>いわさきゆみこ</t>
  </si>
  <si>
    <t>651-2135</t>
  </si>
  <si>
    <t>兵庫県</t>
  </si>
  <si>
    <t>神戸市西区王塚台</t>
  </si>
  <si>
    <t>2-13-10</t>
  </si>
  <si>
    <t>ふじやまたかひろ</t>
  </si>
  <si>
    <t>341-0002</t>
  </si>
  <si>
    <t>埼玉県</t>
  </si>
  <si>
    <t>三郷市彦音</t>
  </si>
  <si>
    <t>2-25-2 ルーラルパーク301</t>
  </si>
  <si>
    <t>res_youtube</t>
  </si>
  <si>
    <t>はしもときみひろ</t>
  </si>
  <si>
    <t>962-0401</t>
  </si>
  <si>
    <t>福島県</t>
  </si>
  <si>
    <t>須賀川市</t>
  </si>
  <si>
    <t>向陽町642</t>
  </si>
  <si>
    <t>いまいずみひろあき</t>
  </si>
  <si>
    <t>447-0012</t>
  </si>
  <si>
    <t>加須市</t>
  </si>
  <si>
    <t>ひろたまさみ</t>
  </si>
  <si>
    <t>646-1417</t>
  </si>
  <si>
    <t>和歌山県</t>
  </si>
  <si>
    <t>田辺市中辺路町川合</t>
  </si>
  <si>
    <t>ほかりまさのり</t>
  </si>
  <si>
    <t>314-0143</t>
  </si>
  <si>
    <t>茨城県</t>
  </si>
  <si>
    <t>神栖市</t>
  </si>
  <si>
    <t>神栖13-22 ミリオンファミリーズ105</t>
  </si>
  <si>
    <t>よしだつとむ</t>
  </si>
  <si>
    <t>113-0023</t>
  </si>
  <si>
    <t>文京区向丘</t>
  </si>
  <si>
    <t>2-34-1 エスタジオ本駒込302</t>
  </si>
  <si>
    <t>うえのとしひと</t>
  </si>
  <si>
    <t>321-0111</t>
  </si>
  <si>
    <t>栃木県</t>
  </si>
  <si>
    <t>宇都宮市</t>
  </si>
  <si>
    <t>川田町111ー2</t>
  </si>
  <si>
    <t>C-00074920</t>
  </si>
  <si>
    <t>谷田昌広</t>
  </si>
  <si>
    <t>たにだまさひろ</t>
  </si>
  <si>
    <t>tanidakagu1@gmail.com</t>
  </si>
  <si>
    <t>444-3433</t>
  </si>
  <si>
    <t>愛知県</t>
  </si>
  <si>
    <t>岡崎市</t>
  </si>
  <si>
    <t>木下町字竹ノ花41</t>
  </si>
  <si>
    <t>（退会済）月額ライト</t>
  </si>
  <si>
    <t>こんどうひろふみ</t>
  </si>
  <si>
    <t>600-8415</t>
  </si>
  <si>
    <t>京都府</t>
  </si>
  <si>
    <t>京都市下京区</t>
  </si>
  <si>
    <t>因幡堂町677イスケビル2階</t>
  </si>
  <si>
    <t>にしむらよしろう</t>
  </si>
  <si>
    <t>565-0863</t>
  </si>
  <si>
    <t>吹田市竹見台</t>
  </si>
  <si>
    <t>4丁目2-6</t>
  </si>
  <si>
    <t>C-00074905</t>
  </si>
  <si>
    <t>實平哲也</t>
  </si>
  <si>
    <t>さねひらてつや</t>
  </si>
  <si>
    <t>sanetti25th@yahoo.co.jp</t>
  </si>
  <si>
    <t>252-0344</t>
  </si>
  <si>
    <t>神奈川県</t>
  </si>
  <si>
    <t>相模原市南区古淵</t>
  </si>
  <si>
    <t>2-3-7T&amp;T第二ビル205</t>
  </si>
  <si>
    <t>こーんみさ</t>
  </si>
  <si>
    <t>Onikiniki Way Aiea</t>
  </si>
  <si>
    <t>98-1411</t>
  </si>
  <si>
    <t>さとうまこと</t>
  </si>
  <si>
    <t>234-0003</t>
  </si>
  <si>
    <t>横浜市港南区港南</t>
  </si>
  <si>
    <t>2-15-10 204号</t>
  </si>
  <si>
    <t>やまのみさお</t>
  </si>
  <si>
    <t>542-0083</t>
  </si>
  <si>
    <t>中央区東心斎橋</t>
  </si>
  <si>
    <t>1-3-3, ブランズタワーウェリス心斎橋South704</t>
  </si>
  <si>
    <t>わかまつとしひろ</t>
  </si>
  <si>
    <t>605-0913</t>
  </si>
  <si>
    <t>京都市東山区石垣町東側</t>
  </si>
  <si>
    <t>みやがわひろみ</t>
  </si>
  <si>
    <t>617-0002</t>
  </si>
  <si>
    <t>向日市寺戸町西野辺</t>
  </si>
  <si>
    <t>21-14シャルマンコート202</t>
  </si>
  <si>
    <t>しおだよしえ</t>
  </si>
  <si>
    <t>910-0015</t>
  </si>
  <si>
    <t>福井県</t>
  </si>
  <si>
    <t>福井市</t>
  </si>
  <si>
    <t>二ノ宮2-15-18A-1</t>
  </si>
  <si>
    <t>ほんめつよし</t>
  </si>
  <si>
    <t>350-0807</t>
  </si>
  <si>
    <t>川越市大字吉田</t>
  </si>
  <si>
    <t>185-6 ゼフィール101</t>
  </si>
  <si>
    <t>だんたかひろ</t>
  </si>
  <si>
    <t>245-0014</t>
  </si>
  <si>
    <t>横浜市泉区</t>
  </si>
  <si>
    <t>中田南1-1-16-201</t>
  </si>
  <si>
    <t>C-00074886</t>
  </si>
  <si>
    <t>中嶋啓博</t>
  </si>
  <si>
    <t>なかじまあきひろ</t>
  </si>
  <si>
    <t>sirube73@gmail.com</t>
  </si>
  <si>
    <t>465-0073</t>
  </si>
  <si>
    <t>名古屋市名東区</t>
  </si>
  <si>
    <t>高針原1-801</t>
  </si>
  <si>
    <t>くどうたかゆき</t>
  </si>
  <si>
    <t>997-0821</t>
  </si>
  <si>
    <t>山形県</t>
  </si>
  <si>
    <t>鶴岡市三光町</t>
  </si>
  <si>
    <t>ばばあきえ</t>
  </si>
  <si>
    <t>014-0333</t>
  </si>
  <si>
    <t>秋田県</t>
  </si>
  <si>
    <t>仙北市角館町川原町</t>
  </si>
  <si>
    <t>かげやまやすじ</t>
  </si>
  <si>
    <t>733-0002</t>
  </si>
  <si>
    <t>広島県</t>
  </si>
  <si>
    <t>広島市西区楠木町</t>
  </si>
  <si>
    <t>4-9-8  リバーサイドパーク楠木</t>
  </si>
  <si>
    <t>C-00074871</t>
  </si>
  <si>
    <t>山口裕紀</t>
  </si>
  <si>
    <t>やまぐちゆき</t>
  </si>
  <si>
    <t>yukky.minnie@gmail.com</t>
  </si>
  <si>
    <t>470-0135</t>
  </si>
  <si>
    <t>日進岩崎台</t>
  </si>
  <si>
    <t>2-1306-17</t>
  </si>
  <si>
    <t>ちゅうまひろまさ</t>
  </si>
  <si>
    <t>223-0064</t>
  </si>
  <si>
    <t>横浜市港北区下田町</t>
  </si>
  <si>
    <t>3-13-18</t>
  </si>
  <si>
    <t>さくだけいじ</t>
  </si>
  <si>
    <t>555-0001</t>
  </si>
  <si>
    <t>大阪市西淀川区佃</t>
  </si>
  <si>
    <t>くろだまさみち</t>
  </si>
  <si>
    <t>093-0033</t>
  </si>
  <si>
    <t>網走市駒場北</t>
  </si>
  <si>
    <t>おおのきしゅんすけ</t>
  </si>
  <si>
    <t>430-0929</t>
  </si>
  <si>
    <t>浜松市中央区木戸町</t>
  </si>
  <si>
    <t>ふじいなりゆき</t>
  </si>
  <si>
    <t>565-0804</t>
  </si>
  <si>
    <t>吹田市新芦屋上</t>
  </si>
  <si>
    <t>13-8-602</t>
  </si>
  <si>
    <t>あさだたかひろ</t>
  </si>
  <si>
    <t>260-0002</t>
  </si>
  <si>
    <t>千葉県</t>
  </si>
  <si>
    <t>千葉市中央区旭町</t>
  </si>
  <si>
    <t>つだゆういち</t>
  </si>
  <si>
    <t>732-0065</t>
  </si>
  <si>
    <t>広島市東区牛田中</t>
  </si>
  <si>
    <t>うえのひろゆき</t>
  </si>
  <si>
    <t>321-4364</t>
  </si>
  <si>
    <t>真岡市</t>
  </si>
  <si>
    <t>長田 1-10-6</t>
  </si>
  <si>
    <t>みなみでもとし</t>
  </si>
  <si>
    <t>640-8358</t>
  </si>
  <si>
    <t>和歌山市</t>
  </si>
  <si>
    <t>北ノ新地下六軒丁12</t>
  </si>
  <si>
    <t>しぶやのぼる</t>
  </si>
  <si>
    <t>353-0007</t>
  </si>
  <si>
    <t>志木市柏町</t>
  </si>
  <si>
    <t>きたはらさとし</t>
  </si>
  <si>
    <t>567-0897</t>
  </si>
  <si>
    <t>茨木市主原町</t>
  </si>
  <si>
    <t>にしききょうこ</t>
  </si>
  <si>
    <t>589-0023</t>
  </si>
  <si>
    <t>大阪狭山市</t>
  </si>
  <si>
    <t>大野台4丁目23-14</t>
  </si>
  <si>
    <t>きたむらけんいち</t>
  </si>
  <si>
    <t>奈良県</t>
  </si>
  <si>
    <t>高市郡高取町</t>
  </si>
  <si>
    <t>薩摩527</t>
  </si>
  <si>
    <t>たけがみはるか</t>
  </si>
  <si>
    <t>431-1415</t>
  </si>
  <si>
    <t>浜松市浜名区三ヶ日町岡本</t>
  </si>
  <si>
    <t>たなかいさお</t>
  </si>
  <si>
    <t>520-0846</t>
  </si>
  <si>
    <t>滋賀県</t>
  </si>
  <si>
    <t>大津市</t>
  </si>
  <si>
    <t>富士見台52-16</t>
  </si>
  <si>
    <t>いいだゆうじ</t>
  </si>
  <si>
    <t>330-0802</t>
  </si>
  <si>
    <t>さいたま市大宮区</t>
  </si>
  <si>
    <t>宮町1-17</t>
  </si>
  <si>
    <t>jim_opt</t>
  </si>
  <si>
    <t>やなぎさわさとみ</t>
  </si>
  <si>
    <t>389-1200</t>
  </si>
  <si>
    <t>長野県</t>
  </si>
  <si>
    <t>飯綱町</t>
  </si>
  <si>
    <t>さかいこうすけ</t>
  </si>
  <si>
    <t>611-0002</t>
  </si>
  <si>
    <t>宇治市木幡平尾</t>
  </si>
  <si>
    <t>まがみなおき</t>
  </si>
  <si>
    <t>125-0063</t>
  </si>
  <si>
    <t>葛飾区白鳥</t>
  </si>
  <si>
    <t>うえむらちかこ</t>
  </si>
  <si>
    <t>465-0032</t>
  </si>
  <si>
    <t>名古屋市名東区藤が丘</t>
  </si>
  <si>
    <t>162藤ヶ丘市街地5-502</t>
  </si>
  <si>
    <t>かとうかつあき</t>
  </si>
  <si>
    <t>418-0065</t>
  </si>
  <si>
    <t>富士宮市中央町</t>
  </si>
  <si>
    <t>4-15  アクシスコート富士宮302</t>
  </si>
  <si>
    <t>たわらしんいち</t>
  </si>
  <si>
    <t>101-0041</t>
  </si>
  <si>
    <t>千代田区神田須田町</t>
  </si>
  <si>
    <t>2-19-7メイクスデザイン秋葉原404</t>
  </si>
  <si>
    <t>きむらのりこ</t>
  </si>
  <si>
    <t>470-0117</t>
  </si>
  <si>
    <t>日進市藤塚</t>
  </si>
  <si>
    <t>3丁目92番地</t>
  </si>
  <si>
    <t>C-00074789</t>
  </si>
  <si>
    <t>福馬加代</t>
  </si>
  <si>
    <t>ふくまかよ</t>
  </si>
  <si>
    <t>kikumaru63@gmail.com</t>
  </si>
  <si>
    <t>158-0097</t>
  </si>
  <si>
    <t>世田谷区用賀</t>
  </si>
  <si>
    <t>2-25-2-206</t>
  </si>
  <si>
    <t>C-00074785</t>
  </si>
  <si>
    <t>平井友己</t>
  </si>
  <si>
    <t>ひらいともき</t>
  </si>
  <si>
    <t>tyo.snowball.club@gmail.com</t>
  </si>
  <si>
    <t>401-0301</t>
  </si>
  <si>
    <t>山梨県</t>
  </si>
  <si>
    <t>南都留郡富士河口湖町船津</t>
  </si>
  <si>
    <t>7295 コーポサンII 106号室</t>
  </si>
  <si>
    <t>すずきひでお</t>
  </si>
  <si>
    <t>342-0058</t>
  </si>
  <si>
    <t>吉川市きよみ野</t>
  </si>
  <si>
    <t>3-13-30</t>
  </si>
  <si>
    <t>はやしけんいち</t>
  </si>
  <si>
    <t>331-0045</t>
  </si>
  <si>
    <t>さいたま市西区内野本郷</t>
  </si>
  <si>
    <t>315-5</t>
  </si>
  <si>
    <t>ふくだちひろ</t>
  </si>
  <si>
    <t>182-0005</t>
  </si>
  <si>
    <t>調布市</t>
  </si>
  <si>
    <t>東ツツジヶ丘2-10-3ラ・メール2-102</t>
  </si>
  <si>
    <t>おおやとしみつ</t>
  </si>
  <si>
    <t>939-1363</t>
  </si>
  <si>
    <t>富山県</t>
  </si>
  <si>
    <t>砺波市太郎丸</t>
  </si>
  <si>
    <t>288-4 フォレストブリエ201</t>
  </si>
  <si>
    <t>そのだまさき</t>
  </si>
  <si>
    <t>103-0003</t>
  </si>
  <si>
    <t>日本橋横山町</t>
  </si>
  <si>
    <t>くさかべひろき</t>
  </si>
  <si>
    <t>542-0073</t>
  </si>
  <si>
    <t>大阪市中央区日本橋</t>
  </si>
  <si>
    <t>2丁目1番34号</t>
  </si>
  <si>
    <t>しみずつとむ</t>
  </si>
  <si>
    <t>335-0004</t>
  </si>
  <si>
    <t>蕨市中央</t>
  </si>
  <si>
    <t>3-19-20ライオンズプラザ蕨シティー1205</t>
  </si>
  <si>
    <t>けらけんた</t>
  </si>
  <si>
    <t>357-0033</t>
  </si>
  <si>
    <t>飯能市八幡町</t>
  </si>
  <si>
    <t>おかもとなるみ</t>
  </si>
  <si>
    <t>194-0212</t>
  </si>
  <si>
    <t>町田市小山町</t>
  </si>
  <si>
    <t>なかむらまさとし</t>
  </si>
  <si>
    <t>814-0012</t>
  </si>
  <si>
    <t>福岡県</t>
  </si>
  <si>
    <t>福岡市早良区昭代1丁目20－12</t>
  </si>
  <si>
    <t>ライオンズマンション祖原公園603号</t>
  </si>
  <si>
    <t>たかはしのぼる</t>
  </si>
  <si>
    <t>060-0034</t>
  </si>
  <si>
    <t>札幌市中央区北四条東二丁目</t>
  </si>
  <si>
    <t>1-10ティーダ北四条1406号室</t>
  </si>
  <si>
    <t>res</t>
  </si>
  <si>
    <t>ひらのしんいち</t>
  </si>
  <si>
    <t>145-0065</t>
  </si>
  <si>
    <t>大田区</t>
  </si>
  <si>
    <t>東雪谷2-2-4-202</t>
  </si>
  <si>
    <t>たむらごう</t>
  </si>
  <si>
    <t>173-0026</t>
  </si>
  <si>
    <t>板橋区中丸町</t>
  </si>
  <si>
    <t>えもとわかこ</t>
  </si>
  <si>
    <t>751-0804</t>
  </si>
  <si>
    <t>山口県</t>
  </si>
  <si>
    <t>山口県下関市楠乃4丁目</t>
  </si>
  <si>
    <t>4-14 サンリットヒル4-201</t>
  </si>
  <si>
    <t>なかむらさやこ</t>
  </si>
  <si>
    <t>424-0841</t>
  </si>
  <si>
    <t>静岡市清水区</t>
  </si>
  <si>
    <t>4-2286-1Kハイム追分108</t>
  </si>
  <si>
    <t>あさのひでふみ</t>
  </si>
  <si>
    <t>456-0062</t>
  </si>
  <si>
    <t>名古屋市熱田区大宝一丁目</t>
  </si>
  <si>
    <t>4番16号</t>
  </si>
  <si>
    <t>みぞろぎゆみこ</t>
  </si>
  <si>
    <t>272-0035</t>
  </si>
  <si>
    <t>市川市新田</t>
  </si>
  <si>
    <t>5-4-20-5B</t>
  </si>
  <si>
    <t>のむらかずふみ</t>
  </si>
  <si>
    <t>547-0032</t>
  </si>
  <si>
    <t>大阪市平野区流町1-1-5</t>
  </si>
  <si>
    <t>コーポラス平野4-C</t>
  </si>
  <si>
    <t>みつやませいいち</t>
  </si>
  <si>
    <t>669-2323</t>
  </si>
  <si>
    <t>丹波篠山市</t>
  </si>
  <si>
    <t>立町37</t>
  </si>
  <si>
    <t>ごとうだいすけ</t>
  </si>
  <si>
    <t>170-0004</t>
  </si>
  <si>
    <t>豊島区北大塚</t>
  </si>
  <si>
    <t>2-19-4アメニティーヒル大塚1102</t>
  </si>
  <si>
    <t>うちやまともひろ</t>
  </si>
  <si>
    <t>札幌市東区北26条東1丁目</t>
  </si>
  <si>
    <t>こじまひだか</t>
  </si>
  <si>
    <t>225-0011</t>
  </si>
  <si>
    <t>横浜市青葉区あざみ野</t>
  </si>
  <si>
    <t>3-11-76</t>
  </si>
  <si>
    <t>にしむらよういち</t>
  </si>
  <si>
    <t>960-8254</t>
  </si>
  <si>
    <t>福島市南沢又字北川原</t>
  </si>
  <si>
    <t>19-20</t>
  </si>
  <si>
    <t>とづかたかし</t>
  </si>
  <si>
    <t>377-0007</t>
  </si>
  <si>
    <t>群馬県</t>
  </si>
  <si>
    <t>渋川市</t>
  </si>
  <si>
    <t>石原28番地1</t>
  </si>
  <si>
    <t>ひがしとしゆき</t>
  </si>
  <si>
    <t>957-0054</t>
  </si>
  <si>
    <t>新潟県</t>
  </si>
  <si>
    <t>新発田市</t>
  </si>
  <si>
    <t>本町4-14-30</t>
  </si>
  <si>
    <t>おのよしひろ</t>
  </si>
  <si>
    <t>321-3226</t>
  </si>
  <si>
    <t>宇都宮市ゆいの杜</t>
  </si>
  <si>
    <t>6-21-11</t>
  </si>
  <si>
    <t>ふじえただし</t>
  </si>
  <si>
    <t>134-0091</t>
  </si>
  <si>
    <t>江戸川区船堀</t>
  </si>
  <si>
    <t>1-8-22-908</t>
  </si>
  <si>
    <t>ののむらしんご</t>
  </si>
  <si>
    <t>063-0830</t>
  </si>
  <si>
    <t>札幌市西区</t>
  </si>
  <si>
    <t>発寒十条11-1-45ソレイユ発寒608</t>
  </si>
  <si>
    <t>ますもとあきこ</t>
  </si>
  <si>
    <t>150-0012</t>
  </si>
  <si>
    <t>渋谷区広尾</t>
  </si>
  <si>
    <t>4-1-11-402</t>
  </si>
  <si>
    <t>しもやまこういち</t>
  </si>
  <si>
    <t>370-2603</t>
  </si>
  <si>
    <t>甘楽郡下仁田町馬山</t>
  </si>
  <si>
    <t>あおきせいいちろう</t>
  </si>
  <si>
    <t>471-0026</t>
  </si>
  <si>
    <t>豊田市若宮町</t>
  </si>
  <si>
    <t>4-16-2</t>
  </si>
  <si>
    <t>くらたふみお</t>
  </si>
  <si>
    <t>154-0015</t>
  </si>
  <si>
    <t>世田谷区桜新町</t>
  </si>
  <si>
    <t>1ー37ー1</t>
  </si>
  <si>
    <t>ごうよしゆき</t>
  </si>
  <si>
    <t>950-0901</t>
  </si>
  <si>
    <t>新潟市中央区弁天</t>
  </si>
  <si>
    <t>1-1-26-607</t>
  </si>
  <si>
    <t>はぎわらひろのり</t>
  </si>
  <si>
    <t>425-0074</t>
  </si>
  <si>
    <t>焼津市柳新屋</t>
  </si>
  <si>
    <t>ふじたただし</t>
  </si>
  <si>
    <t>350-0817</t>
  </si>
  <si>
    <t>川越市上戸しんまち</t>
  </si>
  <si>
    <t>はやしともひこ</t>
  </si>
  <si>
    <t>155-0032</t>
  </si>
  <si>
    <t>世田谷区代沢3丁目</t>
  </si>
  <si>
    <t>19-10 Daizawa Hills 102</t>
  </si>
  <si>
    <t>ささはらしんや</t>
  </si>
  <si>
    <t>675-0024</t>
  </si>
  <si>
    <t>加古川市尾上町長田</t>
  </si>
  <si>
    <t>173-38</t>
  </si>
  <si>
    <t>かみしらきたかよし</t>
  </si>
  <si>
    <t>811-2128</t>
  </si>
  <si>
    <t>糟屋郡宇美町宇美中央</t>
  </si>
  <si>
    <t>4-12-1カトルシャンブル101</t>
  </si>
  <si>
    <t>ひのなおき</t>
  </si>
  <si>
    <t>770-0804</t>
  </si>
  <si>
    <t>徳島県</t>
  </si>
  <si>
    <t>徳島市</t>
  </si>
  <si>
    <t>中吉野町2丁目25-1</t>
  </si>
  <si>
    <t>やすえことよ</t>
  </si>
  <si>
    <t>498-0012</t>
  </si>
  <si>
    <t>弥富市五之三町伊三郎</t>
  </si>
  <si>
    <t>たかやまやすなり</t>
  </si>
  <si>
    <t>536-0001</t>
  </si>
  <si>
    <t>大阪市城東区古市</t>
  </si>
  <si>
    <t>3-17-26 211号室</t>
  </si>
  <si>
    <t>さいとうひろかつ</t>
  </si>
  <si>
    <t>181-0013</t>
  </si>
  <si>
    <t>三鷹市下連雀３丁目38-1</t>
  </si>
  <si>
    <t>アビタシオン三鷹405号室</t>
  </si>
  <si>
    <t>にしざきのぶひこ</t>
  </si>
  <si>
    <t>108-0074</t>
  </si>
  <si>
    <t>港区高輪</t>
  </si>
  <si>
    <t>2-15-35-402</t>
  </si>
  <si>
    <t>すずきようすけ</t>
  </si>
  <si>
    <t>112-0004</t>
  </si>
  <si>
    <t>文京区後楽</t>
  </si>
  <si>
    <t>2-19-13-703</t>
  </si>
  <si>
    <t>ひらぎとおる</t>
  </si>
  <si>
    <t>914-0056</t>
  </si>
  <si>
    <t>敦賀市</t>
  </si>
  <si>
    <t>津内町3丁目2-31</t>
  </si>
  <si>
    <t>かなくぼたかお</t>
  </si>
  <si>
    <t>240-0108</t>
  </si>
  <si>
    <t>横須賀市佐島の丘</t>
  </si>
  <si>
    <t>1-19-16</t>
  </si>
  <si>
    <t>しまだこうへい</t>
  </si>
  <si>
    <t>520-0025</t>
  </si>
  <si>
    <t>大津市皇子が丘</t>
  </si>
  <si>
    <t>2-10-25-207</t>
  </si>
  <si>
    <t>やまおかひとみ</t>
  </si>
  <si>
    <t>950-0163</t>
  </si>
  <si>
    <t>新潟市江南区東船場</t>
  </si>
  <si>
    <t>1-4-32</t>
  </si>
  <si>
    <t>やまなかしんいち</t>
  </si>
  <si>
    <t>301-0033</t>
  </si>
  <si>
    <t>龍ケ崎市佐貫町</t>
  </si>
  <si>
    <t>いしかわしゅうへい</t>
  </si>
  <si>
    <t>156-0052</t>
  </si>
  <si>
    <t>世田谷区経堂</t>
  </si>
  <si>
    <t>1-35-21-305</t>
  </si>
  <si>
    <t>おおのよりこ</t>
  </si>
  <si>
    <t>734-0005</t>
  </si>
  <si>
    <t>広島市南区翠</t>
  </si>
  <si>
    <t>4丁目5番14号</t>
  </si>
  <si>
    <t>あべかよこ</t>
  </si>
  <si>
    <t>194-0215</t>
  </si>
  <si>
    <t>町田市小山ヶ丘</t>
  </si>
  <si>
    <t>6-1-202</t>
  </si>
  <si>
    <t>やましたろくざん</t>
  </si>
  <si>
    <t>731-5157</t>
  </si>
  <si>
    <t>広島市佐伯区観音</t>
  </si>
  <si>
    <t>一丁目49-12 ビューテラスY's 101号室</t>
  </si>
  <si>
    <t>たかはしめぐみ</t>
  </si>
  <si>
    <t>632-0078</t>
  </si>
  <si>
    <t>天理市杉本町</t>
  </si>
  <si>
    <t>おかだちづ</t>
  </si>
  <si>
    <t>270-0013</t>
  </si>
  <si>
    <t>松戸市</t>
  </si>
  <si>
    <t>小金キヨシヶ丘3ー6</t>
  </si>
  <si>
    <t>やまざきたかやす</t>
  </si>
  <si>
    <t>213-0013</t>
  </si>
  <si>
    <t>川崎市高津区末長</t>
  </si>
  <si>
    <t>1-8-33 ソラティア梶ケ谷104</t>
  </si>
  <si>
    <t>おおにしゆうじ</t>
  </si>
  <si>
    <t>321-0165</t>
  </si>
  <si>
    <t>宇都宮市緑</t>
  </si>
  <si>
    <t>5-9-17 グランヴィータB202</t>
  </si>
  <si>
    <t>すずきけんすけ</t>
  </si>
  <si>
    <t>111-0032</t>
  </si>
  <si>
    <t>台東区浅草5-46-8</t>
  </si>
  <si>
    <t>ガーラ・アヴェニュー浅草903</t>
  </si>
  <si>
    <t>しばたやすひで</t>
  </si>
  <si>
    <t>436-0081</t>
  </si>
  <si>
    <t>掛川市初馬</t>
  </si>
  <si>
    <t>1813-12</t>
  </si>
  <si>
    <t>C-00074579</t>
  </si>
  <si>
    <t>阿部悠輝</t>
  </si>
  <si>
    <t>あべゆうき</t>
  </si>
  <si>
    <t>y24.private.yu.01@gmail.com</t>
  </si>
  <si>
    <t>558-0004</t>
  </si>
  <si>
    <t>大阪市住吉区長居東</t>
  </si>
  <si>
    <t>3-4-18-902号</t>
  </si>
  <si>
    <t>ごとうまさお</t>
  </si>
  <si>
    <t>799-0111</t>
  </si>
  <si>
    <t>愛媛県</t>
  </si>
  <si>
    <t>四国中央市金生町下分</t>
  </si>
  <si>
    <t>たけむらあすか</t>
  </si>
  <si>
    <t>211-0063</t>
  </si>
  <si>
    <t>川崎市中原区小杉町</t>
  </si>
  <si>
    <t>1-542-10, ベレ・マァーム202</t>
  </si>
  <si>
    <t>あきたけとしお</t>
  </si>
  <si>
    <t>671-1102</t>
  </si>
  <si>
    <t>姫路市広畑区蒲田</t>
  </si>
  <si>
    <t>4丁目92クリスタルアベニュー1番館101</t>
  </si>
  <si>
    <t>のだゆうや</t>
  </si>
  <si>
    <t>305-0031</t>
  </si>
  <si>
    <t>つくば市吾妻1丁目</t>
  </si>
  <si>
    <t>7-5レジェイドツクバ1713</t>
  </si>
  <si>
    <t>こしのたかひろ</t>
  </si>
  <si>
    <t>689-2102</t>
  </si>
  <si>
    <t>鳥取県</t>
  </si>
  <si>
    <t>東伯郡北栄町国坂</t>
  </si>
  <si>
    <t>657-1ジェルソミーナ201</t>
  </si>
  <si>
    <t>たかやまたけし</t>
  </si>
  <si>
    <t>240-0112</t>
  </si>
  <si>
    <t>三浦郡葉山町</t>
  </si>
  <si>
    <t>堀内546</t>
  </si>
  <si>
    <t>おおにしとしひこ</t>
  </si>
  <si>
    <t>320-0041</t>
  </si>
  <si>
    <t>宇都宮市　松原</t>
  </si>
  <si>
    <t>1-8-30 202</t>
  </si>
  <si>
    <t>はらとよみつ</t>
  </si>
  <si>
    <t>373-0823</t>
  </si>
  <si>
    <t>太田市西矢島町</t>
  </si>
  <si>
    <t>270-31</t>
  </si>
  <si>
    <t>C-00073381</t>
  </si>
  <si>
    <t>小峯理子</t>
  </si>
  <si>
    <t>こみねりこ</t>
  </si>
  <si>
    <t>rikonakajima8@gmail.com</t>
  </si>
  <si>
    <t>113-0021</t>
  </si>
  <si>
    <t>文京区本駒込</t>
  </si>
  <si>
    <t>3-40-13-603</t>
  </si>
  <si>
    <t>hamamoto_book_ydn</t>
  </si>
  <si>
    <t>やましろしずか</t>
  </si>
  <si>
    <t>901-2226</t>
  </si>
  <si>
    <t>沖縄県</t>
  </si>
  <si>
    <t>宜野湾市</t>
  </si>
  <si>
    <t>嘉数3-17-3 グランメゾンIHA 104号</t>
  </si>
  <si>
    <t>res_youtube_book2</t>
  </si>
  <si>
    <t>さとうきょうこ</t>
  </si>
  <si>
    <t>184-0004</t>
  </si>
  <si>
    <t>小金井市本町</t>
  </si>
  <si>
    <t>はらやすお</t>
  </si>
  <si>
    <t>194-0004</t>
  </si>
  <si>
    <t>町田市鶴間</t>
  </si>
  <si>
    <t>3-3-7-2507</t>
  </si>
  <si>
    <t>ないとうだいご</t>
  </si>
  <si>
    <t>745-0065</t>
  </si>
  <si>
    <t>周南市原宿町</t>
  </si>
  <si>
    <t>5-15ユウメゾン原宿102</t>
  </si>
  <si>
    <t>やまもとゆきのり</t>
  </si>
  <si>
    <t>329-2752</t>
  </si>
  <si>
    <t>那須塩原市</t>
  </si>
  <si>
    <t>三島5-334-212</t>
  </si>
  <si>
    <t>みなみおかかずや</t>
  </si>
  <si>
    <t>401-0511</t>
  </si>
  <si>
    <t>南都留郡忍野村</t>
  </si>
  <si>
    <t>忍草3515-1-MN109</t>
  </si>
  <si>
    <t>いずみともこ</t>
  </si>
  <si>
    <t>320-1233</t>
  </si>
  <si>
    <t>牛久市栄町</t>
  </si>
  <si>
    <t>3-162-3</t>
  </si>
  <si>
    <t>いたにともこ</t>
  </si>
  <si>
    <t>153-0065</t>
  </si>
  <si>
    <t>目黒区中町</t>
  </si>
  <si>
    <t>1-28-4 イニシアイオ目黒学芸大学 508</t>
  </si>
  <si>
    <t>くりたけんじ</t>
  </si>
  <si>
    <t>486-0917</t>
  </si>
  <si>
    <t>春日井市美濃町</t>
  </si>
  <si>
    <t>1丁目155番地バンベール美濃町公園507</t>
  </si>
  <si>
    <t>たにようこ</t>
  </si>
  <si>
    <t>411-0021</t>
  </si>
  <si>
    <t>三島市富士見台</t>
  </si>
  <si>
    <t>はせがわたかゆき</t>
  </si>
  <si>
    <t>144-0055</t>
  </si>
  <si>
    <t>大田区仲六郷</t>
  </si>
  <si>
    <t>4-34-8</t>
  </si>
  <si>
    <t>つじひろゆき</t>
  </si>
  <si>
    <t>659-0034</t>
  </si>
  <si>
    <t>芦屋市陽光町</t>
  </si>
  <si>
    <t>おおやまさあき</t>
  </si>
  <si>
    <t>246-0021</t>
  </si>
  <si>
    <t>横浜市瀬谷区二ツ橋町</t>
  </si>
  <si>
    <t>39-35</t>
  </si>
  <si>
    <t>やまだたかゆき</t>
  </si>
  <si>
    <t>232-0063</t>
  </si>
  <si>
    <t>横浜市南区中里</t>
  </si>
  <si>
    <t>2-15 L401</t>
  </si>
  <si>
    <t>たかとりのりひと</t>
  </si>
  <si>
    <t>251-0057</t>
  </si>
  <si>
    <t>藤沢市城南</t>
  </si>
  <si>
    <t>3-1-33-1104</t>
  </si>
  <si>
    <t>とくもとなおと</t>
  </si>
  <si>
    <t>546-0033</t>
  </si>
  <si>
    <t>大阪市東住吉区南田辺</t>
  </si>
  <si>
    <t>5-27-13</t>
  </si>
  <si>
    <t>あきやまゆうた</t>
  </si>
  <si>
    <t>272-0143</t>
  </si>
  <si>
    <t>市川市相之川</t>
  </si>
  <si>
    <t>2-10-3リノア南行徳105号室</t>
  </si>
  <si>
    <t>さとうひろのり</t>
  </si>
  <si>
    <t>359-0023</t>
  </si>
  <si>
    <t>所沢市東所沢和田</t>
  </si>
  <si>
    <t>3-16-16</t>
  </si>
  <si>
    <t>ひろのきょうすけ</t>
  </si>
  <si>
    <t>338-0003</t>
  </si>
  <si>
    <t>さいたま市中央区</t>
  </si>
  <si>
    <t>本町東7-6-1グレイス与野107</t>
  </si>
  <si>
    <t>むらかみこういち</t>
  </si>
  <si>
    <t>178-0064</t>
  </si>
  <si>
    <t>練馬区南大泉</t>
  </si>
  <si>
    <t>4-40-18</t>
  </si>
  <si>
    <t>わさゆうき</t>
  </si>
  <si>
    <t>655-0052</t>
  </si>
  <si>
    <t>神戸市垂水区舞多聞東</t>
  </si>
  <si>
    <t>ひぐちゆうき</t>
  </si>
  <si>
    <t>440-0813</t>
  </si>
  <si>
    <t>豊橋市舟原町</t>
  </si>
  <si>
    <t>111-1</t>
  </si>
  <si>
    <t>たけいかついち</t>
  </si>
  <si>
    <t>215-0036</t>
  </si>
  <si>
    <t>川崎市麻生区はるひ野</t>
  </si>
  <si>
    <t>4-14-7</t>
  </si>
  <si>
    <t>ひろせゆうか</t>
  </si>
  <si>
    <t>612-8493</t>
  </si>
  <si>
    <t>京都市伏見区久我御旅町</t>
  </si>
  <si>
    <t>10-125</t>
  </si>
  <si>
    <t>おおがけあきひろ</t>
  </si>
  <si>
    <t>931-8433</t>
  </si>
  <si>
    <t>富山市</t>
  </si>
  <si>
    <t>針原中町290-1</t>
  </si>
  <si>
    <t>いとうだいき</t>
  </si>
  <si>
    <t>371-0822</t>
  </si>
  <si>
    <t>前橋市下新田町</t>
  </si>
  <si>
    <t>460-25</t>
  </si>
  <si>
    <t>にいかわかずみ</t>
  </si>
  <si>
    <t>194-0043</t>
  </si>
  <si>
    <t>町田市成瀬台</t>
  </si>
  <si>
    <t>2-40-4</t>
  </si>
  <si>
    <t>ごとうたかひろ</t>
  </si>
  <si>
    <t>395-0066</t>
  </si>
  <si>
    <t>飯田市羽場赤坂</t>
  </si>
  <si>
    <t>2062-6スカイハイツ赤坂A101</t>
  </si>
  <si>
    <t>いけなかみちよ</t>
  </si>
  <si>
    <t>564-0052</t>
  </si>
  <si>
    <t>吹田市広芝町</t>
  </si>
  <si>
    <t>4-18-407</t>
  </si>
  <si>
    <t>はかまたゆうすけ</t>
  </si>
  <si>
    <t>432-8005</t>
  </si>
  <si>
    <t>浜松市中央区神ケ谷町</t>
  </si>
  <si>
    <t>てづかまさと</t>
  </si>
  <si>
    <t>386-1106</t>
  </si>
  <si>
    <t>上田市</t>
  </si>
  <si>
    <t>小泉1062</t>
  </si>
  <si>
    <t>なりたもとよし</t>
  </si>
  <si>
    <t>565-0824</t>
  </si>
  <si>
    <t>吹田市山田西</t>
  </si>
  <si>
    <t>3-39-1</t>
  </si>
  <si>
    <t>こじまくにゆき</t>
  </si>
  <si>
    <t>892-0802</t>
  </si>
  <si>
    <t>鹿児島県</t>
  </si>
  <si>
    <t>鹿児島市清水町</t>
  </si>
  <si>
    <t>29-36-503</t>
  </si>
  <si>
    <t>C-00068371</t>
  </si>
  <si>
    <t>舟木伸吾</t>
  </si>
  <si>
    <t>ふなきしんご</t>
  </si>
  <si>
    <t>skdrive@hotmail.co.jp</t>
  </si>
  <si>
    <t>152-0002</t>
  </si>
  <si>
    <t>目黒区目黒本町</t>
  </si>
  <si>
    <t>5-30-19</t>
  </si>
  <si>
    <t>はしばきみやす</t>
  </si>
  <si>
    <t>021-0902</t>
  </si>
  <si>
    <t>岩手県</t>
  </si>
  <si>
    <t>一関市萩荘字江川３4ー１０</t>
  </si>
  <si>
    <t>パシフィックタウンAーD棟</t>
  </si>
  <si>
    <t>おのともひろ</t>
  </si>
  <si>
    <t>465-0083</t>
  </si>
  <si>
    <t>名古屋市名東区神丘町</t>
  </si>
  <si>
    <t>2-21-1パークシティ星ヶ丘2713</t>
  </si>
  <si>
    <t>みやはらたけし</t>
  </si>
  <si>
    <t>733-0815</t>
  </si>
  <si>
    <t>広島市西区己斐上4丁目33-24</t>
  </si>
  <si>
    <t>カミーリアA棟201</t>
  </si>
  <si>
    <t>はなしままゆみ</t>
  </si>
  <si>
    <t>262-0014</t>
  </si>
  <si>
    <t>千葉市花見川区さつきが丘</t>
  </si>
  <si>
    <t>1-14-7</t>
  </si>
  <si>
    <t>すがわらつよし</t>
  </si>
  <si>
    <t>565-0874</t>
  </si>
  <si>
    <t>吹田市古江台</t>
  </si>
  <si>
    <t>3-7-22-501</t>
  </si>
  <si>
    <t>かねこじゅんいちろう</t>
  </si>
  <si>
    <t>350-2201</t>
  </si>
  <si>
    <t>鶴ヶ島市富士見</t>
  </si>
  <si>
    <t>1-18-13</t>
  </si>
  <si>
    <t>もりしたまさし</t>
  </si>
  <si>
    <t>949-6211</t>
  </si>
  <si>
    <t>湯沢町</t>
  </si>
  <si>
    <t>1075-2</t>
  </si>
  <si>
    <t>にしのまさたか</t>
  </si>
  <si>
    <t>321-0904</t>
  </si>
  <si>
    <t>宇都宮市陽東７丁目１０－３７</t>
  </si>
  <si>
    <t>ディアコート陽東206号室</t>
  </si>
  <si>
    <t>すやましげあき</t>
  </si>
  <si>
    <t>194-0003</t>
  </si>
  <si>
    <t>町田市小川</t>
  </si>
  <si>
    <t>うちやままさこ</t>
  </si>
  <si>
    <t>169-0073</t>
  </si>
  <si>
    <t>新宿区百人町</t>
  </si>
  <si>
    <t>4-4-17-705</t>
  </si>
  <si>
    <t>くまざわかつあき</t>
  </si>
  <si>
    <t>113-0033</t>
  </si>
  <si>
    <t>文京区本郷</t>
  </si>
  <si>
    <t>1-25-25-801</t>
  </si>
  <si>
    <t>おおひらゆうや</t>
  </si>
  <si>
    <t>763-0065</t>
  </si>
  <si>
    <t>香川県</t>
  </si>
  <si>
    <t>丸亀市塩屋町</t>
  </si>
  <si>
    <t>2丁目15-4</t>
  </si>
  <si>
    <t>さいとうまさかず</t>
  </si>
  <si>
    <t>108-0073</t>
  </si>
  <si>
    <t>港区</t>
  </si>
  <si>
    <t>三田5-13-4-701</t>
  </si>
  <si>
    <t>やまはくゆうへい</t>
  </si>
  <si>
    <t>682-0023</t>
  </si>
  <si>
    <t>倉吉市山根415-1</t>
  </si>
  <si>
    <t>米田アパート2号</t>
  </si>
  <si>
    <t>くどうとしこ</t>
  </si>
  <si>
    <t>177-0045</t>
  </si>
  <si>
    <t>練馬区石神井台</t>
  </si>
  <si>
    <t>6-1-36</t>
  </si>
  <si>
    <t>なかのしゅんご</t>
  </si>
  <si>
    <t>830-0073</t>
  </si>
  <si>
    <t>久留米市大善寺町宮本</t>
  </si>
  <si>
    <t>2121 プリオーレ205号室</t>
  </si>
  <si>
    <t>みうらたいき</t>
  </si>
  <si>
    <t>緑2-18-14</t>
  </si>
  <si>
    <t>さかもとあつし</t>
  </si>
  <si>
    <t>590-0505</t>
  </si>
  <si>
    <t>泉南市信達大苗代６２</t>
  </si>
  <si>
    <t>泉南一丘団地38棟107号</t>
  </si>
  <si>
    <t>はしもとのぶひろ</t>
  </si>
  <si>
    <t>224-0006</t>
  </si>
  <si>
    <t>横浜市都築区荏田東</t>
  </si>
  <si>
    <t>4-42-11</t>
  </si>
  <si>
    <t>さくらばみきひこ</t>
  </si>
  <si>
    <t>242-0003</t>
  </si>
  <si>
    <t>大和市林間</t>
  </si>
  <si>
    <t>1丁目15-31-204</t>
  </si>
  <si>
    <t>はねだたかこ</t>
  </si>
  <si>
    <t>573-1121</t>
  </si>
  <si>
    <t>枚方市</t>
  </si>
  <si>
    <t>楠葉花園町11-3-1210</t>
  </si>
  <si>
    <t>なかのまさよし</t>
  </si>
  <si>
    <t>511-0912</t>
  </si>
  <si>
    <t>三重県</t>
  </si>
  <si>
    <t>桑名市星見ヶ丘</t>
  </si>
  <si>
    <t>5丁目102-2</t>
  </si>
  <si>
    <t>にったあきひさ</t>
  </si>
  <si>
    <t>177-0042</t>
  </si>
  <si>
    <t>練馬区下石神井</t>
  </si>
  <si>
    <t>5-13-6ライオンズ上井草レジデンス203</t>
  </si>
  <si>
    <t>さとうまさのり</t>
  </si>
  <si>
    <t>990-0812</t>
  </si>
  <si>
    <t>山形市千歳２－１５－３２</t>
  </si>
  <si>
    <t>2-15-32シャングリラ千歳305</t>
  </si>
  <si>
    <t>（退会済）3ヶ月会員（ライト）クレカ</t>
  </si>
  <si>
    <t>かしわざきひろき</t>
  </si>
  <si>
    <t>711-0911</t>
  </si>
  <si>
    <t>岡山県</t>
  </si>
  <si>
    <t>倉敷市</t>
  </si>
  <si>
    <t>児島小川4-8-1-55</t>
  </si>
  <si>
    <t>いしぐろおさむ</t>
  </si>
  <si>
    <t>231-0852</t>
  </si>
  <si>
    <t>横浜市中区西竹之丸</t>
  </si>
  <si>
    <t>こばやしけいこ</t>
  </si>
  <si>
    <t>213-0015</t>
  </si>
  <si>
    <t>川崎市高津区梶ヶ谷</t>
  </si>
  <si>
    <t>3-14-15-106</t>
  </si>
  <si>
    <t>まるもきよし</t>
  </si>
  <si>
    <t>651-2242</t>
  </si>
  <si>
    <t>神戸市西区井吹台東町３丁目</t>
  </si>
  <si>
    <t>26-19</t>
  </si>
  <si>
    <t>うちだかいと</t>
  </si>
  <si>
    <t>191-0053</t>
  </si>
  <si>
    <t>日野市豊田</t>
  </si>
  <si>
    <t>はっとりあきひこ</t>
  </si>
  <si>
    <t>614-8353</t>
  </si>
  <si>
    <t>八幡市</t>
  </si>
  <si>
    <t>西山丸尾5-4</t>
  </si>
  <si>
    <t>まつかわつよし</t>
  </si>
  <si>
    <t>191-0012</t>
  </si>
  <si>
    <t>日野市日野</t>
  </si>
  <si>
    <t>820 グレースコート205</t>
  </si>
  <si>
    <t>いちのせとしひこ</t>
  </si>
  <si>
    <t>859-3701</t>
  </si>
  <si>
    <t>長崎県</t>
  </si>
  <si>
    <t>東彼杵郡波佐見町湯無田郷</t>
  </si>
  <si>
    <t>1027-2 302号</t>
  </si>
  <si>
    <t>たかはしひろゆき</t>
  </si>
  <si>
    <t>937-0068</t>
  </si>
  <si>
    <t>魚津市本新</t>
  </si>
  <si>
    <t>751-1 ブリリアントハウス魚津B203</t>
  </si>
  <si>
    <t>すぎうらまさよし</t>
  </si>
  <si>
    <t>446-0034</t>
  </si>
  <si>
    <t>安城市</t>
  </si>
  <si>
    <t>南町10-21</t>
  </si>
  <si>
    <t>なかやまみずえ</t>
  </si>
  <si>
    <t>664-0858</t>
  </si>
  <si>
    <t>伊丹市西台1丁目7-10</t>
  </si>
  <si>
    <t>伊丹アイビーコート504</t>
  </si>
  <si>
    <t>おかだひろいち</t>
  </si>
  <si>
    <t>310-0847</t>
  </si>
  <si>
    <t>水戸市米沢町</t>
  </si>
  <si>
    <t>585-6</t>
  </si>
  <si>
    <t>おしだとおる</t>
  </si>
  <si>
    <t>289-1326</t>
  </si>
  <si>
    <t>山武市成東</t>
  </si>
  <si>
    <t>たなかりょう</t>
  </si>
  <si>
    <t>557-0034</t>
  </si>
  <si>
    <t>大阪市西成区松</t>
  </si>
  <si>
    <t>1-6-33</t>
  </si>
  <si>
    <t>ほったこうしろう</t>
  </si>
  <si>
    <t>173-0037</t>
  </si>
  <si>
    <t>板橋区</t>
  </si>
  <si>
    <t>しばたゆうすけ</t>
  </si>
  <si>
    <t>448-0852</t>
  </si>
  <si>
    <t>刈谷市住吉町</t>
  </si>
  <si>
    <t>1-11-1-305</t>
  </si>
  <si>
    <t>はらさなえ</t>
  </si>
  <si>
    <t>063-0061</t>
  </si>
  <si>
    <t>札幌市西区西町</t>
  </si>
  <si>
    <t>北15-2-1</t>
  </si>
  <si>
    <t>しばたゆか</t>
  </si>
  <si>
    <t>813-0041</t>
  </si>
  <si>
    <t>福岡市東区</t>
  </si>
  <si>
    <t>水谷3丁目1-17-2</t>
  </si>
  <si>
    <t>きだたくみ</t>
  </si>
  <si>
    <t>232-0033</t>
  </si>
  <si>
    <t>横浜市南区中村町１丁目</t>
  </si>
  <si>
    <t>66-23</t>
  </si>
  <si>
    <t>きもとたけし</t>
  </si>
  <si>
    <t>330-0074</t>
  </si>
  <si>
    <t>さいたま市浦和区北浦和</t>
  </si>
  <si>
    <t>3丁目 12-6ー203</t>
  </si>
  <si>
    <t>とみながしんご</t>
  </si>
  <si>
    <t>362-0075</t>
  </si>
  <si>
    <t>上尾市</t>
  </si>
  <si>
    <t>柏座1-2-3アゼリアシティ上尾3-703</t>
  </si>
  <si>
    <t>くぼたなおこ</t>
  </si>
  <si>
    <t>186-0004</t>
  </si>
  <si>
    <t>国立市</t>
  </si>
  <si>
    <t>中1-10-23 ファミール国立1002</t>
  </si>
  <si>
    <t>はまもとすみお</t>
  </si>
  <si>
    <t>722-0062</t>
  </si>
  <si>
    <t>広島県尾道市向東町</t>
  </si>
  <si>
    <t>たざわかずのり</t>
  </si>
  <si>
    <t>002-8074</t>
  </si>
  <si>
    <t>札幌市北区あいの里４条6丁目12-10</t>
  </si>
  <si>
    <t>一戸建</t>
  </si>
  <si>
    <t>たじまたかむね</t>
  </si>
  <si>
    <t>474-0073</t>
  </si>
  <si>
    <t>大府市東新町２－２２２</t>
  </si>
  <si>
    <t>ユートピア東新601号</t>
  </si>
  <si>
    <t>なかはらひろたか</t>
  </si>
  <si>
    <t>739-2615</t>
  </si>
  <si>
    <t>東広島市黒瀬春日野</t>
  </si>
  <si>
    <t>しろまひでゆき</t>
  </si>
  <si>
    <t>905-0018</t>
  </si>
  <si>
    <t>名護市</t>
  </si>
  <si>
    <t>大西四丁目6-20 204号</t>
  </si>
  <si>
    <t>やぶうちかずや</t>
  </si>
  <si>
    <t>455-0078</t>
  </si>
  <si>
    <t>名古屋市港区丸池町</t>
  </si>
  <si>
    <t>1-1-1 丸池荘4-404</t>
  </si>
  <si>
    <t>あきばゆうこ</t>
  </si>
  <si>
    <t>193-0944</t>
  </si>
  <si>
    <t>八王子市館町</t>
  </si>
  <si>
    <t>184-2</t>
  </si>
  <si>
    <t>こじまとおる</t>
  </si>
  <si>
    <t>663-8032</t>
  </si>
  <si>
    <t>西宮市高木西町</t>
  </si>
  <si>
    <t>14-8-301 ボヌールウエスト</t>
  </si>
  <si>
    <t>あおきゆうさく</t>
  </si>
  <si>
    <t>377-0004</t>
  </si>
  <si>
    <t>渋川市半田</t>
  </si>
  <si>
    <t>580-3デプレB104</t>
  </si>
  <si>
    <t>にしむらやすこ</t>
  </si>
  <si>
    <t>010-0341</t>
  </si>
  <si>
    <t>男鹿市船越字本町</t>
  </si>
  <si>
    <t>14番地</t>
  </si>
  <si>
    <t>かねだしげる</t>
  </si>
  <si>
    <t>990-0862</t>
  </si>
  <si>
    <t>山形市西江俣</t>
  </si>
  <si>
    <t>やまもとせいじ</t>
  </si>
  <si>
    <t>059-1306</t>
  </si>
  <si>
    <t>苫小牧市ウトナイ北6丁目</t>
  </si>
  <si>
    <t>11番地7号</t>
  </si>
  <si>
    <t>やまぐちえつこ</t>
  </si>
  <si>
    <t>321-0946</t>
  </si>
  <si>
    <t>宇都宮市東峰</t>
  </si>
  <si>
    <t>1-20-30</t>
  </si>
  <si>
    <t>つちはししげみ</t>
  </si>
  <si>
    <t>770-0942</t>
  </si>
  <si>
    <t>徳島市昭和町</t>
  </si>
  <si>
    <t>6-74-1 サーパス昭和町301</t>
  </si>
  <si>
    <t>いとうたかひろ</t>
  </si>
  <si>
    <t>480-1174</t>
  </si>
  <si>
    <t>長久手市</t>
  </si>
  <si>
    <t>東浦511</t>
  </si>
  <si>
    <t>月額会員（14,500円）(退会済）</t>
  </si>
  <si>
    <t>おかだゆきこ</t>
  </si>
  <si>
    <t>350-1151</t>
  </si>
  <si>
    <t>川越市今福</t>
  </si>
  <si>
    <t>1111-10</t>
  </si>
  <si>
    <t>C-00068156</t>
  </si>
  <si>
    <t>浅見浩平</t>
  </si>
  <si>
    <t>あさみこうへい</t>
  </si>
  <si>
    <t>asami111227@gmail.com</t>
  </si>
  <si>
    <t>151-0062</t>
  </si>
  <si>
    <t>渋谷区</t>
  </si>
  <si>
    <t>たかだこうた</t>
  </si>
  <si>
    <t>456-0053</t>
  </si>
  <si>
    <t>名古屋市熱田区一番一丁目</t>
  </si>
  <si>
    <t>一丁目17-5アーバンドエル白鳥公園301</t>
  </si>
  <si>
    <t>かめいゆうすけ</t>
  </si>
  <si>
    <t>062-0055</t>
  </si>
  <si>
    <t>札幌市豊平区月寒東</t>
  </si>
  <si>
    <t>5条16丁目4-16</t>
  </si>
  <si>
    <t>すずきひろし</t>
  </si>
  <si>
    <t>180-0013</t>
  </si>
  <si>
    <t>武蔵野市西久保</t>
  </si>
  <si>
    <t>3-24-14</t>
  </si>
  <si>
    <t>いいじまともや</t>
  </si>
  <si>
    <t>193-0823</t>
  </si>
  <si>
    <t>八王子市</t>
  </si>
  <si>
    <t>横川町636-13</t>
  </si>
  <si>
    <t>にしおひでき</t>
  </si>
  <si>
    <t>465-0025</t>
  </si>
  <si>
    <t>名古屋市名東区上社</t>
  </si>
  <si>
    <t>2-74-1 大裕本郷ビル302</t>
  </si>
  <si>
    <t>さかもとひでき</t>
  </si>
  <si>
    <t>921-8044</t>
  </si>
  <si>
    <t>石川県</t>
  </si>
  <si>
    <t>金沢市米泉町</t>
  </si>
  <si>
    <t>10丁目1-60</t>
  </si>
  <si>
    <t>おおはしまい</t>
  </si>
  <si>
    <t>4丁目31-8タートル仲六郷505</t>
  </si>
  <si>
    <t>くまくらよしたか</t>
  </si>
  <si>
    <t>110-0014</t>
  </si>
  <si>
    <t>台東区北上野2-20-14</t>
  </si>
  <si>
    <t>ドラゴンマンション上野壱番館 1301</t>
  </si>
  <si>
    <t>さとうのぶひこ</t>
  </si>
  <si>
    <t>220-0011</t>
  </si>
  <si>
    <t>横浜市西区高島</t>
  </si>
  <si>
    <t>2-10-31グリフィン横浜東口弐番館505号</t>
  </si>
  <si>
    <t>いしばしゆきお</t>
  </si>
  <si>
    <t>314-0341</t>
  </si>
  <si>
    <t>神栖市矢田部</t>
  </si>
  <si>
    <t>7795-30</t>
  </si>
  <si>
    <t>ふかまちきみこ</t>
  </si>
  <si>
    <t>816-0952</t>
  </si>
  <si>
    <t>大野城市下大利</t>
  </si>
  <si>
    <t>1丁目17-18-803</t>
  </si>
  <si>
    <t>よしおかひろみ</t>
  </si>
  <si>
    <t>332-0015</t>
  </si>
  <si>
    <t>川口市川口</t>
  </si>
  <si>
    <t>1-3-1-305ライオンズマンション川口第5</t>
  </si>
  <si>
    <t>おがさわらたけひこ</t>
  </si>
  <si>
    <t>124-0024</t>
  </si>
  <si>
    <t>葛飾区</t>
  </si>
  <si>
    <t>新小岩4丁目5-12 ヴィラージュキヨミ 102号室</t>
  </si>
  <si>
    <t>ふなぼらひさと</t>
  </si>
  <si>
    <t>910-1137</t>
  </si>
  <si>
    <t>吉田郡永平寺町松岡観音</t>
  </si>
  <si>
    <t>3-107アイリスα203号</t>
  </si>
  <si>
    <t>はなだこうじ</t>
  </si>
  <si>
    <t>565-0812</t>
  </si>
  <si>
    <t>吹田市千里丘中</t>
  </si>
  <si>
    <t>ほりえまさずみ</t>
  </si>
  <si>
    <t>650-0022</t>
  </si>
  <si>
    <t>神戸市中央区元町通り</t>
  </si>
  <si>
    <t>5-4-3 元町アーバンライフ 519</t>
  </si>
  <si>
    <t>よしもとせいぎ</t>
  </si>
  <si>
    <t>420-0865</t>
  </si>
  <si>
    <t>静岡市葵区東草深町</t>
  </si>
  <si>
    <t>12番2号</t>
  </si>
  <si>
    <t>さいとうまさみ</t>
  </si>
  <si>
    <t>248-0014</t>
  </si>
  <si>
    <t>鎌倉市由比ガ浜</t>
  </si>
  <si>
    <t>2-11-2-403</t>
  </si>
  <si>
    <t>みちわきまり</t>
  </si>
  <si>
    <t>811-3112</t>
  </si>
  <si>
    <t>古賀市花見東2-1-23</t>
  </si>
  <si>
    <t>パースペクティブ古賀マテリア202</t>
  </si>
  <si>
    <t>たけざきよしきよ</t>
  </si>
  <si>
    <t>780-0928</t>
  </si>
  <si>
    <t>高知県</t>
  </si>
  <si>
    <t>高知市越前町</t>
  </si>
  <si>
    <t>1丁目6番24号</t>
  </si>
  <si>
    <t>さとみゆう</t>
  </si>
  <si>
    <t>510-0834</t>
  </si>
  <si>
    <t>四日市市ときわ5丁目</t>
  </si>
  <si>
    <t>4-42</t>
  </si>
  <si>
    <t>まつもとしょうへい</t>
  </si>
  <si>
    <t>370-0511</t>
  </si>
  <si>
    <t>邑楽郡大泉町北小泉</t>
  </si>
  <si>
    <t>のぐちひであき</t>
  </si>
  <si>
    <t>989-2441</t>
  </si>
  <si>
    <t>宮城県</t>
  </si>
  <si>
    <t>岩沼</t>
  </si>
  <si>
    <t>館下1-5-26-506</t>
  </si>
  <si>
    <t>むらばやしたかまさ</t>
  </si>
  <si>
    <t>536-0008</t>
  </si>
  <si>
    <t>大阪市</t>
  </si>
  <si>
    <t>城東区関目1-9-7</t>
  </si>
  <si>
    <t>かわべせいいちろう</t>
  </si>
  <si>
    <t>635-0036</t>
  </si>
  <si>
    <t>大和高田市旭北町</t>
  </si>
  <si>
    <t>8-35ピュアリーフ101号</t>
  </si>
  <si>
    <t>まつうらなおこ</t>
  </si>
  <si>
    <t>350-1114</t>
  </si>
  <si>
    <t>東田町</t>
  </si>
  <si>
    <t>11-27-107</t>
  </si>
  <si>
    <t>たけうちゆうだい</t>
  </si>
  <si>
    <t>365-0038</t>
  </si>
  <si>
    <t>鴻巣市</t>
  </si>
  <si>
    <t>本町1丁目7番地1-712号, ポレスター鴻巣駅前ガーデンズ</t>
  </si>
  <si>
    <t>かわむらおさむ</t>
  </si>
  <si>
    <t>197-0003</t>
  </si>
  <si>
    <t>福生市熊川354-1</t>
  </si>
  <si>
    <t>フェリーチェ101</t>
  </si>
  <si>
    <t>おちあいじゅんこ</t>
  </si>
  <si>
    <t>732-0804</t>
  </si>
  <si>
    <t>広島市南区西蟹屋</t>
  </si>
  <si>
    <t>3ー12ー29</t>
  </si>
  <si>
    <t>さいとうひさゆき</t>
  </si>
  <si>
    <t>359-1125</t>
  </si>
  <si>
    <t>所沢市南住吉</t>
  </si>
  <si>
    <t>22-18 ワコーレ所沢615号室</t>
  </si>
  <si>
    <t>さわむらたかし</t>
  </si>
  <si>
    <t>860-0085</t>
  </si>
  <si>
    <t>熊本県</t>
  </si>
  <si>
    <t>熊本市北区高平2丁目</t>
  </si>
  <si>
    <t>9-11, エトワール渡辺2  101号</t>
  </si>
  <si>
    <t>おいかわたいち</t>
  </si>
  <si>
    <t>182-0033</t>
  </si>
  <si>
    <t>調布市富士見町</t>
  </si>
  <si>
    <t>4-11-39</t>
  </si>
  <si>
    <t>かわはらとしひこ</t>
  </si>
  <si>
    <t>252-0176</t>
  </si>
  <si>
    <t>相模原市緑区寸沢嵐</t>
  </si>
  <si>
    <t>923-1</t>
  </si>
  <si>
    <t>かとうひろあき</t>
  </si>
  <si>
    <t>409-3803</t>
  </si>
  <si>
    <t>中央市若宮１－３</t>
  </si>
  <si>
    <t>ルークオーサ201</t>
  </si>
  <si>
    <t>あべしゅういち</t>
  </si>
  <si>
    <t>214-0034</t>
  </si>
  <si>
    <t>川崎市多摩区三田</t>
  </si>
  <si>
    <t>2-6-1-405</t>
  </si>
  <si>
    <t>ももせよしひさ</t>
  </si>
  <si>
    <t>503-0973</t>
  </si>
  <si>
    <t>岐阜県</t>
  </si>
  <si>
    <t>大垣市木戸町</t>
  </si>
  <si>
    <t>223-6</t>
  </si>
  <si>
    <t>いなだゆうじ</t>
  </si>
  <si>
    <t>760-0080</t>
  </si>
  <si>
    <t>高松市木太町2503番地</t>
  </si>
  <si>
    <t>サーパス木太第6、307</t>
  </si>
  <si>
    <t>いとうしんいち</t>
  </si>
  <si>
    <t>245-0061</t>
  </si>
  <si>
    <t>横浜市戸塚区汲沢</t>
  </si>
  <si>
    <t>3-22-14</t>
  </si>
  <si>
    <t>あらいやすひろ</t>
  </si>
  <si>
    <t>杉並区下井草</t>
  </si>
  <si>
    <t>5-19-22</t>
  </si>
  <si>
    <t>みやもとふきょう</t>
  </si>
  <si>
    <t>573-1112</t>
  </si>
  <si>
    <t>楠葉美咲3-3-1</t>
  </si>
  <si>
    <t>なかくらひでき</t>
  </si>
  <si>
    <t>168-0073</t>
  </si>
  <si>
    <t>杉並区下高井戸</t>
  </si>
  <si>
    <t>1-33-3</t>
  </si>
  <si>
    <t>たてのこうすけ</t>
  </si>
  <si>
    <t>270-0119</t>
  </si>
  <si>
    <t>流山市おおたかの森北</t>
  </si>
  <si>
    <t>1-11-1 パークホームズ流山B604</t>
  </si>
  <si>
    <t>くりはらまみ</t>
  </si>
  <si>
    <t>167-0075</t>
  </si>
  <si>
    <t>杉並区今川</t>
  </si>
  <si>
    <t>4-21-17</t>
  </si>
  <si>
    <t>ふじもとかずし</t>
  </si>
  <si>
    <t>272-0111</t>
  </si>
  <si>
    <t>市川市妙典</t>
  </si>
  <si>
    <t>3-20-6-202</t>
  </si>
  <si>
    <t>res_youtube_hamamoto</t>
  </si>
  <si>
    <t>とみもとやすゆき</t>
  </si>
  <si>
    <t>904-2231</t>
  </si>
  <si>
    <t>うるま市</t>
  </si>
  <si>
    <t>塩屋242</t>
  </si>
  <si>
    <t>たまきひろみ</t>
  </si>
  <si>
    <t>536-0015</t>
  </si>
  <si>
    <t>大阪市城東区新喜多</t>
  </si>
  <si>
    <t>さとうあつし</t>
  </si>
  <si>
    <t>191-0024</t>
  </si>
  <si>
    <t>日野市</t>
  </si>
  <si>
    <t>3-28-6 ロイヤルコートKay A107</t>
  </si>
  <si>
    <t>milliaka_youtube</t>
  </si>
  <si>
    <t>かじわらひでたか</t>
  </si>
  <si>
    <t>751-0806</t>
  </si>
  <si>
    <t>下関市一の宮町2丁目</t>
  </si>
  <si>
    <t>1-18 セントレーヴ新下関201号</t>
  </si>
  <si>
    <t>ちばまさし</t>
  </si>
  <si>
    <t>173-0003</t>
  </si>
  <si>
    <t>板橋区加賀</t>
  </si>
  <si>
    <t>2-16-1ー502</t>
  </si>
  <si>
    <t>まつもりなほこ</t>
  </si>
  <si>
    <t>192-0916</t>
  </si>
  <si>
    <t>八王子市みなみ野</t>
  </si>
  <si>
    <t>3-6-5ノーブル八王子ミナミ野209</t>
  </si>
  <si>
    <t>きむらてつや</t>
  </si>
  <si>
    <t>167-0051</t>
  </si>
  <si>
    <t>杉並区荻窪</t>
  </si>
  <si>
    <t>3-45-11</t>
  </si>
  <si>
    <t>みねぎしかよこ</t>
  </si>
  <si>
    <t>182-0036</t>
  </si>
  <si>
    <t>調布市飛田給</t>
  </si>
  <si>
    <t>1-49-6タウンハイツ調布301</t>
  </si>
  <si>
    <t>ひらいししげかず</t>
  </si>
  <si>
    <t>665-0072</t>
  </si>
  <si>
    <t>宝塚市千種</t>
  </si>
  <si>
    <t>まえかわしんじ</t>
  </si>
  <si>
    <t>277-0803</t>
  </si>
  <si>
    <t>柏市小青田3-1-6</t>
  </si>
  <si>
    <t>シャリエ柏タナカ602</t>
  </si>
  <si>
    <t>trnd_youtube</t>
  </si>
  <si>
    <t>ならもとゆういちろう</t>
  </si>
  <si>
    <t>812-0054</t>
  </si>
  <si>
    <t>福岡市東区馬出1丁目</t>
  </si>
  <si>
    <t>10番3号 リッチフィールド梓602号</t>
  </si>
  <si>
    <t>こにしたけし</t>
  </si>
  <si>
    <t>671-1156</t>
  </si>
  <si>
    <t>姫路市</t>
  </si>
  <si>
    <t>広畑区小坂139-9</t>
  </si>
  <si>
    <t>res_youtube_aiba</t>
  </si>
  <si>
    <t>はばらちはる</t>
  </si>
  <si>
    <t>721-0907</t>
  </si>
  <si>
    <t>福山市</t>
  </si>
  <si>
    <t>春日町7-1-30ヴェルディ・ソレイユ春日403</t>
  </si>
  <si>
    <t>すぎたゆうじ</t>
  </si>
  <si>
    <t>438-0077</t>
  </si>
  <si>
    <t>磐田市国府台</t>
  </si>
  <si>
    <t>110番地10</t>
  </si>
  <si>
    <t>res_youtube_aiba_line</t>
  </si>
  <si>
    <t>なかおかよしえ</t>
  </si>
  <si>
    <t>yoshi10311@outlook.jp</t>
  </si>
  <si>
    <t>671-1104</t>
  </si>
  <si>
    <t>姫路市広畑区才</t>
  </si>
  <si>
    <t>519-4</t>
  </si>
  <si>
    <t>あべしんや</t>
  </si>
  <si>
    <t>692-0014</t>
  </si>
  <si>
    <t>島根県</t>
  </si>
  <si>
    <t>安来市飯島町1772-1</t>
  </si>
  <si>
    <t>A-101</t>
  </si>
  <si>
    <t>こんどうようへい</t>
  </si>
  <si>
    <t>130-0011</t>
  </si>
  <si>
    <t>東京都墨田区石原</t>
  </si>
  <si>
    <t>3-7-6-603</t>
  </si>
  <si>
    <t>なかおまなぶ</t>
  </si>
  <si>
    <t>426-0066</t>
  </si>
  <si>
    <t>藤枝市青葉町</t>
  </si>
  <si>
    <t>4-4-14ドリームハイツA102</t>
  </si>
  <si>
    <t>ふくたみつひろ</t>
  </si>
  <si>
    <t>680-0526</t>
  </si>
  <si>
    <t>八頭郡八頭町日下部</t>
  </si>
  <si>
    <t>もちづきあつし</t>
  </si>
  <si>
    <t>417-0001</t>
  </si>
  <si>
    <t>富士市今泉</t>
  </si>
  <si>
    <t>たなべのぶたか</t>
  </si>
  <si>
    <t>657-0826</t>
  </si>
  <si>
    <t>神戸市灘区倉石通</t>
  </si>
  <si>
    <t>5-1-5-702</t>
  </si>
  <si>
    <t>さいとうえいすけ</t>
  </si>
  <si>
    <t>700-0080</t>
  </si>
  <si>
    <t>岡山市北区</t>
  </si>
  <si>
    <t>津島福居1-2-6</t>
  </si>
  <si>
    <t>さかぐちけいこ</t>
  </si>
  <si>
    <t>330-0043</t>
  </si>
  <si>
    <t>さいたま市浦和区大丁目丁目</t>
  </si>
  <si>
    <t>35番地9号</t>
  </si>
  <si>
    <t>やまもとよしたけ</t>
  </si>
  <si>
    <t>655-0894</t>
  </si>
  <si>
    <t>神戸市垂水区川原</t>
  </si>
  <si>
    <t>2丁目2番5号</t>
  </si>
  <si>
    <t>やまかわたかゆき</t>
  </si>
  <si>
    <t>196-0004</t>
  </si>
  <si>
    <t>昭島市緑町3丁目</t>
  </si>
  <si>
    <t>14-21</t>
  </si>
  <si>
    <t>はっとりひろふみ</t>
  </si>
  <si>
    <t>465-0077</t>
  </si>
  <si>
    <t>名古屋市港区入場1丁目</t>
  </si>
  <si>
    <t>306番地</t>
  </si>
  <si>
    <t>しばがきりゅうのすけ</t>
  </si>
  <si>
    <t>560-0054</t>
  </si>
  <si>
    <t>豊中市桜の町</t>
  </si>
  <si>
    <t>7-9-1-405</t>
  </si>
  <si>
    <t>C-00060223</t>
  </si>
  <si>
    <t>井上城太郎</t>
  </si>
  <si>
    <t>いのうえじょうたろう</t>
  </si>
  <si>
    <t>kingjo85ym@yahoo.ne.jp</t>
  </si>
  <si>
    <t>919-0223</t>
  </si>
  <si>
    <t>南条郡南越前町</t>
  </si>
  <si>
    <t>東大道34-6</t>
  </si>
  <si>
    <t>ごうだこうじ</t>
  </si>
  <si>
    <t>062-0031</t>
  </si>
  <si>
    <t>札幌市豊平区</t>
  </si>
  <si>
    <t>西岡一条5-6-5</t>
  </si>
  <si>
    <t>はまなよしまさ</t>
  </si>
  <si>
    <t>300-0013</t>
  </si>
  <si>
    <t>土浦市神立町</t>
  </si>
  <si>
    <t>ふくだとしかず</t>
  </si>
  <si>
    <t>120-0001</t>
  </si>
  <si>
    <t>足立区大谷田</t>
  </si>
  <si>
    <t>ながいゆうや</t>
  </si>
  <si>
    <t>575-0055</t>
  </si>
  <si>
    <t>四條畷市</t>
  </si>
  <si>
    <t>いわきまち</t>
  </si>
  <si>
    <t>814-0003</t>
  </si>
  <si>
    <t>福岡市早良区城西</t>
  </si>
  <si>
    <t>わたなべけんじ</t>
  </si>
  <si>
    <t>154-0017</t>
  </si>
  <si>
    <t>世田谷区世田谷</t>
  </si>
  <si>
    <t>1-17-18-102</t>
  </si>
  <si>
    <t>いしはらひろゆき</t>
  </si>
  <si>
    <t>491-0814</t>
  </si>
  <si>
    <t>一宮市千秋町小山</t>
  </si>
  <si>
    <t>字一町畑17</t>
  </si>
  <si>
    <t>さだまつこうじ</t>
  </si>
  <si>
    <t>851-3101</t>
  </si>
  <si>
    <t>長崎市西海町</t>
  </si>
  <si>
    <t>1691-12</t>
  </si>
  <si>
    <t>がもうひでとし</t>
  </si>
  <si>
    <t>665-0024</t>
  </si>
  <si>
    <t>宝塚市</t>
  </si>
  <si>
    <t>逆瀬台4-2-12</t>
  </si>
  <si>
    <t>あきもとやすひと</t>
  </si>
  <si>
    <t>590-0027</t>
  </si>
  <si>
    <t>堺市堺区榎元町</t>
  </si>
  <si>
    <t>1-6-7-2</t>
  </si>
  <si>
    <t>さかぐちのぶこ</t>
  </si>
  <si>
    <t>207-0002</t>
  </si>
  <si>
    <t>東大和市湖畔</t>
  </si>
  <si>
    <t>3-931-28</t>
  </si>
  <si>
    <t>しもがきよしこ</t>
  </si>
  <si>
    <t>160-0008</t>
  </si>
  <si>
    <t>新宿区四谷三栄町</t>
  </si>
  <si>
    <t>3-13 ライトビル501</t>
  </si>
  <si>
    <t>いのうえよしひろ</t>
  </si>
  <si>
    <t>720-0815</t>
  </si>
  <si>
    <t>福山市野上町</t>
  </si>
  <si>
    <t>3-2-4-704</t>
  </si>
  <si>
    <t>やまぐちよしこ</t>
  </si>
  <si>
    <t>855-0802</t>
  </si>
  <si>
    <t>島原市弁天町</t>
  </si>
  <si>
    <t>1-7418-203</t>
  </si>
  <si>
    <t>いのうえまさき</t>
  </si>
  <si>
    <t>699-0624</t>
  </si>
  <si>
    <t>出雲市斐川町上直江</t>
  </si>
  <si>
    <t>ふるかわともゆき</t>
  </si>
  <si>
    <t>361-0062</t>
  </si>
  <si>
    <t>行田市</t>
  </si>
  <si>
    <t>谷郷3-5 6-502</t>
  </si>
  <si>
    <t>すずきやすゆき</t>
  </si>
  <si>
    <t>260-0021</t>
  </si>
  <si>
    <t>千葉市中央区新宿</t>
  </si>
  <si>
    <t>2-6-14-1106</t>
  </si>
  <si>
    <t>おおよしじゅんこ</t>
  </si>
  <si>
    <t>336-0023</t>
  </si>
  <si>
    <t>さいたま市南区神明</t>
  </si>
  <si>
    <t>まつもとわたる</t>
  </si>
  <si>
    <t>899-5231</t>
  </si>
  <si>
    <t>姶良市加治木町反土</t>
  </si>
  <si>
    <t>2660-6スクエアK301</t>
  </si>
  <si>
    <t>ふしのこうへい</t>
  </si>
  <si>
    <t>652-0035</t>
  </si>
  <si>
    <t>神戸市兵庫区</t>
  </si>
  <si>
    <t>西多聞通1-1-4 ブエナビスタ神戸駅前1301</t>
  </si>
  <si>
    <t>まついたけし</t>
  </si>
  <si>
    <t>314-0146</t>
  </si>
  <si>
    <t>平泉2786-2 メゾン第一 E201</t>
  </si>
  <si>
    <t>だんよしまさひろ</t>
  </si>
  <si>
    <t>720-0083</t>
  </si>
  <si>
    <t>福山市久松台一丁目</t>
  </si>
  <si>
    <t>19番24号</t>
  </si>
  <si>
    <t>たなきのりお</t>
  </si>
  <si>
    <t>105-0001</t>
  </si>
  <si>
    <t>港区虎ノ門</t>
  </si>
  <si>
    <t>3-19-10-505</t>
  </si>
  <si>
    <t>いしだかつひろ</t>
  </si>
  <si>
    <t>480-1151</t>
  </si>
  <si>
    <t>久保山2106</t>
  </si>
  <si>
    <t>ふるやすすむ</t>
  </si>
  <si>
    <t>019-0701</t>
  </si>
  <si>
    <t>横手市増田町</t>
  </si>
  <si>
    <t>増田字館花64-5</t>
  </si>
  <si>
    <t>いけうちなおみ</t>
  </si>
  <si>
    <t>659-0087</t>
  </si>
  <si>
    <t>芦屋市三条町</t>
  </si>
  <si>
    <t>18-25</t>
  </si>
  <si>
    <t>かとうまさはる</t>
  </si>
  <si>
    <t>277-0827</t>
  </si>
  <si>
    <t>柏市松葉町</t>
  </si>
  <si>
    <t>4-7-6-301</t>
  </si>
  <si>
    <t>やまもとやすのり</t>
  </si>
  <si>
    <t>254-0075</t>
  </si>
  <si>
    <t>平塚市</t>
  </si>
  <si>
    <t>中原2-15-9</t>
  </si>
  <si>
    <t>いとうゆうや</t>
  </si>
  <si>
    <t>338-0002</t>
  </si>
  <si>
    <t>大字下落合1067-7-801</t>
  </si>
  <si>
    <t>たにおかのりこ</t>
  </si>
  <si>
    <t>570-0096</t>
  </si>
  <si>
    <t>守口市外島町</t>
  </si>
  <si>
    <t>2-6-502</t>
  </si>
  <si>
    <t>こはらけいじ</t>
  </si>
  <si>
    <t>854-0068</t>
  </si>
  <si>
    <t>諫早市青葉台</t>
  </si>
  <si>
    <t>まつばらしんぞう</t>
  </si>
  <si>
    <t>196-0003</t>
  </si>
  <si>
    <t>昭島市</t>
  </si>
  <si>
    <t>松原町1-1-1-808</t>
  </si>
  <si>
    <t>ささきひとみ</t>
  </si>
  <si>
    <t>063-0031</t>
  </si>
  <si>
    <t>西野1条3丁目4-1-402</t>
  </si>
  <si>
    <t>わたやかずき</t>
  </si>
  <si>
    <t>338-0823</t>
  </si>
  <si>
    <t>さいたま市桜区栄和</t>
  </si>
  <si>
    <t>いながきけいすけ</t>
  </si>
  <si>
    <t>432-8038</t>
  </si>
  <si>
    <t>浜松市中央区西伊場町</t>
  </si>
  <si>
    <t>ふかいひでお</t>
  </si>
  <si>
    <t>145-0063</t>
  </si>
  <si>
    <t>こじままさゆき</t>
  </si>
  <si>
    <t>227-0046</t>
  </si>
  <si>
    <t>横浜市青葉区</t>
  </si>
  <si>
    <t>タチバナ台1-6-23-104</t>
  </si>
  <si>
    <t>いしいやすし</t>
  </si>
  <si>
    <t>553-0005</t>
  </si>
  <si>
    <t>大阪市福島区野田</t>
  </si>
  <si>
    <t>4-1-40</t>
  </si>
  <si>
    <t>よねたにのぶゆき</t>
  </si>
  <si>
    <t>736-0014</t>
  </si>
  <si>
    <t>安芸郡海田町三迫一丁目</t>
  </si>
  <si>
    <t>15番3号</t>
  </si>
  <si>
    <t>はばしゅんいちろう</t>
  </si>
  <si>
    <t>272-0837</t>
  </si>
  <si>
    <t>市川市</t>
  </si>
  <si>
    <t>堀之内4-6-7サンライトスクウェア壱番館101</t>
  </si>
  <si>
    <t>（退会済）6ヶ月会員（ライト）クレカ</t>
  </si>
  <si>
    <t>C-00056036</t>
  </si>
  <si>
    <t>日比野高之</t>
  </si>
  <si>
    <t>ひびのたかゆき</t>
  </si>
  <si>
    <t>takayukyey@gmail.com</t>
  </si>
  <si>
    <t>467-0873</t>
  </si>
  <si>
    <t>名古屋市瑞穂区竹田町</t>
  </si>
  <si>
    <t>やまもとなおや</t>
  </si>
  <si>
    <t>500-8233</t>
  </si>
  <si>
    <t>岐阜市蔵前</t>
  </si>
  <si>
    <t>2丁目8-8 岡部ビレッジ602</t>
  </si>
  <si>
    <t>かわせくにひろ</t>
  </si>
  <si>
    <t>530-0038</t>
  </si>
  <si>
    <t>大阪市北区紅梅町</t>
  </si>
  <si>
    <t>1-22-203</t>
  </si>
  <si>
    <t>ごとういさお</t>
  </si>
  <si>
    <t>511-0902</t>
  </si>
  <si>
    <t>桑名市松ノ木</t>
  </si>
  <si>
    <t>8-7-37</t>
  </si>
  <si>
    <t>ひびのまさかず</t>
  </si>
  <si>
    <t>416-0945</t>
  </si>
  <si>
    <t>富士市中丸</t>
  </si>
  <si>
    <t>120-17</t>
  </si>
  <si>
    <t>わたなべたかゆき</t>
  </si>
  <si>
    <t>125-0035</t>
  </si>
  <si>
    <t>葛飾区南水元</t>
  </si>
  <si>
    <t>はやしけんたろう</t>
  </si>
  <si>
    <t>910-0246</t>
  </si>
  <si>
    <t>坂井市丸岡町</t>
  </si>
  <si>
    <t>西瓜屋</t>
  </si>
  <si>
    <t>おばらのぶつね</t>
  </si>
  <si>
    <t>143-0024</t>
  </si>
  <si>
    <t>大田区中央</t>
  </si>
  <si>
    <t>月額退会済</t>
  </si>
  <si>
    <t>みやざわたかし</t>
  </si>
  <si>
    <t>386-0003</t>
  </si>
  <si>
    <t>上野334-8</t>
  </si>
  <si>
    <t>たなかまり</t>
  </si>
  <si>
    <t>832-0813</t>
  </si>
  <si>
    <t>柳川市三橋町棚町</t>
  </si>
  <si>
    <t>697-3</t>
  </si>
  <si>
    <t>ひらなかけんた</t>
  </si>
  <si>
    <t>745-0805</t>
  </si>
  <si>
    <t>周南市櫛ヶ浜</t>
  </si>
  <si>
    <t>519-2</t>
  </si>
  <si>
    <t>くろいわかずき</t>
  </si>
  <si>
    <t>222-0003</t>
  </si>
  <si>
    <t>横浜市港北区大曽根</t>
  </si>
  <si>
    <t>2-28-11ラマージュ大倉山307</t>
  </si>
  <si>
    <t>いとうだいすけ</t>
  </si>
  <si>
    <t>038-3144</t>
  </si>
  <si>
    <t>青森県</t>
  </si>
  <si>
    <t>つがる市</t>
  </si>
  <si>
    <t>木造曙53-3</t>
  </si>
  <si>
    <t>なかしまゆうと</t>
  </si>
  <si>
    <t>463-0079</t>
  </si>
  <si>
    <t>名古屋市守山区幸心</t>
  </si>
  <si>
    <t>1-806 ボヌール幸心101</t>
  </si>
  <si>
    <t>うすいりゅうじ</t>
  </si>
  <si>
    <t>249-0008</t>
  </si>
  <si>
    <t>逗子市小坪</t>
  </si>
  <si>
    <t>5-17-3-504</t>
  </si>
  <si>
    <t>たにぐちしゅんいち</t>
  </si>
  <si>
    <t>134-0085</t>
  </si>
  <si>
    <t>江戸川区</t>
  </si>
  <si>
    <t>南葛西5-17-4-607</t>
  </si>
  <si>
    <t>もりおかゆかり</t>
  </si>
  <si>
    <t>640-8273</t>
  </si>
  <si>
    <t>和歌山市葵町</t>
  </si>
  <si>
    <t>たかぎひでこ</t>
  </si>
  <si>
    <t>654-0101</t>
  </si>
  <si>
    <t>神戸市須磨区白川字不計</t>
  </si>
  <si>
    <t>1-6-211</t>
  </si>
  <si>
    <t>えんどうしのぶ</t>
  </si>
  <si>
    <t>350-1335</t>
  </si>
  <si>
    <t>狭山市柏原</t>
  </si>
  <si>
    <t>3161-286狭山ニュータウン69-4</t>
  </si>
  <si>
    <t>おかだたけまさ</t>
  </si>
  <si>
    <t>520-3034</t>
  </si>
  <si>
    <t>栗東市</t>
  </si>
  <si>
    <t>小平井三丁目3-14</t>
  </si>
  <si>
    <t>ひのうえともゆき</t>
  </si>
  <si>
    <t>168-0081</t>
  </si>
  <si>
    <t>杉並区</t>
  </si>
  <si>
    <t>宮前4-15-4-2</t>
  </si>
  <si>
    <t>とよおかなつみ</t>
  </si>
  <si>
    <t>133-0061</t>
  </si>
  <si>
    <t>江戸川区篠崎町</t>
  </si>
  <si>
    <t>うだがわたかまさ</t>
  </si>
  <si>
    <t>272-0025</t>
  </si>
  <si>
    <t>市川市大和田</t>
  </si>
  <si>
    <t>5-15-24</t>
  </si>
  <si>
    <t>さかのゆい</t>
  </si>
  <si>
    <t>411-0025</t>
  </si>
  <si>
    <t>三島市壱町田</t>
  </si>
  <si>
    <t>195-14</t>
  </si>
  <si>
    <t>はまなかのぶなり</t>
  </si>
  <si>
    <t>279-0002</t>
  </si>
  <si>
    <t>浦安市北栄2-9-3</t>
  </si>
  <si>
    <t>ファレノプシス1-301</t>
  </si>
  <si>
    <t>かみたにりょうた</t>
  </si>
  <si>
    <t>143-0027</t>
  </si>
  <si>
    <t>中馬込2-9-3-1008</t>
  </si>
  <si>
    <t>なかむらりょうた</t>
  </si>
  <si>
    <t>669-3651</t>
  </si>
  <si>
    <t>丹波市氷上町氷上</t>
  </si>
  <si>
    <t>681-12</t>
  </si>
  <si>
    <t>かきしたひろゆき</t>
  </si>
  <si>
    <t>236-0052</t>
  </si>
  <si>
    <t>横浜市金沢区富岡西</t>
  </si>
  <si>
    <t>いけぐちたつろう</t>
  </si>
  <si>
    <t>857-0022</t>
  </si>
  <si>
    <t>佐世保市山手町</t>
  </si>
  <si>
    <t>21番24号</t>
  </si>
  <si>
    <t>つじいさお</t>
  </si>
  <si>
    <t>335-0025</t>
  </si>
  <si>
    <t>戸田市南町2-28</t>
  </si>
  <si>
    <t>エトワール南603</t>
  </si>
  <si>
    <t>うえむらけいぞう</t>
  </si>
  <si>
    <t>243-0437</t>
  </si>
  <si>
    <t>海老名市泉</t>
  </si>
  <si>
    <t>2-3-1 セントガーデン海老名110</t>
  </si>
  <si>
    <t>きむらもとのぶ</t>
  </si>
  <si>
    <t>531-0074</t>
  </si>
  <si>
    <t>大阪市北区本庄東</t>
  </si>
  <si>
    <t>たかぎかずてる</t>
  </si>
  <si>
    <t>812-0063</t>
  </si>
  <si>
    <t>久留米市西町</t>
  </si>
  <si>
    <t>672-2EREGHA花畑201</t>
  </si>
  <si>
    <t>あさだてるつぐ</t>
  </si>
  <si>
    <t>166-0015</t>
  </si>
  <si>
    <t>杉並区成田東</t>
  </si>
  <si>
    <t>4-3-2プラウドシティ阿佐ヶ谷フォレストB3-430</t>
  </si>
  <si>
    <t>なかがわふじこ</t>
  </si>
  <si>
    <t>256-0816</t>
  </si>
  <si>
    <t>小田原市酒匂</t>
  </si>
  <si>
    <t>1-25-40 DP西湘南第2 113号室</t>
  </si>
  <si>
    <t>うちがきゆう</t>
  </si>
  <si>
    <t>584-0073</t>
  </si>
  <si>
    <t>富田林市</t>
  </si>
  <si>
    <t>寺池台1-17-22</t>
  </si>
  <si>
    <t>おおさとひとし</t>
  </si>
  <si>
    <t>567-0048</t>
  </si>
  <si>
    <t>茨木市</t>
  </si>
  <si>
    <t>北春日丘4-9-37</t>
  </si>
  <si>
    <t>かねこみきや</t>
  </si>
  <si>
    <t>337-0005</t>
  </si>
  <si>
    <t>さいたま市見沼区</t>
  </si>
  <si>
    <t>大字小深作163</t>
  </si>
  <si>
    <t>こきどゆか</t>
  </si>
  <si>
    <t>802-0018</t>
  </si>
  <si>
    <t>北九州市小倉北区</t>
  </si>
  <si>
    <t>中津口2-1-10-202</t>
  </si>
  <si>
    <t>みやさかたいぞう</t>
  </si>
  <si>
    <t>299-1742</t>
  </si>
  <si>
    <t>富津市</t>
  </si>
  <si>
    <t>豊岡306</t>
  </si>
  <si>
    <t>つじもとじゅんこ</t>
  </si>
  <si>
    <t>うきたよしひで</t>
  </si>
  <si>
    <t>183-0043</t>
  </si>
  <si>
    <t>府中市</t>
  </si>
  <si>
    <t>東芝町1-64 エフユニバース218</t>
  </si>
  <si>
    <t>まさきのりみつ</t>
  </si>
  <si>
    <t>010-0803</t>
  </si>
  <si>
    <t>秋田市</t>
  </si>
  <si>
    <t>外旭川八柳2-13-12</t>
  </si>
  <si>
    <t>みよしかおり</t>
  </si>
  <si>
    <t>194-0014</t>
  </si>
  <si>
    <t>町田市高ケ坂</t>
  </si>
  <si>
    <t>6-19-19</t>
  </si>
  <si>
    <t>ねもとりょうこ</t>
  </si>
  <si>
    <t>157-0072</t>
  </si>
  <si>
    <t>世田谷区祖師谷</t>
  </si>
  <si>
    <t>5ー32ー36</t>
  </si>
  <si>
    <t>ひたかじゅんいち</t>
  </si>
  <si>
    <t>761-8071</t>
  </si>
  <si>
    <t>高松市伏石町</t>
  </si>
  <si>
    <t>1085番地</t>
  </si>
  <si>
    <t>やまぐちひでこ</t>
  </si>
  <si>
    <t>732-0055</t>
  </si>
  <si>
    <t>広島市東区東蟹屋町</t>
  </si>
  <si>
    <t>16-39-1409</t>
  </si>
  <si>
    <t>さのこうじ</t>
  </si>
  <si>
    <t>186-0001</t>
  </si>
  <si>
    <t>国立市北</t>
  </si>
  <si>
    <t>3-17-20</t>
  </si>
  <si>
    <t>あおきひろゆき</t>
  </si>
  <si>
    <t>221-0844</t>
  </si>
  <si>
    <t>横浜市神奈川区沢渡</t>
  </si>
  <si>
    <t>65-14</t>
  </si>
  <si>
    <t>おがわみき</t>
  </si>
  <si>
    <t>154-0023</t>
  </si>
  <si>
    <t>世田谷区若林３丁目</t>
  </si>
  <si>
    <t>15-21</t>
  </si>
  <si>
    <t>むらきたかし</t>
  </si>
  <si>
    <t>216-0035</t>
  </si>
  <si>
    <t>川崎市宮前区馬絹</t>
  </si>
  <si>
    <t>6-9-35</t>
  </si>
  <si>
    <t>なかえませいや</t>
  </si>
  <si>
    <t>440-0012</t>
  </si>
  <si>
    <t>豊橋市</t>
  </si>
  <si>
    <t>東小鷹野1-19-13</t>
  </si>
  <si>
    <t>まがらえり</t>
  </si>
  <si>
    <t>158-0082</t>
  </si>
  <si>
    <t>世田谷区等々力</t>
  </si>
  <si>
    <t>1-15-12-402</t>
  </si>
  <si>
    <t>やかわひろみ</t>
  </si>
  <si>
    <t>543-0037</t>
  </si>
  <si>
    <t>大阪市天王寺区上之宮町４－４０</t>
  </si>
  <si>
    <t>上之宮台ハイツ602号</t>
  </si>
  <si>
    <t>ささきともこ</t>
  </si>
  <si>
    <t>272-0034</t>
  </si>
  <si>
    <t>市川1-26-1-501</t>
  </si>
  <si>
    <t>さなだたかこ</t>
  </si>
  <si>
    <t>819-0036</t>
  </si>
  <si>
    <t>福岡市西区吉武</t>
  </si>
  <si>
    <t>831-9</t>
  </si>
  <si>
    <t>みやたひろふみ</t>
  </si>
  <si>
    <t>222-0037</t>
  </si>
  <si>
    <t>横浜市港北区大倉山</t>
  </si>
  <si>
    <t>7-26-37</t>
  </si>
  <si>
    <t>みいけかずひろ</t>
  </si>
  <si>
    <t>929-0345</t>
  </si>
  <si>
    <t>河北郡津幡町</t>
  </si>
  <si>
    <t>太田ロ 41-5</t>
  </si>
  <si>
    <t>C-00054078</t>
  </si>
  <si>
    <t>大久保陽子</t>
  </si>
  <si>
    <t>おおくぼようこ</t>
  </si>
  <si>
    <t>yoko178121@gmail.com</t>
  </si>
  <si>
    <t>157-0066</t>
  </si>
  <si>
    <t>世田谷区</t>
  </si>
  <si>
    <t>成城3丁目4-3 パークコート成城309</t>
  </si>
  <si>
    <t>ながしまやすひろ</t>
  </si>
  <si>
    <t>532-0003</t>
  </si>
  <si>
    <t>大阪市淀川区宮原1丁目</t>
  </si>
  <si>
    <t>16-28パルムハウス新大阪904</t>
  </si>
  <si>
    <t>ふるかわたかひろ</t>
  </si>
  <si>
    <t>761-8045</t>
  </si>
  <si>
    <t>高松市西山崎町</t>
  </si>
  <si>
    <t>あさひあきひろ</t>
  </si>
  <si>
    <t>923-0972</t>
  </si>
  <si>
    <t>小松市月津町</t>
  </si>
  <si>
    <t>ナ51ー7</t>
  </si>
  <si>
    <t>もりたてつや</t>
  </si>
  <si>
    <t>573-0052</t>
  </si>
  <si>
    <t>枚方市枚方元町</t>
  </si>
  <si>
    <t>6-20-718</t>
  </si>
  <si>
    <t>くさはらしゅういちろう</t>
  </si>
  <si>
    <t>大阪市城東区</t>
  </si>
  <si>
    <t>関目3-2-18プライマリーライフ関目302号</t>
  </si>
  <si>
    <t>にしごおりひでとし</t>
  </si>
  <si>
    <t>003-0022</t>
  </si>
  <si>
    <t>札幌市白石区南郷通19丁目南2-28</t>
  </si>
  <si>
    <t>クリオレジダンス南郷緑邸イースト102</t>
  </si>
  <si>
    <t>せこひろゆき</t>
  </si>
  <si>
    <t>510-0018</t>
  </si>
  <si>
    <t>四日市市白須賀</t>
  </si>
  <si>
    <t>さくらいかずき</t>
  </si>
  <si>
    <t>961-8061</t>
  </si>
  <si>
    <t>西白河郡西郷村小田倉前山</t>
  </si>
  <si>
    <t>125-56アストハイツA203</t>
  </si>
  <si>
    <t>たいらかつひこ</t>
  </si>
  <si>
    <t>214-0023</t>
  </si>
  <si>
    <t>川崎市多摩区長尾</t>
  </si>
  <si>
    <t>7-30-10</t>
  </si>
  <si>
    <t>くさののりお</t>
  </si>
  <si>
    <t>651-2102</t>
  </si>
  <si>
    <t>神戸市西区学園東町２丁目</t>
  </si>
  <si>
    <t>5-42</t>
  </si>
  <si>
    <t>よしだひでこ</t>
  </si>
  <si>
    <t>170-0013</t>
  </si>
  <si>
    <t>豊島区東池袋</t>
  </si>
  <si>
    <t>3-21-21-3005</t>
  </si>
  <si>
    <t>ひろかわゆうだい</t>
  </si>
  <si>
    <t>003-0021</t>
  </si>
  <si>
    <t>札幌市白石区</t>
  </si>
  <si>
    <t>栄通1丁目6番19-107号</t>
  </si>
  <si>
    <t>いわやこずえ</t>
  </si>
  <si>
    <t>662-0825</t>
  </si>
  <si>
    <t>西宮市門戸荘</t>
  </si>
  <si>
    <t>14-10-1F</t>
  </si>
  <si>
    <t>よしむらゆか</t>
  </si>
  <si>
    <t>515-0063</t>
  </si>
  <si>
    <t>松阪市大黒田町</t>
  </si>
  <si>
    <t>413-16</t>
  </si>
  <si>
    <t>かめやままい</t>
  </si>
  <si>
    <t>586-0017</t>
  </si>
  <si>
    <t>河内長野市</t>
  </si>
  <si>
    <t>古野町5-41-105</t>
  </si>
  <si>
    <t>ますだえいじ</t>
  </si>
  <si>
    <t>599-8123</t>
  </si>
  <si>
    <t>堺市東区北野田</t>
  </si>
  <si>
    <t>1000-108</t>
  </si>
  <si>
    <t>うえだのぼる</t>
  </si>
  <si>
    <t>418-0022</t>
  </si>
  <si>
    <t>富士宮市小泉</t>
  </si>
  <si>
    <t>1485-21</t>
  </si>
  <si>
    <t>しゅみやよういち</t>
  </si>
  <si>
    <t>491-0912</t>
  </si>
  <si>
    <t>一宮市</t>
  </si>
  <si>
    <t>新生3丁目10番21-302 サンリット一番館</t>
  </si>
  <si>
    <t>さわやかずひろ</t>
  </si>
  <si>
    <t>592-8344</t>
  </si>
  <si>
    <t>堺市西区浜寺南町</t>
  </si>
  <si>
    <t>1-40-10</t>
  </si>
  <si>
    <t>なかがわあつし</t>
  </si>
  <si>
    <t>相模原市中央区共和</t>
  </si>
  <si>
    <t>1-3-33-102</t>
  </si>
  <si>
    <t>しぶやけいこ</t>
  </si>
  <si>
    <t>143-0026</t>
  </si>
  <si>
    <t>大田区西馬込</t>
  </si>
  <si>
    <t>1-2-15-405</t>
  </si>
  <si>
    <t>かたおかまさこ</t>
  </si>
  <si>
    <t>612-8307</t>
  </si>
  <si>
    <t>京都市伏見区景勝町</t>
  </si>
  <si>
    <t>31-5イニシア伏見706</t>
  </si>
  <si>
    <t>べっちゃくとしみ</t>
  </si>
  <si>
    <t>340-0006</t>
  </si>
  <si>
    <t>草加市八幡町</t>
  </si>
  <si>
    <t>まつうらふみひこ</t>
  </si>
  <si>
    <t>461-0002</t>
  </si>
  <si>
    <t>名古屋市東区代官町</t>
  </si>
  <si>
    <t>29-23 ラトゥール代官町10B</t>
  </si>
  <si>
    <t>いしわたりやすゆき</t>
  </si>
  <si>
    <t>104-0051</t>
  </si>
  <si>
    <t>中央区佃</t>
  </si>
  <si>
    <t>2-1-2-2108</t>
  </si>
  <si>
    <t>やまざきよしあき</t>
  </si>
  <si>
    <t>173-0004</t>
  </si>
  <si>
    <t>板橋区板橋</t>
  </si>
  <si>
    <t>2-41-9-504</t>
  </si>
  <si>
    <t>はまだたけし</t>
  </si>
  <si>
    <t>457-0007</t>
  </si>
  <si>
    <t>名古屋市南区駈上</t>
  </si>
  <si>
    <t>C-00053803</t>
  </si>
  <si>
    <t>日下部千尋</t>
  </si>
  <si>
    <t>くさかべちひろ</t>
  </si>
  <si>
    <t>chihiro1116med@yahoo.co.jp</t>
  </si>
  <si>
    <t>503-0936</t>
  </si>
  <si>
    <t>大垣市内原</t>
  </si>
  <si>
    <t>3-130-1</t>
  </si>
  <si>
    <t>かのうみさ</t>
  </si>
  <si>
    <t>509-5133</t>
  </si>
  <si>
    <t>土岐市泉神栄町</t>
  </si>
  <si>
    <t>2-48-803</t>
  </si>
  <si>
    <t>よしだのぶひろ</t>
  </si>
  <si>
    <t>359-1103</t>
  </si>
  <si>
    <t>所沢市向陽町</t>
  </si>
  <si>
    <t>2174A-403</t>
  </si>
  <si>
    <t>ごとうやすのぶ</t>
  </si>
  <si>
    <t>813-0017</t>
  </si>
  <si>
    <t>福岡市東区香椎照葉</t>
  </si>
  <si>
    <t>ながたそうじ</t>
  </si>
  <si>
    <t>615-8036</t>
  </si>
  <si>
    <t>京都市西京区下津林南大般若町</t>
  </si>
  <si>
    <t>ながきゆうこう</t>
  </si>
  <si>
    <t>332-0002</t>
  </si>
  <si>
    <t>川口市弥平</t>
  </si>
  <si>
    <t>1-15-12</t>
  </si>
  <si>
    <t>おおしろゆか</t>
  </si>
  <si>
    <t>904-2214</t>
  </si>
  <si>
    <t>安慶名3-30-21</t>
  </si>
  <si>
    <t>あいざわようた</t>
  </si>
  <si>
    <t>248-0024</t>
  </si>
  <si>
    <t>鎌倉市稲村ヶ崎</t>
  </si>
  <si>
    <t>ひらおかなおき</t>
  </si>
  <si>
    <t>171-0022</t>
  </si>
  <si>
    <t>豊島区南池袋</t>
  </si>
  <si>
    <t>2-45-2ブリリアタワー池袋1614号室</t>
  </si>
  <si>
    <t>いわだてまさかず</t>
  </si>
  <si>
    <t>133-0065</t>
  </si>
  <si>
    <t>江戸川区南篠崎町</t>
  </si>
  <si>
    <t>3-17-7</t>
  </si>
  <si>
    <t>てらかわしんり</t>
  </si>
  <si>
    <t>604-0011</t>
  </si>
  <si>
    <t>京都市中京区冷泉町</t>
  </si>
  <si>
    <t>58 サンマンションドゥーシェ室町冷泉町601</t>
  </si>
  <si>
    <t>C-00053739</t>
  </si>
  <si>
    <t>小林広海</t>
  </si>
  <si>
    <t>こばやしひろみ</t>
  </si>
  <si>
    <t>hiromihanamizukivivi@gmail.com</t>
  </si>
  <si>
    <t>664-0861</t>
  </si>
  <si>
    <t>伊丹市稲野町2丁目</t>
  </si>
  <si>
    <t>きくたけひろゆき</t>
  </si>
  <si>
    <t>849-0917</t>
  </si>
  <si>
    <t>佐賀県</t>
  </si>
  <si>
    <t>佐賀市高木瀬町長瀬</t>
  </si>
  <si>
    <t>1422-1</t>
  </si>
  <si>
    <t>ごとうなおこ</t>
  </si>
  <si>
    <t>880-0123</t>
  </si>
  <si>
    <t>宮崎県</t>
  </si>
  <si>
    <t>宮崎市芳士</t>
  </si>
  <si>
    <t>216-3</t>
  </si>
  <si>
    <t>いたやしげる</t>
  </si>
  <si>
    <t>102-0074</t>
  </si>
  <si>
    <t>千代田区</t>
  </si>
  <si>
    <t>九段南3-7-10 アーバンキューブ九段南402</t>
  </si>
  <si>
    <t>seminar_free_231021hl</t>
  </si>
  <si>
    <t>おかだかずひろ</t>
  </si>
  <si>
    <t>658-0063</t>
  </si>
  <si>
    <t>神戸市東灘区住吉山手</t>
  </si>
  <si>
    <t>4-9-2-3</t>
  </si>
  <si>
    <t>すずきくにこ</t>
  </si>
  <si>
    <t>526-0014</t>
  </si>
  <si>
    <t>長浜市</t>
  </si>
  <si>
    <t>口分田町446-20</t>
  </si>
  <si>
    <t>まつだせつこ</t>
  </si>
  <si>
    <t>814-0015</t>
  </si>
  <si>
    <t>福岡市</t>
  </si>
  <si>
    <t>早良区室見1-4-5-1003</t>
  </si>
  <si>
    <t>のぐちかずひこ</t>
  </si>
  <si>
    <t>176-0025</t>
  </si>
  <si>
    <t>練馬区中村南</t>
  </si>
  <si>
    <t>1-22-8 恒陽鷺宮マンション703</t>
  </si>
  <si>
    <t>だてあきら</t>
  </si>
  <si>
    <t>192-0375</t>
  </si>
  <si>
    <t>八王子市鑓水２－８１－２</t>
  </si>
  <si>
    <t>リンクソシエ南大沢513号</t>
  </si>
  <si>
    <t>きくちゆうじ</t>
  </si>
  <si>
    <t>337-0033</t>
  </si>
  <si>
    <t>さいたま市見沼区御蔵</t>
  </si>
  <si>
    <t>798-15</t>
  </si>
  <si>
    <t>やまだまさとし</t>
  </si>
  <si>
    <t>166-0016</t>
  </si>
  <si>
    <t>杉並区成田西</t>
  </si>
  <si>
    <t>2-18-16</t>
  </si>
  <si>
    <t>youtube_endo_book</t>
  </si>
  <si>
    <t>はやしかつや</t>
  </si>
  <si>
    <t>652-0043</t>
  </si>
  <si>
    <t>神戸市兵庫区会下山町2丁目</t>
  </si>
  <si>
    <t>すぎたとしお</t>
  </si>
  <si>
    <t>376-0013</t>
  </si>
  <si>
    <t>桐生市広沢町</t>
  </si>
  <si>
    <t>6-949-8</t>
  </si>
  <si>
    <t>はっとりせいいち</t>
  </si>
  <si>
    <t>4-32-26</t>
  </si>
  <si>
    <t>いちかわゆういちろう</t>
  </si>
  <si>
    <t>130-0003</t>
  </si>
  <si>
    <t>墨田区</t>
  </si>
  <si>
    <t>横川1-1-5-501</t>
  </si>
  <si>
    <t>のむらあつみ</t>
  </si>
  <si>
    <t>211-0004</t>
  </si>
  <si>
    <t>川崎市中原区新丸子東</t>
  </si>
  <si>
    <t>3-1100-12ミッドスカイタワー5411号室</t>
  </si>
  <si>
    <t>うえのやすひと</t>
  </si>
  <si>
    <t>141-0022</t>
  </si>
  <si>
    <t>品川区</t>
  </si>
  <si>
    <t>東五反田1-10-11 パークハウスアーバンス東五反田1206</t>
  </si>
  <si>
    <t>さだのたかし</t>
  </si>
  <si>
    <t>596-0067</t>
  </si>
  <si>
    <t>岸和田市</t>
  </si>
  <si>
    <t>南町2-20</t>
  </si>
  <si>
    <t>ひぐちたくよし</t>
  </si>
  <si>
    <t>814-0103</t>
  </si>
  <si>
    <t>福岡市城南区鳥飼4-17-1</t>
  </si>
  <si>
    <t>ブランナールドゥワコー301</t>
  </si>
  <si>
    <t>おおしまひさゆき</t>
  </si>
  <si>
    <t>812-0014</t>
  </si>
  <si>
    <t>福岡市博多区比恵町</t>
  </si>
  <si>
    <t>17-12 サンシティ博多 902号</t>
  </si>
  <si>
    <t>ふじわらくみこ</t>
  </si>
  <si>
    <t>331-0823</t>
  </si>
  <si>
    <t>さいたま市北区日進町</t>
  </si>
  <si>
    <t>1-450-1-510</t>
  </si>
  <si>
    <t>のむらまさとし</t>
  </si>
  <si>
    <t>251-0015</t>
  </si>
  <si>
    <t>藤沢市川名</t>
  </si>
  <si>
    <t>181-18 セントラルウイングイースト607</t>
  </si>
  <si>
    <t>うすきちえ</t>
  </si>
  <si>
    <t>164-0012</t>
  </si>
  <si>
    <t>中野区本町6-9-5</t>
  </si>
  <si>
    <t>Apartmentナカナカ103</t>
  </si>
  <si>
    <t>C-00050552</t>
  </si>
  <si>
    <t>市川智美</t>
  </si>
  <si>
    <t>いちかわともみ</t>
  </si>
  <si>
    <t>kymo0926@gmail.com</t>
  </si>
  <si>
    <t>名古屋市名東区植園町</t>
  </si>
  <si>
    <t>2-1-2-302</t>
  </si>
  <si>
    <t>おおたけいこ</t>
  </si>
  <si>
    <t>234-0054</t>
  </si>
  <si>
    <t>横浜市港南区港南台</t>
  </si>
  <si>
    <t>7-23-7</t>
  </si>
  <si>
    <t>はやしこうすけ</t>
  </si>
  <si>
    <t>182-0023</t>
  </si>
  <si>
    <t>2-33-10マイキャッスル調布緑地公園304</t>
  </si>
  <si>
    <t>いとうひでとし</t>
  </si>
  <si>
    <t>567-0010</t>
  </si>
  <si>
    <t>山手台新町3-4-10</t>
  </si>
  <si>
    <t>はせがわよしはる</t>
  </si>
  <si>
    <t>329-0528</t>
  </si>
  <si>
    <t>河内郡上三川町</t>
  </si>
  <si>
    <t>ユウキガ丘76-15</t>
  </si>
  <si>
    <t>たけのひろのぶ</t>
  </si>
  <si>
    <t>530-0014</t>
  </si>
  <si>
    <t>大阪市北区</t>
  </si>
  <si>
    <t>鶴野町2ー30</t>
  </si>
  <si>
    <t>いいむらやすまさ</t>
  </si>
  <si>
    <t>213-0011</t>
  </si>
  <si>
    <t>川崎市高津区</t>
  </si>
  <si>
    <t>久本1-3-4ロイヤルシーズン溝ノ口CASA602</t>
  </si>
  <si>
    <t>money_forward2308</t>
  </si>
  <si>
    <t>にしぶけんじ</t>
  </si>
  <si>
    <t>460-0007</t>
  </si>
  <si>
    <t>名古屋市中区新栄</t>
  </si>
  <si>
    <t>2-11-25 エルミタージュ新栄401号</t>
  </si>
  <si>
    <t>やまがみまり</t>
  </si>
  <si>
    <t>113-1-304</t>
  </si>
  <si>
    <t>ぱくてす</t>
  </si>
  <si>
    <t>472-0053</t>
  </si>
  <si>
    <t>知立地南新地1丁目</t>
  </si>
  <si>
    <t>11-2 リバティ長篠202</t>
  </si>
  <si>
    <t>よしおかひろし</t>
  </si>
  <si>
    <t>2-10-25 大津マリー705</t>
  </si>
  <si>
    <t>いしばしともこ</t>
  </si>
  <si>
    <t>166-0013</t>
  </si>
  <si>
    <t>杉並区堀ノ内</t>
  </si>
  <si>
    <t>1-5-1 ハウスパーシモン201</t>
  </si>
  <si>
    <t>おかむらひとみ</t>
  </si>
  <si>
    <t>631-0001</t>
  </si>
  <si>
    <t>奈良市北登美ヶ丘</t>
  </si>
  <si>
    <t>はなぞのさやか</t>
  </si>
  <si>
    <t>164-0014</t>
  </si>
  <si>
    <t>中野区南台</t>
  </si>
  <si>
    <t>5-17-28ハイムローゼ402</t>
  </si>
  <si>
    <t>まえなかひろのり</t>
  </si>
  <si>
    <t>243-0401</t>
  </si>
  <si>
    <t>海老名市東柏ケ谷</t>
  </si>
  <si>
    <t>6-23-20-631</t>
  </si>
  <si>
    <t>youtube_hamamoto_book</t>
  </si>
  <si>
    <t>さなだひろみ</t>
  </si>
  <si>
    <t>929-0124</t>
  </si>
  <si>
    <t>能美市浜町</t>
  </si>
  <si>
    <t>リ69番地2</t>
  </si>
  <si>
    <t>えちごかずまさ</t>
  </si>
  <si>
    <t>920-0811</t>
  </si>
  <si>
    <t>金沢市小坂町西49</t>
  </si>
  <si>
    <t>第2パークハイム城北201</t>
  </si>
  <si>
    <t>こんどうとしあき</t>
  </si>
  <si>
    <t>152-0003</t>
  </si>
  <si>
    <t>目黒区</t>
  </si>
  <si>
    <t>碑文谷4-6-9-306</t>
  </si>
  <si>
    <t>ひぐちひろゆき</t>
  </si>
  <si>
    <t>八王子市鑓水2丁目</t>
  </si>
  <si>
    <t>82-1-801</t>
  </si>
  <si>
    <t>さかたみえこ</t>
  </si>
  <si>
    <t>683-0804</t>
  </si>
  <si>
    <t>米子市</t>
  </si>
  <si>
    <t>米原2-9-9</t>
  </si>
  <si>
    <t>かのうひろゆき</t>
  </si>
  <si>
    <t>509-0252</t>
  </si>
  <si>
    <t>可児市矢戸</t>
  </si>
  <si>
    <t>1445-29</t>
  </si>
  <si>
    <t>C-00046325</t>
  </si>
  <si>
    <t>安達航平</t>
  </si>
  <si>
    <t>あだちこうへい</t>
  </si>
  <si>
    <t>k.ka.0329@icloud.com</t>
  </si>
  <si>
    <t>812-0016</t>
  </si>
  <si>
    <t>福岡市博多区博多駅南</t>
  </si>
  <si>
    <t>3丁目</t>
  </si>
  <si>
    <t>おざわえいじ</t>
  </si>
  <si>
    <t>692-0017</t>
  </si>
  <si>
    <t>安来市</t>
  </si>
  <si>
    <t>下坂田町61-17</t>
  </si>
  <si>
    <t>すのうちよしえ</t>
  </si>
  <si>
    <t>354-0034</t>
  </si>
  <si>
    <t>富士見上沢</t>
  </si>
  <si>
    <t>ふなもとまさのぶ</t>
  </si>
  <si>
    <t>663-8165</t>
  </si>
  <si>
    <t>西宮市甲子園浦風町</t>
  </si>
  <si>
    <t>えがみみよし</t>
  </si>
  <si>
    <t>490-1405</t>
  </si>
  <si>
    <t>弥富市神戸</t>
  </si>
  <si>
    <t>まきひらかずき</t>
  </si>
  <si>
    <t>819-0006</t>
  </si>
  <si>
    <t>福岡市西区姪浜駅南</t>
  </si>
  <si>
    <t>4-16-22 ラプラージュ姪浜504</t>
  </si>
  <si>
    <t>やまだあきみ</t>
  </si>
  <si>
    <t>426-0087</t>
  </si>
  <si>
    <t>藤枝市音羽町3丁目</t>
  </si>
  <si>
    <t>23-13 リラフォート102号</t>
  </si>
  <si>
    <t>かわしまやえこ</t>
  </si>
  <si>
    <t>311-2423</t>
  </si>
  <si>
    <t>潮来市</t>
  </si>
  <si>
    <t>日ノ出2-25-16</t>
  </si>
  <si>
    <t>かわせかずひろ</t>
  </si>
  <si>
    <t>下目黒1-1-10プリヴェール目黒行人坂304</t>
  </si>
  <si>
    <t>とみながけいこ</t>
  </si>
  <si>
    <t>103-0027</t>
  </si>
  <si>
    <t>中央区日本橋</t>
  </si>
  <si>
    <t>1-18-9ガーラ日本橋1丁目801</t>
  </si>
  <si>
    <t>うちぼりひさのり</t>
  </si>
  <si>
    <t>274-0818</t>
  </si>
  <si>
    <t>船橋市緑台</t>
  </si>
  <si>
    <t>1-1-72</t>
  </si>
  <si>
    <t>みずたにたけし</t>
  </si>
  <si>
    <t>615-0922</t>
  </si>
  <si>
    <t>京都市右京区梅津前田町</t>
  </si>
  <si>
    <t>60-16</t>
  </si>
  <si>
    <t>しんかいやすのり</t>
  </si>
  <si>
    <t>475-0828</t>
  </si>
  <si>
    <t>半田市瑞穂町</t>
  </si>
  <si>
    <t>やはしやすのり</t>
  </si>
  <si>
    <t>市川1-15-18プラウド市川マークス1401</t>
  </si>
  <si>
    <t>きたはらまさひこ</t>
  </si>
  <si>
    <t>949-5411</t>
  </si>
  <si>
    <t>長岡市来迎寺</t>
  </si>
  <si>
    <t>ぐんじふみお</t>
  </si>
  <si>
    <t>285-0845</t>
  </si>
  <si>
    <t>佐倉市</t>
  </si>
  <si>
    <t>西志津1-17ブライトアベニュー志津第一 5-205</t>
  </si>
  <si>
    <t>k_book</t>
  </si>
  <si>
    <t>おぐししんじ</t>
  </si>
  <si>
    <t>529-1431</t>
  </si>
  <si>
    <t>東近江市五個荘山本町</t>
  </si>
  <si>
    <t>おおむらけんすけ</t>
  </si>
  <si>
    <t>444-0864</t>
  </si>
  <si>
    <t>岡崎市明大寺町</t>
  </si>
  <si>
    <t>字義路45番地</t>
  </si>
  <si>
    <t>さだみつのりあき</t>
  </si>
  <si>
    <t>792-0032</t>
  </si>
  <si>
    <t>新居浜市政枝町</t>
  </si>
  <si>
    <t>1-4-10-201</t>
  </si>
  <si>
    <t>もりもとかずき</t>
  </si>
  <si>
    <t>630-0254</t>
  </si>
  <si>
    <t>生駒市東旭ヶ丘</t>
  </si>
  <si>
    <t>1-9ー305</t>
  </si>
  <si>
    <t>じんのうちひろき</t>
  </si>
  <si>
    <t>243-0005</t>
  </si>
  <si>
    <t>厚木市</t>
  </si>
  <si>
    <t>松枝1-4-2レックスハイツ本厚木307</t>
  </si>
  <si>
    <t>たなかやすゆき</t>
  </si>
  <si>
    <t>167-0042</t>
  </si>
  <si>
    <t>杉並区西荻北</t>
  </si>
  <si>
    <t>2-7-2-305</t>
  </si>
  <si>
    <t>まえだひろゆき</t>
  </si>
  <si>
    <t>178-0063</t>
  </si>
  <si>
    <t>練馬区　東大泉5丁目</t>
  </si>
  <si>
    <t>さのかおる</t>
  </si>
  <si>
    <t>236-0033</t>
  </si>
  <si>
    <t>横浜市金沢区東朝比奈</t>
  </si>
  <si>
    <t>2-2-35-602</t>
  </si>
  <si>
    <t>たかはしひろあき</t>
  </si>
  <si>
    <t>277-0871</t>
  </si>
  <si>
    <t>柏市</t>
  </si>
  <si>
    <t>若柴276-1サウスマークタワー2802</t>
  </si>
  <si>
    <t>かねこきよたか</t>
  </si>
  <si>
    <t>710-0824</t>
  </si>
  <si>
    <t>白楽町300-13</t>
  </si>
  <si>
    <t>みむらけんいち</t>
  </si>
  <si>
    <t>680-0831</t>
  </si>
  <si>
    <t>鳥取市栄町</t>
  </si>
  <si>
    <t>313-12 カサ・リコ栄町606</t>
  </si>
  <si>
    <t>さとうしんすけ</t>
  </si>
  <si>
    <t>151-0053</t>
  </si>
  <si>
    <t>代々木1丁目21番16号 アジリア403</t>
  </si>
  <si>
    <t>はまぢたかし</t>
  </si>
  <si>
    <t>562-0001</t>
  </si>
  <si>
    <t>箕面市</t>
  </si>
  <si>
    <t>箕面4-2-15</t>
  </si>
  <si>
    <t>よしだたえこ</t>
  </si>
  <si>
    <t>811-2303</t>
  </si>
  <si>
    <t>粕屋町</t>
  </si>
  <si>
    <t>酒殿1-4-24</t>
  </si>
  <si>
    <t>やまもとじゅんこ</t>
  </si>
  <si>
    <t>419-0123</t>
  </si>
  <si>
    <t>田方郡函南町間宮</t>
  </si>
  <si>
    <t>865-10</t>
  </si>
  <si>
    <t>しのづかともこ</t>
  </si>
  <si>
    <t>182-0002</t>
  </si>
  <si>
    <t>調布市仙川町</t>
  </si>
  <si>
    <t>1-15-58 ネーズンビル4階</t>
  </si>
  <si>
    <t>はやしまさひろ</t>
  </si>
  <si>
    <t>275-0026</t>
  </si>
  <si>
    <t>習志野市谷津</t>
  </si>
  <si>
    <t>1-15-22-4203</t>
  </si>
  <si>
    <t>おがわなおき</t>
  </si>
  <si>
    <t>501-0122</t>
  </si>
  <si>
    <t>岐阜市江崎南</t>
  </si>
  <si>
    <t>おむらやすひろ</t>
  </si>
  <si>
    <t>893-0061</t>
  </si>
  <si>
    <t>鹿屋市上谷町</t>
  </si>
  <si>
    <t>13682-2</t>
  </si>
  <si>
    <t>はまざきまさこ</t>
  </si>
  <si>
    <t>273-0066</t>
  </si>
  <si>
    <t>横須賀市湘南鷹取</t>
  </si>
  <si>
    <t>5-45-53</t>
  </si>
  <si>
    <t>はしもとたかひろ</t>
  </si>
  <si>
    <t>591-8025</t>
  </si>
  <si>
    <t>堺市北区長曽根町</t>
  </si>
  <si>
    <t>609-7</t>
  </si>
  <si>
    <t>おおきこうじ</t>
  </si>
  <si>
    <t>220-0012</t>
  </si>
  <si>
    <t>横浜市西区みなとみらい</t>
  </si>
  <si>
    <t>4-9-2 D1512</t>
  </si>
  <si>
    <t>あくつゆたか</t>
  </si>
  <si>
    <t>211-0016</t>
  </si>
  <si>
    <t>川崎市中原区市ノ坪</t>
  </si>
  <si>
    <t>410-31パークスクエア武蔵小杉402</t>
  </si>
  <si>
    <t>もりしたかずき</t>
  </si>
  <si>
    <t>216-0002</t>
  </si>
  <si>
    <t>川崎市宮前区東有馬</t>
  </si>
  <si>
    <t>4-21-14-4</t>
  </si>
  <si>
    <t>たかはしじゅんこ</t>
  </si>
  <si>
    <t>409-1502</t>
  </si>
  <si>
    <t>北杜市大泉町谷戸</t>
  </si>
  <si>
    <t>ふじさきひさよ</t>
  </si>
  <si>
    <t>362-0047</t>
  </si>
  <si>
    <t>上尾市今泉</t>
  </si>
  <si>
    <t>352-11</t>
  </si>
  <si>
    <t>くだまつゆうこ</t>
  </si>
  <si>
    <t>859-3715</t>
  </si>
  <si>
    <t>東彼杵郡波佐見町</t>
  </si>
  <si>
    <t>宿郷3-1</t>
  </si>
  <si>
    <t>いだまきこ</t>
  </si>
  <si>
    <t>271-0064</t>
  </si>
  <si>
    <t>松戸市上本郷</t>
  </si>
  <si>
    <t>2246-10ディアハイム北松戸304</t>
  </si>
  <si>
    <t>みやざわぎょう</t>
  </si>
  <si>
    <t>520-2141</t>
  </si>
  <si>
    <t>大江8丁目479-1 グレースコーポⅢ 201</t>
  </si>
  <si>
    <t>かしわばけいこ</t>
  </si>
  <si>
    <t>216-0023</t>
  </si>
  <si>
    <t>川崎市</t>
  </si>
  <si>
    <t>宮前区ケヤキ平, 1-10-501</t>
  </si>
  <si>
    <t>おだともゆき</t>
  </si>
  <si>
    <t>659-0013</t>
  </si>
  <si>
    <t>芦屋市岩園町</t>
  </si>
  <si>
    <t>23-37</t>
  </si>
  <si>
    <t>ひだえいいち</t>
  </si>
  <si>
    <t>466-0812</t>
  </si>
  <si>
    <t>名古屋市昭和区八事富士見</t>
  </si>
  <si>
    <t>みよしようこ</t>
  </si>
  <si>
    <t>730-0813</t>
  </si>
  <si>
    <t>広島市中区住吉町</t>
  </si>
  <si>
    <t>8-14-402</t>
  </si>
  <si>
    <t>なるせあつこ</t>
  </si>
  <si>
    <t>字池下60番地 ミッドシティイクシア東岡崎203号</t>
  </si>
  <si>
    <t>こがわかな</t>
  </si>
  <si>
    <t>813-0043</t>
  </si>
  <si>
    <t>福岡市東区名島</t>
  </si>
  <si>
    <t>すえながしんや</t>
  </si>
  <si>
    <t>987-0511</t>
  </si>
  <si>
    <t>登米市迫町佐沼字鉄砲丁</t>
  </si>
  <si>
    <t>47番地2</t>
  </si>
  <si>
    <t>まえだゆかり</t>
  </si>
  <si>
    <t>590-0443</t>
  </si>
  <si>
    <t>泉南郡熊取町つばさが丘西</t>
  </si>
  <si>
    <t>いしいあきのり</t>
  </si>
  <si>
    <t>720-0811</t>
  </si>
  <si>
    <t>広島市南区段原2丁目13-16</t>
  </si>
  <si>
    <t>プレリュード段原901</t>
  </si>
  <si>
    <t>きたいたかひこ</t>
  </si>
  <si>
    <t>579-8027</t>
  </si>
  <si>
    <t>東大阪市東山町</t>
  </si>
  <si>
    <t>18-20</t>
  </si>
  <si>
    <t>じんぼとしや</t>
  </si>
  <si>
    <t>886-0004</t>
  </si>
  <si>
    <t>小林市</t>
  </si>
  <si>
    <t>細野1192-8</t>
  </si>
  <si>
    <t>よしだともひろ</t>
  </si>
  <si>
    <t>434-0036</t>
  </si>
  <si>
    <t>浜松市浜北区横須賀</t>
  </si>
  <si>
    <t>981-2 向日葵201</t>
  </si>
  <si>
    <t>C-00041204</t>
  </si>
  <si>
    <t>涌本幸志</t>
  </si>
  <si>
    <t>わくもとこうし</t>
  </si>
  <si>
    <t>koshi-wakumoto@outlook.jp</t>
  </si>
  <si>
    <t>586-0043</t>
  </si>
  <si>
    <t>河内長野市清見台</t>
  </si>
  <si>
    <t>4-13-23</t>
  </si>
  <si>
    <t>あがたなおかず</t>
  </si>
  <si>
    <t>530-0044</t>
  </si>
  <si>
    <t>大阪市北区東天満2-3-7</t>
  </si>
  <si>
    <t>ジオタワー南森町1408号</t>
  </si>
  <si>
    <t>かじわらりゅうた</t>
  </si>
  <si>
    <t>839-0863</t>
  </si>
  <si>
    <t>久留米市国分町</t>
  </si>
  <si>
    <t>1239-10</t>
  </si>
  <si>
    <t>かじもとただし</t>
  </si>
  <si>
    <t>270-2213</t>
  </si>
  <si>
    <t>五香6-33-8</t>
  </si>
  <si>
    <t>すずきたけし</t>
  </si>
  <si>
    <t>南篠崎町3-5-2-102</t>
  </si>
  <si>
    <t>はまのともお</t>
  </si>
  <si>
    <t>876-0843</t>
  </si>
  <si>
    <t>大分県</t>
  </si>
  <si>
    <t>佐伯市中の島</t>
  </si>
  <si>
    <t>2-13-7</t>
  </si>
  <si>
    <t>ふくだえみ</t>
  </si>
  <si>
    <t>720-0092</t>
  </si>
  <si>
    <t>福山市山手町</t>
  </si>
  <si>
    <t>おざわひでお</t>
  </si>
  <si>
    <t>287-0041</t>
  </si>
  <si>
    <t>香取市</t>
  </si>
  <si>
    <t>玉造2-3-14</t>
  </si>
  <si>
    <t>C-00040277</t>
  </si>
  <si>
    <t>佐野正典</t>
  </si>
  <si>
    <t>さのまさのり</t>
  </si>
  <si>
    <t>adg11111111110@gmail.com</t>
  </si>
  <si>
    <t>277-0054</t>
  </si>
  <si>
    <t>南増尾1-25-6</t>
  </si>
  <si>
    <t>やまぐちはるひで</t>
  </si>
  <si>
    <t>298-0004</t>
  </si>
  <si>
    <t>いすみ市</t>
  </si>
  <si>
    <t>大原9684</t>
  </si>
  <si>
    <t>ひらきよしき</t>
  </si>
  <si>
    <t>458-0919</t>
  </si>
  <si>
    <t>名古屋市緑区桶狭間神明319</t>
  </si>
  <si>
    <t>権平屋レオパレス204</t>
  </si>
  <si>
    <t>まっとりなおこ</t>
  </si>
  <si>
    <t>832-0069</t>
  </si>
  <si>
    <t>柳川市新外町</t>
  </si>
  <si>
    <t>いとうわたる</t>
  </si>
  <si>
    <t>010-0802</t>
  </si>
  <si>
    <t>外旭川字梶ノ目</t>
  </si>
  <si>
    <t>しのざきこうぞう</t>
  </si>
  <si>
    <t>430-0936</t>
  </si>
  <si>
    <t>浜松市中央区大工町</t>
  </si>
  <si>
    <t>63-1-1101</t>
  </si>
  <si>
    <t>あんどうとおる</t>
  </si>
  <si>
    <t>157-0073</t>
  </si>
  <si>
    <t>世田谷区砧</t>
  </si>
  <si>
    <t>6-26-26</t>
  </si>
  <si>
    <t>すずきなおと</t>
  </si>
  <si>
    <t>251-0024</t>
  </si>
  <si>
    <t>藤沢市鵠沼橘</t>
  </si>
  <si>
    <t>ひさだゆきまさ</t>
  </si>
  <si>
    <t>920-0942</t>
  </si>
  <si>
    <t>金沢市小立野</t>
  </si>
  <si>
    <t>1-14-18</t>
  </si>
  <si>
    <t>さくらいかよこ</t>
  </si>
  <si>
    <t>410-0311</t>
  </si>
  <si>
    <t>沼津市原町中</t>
  </si>
  <si>
    <t>かげなおや</t>
  </si>
  <si>
    <t>214-0012</t>
  </si>
  <si>
    <t>川崎市多摩区中野島</t>
  </si>
  <si>
    <t>1-25-11 ワンズファームⅢ 103</t>
  </si>
  <si>
    <t>たけうちのぶお</t>
  </si>
  <si>
    <t>川崎市宮前区馬絹4丁目</t>
  </si>
  <si>
    <t>16-24-305</t>
  </si>
  <si>
    <t>たけうちあきと</t>
  </si>
  <si>
    <t>444-0011</t>
  </si>
  <si>
    <t>欠町字東畑17-9</t>
  </si>
  <si>
    <t>ごんだたけのり</t>
  </si>
  <si>
    <t>440-0873</t>
  </si>
  <si>
    <t>小畷町415-3</t>
  </si>
  <si>
    <t>さわつがわまこと</t>
  </si>
  <si>
    <t>890-0061</t>
  </si>
  <si>
    <t>鹿児島市天保山町</t>
  </si>
  <si>
    <t>23-1 ロフティ天保山公園1506号</t>
  </si>
  <si>
    <t>くろすなおこ</t>
  </si>
  <si>
    <t>464-0806</t>
  </si>
  <si>
    <t>名古屋市千種区唐山町</t>
  </si>
  <si>
    <t>trnd_</t>
  </si>
  <si>
    <t>ひらさわあけみ</t>
  </si>
  <si>
    <t>182-0022</t>
  </si>
  <si>
    <t>調布市国領町</t>
  </si>
  <si>
    <t>res_youtube_book</t>
  </si>
  <si>
    <t>かどやいずみ</t>
  </si>
  <si>
    <t>港区高輪3-8-14-603</t>
  </si>
  <si>
    <t>グランリビオ高輪三丁目603</t>
  </si>
  <si>
    <t>ひらいよしあき</t>
  </si>
  <si>
    <t>362-0034</t>
  </si>
  <si>
    <t>上尾市愛宕</t>
  </si>
  <si>
    <t>1-2-7NK上尾ビル502</t>
  </si>
  <si>
    <t>さとうゆうや</t>
  </si>
  <si>
    <t>270-1331</t>
  </si>
  <si>
    <t>印西市牧の原4丁目</t>
  </si>
  <si>
    <t>17-61</t>
  </si>
  <si>
    <t>かいづゆきお</t>
  </si>
  <si>
    <t>190-0033</t>
  </si>
  <si>
    <t>立川市</t>
  </si>
  <si>
    <t>一番町6丁目3-1-59-507</t>
  </si>
  <si>
    <t>あかしゆうき</t>
  </si>
  <si>
    <t>211-0045</t>
  </si>
  <si>
    <t>川崎市中原区上新城</t>
  </si>
  <si>
    <t>1-3-28-206</t>
  </si>
  <si>
    <t>きぬがわひとし</t>
  </si>
  <si>
    <t>561-0802</t>
  </si>
  <si>
    <t>豊中市</t>
  </si>
  <si>
    <t>曽根東町1-6-18</t>
  </si>
  <si>
    <t>たなかよしの</t>
  </si>
  <si>
    <t>160-0002</t>
  </si>
  <si>
    <t>新宿区</t>
  </si>
  <si>
    <t>四谷坂町12-14-1001 インプレストコア四谷坂町</t>
  </si>
  <si>
    <t>すぎかわおさむ</t>
  </si>
  <si>
    <t>251-0035</t>
  </si>
  <si>
    <t>藤沢市片瀬海岸２丁目</t>
  </si>
  <si>
    <t>17-8-106</t>
  </si>
  <si>
    <t>えんどうりくや</t>
  </si>
  <si>
    <t>326-0328</t>
  </si>
  <si>
    <t>足利市県町</t>
  </si>
  <si>
    <t>1213-5</t>
  </si>
  <si>
    <t>おおたにたかふみ</t>
  </si>
  <si>
    <t>299-1117</t>
  </si>
  <si>
    <t>君津市宮下</t>
  </si>
  <si>
    <t>たかはしやすこ</t>
  </si>
  <si>
    <t>横浜市青葉区あざみ野4丁目</t>
  </si>
  <si>
    <t>さかいまさこ</t>
  </si>
  <si>
    <t>大阪市中央区東心斎橋</t>
  </si>
  <si>
    <t>すぎたなおや</t>
  </si>
  <si>
    <t>184-0005</t>
  </si>
  <si>
    <t>東京都小金井市桜町2-1-22</t>
  </si>
  <si>
    <t>Brillia小金井桜町405</t>
  </si>
  <si>
    <t>にしざわひでお</t>
  </si>
  <si>
    <t>192-0364</t>
  </si>
  <si>
    <t>八王子市南大沢</t>
  </si>
  <si>
    <t>5-9-7-305</t>
  </si>
  <si>
    <t>せきぐちゆきえ</t>
  </si>
  <si>
    <t>330-0855</t>
  </si>
  <si>
    <t>さいたま市大宮区上小町</t>
  </si>
  <si>
    <t>1140番地 コスモ大宮プレステージ604号</t>
  </si>
  <si>
    <t>くりはらまさひろ</t>
  </si>
  <si>
    <t>373-0035</t>
  </si>
  <si>
    <t>太田市藤久良町</t>
  </si>
  <si>
    <t>69-23</t>
  </si>
  <si>
    <t>C-00031624</t>
  </si>
  <si>
    <t>森口弘子</t>
  </si>
  <si>
    <t>もりぐちひろこ</t>
  </si>
  <si>
    <t>py7hbwxb-3a@gol.com</t>
  </si>
  <si>
    <t>595-0071</t>
  </si>
  <si>
    <t>泉大津市助松町</t>
  </si>
  <si>
    <t>さとうあきお</t>
  </si>
  <si>
    <t>212-0005</t>
  </si>
  <si>
    <t>川崎市幸区戸手</t>
  </si>
  <si>
    <t>4-12-1-1003</t>
  </si>
  <si>
    <t>とのがいせいご</t>
  </si>
  <si>
    <t>522-0038</t>
  </si>
  <si>
    <t>彦根市西沼波町</t>
  </si>
  <si>
    <t>711番地</t>
  </si>
  <si>
    <t>しみずひであき</t>
  </si>
  <si>
    <t>350-0043</t>
  </si>
  <si>
    <t>川越市新富町</t>
  </si>
  <si>
    <t>1-4-2 ライオンズ川越新富町901</t>
  </si>
  <si>
    <t>たにづめしゅうせい</t>
  </si>
  <si>
    <t>191-0011</t>
  </si>
  <si>
    <t>日野本町3-6-20 ボナール日野103</t>
  </si>
  <si>
    <t>さとうしんじ</t>
  </si>
  <si>
    <t>664-0007</t>
  </si>
  <si>
    <t>伊丹市北野</t>
  </si>
  <si>
    <t>2-98OMTビル2階</t>
  </si>
  <si>
    <t>ごとうよしゆき</t>
  </si>
  <si>
    <t>253-0025</t>
  </si>
  <si>
    <t>茅ヶ崎市松が丘</t>
  </si>
  <si>
    <t>2-5-46-27</t>
  </si>
  <si>
    <t>いとうゆきよ</t>
  </si>
  <si>
    <t>460-0012</t>
  </si>
  <si>
    <t>名古屋市中区千代田</t>
  </si>
  <si>
    <t>4-13-18</t>
  </si>
  <si>
    <t>おおいしまさひろ</t>
  </si>
  <si>
    <t>421-0414</t>
  </si>
  <si>
    <t>牧之原市</t>
  </si>
  <si>
    <t>勝俣2177-1</t>
  </si>
  <si>
    <t>おおだてけんじ</t>
  </si>
  <si>
    <t>300-1207</t>
  </si>
  <si>
    <t>牛久市</t>
  </si>
  <si>
    <t>ヒタチ野東4-5-1-105</t>
  </si>
  <si>
    <t>あらしたかゆき</t>
  </si>
  <si>
    <t>651-2243</t>
  </si>
  <si>
    <t>神戸市西区井吹台西町</t>
  </si>
  <si>
    <t>2-2-6-504</t>
  </si>
  <si>
    <t>ほりのなおや</t>
  </si>
  <si>
    <t>371-0221</t>
  </si>
  <si>
    <t>前橋市樋越町</t>
  </si>
  <si>
    <t>698-7</t>
  </si>
  <si>
    <t>銀振3ヶ月会員（14,500円）（退会済み）</t>
  </si>
  <si>
    <t>うりうえいいち</t>
  </si>
  <si>
    <t>573-0075</t>
  </si>
  <si>
    <t>枚方市東香里</t>
  </si>
  <si>
    <t>2-17-5</t>
  </si>
  <si>
    <t>きくちいくお</t>
  </si>
  <si>
    <t>240-0113</t>
  </si>
  <si>
    <t>三浦郡葉山町長柄</t>
  </si>
  <si>
    <t>1642-321</t>
  </si>
  <si>
    <t>あおやぎけいた</t>
  </si>
  <si>
    <t>272-0823</t>
  </si>
  <si>
    <t>市川市東菅野</t>
  </si>
  <si>
    <t>2-19-22</t>
  </si>
  <si>
    <t>すざきよしふみ</t>
  </si>
  <si>
    <t>760-0066</t>
  </si>
  <si>
    <t>高松市福岡町</t>
  </si>
  <si>
    <t>4-13-11</t>
  </si>
  <si>
    <t>おおやすたかよし</t>
  </si>
  <si>
    <t>064-0951</t>
  </si>
  <si>
    <t>札幌市中央区宮の森1条8丁目</t>
  </si>
  <si>
    <t>はるやぎけい</t>
  </si>
  <si>
    <t>270-2266</t>
  </si>
  <si>
    <t>松戸市常盤平西窪町</t>
  </si>
  <si>
    <t>まえだたくや</t>
  </si>
  <si>
    <t>177-0041</t>
  </si>
  <si>
    <t>練馬区石神井町</t>
  </si>
  <si>
    <t>3-30-14</t>
  </si>
  <si>
    <t>えりかわまさかず</t>
  </si>
  <si>
    <t>324-0045</t>
  </si>
  <si>
    <t>大田原市実取</t>
  </si>
  <si>
    <t>766-84</t>
  </si>
  <si>
    <t>たなかぎいち</t>
  </si>
  <si>
    <t>蕨市</t>
  </si>
  <si>
    <t>中央4-10-17</t>
  </si>
  <si>
    <t>いとうまき</t>
  </si>
  <si>
    <t>029-2205</t>
  </si>
  <si>
    <t>陸前高田市</t>
  </si>
  <si>
    <t>高田町字鳴石50-26</t>
  </si>
  <si>
    <t>しろただいすけ</t>
  </si>
  <si>
    <t>224-0029</t>
  </si>
  <si>
    <t>横浜市都筑区南山田</t>
  </si>
  <si>
    <t>2-24-1-205</t>
  </si>
  <si>
    <t>かねたともき</t>
  </si>
  <si>
    <t>965-0853</t>
  </si>
  <si>
    <t>会津若松市材木町</t>
  </si>
  <si>
    <t>1-9-118</t>
  </si>
  <si>
    <t>さめしまつねたか</t>
  </si>
  <si>
    <t>419-0111</t>
  </si>
  <si>
    <t>田方郡函南町畑毛</t>
  </si>
  <si>
    <t>698-260</t>
  </si>
  <si>
    <t>やまだひろし</t>
  </si>
  <si>
    <t>460-0024</t>
  </si>
  <si>
    <t>名古屋市中区正木</t>
  </si>
  <si>
    <t>くにえだようこ</t>
  </si>
  <si>
    <t>106-0032</t>
  </si>
  <si>
    <t>六本木5-11-38-801</t>
  </si>
  <si>
    <t>C-00028250</t>
  </si>
  <si>
    <t>北浦かいね</t>
  </si>
  <si>
    <t>きたうらかいね</t>
  </si>
  <si>
    <t>k3.orimirai-0218@i.softbank.jp</t>
  </si>
  <si>
    <t>473-0924</t>
  </si>
  <si>
    <t>豊田市花園町花園台</t>
  </si>
  <si>
    <t>ほりのうちちあき</t>
  </si>
  <si>
    <t>890-0031</t>
  </si>
  <si>
    <t>鹿児島市</t>
  </si>
  <si>
    <t>武岡1丁目110-17</t>
  </si>
  <si>
    <t>やまむらみつのぶ</t>
  </si>
  <si>
    <t>920-0902</t>
  </si>
  <si>
    <t>金沢市尾張町</t>
  </si>
  <si>
    <t>1丁目9番28号, トーカンマンション尾張町701</t>
  </si>
  <si>
    <t>やまもとしげいち</t>
  </si>
  <si>
    <t>399-3303</t>
  </si>
  <si>
    <t>下伊那郡松川町元大島</t>
  </si>
  <si>
    <t>1801番地1ソフィアケート松川202</t>
  </si>
  <si>
    <t>えびさわゆうぞう</t>
  </si>
  <si>
    <t>177-0044</t>
  </si>
  <si>
    <t>練馬区上石神井</t>
  </si>
  <si>
    <t>2-20-5 ウエスト201号</t>
  </si>
  <si>
    <t>ほりやまみ</t>
  </si>
  <si>
    <t>108-0023</t>
  </si>
  <si>
    <t>港区芝浦</t>
  </si>
  <si>
    <t>4-5-13コンフォリア田町505</t>
  </si>
  <si>
    <t>たちかわたいち</t>
  </si>
  <si>
    <t>350-1203</t>
  </si>
  <si>
    <t>日高市旭ヶ丘</t>
  </si>
  <si>
    <t>632-5</t>
  </si>
  <si>
    <t>なかむらやすし</t>
  </si>
  <si>
    <t>510-0007</t>
  </si>
  <si>
    <t>四日市市</t>
  </si>
  <si>
    <t>別名6-8-9</t>
  </si>
  <si>
    <t>なかみちまさよし</t>
  </si>
  <si>
    <t>570-0045</t>
  </si>
  <si>
    <t>守口市南寺方中通</t>
  </si>
  <si>
    <t>きたやまたくま</t>
  </si>
  <si>
    <t>709-0824</t>
  </si>
  <si>
    <t>赤磐市穂崎</t>
  </si>
  <si>
    <t>trnd_lv3</t>
  </si>
  <si>
    <t>のざきこうじ</t>
  </si>
  <si>
    <t>243-0035</t>
  </si>
  <si>
    <t>厚木市愛甲</t>
  </si>
  <si>
    <t>ひとみしんじ</t>
  </si>
  <si>
    <t>561-0804</t>
  </si>
  <si>
    <t>豊中市曽根南町</t>
  </si>
  <si>
    <t>2丁目16-5-506</t>
  </si>
  <si>
    <t>いわはしりゅうし</t>
  </si>
  <si>
    <t>843-0024</t>
  </si>
  <si>
    <t>武雄市武雄町</t>
  </si>
  <si>
    <t>大字富岡340</t>
  </si>
  <si>
    <t>まつもとしゅうじ</t>
  </si>
  <si>
    <t>787-0051</t>
  </si>
  <si>
    <t>四万十市</t>
  </si>
  <si>
    <t>具同田黒2-150</t>
  </si>
  <si>
    <t>きたがわまさひろ</t>
  </si>
  <si>
    <t>564-0061</t>
  </si>
  <si>
    <t>吹田市円山町</t>
  </si>
  <si>
    <t>18番17号</t>
  </si>
  <si>
    <t>どてたかひろ</t>
  </si>
  <si>
    <t>340-0034</t>
  </si>
  <si>
    <t>草加市氷川町</t>
  </si>
  <si>
    <t>2146-5-402</t>
  </si>
  <si>
    <t>はしづめふみこ</t>
  </si>
  <si>
    <t>458-0021</t>
  </si>
  <si>
    <t>名古屋市緑区滝ノ水１－９０９</t>
  </si>
  <si>
    <t>ロイヤルアーク滝ノ水公園403</t>
  </si>
  <si>
    <t>みわゆうじ</t>
  </si>
  <si>
    <t>504-0839</t>
  </si>
  <si>
    <t>各務原市那加巾下町</t>
  </si>
  <si>
    <t>おおひらゆうぞう</t>
  </si>
  <si>
    <t>529-1814</t>
  </si>
  <si>
    <t>甲賀市信楽町田代</t>
  </si>
  <si>
    <t>C-00024549</t>
  </si>
  <si>
    <t>鯨井友紀恵</t>
  </si>
  <si>
    <t>くじらいゆきえ</t>
  </si>
  <si>
    <t>hana.com.5261@gmail.com</t>
  </si>
  <si>
    <t>115-0053</t>
  </si>
  <si>
    <t>北区赤羽台</t>
  </si>
  <si>
    <t>1-3-9-306</t>
  </si>
  <si>
    <t>いとうかつじ</t>
  </si>
  <si>
    <t>498-0034</t>
  </si>
  <si>
    <t>弥富市平島東三丁目</t>
  </si>
  <si>
    <t>152-4</t>
  </si>
  <si>
    <t>たなかふとし</t>
  </si>
  <si>
    <t>652-0058</t>
  </si>
  <si>
    <t>神戸市兵庫区菊水町10-39-18</t>
  </si>
  <si>
    <t>夢野ハイタウン2-702</t>
  </si>
  <si>
    <t>きたがわこうたろう</t>
  </si>
  <si>
    <t>154-0001</t>
  </si>
  <si>
    <t>池尻3-30-10三旺ビル4F</t>
  </si>
  <si>
    <t>たけうちだいすけ</t>
  </si>
  <si>
    <t>108-0014</t>
  </si>
  <si>
    <t>港区芝4丁目</t>
  </si>
  <si>
    <t>16-1-1913</t>
  </si>
  <si>
    <t>なかむらたつお</t>
  </si>
  <si>
    <t>430-0845</t>
  </si>
  <si>
    <t>浜松市中央区中田島町</t>
  </si>
  <si>
    <t>618-3</t>
  </si>
  <si>
    <t>にしとめりょうすけ</t>
  </si>
  <si>
    <t>587-0031</t>
  </si>
  <si>
    <t>堺市美原区さっき野西</t>
  </si>
  <si>
    <t>うらやまあきこ</t>
  </si>
  <si>
    <t>106-0045</t>
  </si>
  <si>
    <t>麻布十番3-7-10-802</t>
  </si>
  <si>
    <t>たかみやふみひで</t>
  </si>
  <si>
    <t>221-0825</t>
  </si>
  <si>
    <t>横浜市神奈川区反町</t>
  </si>
  <si>
    <t>3-23-21</t>
  </si>
  <si>
    <t>しんかいあきら</t>
  </si>
  <si>
    <t>234-0055</t>
  </si>
  <si>
    <t>横浜市港南区日野南</t>
  </si>
  <si>
    <t>3-2-31</t>
  </si>
  <si>
    <t>なかむらてるお</t>
  </si>
  <si>
    <t>582-0001</t>
  </si>
  <si>
    <t>柏原市本郷</t>
  </si>
  <si>
    <t>5-7-11-512 ロイヤルシャトー柏原本郷</t>
  </si>
  <si>
    <t>むらまつじゅん</t>
  </si>
  <si>
    <t>975-0016</t>
  </si>
  <si>
    <t>南相馬市原町区仲町</t>
  </si>
  <si>
    <t>2-82</t>
  </si>
  <si>
    <t>ふなやまみよし</t>
  </si>
  <si>
    <t>617-0846</t>
  </si>
  <si>
    <t>長岡京市泉が丘</t>
  </si>
  <si>
    <t>1-1サンライト泉ガ丘101</t>
  </si>
  <si>
    <t>まつやまゆうき</t>
  </si>
  <si>
    <t>381-0036</t>
  </si>
  <si>
    <t>長野市平林</t>
  </si>
  <si>
    <t>2-18-50</t>
  </si>
  <si>
    <t>C-00019176</t>
  </si>
  <si>
    <t>松田美穂</t>
  </si>
  <si>
    <t>まつだみほ</t>
  </si>
  <si>
    <t>cococh248@gmail.com</t>
  </si>
  <si>
    <t>221-0052</t>
  </si>
  <si>
    <t>横浜市神奈川区栄町</t>
  </si>
  <si>
    <t>16-5 プレミスト横浜ポートサイド607</t>
  </si>
  <si>
    <t>退会済（決済エラー）月額会員　14,500円</t>
  </si>
  <si>
    <t>6ヶ月おまとめ会員退会済</t>
  </si>
  <si>
    <t>いとうひであき</t>
  </si>
  <si>
    <t>136-0072</t>
  </si>
  <si>
    <t>江東区大島</t>
  </si>
  <si>
    <t>2-10-10-403</t>
  </si>
  <si>
    <t>たけやまなおゆき</t>
  </si>
  <si>
    <t>158-0095</t>
  </si>
  <si>
    <t>世田谷区瀬田1-22-18</t>
  </si>
  <si>
    <t>レックス上野毛303</t>
  </si>
  <si>
    <t>すずきたかなが</t>
  </si>
  <si>
    <t>186-0005</t>
  </si>
  <si>
    <t>国立市西</t>
  </si>
  <si>
    <t>1-18-6ハレ・カピオラニ202</t>
  </si>
  <si>
    <t>1年おまとめ会員退会済</t>
  </si>
  <si>
    <t>ふくいゆうじ</t>
  </si>
  <si>
    <t>880-0806</t>
  </si>
  <si>
    <t>宮崎市広島２丁目</t>
  </si>
  <si>
    <t>8-30 グリーンヒル広島通リ1203</t>
  </si>
  <si>
    <t>ふくしまいずみ</t>
  </si>
  <si>
    <t>134-0088</t>
  </si>
  <si>
    <t>江戸川区西葛西</t>
  </si>
  <si>
    <t>3-3-28アネックス赤澤304</t>
  </si>
  <si>
    <t>そうとめまさひで</t>
  </si>
  <si>
    <t>329-0431</t>
  </si>
  <si>
    <t>下野市</t>
  </si>
  <si>
    <t>薬師寺1524-7</t>
  </si>
  <si>
    <t>いなばよしと</t>
  </si>
  <si>
    <t>049-5605</t>
  </si>
  <si>
    <t>虻田郡洞爺湖町高砂町</t>
  </si>
  <si>
    <t>116-51</t>
  </si>
  <si>
    <t>ながのしゅうや</t>
  </si>
  <si>
    <t>990-0022</t>
  </si>
  <si>
    <t>山形市東山形</t>
  </si>
  <si>
    <t>わしやまじゅん</t>
  </si>
  <si>
    <t>158-0081</t>
  </si>
  <si>
    <t>世田谷区深沢</t>
  </si>
  <si>
    <t>なかにしとう</t>
  </si>
  <si>
    <t>227-0055</t>
  </si>
  <si>
    <t>横浜市青葉区つつじヶ丘</t>
  </si>
  <si>
    <t>6-47</t>
  </si>
  <si>
    <t>いまいひでき</t>
  </si>
  <si>
    <t>376-0002</t>
  </si>
  <si>
    <t>桐生市境野町</t>
  </si>
  <si>
    <t>1-1227-8</t>
  </si>
  <si>
    <t>きたはらゆう</t>
  </si>
  <si>
    <t>399-2431</t>
  </si>
  <si>
    <t>飯田市川路</t>
  </si>
  <si>
    <t>たなかしろう</t>
  </si>
  <si>
    <t>渋谷区代々木</t>
  </si>
  <si>
    <t>4-31-2-504</t>
  </si>
  <si>
    <t>はやししずえ</t>
  </si>
  <si>
    <t>1-1-2-824</t>
  </si>
  <si>
    <t>もりやまよしひろ</t>
  </si>
  <si>
    <t>190-0022</t>
  </si>
  <si>
    <t>立川市錦町</t>
  </si>
  <si>
    <t>たかくわかずや</t>
  </si>
  <si>
    <t>330-0056</t>
  </si>
  <si>
    <t>さいたま市浦和区東仲町</t>
  </si>
  <si>
    <t>21-27 Arietta 207</t>
  </si>
  <si>
    <t>しいちいる</t>
  </si>
  <si>
    <t>441-3131</t>
  </si>
  <si>
    <t>大岩町小山塚56-15</t>
  </si>
  <si>
    <t>あきやまぎょうふ</t>
  </si>
  <si>
    <t>510-0263</t>
  </si>
  <si>
    <t>鈴鹿市郡山町</t>
  </si>
  <si>
    <t>1804-56</t>
  </si>
  <si>
    <t>もりたまさし</t>
  </si>
  <si>
    <t>347-0068</t>
  </si>
  <si>
    <t>加須市大門町</t>
  </si>
  <si>
    <t>13-16</t>
  </si>
  <si>
    <t>やのみなこ</t>
  </si>
  <si>
    <t>838-0011</t>
  </si>
  <si>
    <t>朝倉市秋月野鳥</t>
  </si>
  <si>
    <t>762-6</t>
  </si>
  <si>
    <t>C-00014220</t>
  </si>
  <si>
    <t>大野晴美</t>
  </si>
  <si>
    <t>おおのはるみ</t>
  </si>
  <si>
    <t>harumi-ohno.7820@softbank.ne.jp</t>
  </si>
  <si>
    <t>251-0053</t>
  </si>
  <si>
    <t>藤沢市本町</t>
  </si>
  <si>
    <t>はらだなおこ</t>
  </si>
  <si>
    <t>893-0032</t>
  </si>
  <si>
    <t>鹿屋市川西町</t>
  </si>
  <si>
    <t>3992-19</t>
  </si>
  <si>
    <t>ありむらのりこ</t>
  </si>
  <si>
    <t>293-0058</t>
  </si>
  <si>
    <t>富津市佐貫</t>
  </si>
  <si>
    <t>seminar_free_220530hl</t>
  </si>
  <si>
    <t>しょうじのりかず</t>
  </si>
  <si>
    <t>064-0824</t>
  </si>
  <si>
    <t>札幌市中央区北四条西30丁目1-17</t>
  </si>
  <si>
    <t>エバメゾンン宮ノ森神宮前401</t>
  </si>
  <si>
    <t>いとうせいじ</t>
  </si>
  <si>
    <t>まつしたかずき</t>
  </si>
  <si>
    <t>436-0070</t>
  </si>
  <si>
    <t>掛川市紅葉台</t>
  </si>
  <si>
    <t>いけだひさこ</t>
  </si>
  <si>
    <t>806-0059</t>
  </si>
  <si>
    <t>北九州市八幡西区萩原１丁目</t>
  </si>
  <si>
    <t>1ー6ー202</t>
  </si>
  <si>
    <t>月額会員3,000円(退会済）</t>
  </si>
  <si>
    <t>ばんのひとし</t>
  </si>
  <si>
    <t>496-0026</t>
  </si>
  <si>
    <t>津島市唐臼町囲外</t>
  </si>
  <si>
    <t>かわぐちみどりこ</t>
  </si>
  <si>
    <t>869-1233</t>
  </si>
  <si>
    <t>菊池郡大津町</t>
  </si>
  <si>
    <t>大字大津1461</t>
  </si>
  <si>
    <t>えのきだあきひこ</t>
  </si>
  <si>
    <t>888-0001</t>
  </si>
  <si>
    <t>串間市西方</t>
  </si>
  <si>
    <t>seminar_free_220523hl</t>
  </si>
  <si>
    <t>おおやまいくふみ</t>
  </si>
  <si>
    <t>169-0075</t>
  </si>
  <si>
    <t>新宿区高田馬場</t>
  </si>
  <si>
    <t>4-35-10上ノ台マンション102</t>
  </si>
  <si>
    <t>とうえあきこ</t>
  </si>
  <si>
    <t>235-0045</t>
  </si>
  <si>
    <t>横浜市磯子区洋光台</t>
  </si>
  <si>
    <t>4-27-5</t>
  </si>
  <si>
    <t>trnd_jrls</t>
  </si>
  <si>
    <t>たかやまさとし</t>
  </si>
  <si>
    <t>337-0015</t>
  </si>
  <si>
    <t>さいたま市見沼区蓮沼５７４－１</t>
  </si>
  <si>
    <t>2-204</t>
  </si>
  <si>
    <t>きだとしお</t>
  </si>
  <si>
    <t>663-8112</t>
  </si>
  <si>
    <t>西宮市甲子園口北町</t>
  </si>
  <si>
    <t>20-18-208</t>
  </si>
  <si>
    <t>とけしはるみ</t>
  </si>
  <si>
    <t>902-0077</t>
  </si>
  <si>
    <t>那覇市長田</t>
  </si>
  <si>
    <t>2-9-3 コーポ長田原201</t>
  </si>
  <si>
    <t>まつだのりこ</t>
  </si>
  <si>
    <t>582-0020</t>
  </si>
  <si>
    <t>柏原市片山町</t>
  </si>
  <si>
    <t>2-29</t>
  </si>
  <si>
    <t>いしはらすみか</t>
  </si>
  <si>
    <t>519-3206</t>
  </si>
  <si>
    <t>北牟婁郡　紀北町　海野</t>
  </si>
  <si>
    <t>かくたにけいた</t>
  </si>
  <si>
    <t>164-0011</t>
  </si>
  <si>
    <t>中野区中央</t>
  </si>
  <si>
    <t>1-15-2-410</t>
  </si>
  <si>
    <t>終了（分割会員）</t>
  </si>
  <si>
    <t>ひらいみつはる</t>
  </si>
  <si>
    <t>529-0272</t>
  </si>
  <si>
    <t>長浜市高月町片山</t>
  </si>
  <si>
    <t>70番地</t>
  </si>
  <si>
    <t>うえだくみこ</t>
  </si>
  <si>
    <t>465-0091</t>
  </si>
  <si>
    <t>名古屋市名東区よもぎ台3丁目</t>
  </si>
  <si>
    <t>902ヨモギ台パークホームズ602</t>
  </si>
  <si>
    <t>あんどうこうじ</t>
  </si>
  <si>
    <t>123-0841</t>
  </si>
  <si>
    <t>足立区西新井</t>
  </si>
  <si>
    <t>6-23-20</t>
  </si>
  <si>
    <t>くにさきまこと</t>
  </si>
  <si>
    <t>810-0053</t>
  </si>
  <si>
    <t>福岡市中央区鳥飼２丁目</t>
  </si>
  <si>
    <t>わたなべとしあき</t>
  </si>
  <si>
    <t>276-0029</t>
  </si>
  <si>
    <t>八千代市村上</t>
  </si>
  <si>
    <t>みずたにとしひこ</t>
  </si>
  <si>
    <t>508-0011</t>
  </si>
  <si>
    <t>中津川市</t>
  </si>
  <si>
    <t>駒場363-3 Vigoaisho中津川901号</t>
  </si>
  <si>
    <t>うちだようこ</t>
  </si>
  <si>
    <t>152-0013</t>
  </si>
  <si>
    <t>目黒区南1丁目</t>
  </si>
  <si>
    <t>おかむらよしひろ</t>
  </si>
  <si>
    <t>233-0008</t>
  </si>
  <si>
    <t>横浜市港南区最戸2丁目</t>
  </si>
  <si>
    <t>オンライン月額（退会済）</t>
  </si>
  <si>
    <t>月額（退会済）</t>
  </si>
  <si>
    <t>退会済（分割会員）</t>
  </si>
  <si>
    <t>かわいさとこ</t>
  </si>
  <si>
    <t>6-26-20</t>
  </si>
  <si>
    <t>月額会員(退会済）</t>
  </si>
  <si>
    <t>おざわのりやす</t>
  </si>
  <si>
    <t>135-0016</t>
  </si>
  <si>
    <t>江東区</t>
  </si>
  <si>
    <t>東陽3-26-25 サンライズレジデンス804号</t>
  </si>
  <si>
    <t>C-00010215</t>
  </si>
  <si>
    <t>菊田久義</t>
  </si>
  <si>
    <t>きくたひさよし</t>
  </si>
  <si>
    <t>hisa3kiku3@gmail.com</t>
  </si>
  <si>
    <t>981-0913</t>
  </si>
  <si>
    <t>仙台市</t>
  </si>
  <si>
    <t>青葉区昭和町5-5</t>
  </si>
  <si>
    <t>銀振会員（更新要ｶｸﾆﾝ）Apex年間</t>
  </si>
  <si>
    <t>銀振3ヶ月会員（退会済み）</t>
  </si>
  <si>
    <t>いけもとたかし</t>
  </si>
  <si>
    <t>901-2222</t>
  </si>
  <si>
    <t>宜野湾市喜友名</t>
  </si>
  <si>
    <t>C-00010034</t>
  </si>
  <si>
    <t>古川元司</t>
  </si>
  <si>
    <t>ふるかわげんじ</t>
  </si>
  <si>
    <t>pururan55@outlook.jp</t>
  </si>
  <si>
    <t>001-0023</t>
  </si>
  <si>
    <t>札幌市北区北２３条西</t>
  </si>
  <si>
    <t>2-2-18 イリオスディオ203</t>
  </si>
  <si>
    <t>なおいゆかり</t>
  </si>
  <si>
    <t>143-0015</t>
  </si>
  <si>
    <t>大森西4-6-6-204</t>
  </si>
  <si>
    <t>月額会員（週2）(退会済）</t>
  </si>
  <si>
    <t>継続年間会員(退会済)</t>
  </si>
  <si>
    <t>もろとよしお</t>
  </si>
  <si>
    <t>493-0002</t>
  </si>
  <si>
    <t>一宮市木曽川町門間</t>
  </si>
  <si>
    <t>字郷前48-3シエルクレール305号室</t>
  </si>
  <si>
    <t>むらかみゆういち</t>
  </si>
  <si>
    <t>174-0056</t>
  </si>
  <si>
    <t>板橋区志村二丁目4番</t>
  </si>
  <si>
    <t>5-205号</t>
  </si>
  <si>
    <t>あべあきら</t>
  </si>
  <si>
    <t>349-0101</t>
  </si>
  <si>
    <t>蓮田市</t>
  </si>
  <si>
    <t>黒浜4908-6</t>
  </si>
  <si>
    <t>てらだだいき</t>
  </si>
  <si>
    <t>061-0233</t>
  </si>
  <si>
    <t>石狩郡当別町</t>
  </si>
  <si>
    <t>白樺町59-27</t>
  </si>
  <si>
    <t>こうたひろし</t>
  </si>
  <si>
    <t>337-0002</t>
  </si>
  <si>
    <t>さいたま市見沼区春野</t>
  </si>
  <si>
    <t>2-4-6-506</t>
  </si>
  <si>
    <t>きたおかまさのり</t>
  </si>
  <si>
    <t>543-0052</t>
  </si>
  <si>
    <t>大阪市天王寺区大道</t>
  </si>
  <si>
    <t>3-1-23-201</t>
  </si>
  <si>
    <t>つじかずこ</t>
  </si>
  <si>
    <t>158-0084</t>
  </si>
  <si>
    <t>世田谷区東玉川</t>
  </si>
  <si>
    <t>2-18-2</t>
  </si>
  <si>
    <t>もとえしんいちろう</t>
  </si>
  <si>
    <t>671-1235</t>
  </si>
  <si>
    <t>姫路市網干区北新在家</t>
  </si>
  <si>
    <t>94ディアス北新在家A棟105号</t>
  </si>
  <si>
    <t>やぶきえりこ</t>
  </si>
  <si>
    <t>港区三田</t>
  </si>
  <si>
    <t>2-4-18-409</t>
  </si>
  <si>
    <t>たかなみえいじ</t>
  </si>
  <si>
    <t>187-0043</t>
  </si>
  <si>
    <t>小平市学園東町</t>
  </si>
  <si>
    <t>560-100</t>
  </si>
  <si>
    <t>いけだゆうじ</t>
  </si>
  <si>
    <t>064-0915</t>
  </si>
  <si>
    <t>札幌市中央区南１５条西５丁目</t>
  </si>
  <si>
    <t>おおいずみさとし</t>
  </si>
  <si>
    <t>590-0805</t>
  </si>
  <si>
    <t>堺市堺区緑ヶ丘中町</t>
  </si>
  <si>
    <t>こみやまみのる</t>
  </si>
  <si>
    <t>212-0054</t>
  </si>
  <si>
    <t>川崎市幸区小倉</t>
  </si>
  <si>
    <t>1-6-22-401</t>
  </si>
  <si>
    <t>ごうきよこ</t>
  </si>
  <si>
    <t>2-19-33</t>
  </si>
  <si>
    <t>おうぎかずひろ</t>
  </si>
  <si>
    <t>817-1701</t>
  </si>
  <si>
    <t>対馬市上対馬町比田勝</t>
  </si>
  <si>
    <t>575-5</t>
  </si>
  <si>
    <t>月額会員(3,000円）</t>
  </si>
  <si>
    <t>ながさかやすみつ</t>
  </si>
  <si>
    <t>565-0842</t>
  </si>
  <si>
    <t>吹田市千里山東</t>
  </si>
  <si>
    <t>4-15-12</t>
  </si>
  <si>
    <t>あぜちひでゆき</t>
  </si>
  <si>
    <t>774-0021</t>
  </si>
  <si>
    <t>阿南市津乃峰町</t>
  </si>
  <si>
    <t>東分22-15</t>
  </si>
  <si>
    <t>おおたみつひろ</t>
  </si>
  <si>
    <t>398-0004</t>
  </si>
  <si>
    <t>大町市常盤</t>
  </si>
  <si>
    <t>5802-32</t>
  </si>
  <si>
    <t>わたなべとしひさ</t>
  </si>
  <si>
    <t>458-0805</t>
  </si>
  <si>
    <t>名古屋市緑区大清水</t>
  </si>
  <si>
    <t>三丁目912番地</t>
  </si>
  <si>
    <t>たかはしひでみ</t>
  </si>
  <si>
    <t>121-0055</t>
  </si>
  <si>
    <t>足立区加平</t>
  </si>
  <si>
    <t>3-3-17ライオンズステーションプラザ北綾瀬508</t>
  </si>
  <si>
    <t>退会済（決済エラー）アカデミー会員</t>
  </si>
  <si>
    <t>休止中</t>
  </si>
  <si>
    <t>月額会員（ライトコース）退会済</t>
  </si>
  <si>
    <t>にしやよしあき</t>
  </si>
  <si>
    <t>607-8080</t>
  </si>
  <si>
    <t>京都市山科区竹鼻竹ノ街道町</t>
  </si>
  <si>
    <t>81-13大生山科ビルディング202</t>
  </si>
  <si>
    <t>くろこうちたけし</t>
  </si>
  <si>
    <t>399-0703</t>
  </si>
  <si>
    <t>塩尻市</t>
  </si>
  <si>
    <t>広丘高出1794-3</t>
  </si>
  <si>
    <t>いとうてるお</t>
  </si>
  <si>
    <t>143-0012</t>
  </si>
  <si>
    <t>大田区大森東</t>
  </si>
  <si>
    <t>5-14-7エスト・リュミエール504</t>
  </si>
  <si>
    <t>C-00007721</t>
  </si>
  <si>
    <t>寺田剛</t>
  </si>
  <si>
    <t>てらだたけし</t>
  </si>
  <si>
    <t>terada@bgk.jp</t>
  </si>
  <si>
    <t>514-0072</t>
  </si>
  <si>
    <t>津市</t>
  </si>
  <si>
    <t>小舟904-122</t>
  </si>
  <si>
    <t>えがわじゅんいち</t>
  </si>
  <si>
    <t>730-0856</t>
  </si>
  <si>
    <t>広島市中区河原町</t>
  </si>
  <si>
    <t>5-27-501</t>
  </si>
  <si>
    <t>saitou-fx_200528qa</t>
  </si>
  <si>
    <t>対面月額（退会済）</t>
  </si>
  <si>
    <t>なかむらやすひろ</t>
  </si>
  <si>
    <t>きしのたかし</t>
  </si>
  <si>
    <t>156-0043</t>
  </si>
  <si>
    <t>世田谷区松原</t>
  </si>
  <si>
    <t>1-29-7 M2松原102</t>
  </si>
  <si>
    <t>たけおかつゆき</t>
  </si>
  <si>
    <t>700-0002</t>
  </si>
  <si>
    <t>岡山市北区宿本町</t>
  </si>
  <si>
    <t>1807_fnh_opt01_jim</t>
  </si>
  <si>
    <t>よこのともこ</t>
  </si>
  <si>
    <t>662-0016</t>
  </si>
  <si>
    <t>西宮市甲陽園若江町</t>
  </si>
  <si>
    <t>5-26-306</t>
  </si>
  <si>
    <t>年間会員（3,150円）</t>
  </si>
  <si>
    <t>なかのうえみえ</t>
  </si>
  <si>
    <t>560-0011</t>
  </si>
  <si>
    <t>大阪府豊中市上野西3</t>
  </si>
  <si>
    <t>19-73-5</t>
  </si>
  <si>
    <t>seminar_170315-25</t>
  </si>
  <si>
    <t>値</t>
  </si>
  <si>
    <t>合計 / 2027年2月</t>
  </si>
  <si>
    <t>合計 / 2027年3月</t>
  </si>
  <si>
    <t>2026年1月</t>
  </si>
  <si>
    <t>2026年2月</t>
  </si>
  <si>
    <t>2027年1月</t>
  </si>
  <si>
    <t>2025年04月</t>
    <phoneticPr fontId="2"/>
  </si>
  <si>
    <t>2025年05月</t>
    <phoneticPr fontId="2"/>
  </si>
  <si>
    <t>2027年02月</t>
  </si>
  <si>
    <t>2026年04月</t>
    <rPh sb="3" eb="4">
      <t>ネン</t>
    </rPh>
    <phoneticPr fontId="2"/>
  </si>
  <si>
    <t>2026年05月</t>
    <rPh sb="3" eb="4">
      <t>ネン</t>
    </rPh>
    <phoneticPr fontId="2"/>
  </si>
  <si>
    <t>2026年06月</t>
    <rPh sb="3" eb="4">
      <t>ネン</t>
    </rPh>
    <phoneticPr fontId="2"/>
  </si>
  <si>
    <t>2026年07月</t>
    <rPh sb="3" eb="4">
      <t>ネン</t>
    </rPh>
    <phoneticPr fontId="2"/>
  </si>
  <si>
    <t>2026年08月</t>
    <rPh sb="3" eb="4">
      <t>ネン</t>
    </rPh>
    <phoneticPr fontId="2"/>
  </si>
  <si>
    <t>2026年09月</t>
    <rPh sb="3" eb="4">
      <t>ネン</t>
    </rPh>
    <phoneticPr fontId="2"/>
  </si>
  <si>
    <t>2026年03月</t>
    <rPh sb="3" eb="4">
      <t>ネン</t>
    </rPh>
    <phoneticPr fontId="2"/>
  </si>
  <si>
    <t>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</si>
</sst>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"/>
    <numFmt numFmtId="177" formatCode="yyyy/m/d;@"/>
    <numFmt numFmtId="178" formatCode="0_);[Red]\(0\)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2" borderId="1" xfId="1" applyNumberFormat="1" applyFont="1" applyFill="1" applyBorder="1" applyAlignment="1">
      <alignment horizontal="left" vertical="center"/>
    </xf>
    <xf numFmtId="14" fontId="0" fillId="2" borderId="1" xfId="1" applyNumberFormat="1" applyFont="1" applyFill="1" applyBorder="1" applyAlignment="1">
      <alignment horizontal="left" vertical="center"/>
    </xf>
    <xf numFmtId="49" fontId="0" fillId="2" borderId="1" xfId="1" applyNumberFormat="1" applyFont="1" applyFill="1" applyBorder="1" applyAlignment="1">
      <alignment horizontal="left" vertical="center"/>
    </xf>
    <xf numFmtId="177" fontId="0" fillId="0" borderId="0" xfId="0" applyNumberFormat="1">
      <alignment vertical="center"/>
    </xf>
    <xf numFmtId="38" fontId="0" fillId="0" borderId="1" xfId="1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55" fontId="0" fillId="0" borderId="1" xfId="1" quotePrefix="1" applyNumberFormat="1" applyFont="1" applyBorder="1">
      <alignment vertical="center"/>
    </xf>
    <xf numFmtId="38" fontId="0" fillId="0" borderId="1" xfId="1" applyFont="1" applyBorder="1" applyAlignment="1">
      <alignment horizontal="left" vertical="center"/>
    </xf>
    <xf numFmtId="38" fontId="0" fillId="0" borderId="1" xfId="1" quotePrefix="1" applyFont="1" applyBorder="1">
      <alignment vertical="center"/>
    </xf>
    <xf numFmtId="38" fontId="0" fillId="0" borderId="1" xfId="1" applyFont="1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9" fontId="0" fillId="0" borderId="1" xfId="0" applyNumberFormat="1" applyBorder="1">
      <alignment vertical="center"/>
    </xf>
    <xf numFmtId="178" fontId="0" fillId="0" borderId="0" xfId="0" applyNumberFormat="1" applyAlignment="1">
      <alignment horizontal="right" vertical="center"/>
    </xf>
    <xf numFmtId="178" fontId="0" fillId="5" borderId="2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right" vertical="center"/>
    </xf>
    <xf numFmtId="55" fontId="0" fillId="0" borderId="3" xfId="1" applyNumberFormat="1" applyFont="1" applyFill="1" applyBorder="1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38" fontId="0" fillId="0" borderId="3" xfId="1" applyFont="1" applyFill="1" applyBorder="1">
      <alignment vertical="center"/>
    </xf>
    <xf numFmtId="0" fontId="3" fillId="4" borderId="1" xfId="0" applyFont="1" applyFill="1" applyBorder="1">
      <alignment vertical="center"/>
    </xf>
    <xf numFmtId="38" fontId="3" fillId="4" borderId="1" xfId="1" applyFont="1" applyFill="1" applyBorder="1" applyAlignment="1">
      <alignment horizontal="left" vertical="center"/>
    </xf>
    <xf numFmtId="38" fontId="3" fillId="4" borderId="1" xfId="1" applyFont="1" applyFill="1" applyBorder="1">
      <alignment vertical="center"/>
    </xf>
    <xf numFmtId="55" fontId="3" fillId="4" borderId="1" xfId="0" applyNumberFormat="1" applyFont="1" applyFill="1" applyBorder="1">
      <alignment vertical="center"/>
    </xf>
    <xf numFmtId="55" fontId="3" fillId="4" borderId="1" xfId="0" quotePrefix="1" applyNumberFormat="1" applyFont="1" applyFill="1" applyBorder="1">
      <alignment vertical="center"/>
    </xf>
    <xf numFmtId="55" fontId="0" fillId="5" borderId="1" xfId="1" quotePrefix="1" applyNumberFormat="1" applyFont="1" applyFill="1" applyBorder="1">
      <alignment vertical="center"/>
    </xf>
    <xf numFmtId="55" fontId="0" fillId="6" borderId="1" xfId="1" quotePrefix="1" applyNumberFormat="1" applyFont="1" applyFill="1" applyBorder="1">
      <alignment vertical="center"/>
    </xf>
    <xf numFmtId="22" fontId="0" fillId="0" borderId="0" xfId="0" applyNumberFormat="1">
      <alignment vertical="center"/>
    </xf>
    <xf numFmtId="38" fontId="0" fillId="5" borderId="1" xfId="1" applyFont="1" applyFill="1" applyBorder="1">
      <alignment vertical="center"/>
    </xf>
    <xf numFmtId="38" fontId="0" fillId="6" borderId="1" xfId="1" applyFont="1" applyFill="1" applyBorder="1">
      <alignment vertical="center"/>
    </xf>
    <xf numFmtId="56" fontId="0" fillId="0" borderId="0" xfId="0" applyNumberFormat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0" xfId="0" applyFill="1">
      <alignment vertical="center"/>
    </xf>
    <xf numFmtId="22" fontId="0" fillId="7" borderId="0" xfId="0" applyNumberFormat="1" applyFill="1">
      <alignment vertical="center"/>
    </xf>
    <xf numFmtId="22" fontId="0" fillId="5" borderId="1" xfId="0" applyNumberFormat="1" applyFill="1" applyBorder="1">
      <alignment vertical="center"/>
    </xf>
    <xf numFmtId="22" fontId="0" fillId="6" borderId="1" xfId="0" applyNumberFormat="1" applyFill="1" applyBorder="1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  <xf numFmtId="16" fontId="0" fillId="0" borderId="0" xfId="0" applyNumberFormat="1">
      <alignment vertical="center"/>
    </xf>
    <xf numFmtId="14" fontId="0" fillId="7" borderId="0" xfId="0" applyNumberFormat="1" applyFill="1">
      <alignment vertical="center"/>
    </xf>
    <xf numFmtId="56" fontId="0" fillId="7" borderId="0" xfId="0" applyNumberFormat="1" applyFill="1">
      <alignment vertical="center"/>
    </xf>
    <xf numFmtId="49" fontId="0" fillId="8" borderId="0" xfId="0" applyNumberFormat="1" applyFill="1">
      <alignment vertical="center"/>
    </xf>
    <xf numFmtId="0" fontId="0" fillId="8" borderId="0" xfId="0" applyFill="1">
      <alignment vertical="center"/>
    </xf>
    <xf numFmtId="22" fontId="0" fillId="8" borderId="0" xfId="0" applyNumberFormat="1" applyFill="1">
      <alignment vertical="center"/>
    </xf>
    <xf numFmtId="177" fontId="0" fillId="8" borderId="0" xfId="0" applyNumberFormat="1" applyFill="1">
      <alignment vertical="center"/>
    </xf>
    <xf numFmtId="0" fontId="0" fillId="8" borderId="1" xfId="0" applyFill="1" applyBorder="1">
      <alignment vertical="center"/>
    </xf>
    <xf numFmtId="38" fontId="0" fillId="8" borderId="1" xfId="1" applyFont="1" applyFill="1" applyBorder="1">
      <alignment vertical="center"/>
    </xf>
    <xf numFmtId="38" fontId="0" fillId="8" borderId="0" xfId="1" applyFont="1" applyFill="1" applyBorder="1">
      <alignment vertical="center"/>
    </xf>
    <xf numFmtId="38" fontId="0" fillId="9" borderId="0" xfId="0" applyNumberFormat="1" applyFill="1">
      <alignment vertical="center"/>
    </xf>
    <xf numFmtId="0" fontId="0" fillId="0" borderId="1" xfId="0" applyBorder="1" applyAlignment="1">
      <alignment horizontal="left" vertical="center"/>
    </xf>
    <xf numFmtId="38" fontId="0" fillId="0" borderId="1" xfId="0" applyNumberFormat="1" applyBorder="1">
      <alignment vertical="center"/>
    </xf>
    <xf numFmtId="0" fontId="0" fillId="10" borderId="1" xfId="0" applyFill="1" applyBorder="1">
      <alignment vertical="center"/>
    </xf>
    <xf numFmtId="0" fontId="0" fillId="0" borderId="4" xfId="0" applyBorder="1">
      <alignment vertical="center"/>
    </xf>
    <xf numFmtId="55" fontId="0" fillId="0" borderId="0" xfId="0" applyNumberFormat="1">
      <alignment vertical="center"/>
    </xf>
    <xf numFmtId="49" fontId="0" fillId="0" borderId="1" xfId="0" quotePrefix="1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38" fontId="1" fillId="0" borderId="1" xfId="1" applyFont="1" applyBorder="1">
      <alignment vertical="center"/>
    </xf>
  </cellXfs>
  <cellStyles count="2">
    <cellStyle name="桁区切り" xfId="1" builtinId="6"/>
    <cellStyle name="標準" xfId="0" builtinId="0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6" formatCode="#,##0;[Red]\-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connections" Target="connection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[PEAKONEおまとめ.xlsx]まとめ継続(分割計上計算)(2月)!ピボットテーブル3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'まとめ継続(分割計上計算)(2月)'!$B$3:$B$4</c:f>
              <c:strCache>
                <c:ptCount val="1"/>
                <c:pt idx="0">
                  <c:v>3ヶ月会員（ライト・クレカ自動更新）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'まとめ継続(分割計上計算)(2月)'!$A$5:$A$29</c:f>
              <c:strCache>
                <c:ptCount val="25"/>
                <c:pt idx="0">
                  <c:v>合計 / 2025年3月</c:v>
                </c:pt>
                <c:pt idx="1">
                  <c:v>合計 / 2025年4月</c:v>
                </c:pt>
                <c:pt idx="2">
                  <c:v>合計 / 2025年5月</c:v>
                </c:pt>
                <c:pt idx="3">
                  <c:v>合計 / 2025年6月</c:v>
                </c:pt>
                <c:pt idx="4">
                  <c:v>合計 / 2025年7月</c:v>
                </c:pt>
                <c:pt idx="5">
                  <c:v>合計 / 2025年8月</c:v>
                </c:pt>
                <c:pt idx="6">
                  <c:v>合計 / 2025年9月</c:v>
                </c:pt>
                <c:pt idx="7">
                  <c:v>合計 / 2025年10月</c:v>
                </c:pt>
                <c:pt idx="8">
                  <c:v>合計 / 2025年11月</c:v>
                </c:pt>
                <c:pt idx="9">
                  <c:v>合計 / 2025年12月</c:v>
                </c:pt>
                <c:pt idx="10">
                  <c:v>合計 / 2026年1月</c:v>
                </c:pt>
                <c:pt idx="11">
                  <c:v>合計 / 2026年2月</c:v>
                </c:pt>
                <c:pt idx="12">
                  <c:v>合計 / 2026年3月</c:v>
                </c:pt>
                <c:pt idx="13">
                  <c:v>合計 / 2026年4月</c:v>
                </c:pt>
                <c:pt idx="14">
                  <c:v>合計 / 2026年5月</c:v>
                </c:pt>
                <c:pt idx="15">
                  <c:v>合計 / 2026年6月</c:v>
                </c:pt>
                <c:pt idx="16">
                  <c:v>合計 / 2026年7月</c:v>
                </c:pt>
                <c:pt idx="17">
                  <c:v>合計 / 2026年8月</c:v>
                </c:pt>
                <c:pt idx="18">
                  <c:v>合計 / 2026年9月</c:v>
                </c:pt>
                <c:pt idx="19">
                  <c:v>合計 / 2026年10月</c:v>
                </c:pt>
                <c:pt idx="20">
                  <c:v>合計 / 2026年11月</c:v>
                </c:pt>
                <c:pt idx="21">
                  <c:v>合計 / 2026年12月</c:v>
                </c:pt>
                <c:pt idx="22">
                  <c:v>合計 / 2027年1月</c:v>
                </c:pt>
                <c:pt idx="23">
                  <c:v>合計 / 2027年2月</c:v>
                </c:pt>
                <c:pt idx="24">
                  <c:v>合計 / 2027年3月</c:v>
                </c:pt>
              </c:strCache>
            </c:strRef>
          </c:cat>
          <c:val>
            <c:numRef>
              <c:f>'まとめ継続(分割計上計算)(2月)'!$B$5:$B$29</c:f>
              <c:numCache>
                <c:formatCode>#,##0_);[Red]\(#,##0\)</c:formatCode>
                <c:ptCount val="25"/>
                <c:pt idx="1">
                  <c:v>1544400</c:v>
                </c:pt>
                <c:pt idx="2">
                  <c:v>2019600</c:v>
                </c:pt>
                <c:pt idx="3">
                  <c:v>2059200</c:v>
                </c:pt>
                <c:pt idx="4">
                  <c:v>514800</c:v>
                </c:pt>
                <c:pt idx="5">
                  <c:v>39600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0-43D1-8F75-78E620474D29}"/>
            </c:ext>
          </c:extLst>
        </c:ser>
        <c:ser>
          <c:idx val="1"/>
          <c:order val="1"/>
          <c:tx>
            <c:strRef>
              <c:f>'まとめ継続(分割計上計算)(2月)'!$C$3:$C$4</c:f>
              <c:strCache>
                <c:ptCount val="1"/>
                <c:pt idx="0">
                  <c:v>6ヶ月会員（ライト・クレカ自動更新）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'まとめ継続(分割計上計算)(2月)'!$A$5:$A$29</c:f>
              <c:strCache>
                <c:ptCount val="25"/>
                <c:pt idx="0">
                  <c:v>合計 / 2025年3月</c:v>
                </c:pt>
                <c:pt idx="1">
                  <c:v>合計 / 2025年4月</c:v>
                </c:pt>
                <c:pt idx="2">
                  <c:v>合計 / 2025年5月</c:v>
                </c:pt>
                <c:pt idx="3">
                  <c:v>合計 / 2025年6月</c:v>
                </c:pt>
                <c:pt idx="4">
                  <c:v>合計 / 2025年7月</c:v>
                </c:pt>
                <c:pt idx="5">
                  <c:v>合計 / 2025年8月</c:v>
                </c:pt>
                <c:pt idx="6">
                  <c:v>合計 / 2025年9月</c:v>
                </c:pt>
                <c:pt idx="7">
                  <c:v>合計 / 2025年10月</c:v>
                </c:pt>
                <c:pt idx="8">
                  <c:v>合計 / 2025年11月</c:v>
                </c:pt>
                <c:pt idx="9">
                  <c:v>合計 / 2025年12月</c:v>
                </c:pt>
                <c:pt idx="10">
                  <c:v>合計 / 2026年1月</c:v>
                </c:pt>
                <c:pt idx="11">
                  <c:v>合計 / 2026年2月</c:v>
                </c:pt>
                <c:pt idx="12">
                  <c:v>合計 / 2026年3月</c:v>
                </c:pt>
                <c:pt idx="13">
                  <c:v>合計 / 2026年4月</c:v>
                </c:pt>
                <c:pt idx="14">
                  <c:v>合計 / 2026年5月</c:v>
                </c:pt>
                <c:pt idx="15">
                  <c:v>合計 / 2026年6月</c:v>
                </c:pt>
                <c:pt idx="16">
                  <c:v>合計 / 2026年7月</c:v>
                </c:pt>
                <c:pt idx="17">
                  <c:v>合計 / 2026年8月</c:v>
                </c:pt>
                <c:pt idx="18">
                  <c:v>合計 / 2026年9月</c:v>
                </c:pt>
                <c:pt idx="19">
                  <c:v>合計 / 2026年10月</c:v>
                </c:pt>
                <c:pt idx="20">
                  <c:v>合計 / 2026年11月</c:v>
                </c:pt>
                <c:pt idx="21">
                  <c:v>合計 / 2026年12月</c:v>
                </c:pt>
                <c:pt idx="22">
                  <c:v>合計 / 2027年1月</c:v>
                </c:pt>
                <c:pt idx="23">
                  <c:v>合計 / 2027年2月</c:v>
                </c:pt>
                <c:pt idx="24">
                  <c:v>合計 / 2027年3月</c:v>
                </c:pt>
              </c:strCache>
            </c:strRef>
          </c:cat>
          <c:val>
            <c:numRef>
              <c:f>'まとめ継続(分割計上計算)(2月)'!$C$5:$C$29</c:f>
              <c:numCache>
                <c:formatCode>#,##0_);[Red]\(#,##0\)</c:formatCode>
                <c:ptCount val="25"/>
                <c:pt idx="0">
                  <c:v>38100</c:v>
                </c:pt>
                <c:pt idx="1">
                  <c:v>533400</c:v>
                </c:pt>
                <c:pt idx="2">
                  <c:v>2990850</c:v>
                </c:pt>
                <c:pt idx="3">
                  <c:v>3162300</c:v>
                </c:pt>
                <c:pt idx="4">
                  <c:v>9315450</c:v>
                </c:pt>
                <c:pt idx="5">
                  <c:v>9429750</c:v>
                </c:pt>
                <c:pt idx="6">
                  <c:v>9486900</c:v>
                </c:pt>
                <c:pt idx="7">
                  <c:v>9010650</c:v>
                </c:pt>
                <c:pt idx="8">
                  <c:v>6553200</c:v>
                </c:pt>
                <c:pt idx="9">
                  <c:v>6381750</c:v>
                </c:pt>
                <c:pt idx="10">
                  <c:v>228600</c:v>
                </c:pt>
                <c:pt idx="11">
                  <c:v>114300</c:v>
                </c:pt>
                <c:pt idx="12">
                  <c:v>19050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0-43D1-8F75-78E620474D29}"/>
            </c:ext>
          </c:extLst>
        </c:ser>
        <c:ser>
          <c:idx val="2"/>
          <c:order val="2"/>
          <c:tx>
            <c:strRef>
              <c:f>'まとめ継続(分割計上計算)(2月)'!$D$3:$D$4</c:f>
              <c:strCache>
                <c:ptCount val="1"/>
                <c:pt idx="0">
                  <c:v>Apex年間会員（自動更新）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'まとめ継続(分割計上計算)(2月)'!$A$5:$A$29</c:f>
              <c:strCache>
                <c:ptCount val="25"/>
                <c:pt idx="0">
                  <c:v>合計 / 2025年3月</c:v>
                </c:pt>
                <c:pt idx="1">
                  <c:v>合計 / 2025年4月</c:v>
                </c:pt>
                <c:pt idx="2">
                  <c:v>合計 / 2025年5月</c:v>
                </c:pt>
                <c:pt idx="3">
                  <c:v>合計 / 2025年6月</c:v>
                </c:pt>
                <c:pt idx="4">
                  <c:v>合計 / 2025年7月</c:v>
                </c:pt>
                <c:pt idx="5">
                  <c:v>合計 / 2025年8月</c:v>
                </c:pt>
                <c:pt idx="6">
                  <c:v>合計 / 2025年9月</c:v>
                </c:pt>
                <c:pt idx="7">
                  <c:v>合計 / 2025年10月</c:v>
                </c:pt>
                <c:pt idx="8">
                  <c:v>合計 / 2025年11月</c:v>
                </c:pt>
                <c:pt idx="9">
                  <c:v>合計 / 2025年12月</c:v>
                </c:pt>
                <c:pt idx="10">
                  <c:v>合計 / 2026年1月</c:v>
                </c:pt>
                <c:pt idx="11">
                  <c:v>合計 / 2026年2月</c:v>
                </c:pt>
                <c:pt idx="12">
                  <c:v>合計 / 2026年3月</c:v>
                </c:pt>
                <c:pt idx="13">
                  <c:v>合計 / 2026年4月</c:v>
                </c:pt>
                <c:pt idx="14">
                  <c:v>合計 / 2026年5月</c:v>
                </c:pt>
                <c:pt idx="15">
                  <c:v>合計 / 2026年6月</c:v>
                </c:pt>
                <c:pt idx="16">
                  <c:v>合計 / 2026年7月</c:v>
                </c:pt>
                <c:pt idx="17">
                  <c:v>合計 / 2026年8月</c:v>
                </c:pt>
                <c:pt idx="18">
                  <c:v>合計 / 2026年9月</c:v>
                </c:pt>
                <c:pt idx="19">
                  <c:v>合計 / 2026年10月</c:v>
                </c:pt>
                <c:pt idx="20">
                  <c:v>合計 / 2026年11月</c:v>
                </c:pt>
                <c:pt idx="21">
                  <c:v>合計 / 2026年12月</c:v>
                </c:pt>
                <c:pt idx="22">
                  <c:v>合計 / 2027年1月</c:v>
                </c:pt>
                <c:pt idx="23">
                  <c:v>合計 / 2027年2月</c:v>
                </c:pt>
                <c:pt idx="24">
                  <c:v>合計 / 2027年3月</c:v>
                </c:pt>
              </c:strCache>
            </c:strRef>
          </c:cat>
          <c:val>
            <c:numRef>
              <c:f>'まとめ継続(分割計上計算)(2月)'!$D$5:$D$29</c:f>
              <c:numCache>
                <c:formatCode>#,##0_);[Red]\(#,##0\)</c:formatCode>
                <c:ptCount val="25"/>
                <c:pt idx="2">
                  <c:v>56610</c:v>
                </c:pt>
                <c:pt idx="3">
                  <c:v>84915</c:v>
                </c:pt>
                <c:pt idx="4">
                  <c:v>84915</c:v>
                </c:pt>
                <c:pt idx="5">
                  <c:v>94350</c:v>
                </c:pt>
                <c:pt idx="6">
                  <c:v>245310</c:v>
                </c:pt>
                <c:pt idx="7">
                  <c:v>245310</c:v>
                </c:pt>
                <c:pt idx="8">
                  <c:v>245310</c:v>
                </c:pt>
                <c:pt idx="9">
                  <c:v>254745</c:v>
                </c:pt>
                <c:pt idx="10">
                  <c:v>254745</c:v>
                </c:pt>
                <c:pt idx="11">
                  <c:v>254745</c:v>
                </c:pt>
                <c:pt idx="12">
                  <c:v>349095</c:v>
                </c:pt>
                <c:pt idx="13">
                  <c:v>349095</c:v>
                </c:pt>
                <c:pt idx="14">
                  <c:v>292485</c:v>
                </c:pt>
                <c:pt idx="15">
                  <c:v>264180</c:v>
                </c:pt>
                <c:pt idx="16">
                  <c:v>264180</c:v>
                </c:pt>
                <c:pt idx="17">
                  <c:v>254745</c:v>
                </c:pt>
                <c:pt idx="18">
                  <c:v>103785</c:v>
                </c:pt>
                <c:pt idx="19">
                  <c:v>103785</c:v>
                </c:pt>
                <c:pt idx="20">
                  <c:v>103785</c:v>
                </c:pt>
                <c:pt idx="21">
                  <c:v>94350</c:v>
                </c:pt>
                <c:pt idx="22">
                  <c:v>94350</c:v>
                </c:pt>
                <c:pt idx="23">
                  <c:v>94350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0-43D1-8F75-78E620474D29}"/>
            </c:ext>
          </c:extLst>
        </c:ser>
        <c:ser>
          <c:idx val="3"/>
          <c:order val="3"/>
          <c:tx>
            <c:strRef>
              <c:f>'まとめ継続(分割計上計算)(2月)'!$E$3:$E$4</c:f>
              <c:strCache>
                <c:ptCount val="1"/>
                <c:pt idx="0">
                  <c:v>銀振会員（更新要ｶｸﾆﾝ）3ヶ月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'まとめ継続(分割計上計算)(2月)'!$A$5:$A$29</c:f>
              <c:strCache>
                <c:ptCount val="25"/>
                <c:pt idx="0">
                  <c:v>合計 / 2025年3月</c:v>
                </c:pt>
                <c:pt idx="1">
                  <c:v>合計 / 2025年4月</c:v>
                </c:pt>
                <c:pt idx="2">
                  <c:v>合計 / 2025年5月</c:v>
                </c:pt>
                <c:pt idx="3">
                  <c:v>合計 / 2025年6月</c:v>
                </c:pt>
                <c:pt idx="4">
                  <c:v>合計 / 2025年7月</c:v>
                </c:pt>
                <c:pt idx="5">
                  <c:v>合計 / 2025年8月</c:v>
                </c:pt>
                <c:pt idx="6">
                  <c:v>合計 / 2025年9月</c:v>
                </c:pt>
                <c:pt idx="7">
                  <c:v>合計 / 2025年10月</c:v>
                </c:pt>
                <c:pt idx="8">
                  <c:v>合計 / 2025年11月</c:v>
                </c:pt>
                <c:pt idx="9">
                  <c:v>合計 / 2025年12月</c:v>
                </c:pt>
                <c:pt idx="10">
                  <c:v>合計 / 2026年1月</c:v>
                </c:pt>
                <c:pt idx="11">
                  <c:v>合計 / 2026年2月</c:v>
                </c:pt>
                <c:pt idx="12">
                  <c:v>合計 / 2026年3月</c:v>
                </c:pt>
                <c:pt idx="13">
                  <c:v>合計 / 2026年4月</c:v>
                </c:pt>
                <c:pt idx="14">
                  <c:v>合計 / 2026年5月</c:v>
                </c:pt>
                <c:pt idx="15">
                  <c:v>合計 / 2026年6月</c:v>
                </c:pt>
                <c:pt idx="16">
                  <c:v>合計 / 2026年7月</c:v>
                </c:pt>
                <c:pt idx="17">
                  <c:v>合計 / 2026年8月</c:v>
                </c:pt>
                <c:pt idx="18">
                  <c:v>合計 / 2026年9月</c:v>
                </c:pt>
                <c:pt idx="19">
                  <c:v>合計 / 2026年10月</c:v>
                </c:pt>
                <c:pt idx="20">
                  <c:v>合計 / 2026年11月</c:v>
                </c:pt>
                <c:pt idx="21">
                  <c:v>合計 / 2026年12月</c:v>
                </c:pt>
                <c:pt idx="22">
                  <c:v>合計 / 2027年1月</c:v>
                </c:pt>
                <c:pt idx="23">
                  <c:v>合計 / 2027年2月</c:v>
                </c:pt>
                <c:pt idx="24">
                  <c:v>合計 / 2027年3月</c:v>
                </c:pt>
              </c:strCache>
            </c:strRef>
          </c:cat>
          <c:val>
            <c:numRef>
              <c:f>'まとめ継続(分割計上計算)(2月)'!$E$5:$E$29</c:f>
              <c:numCache>
                <c:formatCode>#,##0_);[Red]\(#,##0\)</c:formatCode>
                <c:ptCount val="25"/>
                <c:pt idx="1">
                  <c:v>178200</c:v>
                </c:pt>
                <c:pt idx="2">
                  <c:v>198000</c:v>
                </c:pt>
                <c:pt idx="3">
                  <c:v>198000</c:v>
                </c:pt>
                <c:pt idx="4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00-43D1-8F75-78E620474D29}"/>
            </c:ext>
          </c:extLst>
        </c:ser>
        <c:ser>
          <c:idx val="4"/>
          <c:order val="4"/>
          <c:tx>
            <c:strRef>
              <c:f>'まとめ継続(分割計上計算)(2月)'!$F$3:$F$4</c:f>
              <c:strCache>
                <c:ptCount val="1"/>
                <c:pt idx="0">
                  <c:v>銀振会員（更新要ｶｸﾆﾝ）6ヶ月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'まとめ継続(分割計上計算)(2月)'!$A$5:$A$29</c:f>
              <c:strCache>
                <c:ptCount val="25"/>
                <c:pt idx="0">
                  <c:v>合計 / 2025年3月</c:v>
                </c:pt>
                <c:pt idx="1">
                  <c:v>合計 / 2025年4月</c:v>
                </c:pt>
                <c:pt idx="2">
                  <c:v>合計 / 2025年5月</c:v>
                </c:pt>
                <c:pt idx="3">
                  <c:v>合計 / 2025年6月</c:v>
                </c:pt>
                <c:pt idx="4">
                  <c:v>合計 / 2025年7月</c:v>
                </c:pt>
                <c:pt idx="5">
                  <c:v>合計 / 2025年8月</c:v>
                </c:pt>
                <c:pt idx="6">
                  <c:v>合計 / 2025年9月</c:v>
                </c:pt>
                <c:pt idx="7">
                  <c:v>合計 / 2025年10月</c:v>
                </c:pt>
                <c:pt idx="8">
                  <c:v>合計 / 2025年11月</c:v>
                </c:pt>
                <c:pt idx="9">
                  <c:v>合計 / 2025年12月</c:v>
                </c:pt>
                <c:pt idx="10">
                  <c:v>合計 / 2026年1月</c:v>
                </c:pt>
                <c:pt idx="11">
                  <c:v>合計 / 2026年2月</c:v>
                </c:pt>
                <c:pt idx="12">
                  <c:v>合計 / 2026年3月</c:v>
                </c:pt>
                <c:pt idx="13">
                  <c:v>合計 / 2026年4月</c:v>
                </c:pt>
                <c:pt idx="14">
                  <c:v>合計 / 2026年5月</c:v>
                </c:pt>
                <c:pt idx="15">
                  <c:v>合計 / 2026年6月</c:v>
                </c:pt>
                <c:pt idx="16">
                  <c:v>合計 / 2026年7月</c:v>
                </c:pt>
                <c:pt idx="17">
                  <c:v>合計 / 2026年8月</c:v>
                </c:pt>
                <c:pt idx="18">
                  <c:v>合計 / 2026年9月</c:v>
                </c:pt>
                <c:pt idx="19">
                  <c:v>合計 / 2026年10月</c:v>
                </c:pt>
                <c:pt idx="20">
                  <c:v>合計 / 2026年11月</c:v>
                </c:pt>
                <c:pt idx="21">
                  <c:v>合計 / 2026年12月</c:v>
                </c:pt>
                <c:pt idx="22">
                  <c:v>合計 / 2027年1月</c:v>
                </c:pt>
                <c:pt idx="23">
                  <c:v>合計 / 2027年2月</c:v>
                </c:pt>
                <c:pt idx="24">
                  <c:v>合計 / 2027年3月</c:v>
                </c:pt>
              </c:strCache>
            </c:strRef>
          </c:cat>
          <c:val>
            <c:numRef>
              <c:f>'まとめ継続(分割計上計算)(2月)'!$F$5:$F$29</c:f>
              <c:numCache>
                <c:formatCode>#,##0_);[Red]\(#,##0\)</c:formatCode>
                <c:ptCount val="25"/>
                <c:pt idx="2">
                  <c:v>76200</c:v>
                </c:pt>
                <c:pt idx="3">
                  <c:v>76200</c:v>
                </c:pt>
                <c:pt idx="4">
                  <c:v>495300</c:v>
                </c:pt>
                <c:pt idx="5">
                  <c:v>495300</c:v>
                </c:pt>
                <c:pt idx="6">
                  <c:v>495300</c:v>
                </c:pt>
                <c:pt idx="7">
                  <c:v>495300</c:v>
                </c:pt>
                <c:pt idx="8">
                  <c:v>419100</c:v>
                </c:pt>
                <c:pt idx="9">
                  <c:v>419100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00-43D1-8F75-78E620474D29}"/>
            </c:ext>
          </c:extLst>
        </c:ser>
        <c:ser>
          <c:idx val="5"/>
          <c:order val="5"/>
          <c:tx>
            <c:strRef>
              <c:f>'まとめ継続(分割計上計算)(2月)'!$G$3:$G$4</c:f>
              <c:strCache>
                <c:ptCount val="1"/>
                <c:pt idx="0">
                  <c:v>銀振会員（更新要ｶｸﾆﾝ）Apex年間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'まとめ継続(分割計上計算)(2月)'!$A$5:$A$29</c:f>
              <c:strCache>
                <c:ptCount val="25"/>
                <c:pt idx="0">
                  <c:v>合計 / 2025年3月</c:v>
                </c:pt>
                <c:pt idx="1">
                  <c:v>合計 / 2025年4月</c:v>
                </c:pt>
                <c:pt idx="2">
                  <c:v>合計 / 2025年5月</c:v>
                </c:pt>
                <c:pt idx="3">
                  <c:v>合計 / 2025年6月</c:v>
                </c:pt>
                <c:pt idx="4">
                  <c:v>合計 / 2025年7月</c:v>
                </c:pt>
                <c:pt idx="5">
                  <c:v>合計 / 2025年8月</c:v>
                </c:pt>
                <c:pt idx="6">
                  <c:v>合計 / 2025年9月</c:v>
                </c:pt>
                <c:pt idx="7">
                  <c:v>合計 / 2025年10月</c:v>
                </c:pt>
                <c:pt idx="8">
                  <c:v>合計 / 2025年11月</c:v>
                </c:pt>
                <c:pt idx="9">
                  <c:v>合計 / 2025年12月</c:v>
                </c:pt>
                <c:pt idx="10">
                  <c:v>合計 / 2026年1月</c:v>
                </c:pt>
                <c:pt idx="11">
                  <c:v>合計 / 2026年2月</c:v>
                </c:pt>
                <c:pt idx="12">
                  <c:v>合計 / 2026年3月</c:v>
                </c:pt>
                <c:pt idx="13">
                  <c:v>合計 / 2026年4月</c:v>
                </c:pt>
                <c:pt idx="14">
                  <c:v>合計 / 2026年5月</c:v>
                </c:pt>
                <c:pt idx="15">
                  <c:v>合計 / 2026年6月</c:v>
                </c:pt>
                <c:pt idx="16">
                  <c:v>合計 / 2026年7月</c:v>
                </c:pt>
                <c:pt idx="17">
                  <c:v>合計 / 2026年8月</c:v>
                </c:pt>
                <c:pt idx="18">
                  <c:v>合計 / 2026年9月</c:v>
                </c:pt>
                <c:pt idx="19">
                  <c:v>合計 / 2026年10月</c:v>
                </c:pt>
                <c:pt idx="20">
                  <c:v>合計 / 2026年11月</c:v>
                </c:pt>
                <c:pt idx="21">
                  <c:v>合計 / 2026年12月</c:v>
                </c:pt>
                <c:pt idx="22">
                  <c:v>合計 / 2027年1月</c:v>
                </c:pt>
                <c:pt idx="23">
                  <c:v>合計 / 2027年2月</c:v>
                </c:pt>
                <c:pt idx="24">
                  <c:v>合計 / 2027年3月</c:v>
                </c:pt>
              </c:strCache>
            </c:strRef>
          </c:cat>
          <c:val>
            <c:numRef>
              <c:f>'まとめ継続(分割計上計算)(2月)'!$G$5:$G$29</c:f>
              <c:numCache>
                <c:formatCode>#,##0_);[Red]\(#,##0\)</c:formatCode>
                <c:ptCount val="25"/>
                <c:pt idx="6">
                  <c:v>28305</c:v>
                </c:pt>
                <c:pt idx="7">
                  <c:v>28305</c:v>
                </c:pt>
                <c:pt idx="8">
                  <c:v>28305</c:v>
                </c:pt>
                <c:pt idx="9">
                  <c:v>28305</c:v>
                </c:pt>
                <c:pt idx="10">
                  <c:v>28305</c:v>
                </c:pt>
                <c:pt idx="11">
                  <c:v>28305</c:v>
                </c:pt>
                <c:pt idx="12">
                  <c:v>28305</c:v>
                </c:pt>
                <c:pt idx="13">
                  <c:v>28305</c:v>
                </c:pt>
                <c:pt idx="14">
                  <c:v>28305</c:v>
                </c:pt>
                <c:pt idx="15">
                  <c:v>28305</c:v>
                </c:pt>
                <c:pt idx="16">
                  <c:v>28305</c:v>
                </c:pt>
                <c:pt idx="17">
                  <c:v>28305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00-43D1-8F75-78E620474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24014719"/>
        <c:axId val="1024022879"/>
      </c:barChart>
      <c:catAx>
        <c:axId val="102401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4022879"/>
        <c:crosses val="autoZero"/>
        <c:auto val="1"/>
        <c:lblAlgn val="ctr"/>
        <c:lblOffset val="100"/>
        <c:noMultiLvlLbl val="0"/>
      </c:catAx>
      <c:valAx>
        <c:axId val="10240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401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'まとめ継続(分割計上計算)'!$B$34</c:f>
              <c:strCache>
                <c:ptCount val="1"/>
                <c:pt idx="0">
                  <c:v>3ヶ月会員（ライト・クレカ自動更新）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'まとめ継続(分割計上計算)'!$A$35:$A$58</c:f>
              <c:numCache>
                <c:formatCode>yyyy"年"m"月"</c:formatCode>
                <c:ptCount val="24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  <c:pt idx="23">
                  <c:v>46388</c:v>
                </c:pt>
              </c:numCache>
            </c:numRef>
          </c:cat>
          <c:val>
            <c:numRef>
              <c:f>'まとめ継続(分割計上計算)'!$B$35:$B$58</c:f>
              <c:numCache>
                <c:formatCode>#,##0_);[Red]\(#,##0\)</c:formatCode>
                <c:ptCount val="24"/>
                <c:pt idx="0">
                  <c:v>19800</c:v>
                </c:pt>
                <c:pt idx="1">
                  <c:v>1821600</c:v>
                </c:pt>
                <c:pt idx="2">
                  <c:v>2296800</c:v>
                </c:pt>
                <c:pt idx="3">
                  <c:v>2296800</c:v>
                </c:pt>
                <c:pt idx="4">
                  <c:v>495000</c:v>
                </c:pt>
                <c:pt idx="5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4-4C0C-A2CE-633855FF76EE}"/>
            </c:ext>
          </c:extLst>
        </c:ser>
        <c:ser>
          <c:idx val="1"/>
          <c:order val="1"/>
          <c:tx>
            <c:strRef>
              <c:f>'まとめ継続(分割計上計算)'!$C$34</c:f>
              <c:strCache>
                <c:ptCount val="1"/>
                <c:pt idx="0">
                  <c:v>6ヶ月会員（ライト・クレカ自動更新）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'まとめ継続(分割計上計算)'!$A$35:$A$58</c:f>
              <c:numCache>
                <c:formatCode>yyyy"年"m"月"</c:formatCode>
                <c:ptCount val="24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  <c:pt idx="23">
                  <c:v>46388</c:v>
                </c:pt>
              </c:numCache>
            </c:numRef>
          </c:cat>
          <c:val>
            <c:numRef>
              <c:f>'まとめ継続(分割計上計算)'!$C$35:$C$58</c:f>
              <c:numCache>
                <c:formatCode>#,##0_);[Red]\(#,##0\)</c:formatCode>
                <c:ptCount val="24"/>
                <c:pt idx="0">
                  <c:v>38100</c:v>
                </c:pt>
                <c:pt idx="1">
                  <c:v>533400</c:v>
                </c:pt>
                <c:pt idx="2">
                  <c:v>3009900</c:v>
                </c:pt>
                <c:pt idx="3">
                  <c:v>3181350</c:v>
                </c:pt>
                <c:pt idx="4">
                  <c:v>9353550</c:v>
                </c:pt>
                <c:pt idx="5">
                  <c:v>9467850</c:v>
                </c:pt>
                <c:pt idx="6">
                  <c:v>9448800</c:v>
                </c:pt>
                <c:pt idx="7">
                  <c:v>8953500</c:v>
                </c:pt>
                <c:pt idx="8">
                  <c:v>6477000</c:v>
                </c:pt>
                <c:pt idx="9">
                  <c:v>6305550</c:v>
                </c:pt>
                <c:pt idx="10">
                  <c:v>133350</c:v>
                </c:pt>
                <c:pt idx="11">
                  <c:v>19050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4-4C0C-A2CE-633855FF76EE}"/>
            </c:ext>
          </c:extLst>
        </c:ser>
        <c:ser>
          <c:idx val="2"/>
          <c:order val="2"/>
          <c:tx>
            <c:strRef>
              <c:f>'まとめ継続(分割計上計算)'!$D$34</c:f>
              <c:strCache>
                <c:ptCount val="1"/>
                <c:pt idx="0">
                  <c:v>Apex年間会員（自動更新）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'まとめ継続(分割計上計算)'!$A$35:$A$58</c:f>
              <c:numCache>
                <c:formatCode>yyyy"年"m"月"</c:formatCode>
                <c:ptCount val="24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  <c:pt idx="23">
                  <c:v>46388</c:v>
                </c:pt>
              </c:numCache>
            </c:numRef>
          </c:cat>
          <c:val>
            <c:numRef>
              <c:f>'まとめ継続(分割計上計算)'!$D$35:$D$58</c:f>
              <c:numCache>
                <c:formatCode>#,##0_);[Red]\(#,##0\)</c:formatCode>
                <c:ptCount val="24"/>
                <c:pt idx="2">
                  <c:v>56610</c:v>
                </c:pt>
                <c:pt idx="3">
                  <c:v>84915</c:v>
                </c:pt>
                <c:pt idx="4">
                  <c:v>84915</c:v>
                </c:pt>
                <c:pt idx="5">
                  <c:v>94350</c:v>
                </c:pt>
                <c:pt idx="6">
                  <c:v>245310</c:v>
                </c:pt>
                <c:pt idx="7">
                  <c:v>245310</c:v>
                </c:pt>
                <c:pt idx="8">
                  <c:v>245310</c:v>
                </c:pt>
                <c:pt idx="9">
                  <c:v>245310</c:v>
                </c:pt>
                <c:pt idx="10">
                  <c:v>254745</c:v>
                </c:pt>
                <c:pt idx="11">
                  <c:v>254745</c:v>
                </c:pt>
                <c:pt idx="12">
                  <c:v>349095</c:v>
                </c:pt>
                <c:pt idx="13">
                  <c:v>349095</c:v>
                </c:pt>
                <c:pt idx="14">
                  <c:v>292485</c:v>
                </c:pt>
                <c:pt idx="15">
                  <c:v>264180</c:v>
                </c:pt>
                <c:pt idx="16">
                  <c:v>264180</c:v>
                </c:pt>
                <c:pt idx="17">
                  <c:v>254745</c:v>
                </c:pt>
                <c:pt idx="18">
                  <c:v>103785</c:v>
                </c:pt>
                <c:pt idx="19">
                  <c:v>103785</c:v>
                </c:pt>
                <c:pt idx="20">
                  <c:v>103785</c:v>
                </c:pt>
                <c:pt idx="21">
                  <c:v>103785</c:v>
                </c:pt>
                <c:pt idx="22">
                  <c:v>94350</c:v>
                </c:pt>
                <c:pt idx="23">
                  <c:v>94350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4-4C0C-A2CE-633855FF76EE}"/>
            </c:ext>
          </c:extLst>
        </c:ser>
        <c:ser>
          <c:idx val="3"/>
          <c:order val="3"/>
          <c:tx>
            <c:strRef>
              <c:f>'まとめ継続(分割計上計算)'!$E$34</c:f>
              <c:strCache>
                <c:ptCount val="1"/>
                <c:pt idx="0">
                  <c:v>銀振会員（更新要ｶｸﾆﾝ）3ヶ月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'まとめ継続(分割計上計算)'!$A$35:$A$58</c:f>
              <c:numCache>
                <c:formatCode>yyyy"年"m"月"</c:formatCode>
                <c:ptCount val="24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  <c:pt idx="23">
                  <c:v>46388</c:v>
                </c:pt>
              </c:numCache>
            </c:numRef>
          </c:cat>
          <c:val>
            <c:numRef>
              <c:f>'まとめ継続(分割計上計算)'!$E$35:$E$58</c:f>
              <c:numCache>
                <c:formatCode>#,##0_);[Red]\(#,##0\)</c:formatCode>
                <c:ptCount val="24"/>
                <c:pt idx="1">
                  <c:v>178200</c:v>
                </c:pt>
                <c:pt idx="2">
                  <c:v>198000</c:v>
                </c:pt>
                <c:pt idx="3">
                  <c:v>198000</c:v>
                </c:pt>
                <c:pt idx="4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94-4C0C-A2CE-633855FF76EE}"/>
            </c:ext>
          </c:extLst>
        </c:ser>
        <c:ser>
          <c:idx val="4"/>
          <c:order val="4"/>
          <c:tx>
            <c:strRef>
              <c:f>'まとめ継続(分割計上計算)'!$F$34</c:f>
              <c:strCache>
                <c:ptCount val="1"/>
                <c:pt idx="0">
                  <c:v>銀振会員（更新要ｶｸﾆﾝ）6ヶ月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'まとめ継続(分割計上計算)'!$A$35:$A$58</c:f>
              <c:numCache>
                <c:formatCode>yyyy"年"m"月"</c:formatCode>
                <c:ptCount val="24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  <c:pt idx="23">
                  <c:v>46388</c:v>
                </c:pt>
              </c:numCache>
            </c:numRef>
          </c:cat>
          <c:val>
            <c:numRef>
              <c:f>'まとめ継続(分割計上計算)'!$F$35:$F$58</c:f>
              <c:numCache>
                <c:formatCode>#,##0_);[Red]\(#,##0\)</c:formatCode>
                <c:ptCount val="24"/>
                <c:pt idx="2">
                  <c:v>76200</c:v>
                </c:pt>
                <c:pt idx="3">
                  <c:v>76200</c:v>
                </c:pt>
                <c:pt idx="4">
                  <c:v>495300</c:v>
                </c:pt>
                <c:pt idx="5">
                  <c:v>495300</c:v>
                </c:pt>
                <c:pt idx="6">
                  <c:v>495300</c:v>
                </c:pt>
                <c:pt idx="7">
                  <c:v>495300</c:v>
                </c:pt>
                <c:pt idx="8">
                  <c:v>419100</c:v>
                </c:pt>
                <c:pt idx="9">
                  <c:v>419100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94-4C0C-A2CE-633855FF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2030911"/>
        <c:axId val="142031391"/>
      </c:barChart>
      <c:dateAx>
        <c:axId val="142030911"/>
        <c:scaling>
          <c:orientation val="minMax"/>
        </c:scaling>
        <c:delete val="0"/>
        <c:axPos val="b"/>
        <c:numFmt formatCode="yyyy&quot;年&quot;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031391"/>
        <c:crosses val="autoZero"/>
        <c:auto val="1"/>
        <c:lblOffset val="100"/>
        <c:baseTimeUnit val="months"/>
      </c:dateAx>
      <c:valAx>
        <c:axId val="1420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0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'まとめ継続(分割計上計算)'!$B$65</c:f>
              <c:strCache>
                <c:ptCount val="1"/>
                <c:pt idx="0">
                  <c:v>3ヶ月会員（ライト・クレカ自動更新）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'まとめ継続(分割計上計算)'!$A$66:$A$78</c:f>
              <c:numCache>
                <c:formatCode>yyyy"年"m"月"</c:formatCode>
                <c:ptCount val="1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</c:numCache>
            </c:numRef>
          </c:cat>
          <c:val>
            <c:numRef>
              <c:f>'まとめ継続(分割計上計算)'!$B$66:$B$78</c:f>
              <c:numCache>
                <c:formatCode>#,##0_);[Red]\(#,##0\)</c:formatCode>
                <c:ptCount val="13"/>
                <c:pt idx="0">
                  <c:v>59400</c:v>
                </c:pt>
                <c:pt idx="1">
                  <c:v>5405400</c:v>
                </c:pt>
                <c:pt idx="2">
                  <c:v>1425600</c:v>
                </c:pt>
                <c:pt idx="3">
                  <c:v>59400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4-4BFF-BD1D-1EA98617E236}"/>
            </c:ext>
          </c:extLst>
        </c:ser>
        <c:ser>
          <c:idx val="1"/>
          <c:order val="1"/>
          <c:tx>
            <c:strRef>
              <c:f>'まとめ継続(分割計上計算)'!$C$65</c:f>
              <c:strCache>
                <c:ptCount val="1"/>
                <c:pt idx="0">
                  <c:v>6ヶ月会員（ライト・クレカ自動更新）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'まとめ継続(分割計上計算)'!$A$66:$A$78</c:f>
              <c:numCache>
                <c:formatCode>yyyy"年"m"月"</c:formatCode>
                <c:ptCount val="1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</c:numCache>
            </c:numRef>
          </c:cat>
          <c:val>
            <c:numRef>
              <c:f>'まとめ継続(分割計上計算)'!$C$66:$C$78</c:f>
              <c:numCache>
                <c:formatCode>#,##0_);[Red]\(#,##0\)</c:formatCode>
                <c:ptCount val="13"/>
                <c:pt idx="0">
                  <c:v>228600</c:v>
                </c:pt>
                <c:pt idx="1">
                  <c:v>2971800</c:v>
                </c:pt>
                <c:pt idx="2">
                  <c:v>14859000</c:v>
                </c:pt>
                <c:pt idx="3">
                  <c:v>1028700</c:v>
                </c:pt>
                <c:pt idx="4">
                  <c:v>37033200</c:v>
                </c:pt>
                <c:pt idx="5">
                  <c:v>685800</c:v>
                </c:pt>
                <c:pt idx="6">
                  <c:v>114300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4-4BFF-BD1D-1EA98617E236}"/>
            </c:ext>
          </c:extLst>
        </c:ser>
        <c:ser>
          <c:idx val="2"/>
          <c:order val="2"/>
          <c:tx>
            <c:strRef>
              <c:f>'まとめ継続(分割計上計算)'!$D$65</c:f>
              <c:strCache>
                <c:ptCount val="1"/>
                <c:pt idx="0">
                  <c:v>Apex年間会員（自動更新）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'まとめ継続(分割計上計算)'!$A$66:$A$78</c:f>
              <c:numCache>
                <c:formatCode>yyyy"年"m"月"</c:formatCode>
                <c:ptCount val="1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</c:numCache>
            </c:numRef>
          </c:cat>
          <c:val>
            <c:numRef>
              <c:f>'まとめ継続(分割計上計算)'!$D$66:$D$78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679320</c:v>
                </c:pt>
                <c:pt idx="3">
                  <c:v>339660</c:v>
                </c:pt>
                <c:pt idx="4">
                  <c:v>0</c:v>
                </c:pt>
                <c:pt idx="5">
                  <c:v>113220</c:v>
                </c:pt>
                <c:pt idx="6">
                  <c:v>1811520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113220</c:v>
                </c:pt>
                <c:pt idx="11">
                  <c:v>0</c:v>
                </c:pt>
                <c:pt idx="12">
                  <c:v>1132200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4-4BFF-BD1D-1EA98617E236}"/>
            </c:ext>
          </c:extLst>
        </c:ser>
        <c:ser>
          <c:idx val="3"/>
          <c:order val="3"/>
          <c:tx>
            <c:strRef>
              <c:f>'まとめ継続(分割計上計算)'!$E$65</c:f>
              <c:strCache>
                <c:ptCount val="1"/>
                <c:pt idx="0">
                  <c:v>銀振会員（更新要ｶｸﾆﾝ）3ヶ月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'まとめ継続(分割計上計算)'!$A$66:$A$78</c:f>
              <c:numCache>
                <c:formatCode>yyyy"年"m"月"</c:formatCode>
                <c:ptCount val="1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</c:numCache>
            </c:numRef>
          </c:cat>
          <c:val>
            <c:numRef>
              <c:f>'まとめ継続(分割計上計算)'!$E$66:$E$78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534600</c:v>
                </c:pt>
                <c:pt idx="2">
                  <c:v>59400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D4-4BFF-BD1D-1EA98617E236}"/>
            </c:ext>
          </c:extLst>
        </c:ser>
        <c:ser>
          <c:idx val="4"/>
          <c:order val="4"/>
          <c:tx>
            <c:strRef>
              <c:f>'まとめ継続(分割計上計算)'!$F$65</c:f>
              <c:strCache>
                <c:ptCount val="1"/>
                <c:pt idx="0">
                  <c:v>銀振会員（更新要ｶｸﾆﾝ）6ヶ月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'まとめ継続(分割計上計算)'!$A$66:$A$78</c:f>
              <c:numCache>
                <c:formatCode>yyyy"年"m"月"</c:formatCode>
                <c:ptCount val="1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</c:numCache>
            </c:numRef>
          </c:cat>
          <c:val>
            <c:numRef>
              <c:f>'まとめ継続(分割計上計算)'!$F$66:$F$78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457200</c:v>
                </c:pt>
                <c:pt idx="3">
                  <c:v>0</c:v>
                </c:pt>
                <c:pt idx="4">
                  <c:v>2514600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D4-4BFF-BD1D-1EA98617E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6564575"/>
        <c:axId val="186566015"/>
      </c:barChart>
      <c:dateAx>
        <c:axId val="186564575"/>
        <c:scaling>
          <c:orientation val="minMax"/>
        </c:scaling>
        <c:delete val="0"/>
        <c:axPos val="b"/>
        <c:numFmt formatCode="yyyy&quot;年&quot;m&quot;月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566015"/>
        <c:crosses val="autoZero"/>
        <c:auto val="1"/>
        <c:lblOffset val="100"/>
        <c:baseTimeUnit val="months"/>
      </c:dateAx>
      <c:valAx>
        <c:axId val="1865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56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1156605</xdr:colOff>
      <xdr:row>29</xdr:row>
      <xdr:rowOff>30614</xdr:rowOff>
    </xdr:from>
    <xdr:to>
      <xdr:col>6</xdr:col>
      <xdr:colOff>870855</xdr:colOff>
      <xdr:row>50</xdr:row>
      <xdr:rowOff>122464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FB5DB85-48C0-4F50-814F-647641AD9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1265465</xdr:colOff>
      <xdr:row>33</xdr:row>
      <xdr:rowOff>0</xdr:rowOff>
    </xdr:from>
    <xdr:to>
      <xdr:col>13</xdr:col>
      <xdr:colOff>435430</xdr:colOff>
      <xdr:row>57</xdr:row>
      <xdr:rowOff>190500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F329695-38CF-706F-EAA4-9145CE968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149677</xdr:colOff>
      <xdr:row>63</xdr:row>
      <xdr:rowOff>190499</xdr:rowOff>
    </xdr:from>
    <xdr:to>
      <xdr:col>10</xdr:col>
      <xdr:colOff>108858</xdr:colOff>
      <xdr:row>78</xdr:row>
      <xdr:rowOff>81641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2001609-42BF-D8DA-C050-4E548D253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opbox/RES&#32076;&#29702;&#26412;&#31038;/&#26481;&#20491;&#20154;&#12501;&#12457;&#12523;&#12480;/&#36991;&#38627;/hinan/&#12487;&#12540;&#12479;&#20998;&#26512;/&#38598;&#35336;(2025.1&#12487;&#12540;&#12479;&#36804;)&#65288;Mr.K&#12467;&#12511;&#12517;&#20250;&#21729;&#36861;&#21152;&#65306;&#22823;&#27211;&#65289;.xlsx" TargetMode="External"/><Relationship Id="rId2" Type="http://schemas.openxmlformats.org/officeDocument/2006/relationships/externalLinkPath" Target="file:///C:\Users\offic\Dropbox\RES&#32076;&#29702;&#26412;&#31038;\&#26481;&#20491;&#20154;&#12501;&#12457;&#12523;&#12480;\&#36991;&#38627;\hinan\&#12487;&#12540;&#12479;&#20998;&#26512;\&#38598;&#35336;(2025.1&#12487;&#12540;&#12479;&#36804;)&#65288;Mr.K&#12467;&#12511;&#12517;&#20250;&#21729;&#36861;&#21152;&#65306;&#22823;&#27211;&#65289;.xlsx" TargetMode="External"/><Relationship Id="rId1" Type="http://schemas.openxmlformats.org/officeDocument/2006/relationships/externalLinkPath" Target="/Users/offic/Dropbox/RES&#32076;&#29702;&#26412;&#31038;/&#26481;&#20491;&#20154;&#12501;&#12457;&#12523;&#12480;/&#36991;&#38627;/hinan/&#12487;&#12540;&#12479;&#20998;&#26512;/&#38598;&#35336;(2025.1&#12487;&#12540;&#12479;&#36804;)&#65288;Mr.K&#12467;&#12511;&#12517;&#20250;&#21729;&#36861;&#21152;&#65306;&#22823;&#2721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3.12-2024.11ロボクレカ"/>
      <sheetName val="集計"/>
      <sheetName val="会計上の売上"/>
      <sheetName val="会計上の売上(+自社取り分)"/>
      <sheetName val="ストック売上集計(＋自社取り分)"/>
      <sheetName val="月額ピボ"/>
      <sheetName val="分割ピボ"/>
      <sheetName val="売上ピボ"/>
      <sheetName val="月ピボ"/>
      <sheetName val="分ピボ"/>
      <sheetName val="月額会費(1月注)"/>
      <sheetName val="分割商品"/>
      <sheetName val="月額会費(1月注文)"/>
      <sheetName val="分割"/>
      <sheetName val="結合"/>
      <sheetName val="コミュおまとめ"/>
      <sheetName val="金額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3ヶ月会員（ライト・クレカ自動更新）</v>
          </cell>
          <cell r="B2">
            <v>59400</v>
          </cell>
        </row>
        <row r="3">
          <cell r="A3" t="str">
            <v>6ヶ月会員（ライト・クレカ自動更新）</v>
          </cell>
          <cell r="B3">
            <v>114300</v>
          </cell>
        </row>
        <row r="4">
          <cell r="A4" t="str">
            <v>銀振会員（更新要ｶｸﾆﾝ）6ヶ月</v>
          </cell>
          <cell r="B4">
            <v>114300</v>
          </cell>
        </row>
        <row r="5">
          <cell r="A5" t="str">
            <v>銀振会員（更新要ｶｸﾆﾝ）3ヶ月</v>
          </cell>
          <cell r="B5">
            <v>59400</v>
          </cell>
        </row>
        <row r="6">
          <cell r="A6" t="str">
            <v>Apex年間会員（自動更新）</v>
          </cell>
          <cell r="B6">
            <v>113220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ffic/Dropbox/RES&#32076;&#29702;&#26412;&#31038;/&#26481;&#20491;&#20154;&#12501;&#12457;&#12523;&#12480;/&#36991;&#38627;/hinan/&#12487;&#12540;&#12479;&#20998;&#26512;/&#38598;&#35336;(2025.2&#12487;&#12540;&#12479;&#36804;)0307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701.71778564815" createdVersion="8" refreshedVersion="8" minRefreshableVersion="3" recordCount="690" xr:uid="{ECFCFDD9-88D2-41BB-A2AD-5E60FC0C6CE1}">
  <cacheSource type="worksheet">
    <worksheetSource ref="A1:W691" sheet="まとめ継続(1月)"/>
  </cacheSource>
  <cacheFields count="23">
    <cacheField name="新 業務提携者（従属）" numFmtId="38">
      <sharedItems count="1">
        <s v="PEAK ONE. LLC[山崎裕久(Mr.K)]"/>
      </sharedItems>
    </cacheField>
    <cacheField name="顧客ID" numFmtId="49">
      <sharedItems count="690">
        <s v="C-00075126"/>
        <s v="C-00074947"/>
        <s v="C-00074945"/>
        <s v="C-00074942"/>
        <s v="C-00074941"/>
        <s v="C-00074937"/>
        <s v="C-00074934"/>
        <s v="C-00074931"/>
        <s v="C-00074928"/>
        <s v="C-00074922"/>
        <s v="C-00074916"/>
        <s v="C-00074914"/>
        <s v="C-00074903"/>
        <s v="C-00074901"/>
        <s v="C-00074897"/>
        <s v="C-00074892"/>
        <s v="C-00074891"/>
        <s v="C-00074889"/>
        <s v="C-00074888"/>
        <s v="C-00074887"/>
        <s v="C-00074885"/>
        <s v="C-00074881"/>
        <s v="C-00074876"/>
        <s v="C-00074870"/>
        <s v="C-00074863"/>
        <s v="C-00074859"/>
        <s v="C-00074855"/>
        <s v="C-00074854"/>
        <s v="C-00074851"/>
        <s v="C-00074843"/>
        <s v="C-00074842"/>
        <s v="C-00074841"/>
        <s v="C-00074838"/>
        <s v="C-00074831"/>
        <s v="C-00074830"/>
        <s v="C-00074824"/>
        <s v="C-00074823"/>
        <s v="C-00074816"/>
        <s v="C-00074814"/>
        <s v="C-00074811"/>
        <s v="C-00074810"/>
        <s v="C-00074806"/>
        <s v="C-00074803"/>
        <s v="C-00074801"/>
        <s v="C-00074800"/>
        <s v="C-00074793"/>
        <s v="C-00074782"/>
        <s v="C-00074777"/>
        <s v="C-00074776"/>
        <s v="C-00074773"/>
        <s v="C-00074770"/>
        <s v="C-00074768"/>
        <s v="C-00074766"/>
        <s v="C-00074765"/>
        <s v="C-00074759"/>
        <s v="C-00074758"/>
        <s v="C-00074757"/>
        <s v="C-00074755"/>
        <s v="C-00074751"/>
        <s v="C-00074750"/>
        <s v="C-00074749"/>
        <s v="C-00074748"/>
        <s v="C-00074746"/>
        <s v="C-00074745"/>
        <s v="C-00074743"/>
        <s v="C-00074742"/>
        <s v="C-00074738"/>
        <s v="C-00074737"/>
        <s v="C-00074736"/>
        <s v="C-00074731"/>
        <s v="C-00074723"/>
        <s v="C-00074721"/>
        <s v="C-00074720"/>
        <s v="C-00074718"/>
        <s v="C-00074709"/>
        <s v="C-00074696"/>
        <s v="C-00074695"/>
        <s v="C-00074686"/>
        <s v="C-00074682"/>
        <s v="C-00074679"/>
        <s v="C-00074658"/>
        <s v="C-00074650"/>
        <s v="C-00074647"/>
        <s v="C-00074643"/>
        <s v="C-00074642"/>
        <s v="C-00074637"/>
        <s v="C-00074635"/>
        <s v="C-00074630"/>
        <s v="C-00074629"/>
        <s v="C-00074625"/>
        <s v="C-00074624"/>
        <s v="C-00074617"/>
        <s v="C-00074613"/>
        <s v="C-00074605"/>
        <s v="C-00074604"/>
        <s v="C-00074602"/>
        <s v="C-00074601"/>
        <s v="C-00074600"/>
        <s v="C-00074599"/>
        <s v="C-00074595"/>
        <s v="C-00074594"/>
        <s v="C-00074592"/>
        <s v="C-00074589"/>
        <s v="C-00074584"/>
        <s v="C-00074580"/>
        <s v="C-00074577"/>
        <s v="C-00074576"/>
        <s v="C-00074574"/>
        <s v="C-00074573"/>
        <s v="C-00074495"/>
        <s v="C-00074373"/>
        <s v="C-00074330"/>
        <s v="C-00074171"/>
        <s v="C-00072712"/>
        <s v="C-00072328"/>
        <s v="C-00072076"/>
        <s v="C-00071581"/>
        <s v="C-00071021"/>
        <s v="C-00070967"/>
        <s v="C-00070808"/>
        <s v="C-00069880"/>
        <s v="C-00069855"/>
        <s v="C-00069584"/>
        <s v="C-00069350"/>
        <s v="C-00069290"/>
        <s v="C-00069177"/>
        <s v="C-00069167"/>
        <s v="C-00069128"/>
        <s v="C-00069026"/>
        <s v="C-00068750"/>
        <s v="C-00068730"/>
        <s v="C-00068683"/>
        <s v="C-00068632"/>
        <s v="C-00068624"/>
        <s v="C-00068620"/>
        <s v="C-00068609"/>
        <s v="C-00068599"/>
        <s v="C-00068567"/>
        <s v="C-00068486"/>
        <s v="C-00068383"/>
        <s v="C-00068382"/>
        <s v="C-00068381"/>
        <s v="C-00068380"/>
        <s v="C-00068378"/>
        <s v="C-00068377"/>
        <s v="C-00068375"/>
        <s v="C-00068364"/>
        <s v="C-00068363"/>
        <s v="C-00068355"/>
        <s v="C-00068351"/>
        <s v="C-00068349"/>
        <s v="C-00068346"/>
        <s v="C-00068344"/>
        <s v="C-00068341"/>
        <s v="C-00068339"/>
        <s v="C-00068336"/>
        <s v="C-00068334"/>
        <s v="C-00068332"/>
        <s v="C-00068330"/>
        <s v="C-00068327"/>
        <s v="C-00068326"/>
        <s v="C-00068325"/>
        <s v="C-00068322"/>
        <s v="C-00068318"/>
        <s v="C-00068317"/>
        <s v="C-00068316"/>
        <s v="C-00068314"/>
        <s v="C-00068312"/>
        <s v="C-00068311"/>
        <s v="C-00068305"/>
        <s v="C-00068302"/>
        <s v="C-00068295"/>
        <s v="C-00068287"/>
        <s v="C-00068285"/>
        <s v="C-00068279"/>
        <s v="C-00068277"/>
        <s v="C-00068275"/>
        <s v="C-00068274"/>
        <s v="C-00068273"/>
        <s v="C-00068272"/>
        <s v="C-00068271"/>
        <s v="C-00068264"/>
        <s v="C-00068263"/>
        <s v="C-00068260"/>
        <s v="C-00068249"/>
        <s v="C-00068245"/>
        <s v="C-00068241"/>
        <s v="C-00068228"/>
        <s v="C-00068218"/>
        <s v="C-00068216"/>
        <s v="C-00068214"/>
        <s v="C-00068213"/>
        <s v="C-00068210"/>
        <s v="C-00068208"/>
        <s v="C-00068201"/>
        <s v="C-00068199"/>
        <s v="C-00068197"/>
        <s v="C-00068190"/>
        <s v="C-00068189"/>
        <s v="C-00068188"/>
        <s v="C-00068185"/>
        <s v="C-00068184"/>
        <s v="C-00068182"/>
        <s v="C-00068181"/>
        <s v="C-00068180"/>
        <s v="C-00068179"/>
        <s v="C-00068177"/>
        <s v="C-00068164"/>
        <s v="C-00068160"/>
        <s v="C-00068155"/>
        <s v="C-00068149"/>
        <s v="C-00068147"/>
        <s v="C-00068143"/>
        <s v="C-00068137"/>
        <s v="C-00068131"/>
        <s v="C-00068129"/>
        <s v="C-00068128"/>
        <s v="C-00068127"/>
        <s v="C-00068119"/>
        <s v="C-00068117"/>
        <s v="C-00068114"/>
        <s v="C-00068104"/>
        <s v="C-00068101"/>
        <s v="C-00068100"/>
        <s v="C-00068096"/>
        <s v="C-00068092"/>
        <s v="C-00068091"/>
        <s v="C-00068087"/>
        <s v="C-00068085"/>
        <s v="C-00068081"/>
        <s v="C-00068079"/>
        <s v="C-00068072"/>
        <s v="C-00068070"/>
        <s v="C-00068057"/>
        <s v="C-00068053"/>
        <s v="C-00068049"/>
        <s v="C-00068047"/>
        <s v="C-00068046"/>
        <s v="C-00068040"/>
        <s v="C-00068038"/>
        <s v="C-00068034"/>
        <s v="C-00068031"/>
        <s v="C-00068029"/>
        <s v="C-00068026"/>
        <s v="C-00068024"/>
        <s v="C-00068015"/>
        <s v="C-00067927"/>
        <s v="C-00067836"/>
        <s v="C-00067833"/>
        <s v="C-00067810"/>
        <s v="C-00067798"/>
        <s v="C-00067773"/>
        <s v="C-00067243"/>
        <s v="C-00066789"/>
        <s v="C-00066743"/>
        <s v="C-00066116"/>
        <s v="C-00066077"/>
        <s v="C-00065938"/>
        <s v="C-00065608"/>
        <s v="C-00065140"/>
        <s v="C-00064514"/>
        <s v="C-00064485"/>
        <s v="C-00063837"/>
        <s v="C-00063532"/>
        <s v="C-00062930"/>
        <s v="C-00062193"/>
        <s v="C-00062157"/>
        <s v="C-00060945"/>
        <s v="C-00060924"/>
        <s v="C-00060733"/>
        <s v="C-00060320"/>
        <s v="C-00060269"/>
        <s v="C-00060268"/>
        <s v="C-00060254"/>
        <s v="C-00060252"/>
        <s v="C-00060244"/>
        <s v="C-00060240"/>
        <s v="C-00060229"/>
        <s v="C-00060226"/>
        <s v="C-00060224"/>
        <s v="C-00060217"/>
        <s v="C-00060207"/>
        <s v="C-00060202"/>
        <s v="C-00060199"/>
        <s v="C-00060196"/>
        <s v="C-00060189"/>
        <s v="C-00060187"/>
        <s v="C-00060095"/>
        <s v="C-00059784"/>
        <s v="C-00059767"/>
        <s v="C-00059717"/>
        <s v="C-00059602"/>
        <s v="C-00058278"/>
        <s v="C-00058036"/>
        <s v="C-00057666"/>
        <s v="C-00057616"/>
        <s v="C-00057534"/>
        <s v="C-00057224"/>
        <s v="C-00057132"/>
        <s v="C-00057129"/>
        <s v="C-00057124"/>
        <s v="C-00057107"/>
        <s v="C-00057094"/>
        <s v="C-00057089"/>
        <s v="C-00057068"/>
        <s v="C-00057017"/>
        <s v="C-00056985"/>
        <s v="C-00056950"/>
        <s v="C-00056719"/>
        <s v="C-00056711"/>
        <s v="C-00056668"/>
        <s v="C-00056561"/>
        <s v="C-00056549"/>
        <s v="C-00056344"/>
        <s v="C-00056317"/>
        <s v="C-00056175"/>
        <s v="C-00056155"/>
        <s v="C-00056152"/>
        <s v="C-00056127"/>
        <s v="C-00056069"/>
        <s v="C-00055972"/>
        <s v="C-00055891"/>
        <s v="C-00055807"/>
        <s v="C-00055672"/>
        <s v="C-00055529"/>
        <s v="C-00055454"/>
        <s v="C-00055441"/>
        <s v="C-00055437"/>
        <s v="C-00055426"/>
        <s v="C-00055413"/>
        <s v="C-00055398"/>
        <s v="C-00055345"/>
        <s v="C-00055312"/>
        <s v="C-00055309"/>
        <s v="C-00055303"/>
        <s v="C-00055293"/>
        <s v="C-00055283"/>
        <s v="C-00055260"/>
        <s v="C-00055223"/>
        <s v="C-00055209"/>
        <s v="C-00055119"/>
        <s v="C-00055115"/>
        <s v="C-00055062"/>
        <s v="C-00055053"/>
        <s v="C-00054972"/>
        <s v="C-00054954"/>
        <s v="C-00054880"/>
        <s v="C-00054877"/>
        <s v="C-00054867"/>
        <s v="C-00054793"/>
        <s v="C-00054653"/>
        <s v="C-00054614"/>
        <s v="C-00054481"/>
        <s v="C-00054174"/>
        <s v="C-00054157"/>
        <s v="C-00054156"/>
        <s v="C-00054155"/>
        <s v="C-00054154"/>
        <s v="C-00054150"/>
        <s v="C-00054147"/>
        <s v="C-00054139"/>
        <s v="C-00054138"/>
        <s v="C-00054137"/>
        <s v="C-00054130"/>
        <s v="C-00054128"/>
        <s v="C-00054117"/>
        <s v="C-00054114"/>
        <s v="C-00054112"/>
        <s v="C-00054110"/>
        <s v="C-00054109"/>
        <s v="C-00054106"/>
        <s v="C-00054105"/>
        <s v="C-00054100"/>
        <s v="C-00054097"/>
        <s v="C-00054092"/>
        <s v="C-00054091"/>
        <s v="C-00054090"/>
        <s v="C-00054076"/>
        <s v="C-00054072"/>
        <s v="C-00054060"/>
        <s v="C-00054044"/>
        <s v="C-00054041"/>
        <s v="C-00054036"/>
        <s v="C-00053960"/>
        <s v="C-00053903"/>
        <s v="C-00053894"/>
        <s v="C-00053887"/>
        <s v="C-00053880"/>
        <s v="C-00053877"/>
        <s v="C-00053870"/>
        <s v="C-00053860"/>
        <s v="C-00053855"/>
        <s v="C-00053845"/>
        <s v="C-00053844"/>
        <s v="C-00053843"/>
        <s v="C-00053837"/>
        <s v="C-00053836"/>
        <s v="C-00053831"/>
        <s v="C-00053830"/>
        <s v="C-00053828"/>
        <s v="C-00053819"/>
        <s v="C-00053817"/>
        <s v="C-00053814"/>
        <s v="C-00053810"/>
        <s v="C-00053802"/>
        <s v="C-00053796"/>
        <s v="C-00053790"/>
        <s v="C-00053785"/>
        <s v="C-00053783"/>
        <s v="C-00053776"/>
        <s v="C-00053767"/>
        <s v="C-00053763"/>
        <s v="C-00053762"/>
        <s v="C-00053760"/>
        <s v="C-00053705"/>
        <s v="C-00053664"/>
        <s v="C-00053663"/>
        <s v="C-00053562"/>
        <s v="C-00053432"/>
        <s v="C-00052843"/>
        <s v="C-00052448"/>
        <s v="C-00052324"/>
        <s v="C-00052304"/>
        <s v="C-00052181"/>
        <s v="C-00051865"/>
        <s v="C-00051748"/>
        <s v="C-00051403"/>
        <s v="C-00051345"/>
        <s v="C-00051304"/>
        <s v="C-00051220"/>
        <s v="C-00051026"/>
        <s v="C-00051025"/>
        <s v="C-00050875"/>
        <s v="C-00050872"/>
        <s v="C-00050780"/>
        <s v="C-00050707"/>
        <s v="C-00050480"/>
        <s v="C-00050413"/>
        <s v="C-00050387"/>
        <s v="C-00050141"/>
        <s v="C-00049977"/>
        <s v="C-00049571"/>
        <s v="C-00049394"/>
        <s v="C-00049277"/>
        <s v="C-00049215"/>
        <s v="C-00048983"/>
        <s v="C-00048142"/>
        <s v="C-00047948"/>
        <s v="C-00047842"/>
        <s v="C-00047559"/>
        <s v="C-00047514"/>
        <s v="C-00047315"/>
        <s v="C-00047104"/>
        <s v="C-00046792"/>
        <s v="C-00046739"/>
        <s v="C-00046580"/>
        <s v="C-00046230"/>
        <s v="C-00045916"/>
        <s v="C-00045814"/>
        <s v="C-00045636"/>
        <s v="C-00045537"/>
        <s v="C-00045088"/>
        <s v="C-00045078"/>
        <s v="C-00044986"/>
        <s v="C-00044384"/>
        <s v="C-00044315"/>
        <s v="C-00044277"/>
        <s v="C-00044248"/>
        <s v="C-00044133"/>
        <s v="C-00043792"/>
        <s v="C-00043509"/>
        <s v="C-00043307"/>
        <s v="C-00043206"/>
        <s v="C-00043097"/>
        <s v="C-00043062"/>
        <s v="C-00042892"/>
        <s v="C-00042880"/>
        <s v="C-00042862"/>
        <s v="C-00042704"/>
        <s v="C-00042684"/>
        <s v="C-00042662"/>
        <s v="C-00042587"/>
        <s v="C-00042446"/>
        <s v="C-00042408"/>
        <s v="C-00042364"/>
        <s v="C-00042362"/>
        <s v="C-00042359"/>
        <s v="C-00042340"/>
        <s v="C-00042238"/>
        <s v="C-00042197"/>
        <s v="C-00042185"/>
        <s v="C-00042005"/>
        <s v="C-00041996"/>
        <s v="C-00041972"/>
        <s v="C-00041922"/>
        <s v="C-00041904"/>
        <s v="C-00041671"/>
        <s v="C-00041588"/>
        <s v="C-00041450"/>
        <s v="C-00041432"/>
        <s v="C-00041429"/>
        <s v="C-00041389"/>
        <s v="C-00041385"/>
        <s v="C-00041352"/>
        <s v="C-00041302"/>
        <s v="C-00041271"/>
        <s v="C-00041264"/>
        <s v="C-00041255"/>
        <s v="C-00041248"/>
        <s v="C-00041239"/>
        <s v="C-00041236"/>
        <s v="C-00041229"/>
        <s v="C-00041196"/>
        <s v="C-00041194"/>
        <s v="C-00041180"/>
        <s v="C-00041146"/>
        <s v="C-00041128"/>
        <s v="C-00041074"/>
        <s v="C-00040921"/>
        <s v="C-00040116"/>
        <s v="C-00039825"/>
        <s v="C-00039735"/>
        <s v="C-00039555"/>
        <s v="C-00039297"/>
        <s v="C-00039287"/>
        <s v="C-00038837"/>
        <s v="C-00038641"/>
        <s v="C-00038590"/>
        <s v="C-00038508"/>
        <s v="C-00038092"/>
        <s v="C-00037916"/>
        <s v="C-00037567"/>
        <s v="C-00037417"/>
        <s v="C-00036830"/>
        <s v="C-00036778"/>
        <s v="C-00036117"/>
        <s v="C-00035422"/>
        <s v="C-00035395"/>
        <s v="C-00035161"/>
        <s v="C-00034704"/>
        <s v="C-00034588"/>
        <s v="C-00034063"/>
        <s v="C-00033672"/>
        <s v="C-00032703"/>
        <s v="C-00032684"/>
        <s v="C-00032324"/>
        <s v="C-00032168"/>
        <s v="C-00031945"/>
        <s v="C-00031786"/>
        <s v="C-00031713"/>
        <s v="C-00031694"/>
        <s v="C-00031497"/>
        <s v="C-00031402"/>
        <s v="C-00031388"/>
        <s v="C-00031282"/>
        <s v="C-00031281"/>
        <s v="C-00031174"/>
        <s v="C-00031119"/>
        <s v="C-00030849"/>
        <s v="C-00030731"/>
        <s v="C-00030709"/>
        <s v="C-00030654"/>
        <s v="C-00030502"/>
        <s v="C-00030352"/>
        <s v="C-00030319"/>
        <s v="C-00030314"/>
        <s v="C-00029821"/>
        <s v="C-00029736"/>
        <s v="C-00029684"/>
        <s v="C-00029406"/>
        <s v="C-00029385"/>
        <s v="C-00029079"/>
        <s v="C-00029014"/>
        <s v="C-00028845"/>
        <s v="C-00028768"/>
        <s v="C-00028480"/>
        <s v="C-00028329"/>
        <s v="C-00027938"/>
        <s v="C-00027712"/>
        <s v="C-00027549"/>
        <s v="C-00027491"/>
        <s v="C-00027128"/>
        <s v="C-00026928"/>
        <s v="C-00026900"/>
        <s v="C-00026888"/>
        <s v="C-00026694"/>
        <s v="C-00026649"/>
        <s v="C-00026435"/>
        <s v="C-00025744"/>
        <s v="C-00025274"/>
        <s v="C-00025264"/>
        <s v="C-00025215"/>
        <s v="C-00024875"/>
        <s v="C-00024856"/>
        <s v="C-00024635"/>
        <s v="C-00024070"/>
        <s v="C-00023673"/>
        <s v="C-00021295"/>
        <s v="C-00021132"/>
        <s v="C-00020743"/>
        <s v="C-00020577"/>
        <s v="C-00020461"/>
        <s v="C-00020383"/>
        <s v="C-00020073"/>
        <s v="C-00019885"/>
        <s v="C-00019706"/>
        <s v="C-00019691"/>
        <s v="C-00019662"/>
        <s v="C-00019024"/>
        <s v="C-00018184"/>
        <s v="C-00018166"/>
        <s v="C-00018088"/>
        <s v="C-00017686"/>
        <s v="C-00017451"/>
        <s v="C-00017224"/>
        <s v="C-00017086"/>
        <s v="C-00017042"/>
        <s v="C-00017016"/>
        <s v="C-00016827"/>
        <s v="C-00016687"/>
        <s v="C-00016374"/>
        <s v="C-00016159"/>
        <s v="C-00015663"/>
        <s v="C-00015564"/>
        <s v="C-00015365"/>
        <s v="C-00015272"/>
        <s v="C-00014763"/>
        <s v="C-00014741"/>
        <s v="C-00014706"/>
        <s v="C-00014442"/>
        <s v="C-00014173"/>
        <s v="C-00014148"/>
        <s v="C-00013943"/>
        <s v="C-00013941"/>
        <s v="C-00013880"/>
        <s v="C-00013819"/>
        <s v="C-00013797"/>
        <s v="C-00013600"/>
        <s v="C-00013450"/>
        <s v="C-00013377"/>
        <s v="C-00012524"/>
        <s v="C-00012509"/>
        <s v="C-00011849"/>
        <s v="C-00011840"/>
        <s v="C-00011781"/>
        <s v="C-00011517"/>
        <s v="C-00011116"/>
        <s v="C-00010769"/>
        <s v="C-00010742"/>
        <s v="C-00010694"/>
        <s v="C-00010674"/>
        <s v="C-00010415"/>
        <s v="C-00010413"/>
        <s v="C-00010380"/>
        <s v="C-00010361"/>
        <s v="C-00010357"/>
        <s v="C-00010349"/>
        <s v="C-00010289"/>
        <s v="C-00010227"/>
        <s v="C-00010084"/>
        <s v="C-00010029"/>
        <s v="C-00010021"/>
        <s v="C-00009999"/>
        <s v="C-00009991"/>
        <s v="C-00009990"/>
        <s v="C-00009989"/>
        <s v="C-00009981"/>
        <s v="C-00009974"/>
        <s v="C-00009968"/>
        <s v="C-00009957"/>
        <s v="C-00009954"/>
        <s v="C-00009951"/>
        <s v="C-00009945"/>
        <s v="C-00009943"/>
        <s v="C-00009930"/>
        <s v="C-00009922"/>
        <s v="C-00009867"/>
        <s v="C-00009845"/>
        <s v="C-00009844"/>
        <s v="C-00009735"/>
        <s v="C-00009716"/>
        <s v="C-00008161"/>
        <s v="C-00008001"/>
        <s v="C-00007952"/>
        <s v="C-00005599"/>
        <s v="C-00005086"/>
        <s v="C-00004918"/>
        <s v="C-00003854"/>
        <s v="C-00000788"/>
        <s v="C-00000014"/>
      </sharedItems>
    </cacheField>
    <cacheField name="氏名" numFmtId="49">
      <sharedItems/>
    </cacheField>
    <cacheField name="登録メールアドレス" numFmtId="49">
      <sharedItems/>
    </cacheField>
    <cacheField name="CLEARTRADEコミュ会員タイプ" numFmtId="49">
      <sharedItems/>
    </cacheField>
    <cacheField name="CLEARTRADEコミュ入会日" numFmtId="0">
      <sharedItems containsBlank="1"/>
    </cacheField>
    <cacheField name="CLEARTRADEコミュ退会日" numFmtId="0">
      <sharedItems containsBlank="1"/>
    </cacheField>
    <cacheField name="CLEARTRADEコミュ支払方法" numFmtId="0">
      <sharedItems containsBlank="1"/>
    </cacheField>
    <cacheField name="金額" numFmtId="0">
      <sharedItems containsSemiMixedTypes="0" containsString="0" containsNumber="1" containsInteger="1" minValue="59400" maxValue="114300"/>
    </cacheField>
    <cacheField name="CLEARTRADEコミュ配信状況" numFmtId="49">
      <sharedItems/>
    </cacheField>
    <cacheField name="2025年2月" numFmtId="0">
      <sharedItems containsSemiMixedTypes="0" containsString="0" containsNumber="1" containsInteger="1" minValue="0" maxValue="114300" count="3">
        <n v="0"/>
        <n v="114300"/>
        <n v="59400"/>
      </sharedItems>
    </cacheField>
    <cacheField name="2025年3月" numFmtId="0">
      <sharedItems containsSemiMixedTypes="0" containsString="0" containsNumber="1" containsInteger="1" minValue="0" maxValue="114300" count="3">
        <n v="0"/>
        <n v="59400"/>
        <n v="114300"/>
      </sharedItems>
    </cacheField>
    <cacheField name="2025年4月" numFmtId="0">
      <sharedItems containsSemiMixedTypes="0" containsString="0" containsNumber="1" containsInteger="1" minValue="0" maxValue="114300" count="4">
        <n v="59400"/>
        <n v="0"/>
        <n v="114300"/>
        <n v="113220"/>
      </sharedItems>
    </cacheField>
    <cacheField name="2025年5月" numFmtId="0">
      <sharedItems containsSemiMixedTypes="0" containsString="0" containsNumber="1" containsInteger="1" minValue="0" maxValue="114300" count="4">
        <n v="0"/>
        <n v="114300"/>
        <n v="59400"/>
        <n v="113220"/>
      </sharedItems>
    </cacheField>
    <cacheField name="2025年6月" numFmtId="0">
      <sharedItems containsSemiMixedTypes="0" containsString="0" containsNumber="1" containsInteger="1" minValue="0" maxValue="114300" count="2">
        <n v="0"/>
        <n v="114300"/>
      </sharedItems>
    </cacheField>
    <cacheField name="2025年7月" numFmtId="0">
      <sharedItems containsSemiMixedTypes="0" containsString="0" containsNumber="1" containsInteger="1" minValue="0" maxValue="114300"/>
    </cacheField>
    <cacheField name="2025年8月" numFmtId="0">
      <sharedItems containsSemiMixedTypes="0" containsString="0" containsNumber="1" containsInteger="1" minValue="0" maxValue="114300"/>
    </cacheField>
    <cacheField name="2025年9月" numFmtId="0">
      <sharedItems containsSemiMixedTypes="0" containsString="0" containsNumber="1" containsInteger="1" minValue="0" maxValue="0"/>
    </cacheField>
    <cacheField name="2025年10月" numFmtId="0">
      <sharedItems containsSemiMixedTypes="0" containsString="0" containsNumber="1" containsInteger="1" minValue="0" maxValue="0"/>
    </cacheField>
    <cacheField name="2025年11月" numFmtId="0">
      <sharedItems containsSemiMixedTypes="0" containsString="0" containsNumber="1" containsInteger="1" minValue="0" maxValue="0"/>
    </cacheField>
    <cacheField name="2025年12月" numFmtId="0">
      <sharedItems containsSemiMixedTypes="0" containsString="0" containsNumber="1" containsInteger="1" minValue="0" maxValue="113220"/>
    </cacheField>
    <cacheField name="2026年1月" numFmtId="0">
      <sharedItems containsSemiMixedTypes="0" containsString="0" containsNumber="1" containsInteger="1" minValue="0" maxValue="0"/>
    </cacheField>
    <cacheField name="2026年2月" numFmtId="0">
      <sharedItems containsSemiMixedTypes="0" containsString="0" containsNumber="1" containsInteger="1" minValue="0" maxValue="113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702.445023148146" createdVersion="8" refreshedVersion="8" minRefreshableVersion="3" recordCount="690" xr:uid="{1BD66597-721E-4E8F-B0CE-E5033E70590F}">
  <cacheSource type="worksheet">
    <worksheetSource ref="A1:AZ691" sheet="まとめ継続(1月)"/>
  </cacheSource>
  <cacheFields count="52">
    <cacheField name="新 業務提携者（従属）" numFmtId="38">
      <sharedItems/>
    </cacheField>
    <cacheField name="顧客ID" numFmtId="49">
      <sharedItems/>
    </cacheField>
    <cacheField name="氏名" numFmtId="49">
      <sharedItems count="690">
        <s v="武田祐二"/>
        <s v="宮川美樹"/>
        <s v="岩崎由美子"/>
        <s v="藤山貴浩"/>
        <s v="橋本公洋"/>
        <s v="今泉宏章"/>
        <s v="廣田雅美"/>
        <s v="帆苅正典"/>
        <s v="吉田努"/>
        <s v="上野利仁"/>
        <s v="近藤洋文"/>
        <s v="西村与志郎"/>
        <s v="コーンみさ"/>
        <s v="佐藤誠"/>
        <s v="山野操"/>
        <s v="若松俊宏"/>
        <s v="宮川宏美"/>
        <s v="塩田芳江"/>
        <s v="本目毅"/>
        <s v="檀高博"/>
        <s v="工藤貴之"/>
        <s v="馬場昭江"/>
        <s v="景山康司"/>
        <s v="中馬宏昌"/>
        <s v="作田圭治"/>
        <s v="黒田真道"/>
        <s v="大野木俊介"/>
        <s v="藤井成行"/>
        <s v="浅田貴大"/>
        <s v="津田祐一"/>
        <s v="上野裕之"/>
        <s v="南出基志"/>
        <s v="渋谷昇"/>
        <s v="北原悟史"/>
        <s v="西木教子"/>
        <s v="北村憲一"/>
        <s v="竹上晴佳"/>
        <s v="田中勲"/>
        <s v="飯田雄司"/>
        <s v="柳澤里実"/>
        <s v="酒井康輔"/>
        <s v="馬上尚樹"/>
        <s v="上村千賀子"/>
        <s v="加藤克昭"/>
        <s v="俵慎一"/>
        <s v="木村典子"/>
        <s v="鈴木秀雄"/>
        <s v="林健一"/>
        <s v="福田千浩"/>
        <s v="大屋富志光"/>
        <s v="薗田雅樹"/>
        <s v="日下部博紀"/>
        <s v="清水勉"/>
        <s v="計良健太"/>
        <s v="岡本成美"/>
        <s v="中村昌利"/>
        <s v="高橋昇"/>
        <s v="平野信一"/>
        <s v="田村剛"/>
        <s v="恵本和佳子"/>
        <s v="中村沙也子"/>
        <s v="浅野秀文"/>
        <s v="溝呂木ゆみ子"/>
        <s v="野村和史"/>
        <s v="光山精一"/>
        <s v="五島大輔"/>
        <s v="内山友浩"/>
        <s v="小島日高"/>
        <s v="西村洋一"/>
        <s v="戸塚尚"/>
        <s v="東稔行"/>
        <s v="小野嘉洋"/>
        <s v="藤江忠"/>
        <s v="野々村真悟"/>
        <s v="升本晶子"/>
        <s v="下山浩一"/>
        <s v="青木精一朗"/>
        <s v="蔵田文男"/>
        <s v="郷義幸"/>
        <s v="萩原宏紀"/>
        <s v="藤田正"/>
        <s v="林朋彦"/>
        <s v="笹原真哉"/>
        <s v="上白木敬好"/>
        <s v="日野直樹"/>
        <s v="安江琴与"/>
        <s v="高山裕成"/>
        <s v="齋藤弘勝"/>
        <s v="西崎伸彦"/>
        <s v="鈴木庸介"/>
        <s v="平城徹"/>
        <s v="金久保孝雄"/>
        <s v="島田浩平"/>
        <s v="山岡瞳"/>
        <s v="山中新一"/>
        <s v="石川周平"/>
        <s v="大野順子"/>
        <s v="阿部佳世子"/>
        <s v="山下緑山"/>
        <s v="高橋恵"/>
        <s v="岡田知津"/>
        <s v="山崎隆泰"/>
        <s v="大西佑治"/>
        <s v="鈴木健介"/>
        <s v="柴田泰英"/>
        <s v="後藤全郎"/>
        <s v="竹村明日香"/>
        <s v="秋武利郎"/>
        <s v="野田雄哉"/>
        <s v="越野貴裕"/>
        <s v="高山武志"/>
        <s v="大西俊彦"/>
        <s v="原豊光"/>
        <s v="山城静香"/>
        <s v="佐藤京子"/>
        <s v="原康雄"/>
        <s v="内藤大伍"/>
        <s v="山本幸範"/>
        <s v="南岡和弥"/>
        <s v="泉智子"/>
        <s v="井谷智子"/>
        <s v="栗田賢二"/>
        <s v="谷洋子"/>
        <s v="長谷川隆之"/>
        <s v="辻博之"/>
        <s v="大矢昌章"/>
        <s v="山田喬之"/>
        <s v="鷹取功人"/>
        <s v="得本直人"/>
        <s v="秋山裕太"/>
        <s v="佐藤浩則"/>
        <s v="廣野恭資"/>
        <s v="村上光一"/>
        <s v="和佐有起"/>
        <s v="樋口勇輝"/>
        <s v="竹井勝一"/>
        <s v="廣瀬夕夏"/>
        <s v="大掛彰寛"/>
        <s v="伊藤大貴"/>
        <s v="新川一美"/>
        <s v="後藤孝啓"/>
        <s v="池中倫代"/>
        <s v="袴田悠介"/>
        <s v="手塚雅登"/>
        <s v="成田基良"/>
        <s v="兒島邦幸"/>
        <s v="橋場公保"/>
        <s v="小野智弘"/>
        <s v="宮原健"/>
        <s v="花島真由美"/>
        <s v="菅原毅"/>
        <s v="金子純一郎"/>
        <s v="森下政史"/>
        <s v="西野正孝"/>
        <s v="須山恵明"/>
        <s v="内山昌子"/>
        <s v="熊沢勝明"/>
        <s v="大平裕也"/>
        <s v="齋藤雅和"/>
        <s v="山白祐平"/>
        <s v="工藤敏子"/>
        <s v="中野俊吾"/>
        <s v="三浦大輝"/>
        <s v="坂本淳"/>
        <s v="橋本伸宏"/>
        <s v="櫻庭幹彦"/>
        <s v="羽田尊子"/>
        <s v="中野真良"/>
        <s v="新田晃久"/>
        <s v="佐藤雅紀"/>
        <s v="柏﨑裕貴"/>
        <s v="石黒修"/>
        <s v="小山美智子"/>
        <s v="小林敬子"/>
        <s v="丸毛健資"/>
        <s v="内田海斗"/>
        <s v="服部明彦"/>
        <s v="松川剛"/>
        <s v="一ノ瀬利彦"/>
        <s v="高橋裕幸"/>
        <s v="杉浦正剛"/>
        <s v="中山瑞恵"/>
        <s v="岡田浩一"/>
        <s v="押田徹"/>
        <s v="田中亮"/>
        <s v="堀田康史郎"/>
        <s v="柴田悠祐"/>
        <s v="原早苗"/>
        <s v="柴田優香"/>
        <s v="喜田巧"/>
        <s v="木本岳史"/>
        <s v="富永信吾"/>
        <s v="久保田直子"/>
        <s v="浜本純郎"/>
        <s v="田澤一則"/>
        <s v="田島卓宗"/>
        <s v="中原宏高"/>
        <s v="城間秀之"/>
        <s v="薮内和也"/>
        <s v="秋場優子"/>
        <s v="小島透"/>
        <s v="青木友作"/>
        <s v="西村康子"/>
        <s v="金田繁"/>
        <s v="山本成司"/>
        <s v="山口悦子"/>
        <s v="土橋茂美"/>
        <s v="伊藤隆啓"/>
        <s v="岡田結樹子"/>
        <s v="高田孝太"/>
        <s v="亀井雄介"/>
        <s v="鈴木浩"/>
        <s v="飯島知也"/>
        <s v="西尾秀樹"/>
        <s v="坂本秀樹"/>
        <s v="大橋麻衣"/>
        <s v="熊倉嘉貴"/>
        <s v="佐藤伸彦"/>
        <s v="石橋幸雄"/>
        <s v="深町公子"/>
        <s v="吉岡裕美"/>
        <s v="小笠原剛彦"/>
        <s v="舟洞久人"/>
        <s v="花田浩二"/>
        <s v="堀江正純"/>
        <s v="吉本正義"/>
        <s v="齋藤雅実"/>
        <s v="道脇麻里"/>
        <s v="竹崎義清"/>
        <s v="里見優"/>
        <s v="松本晶平"/>
        <s v="野口英明"/>
        <s v="村林敬将"/>
        <s v="川邊誠一郎"/>
        <s v="松浦直子"/>
        <s v="竹内雄大"/>
        <s v="河村靖"/>
        <s v="落合順子"/>
        <s v="齋藤久之"/>
        <s v="澤村高至"/>
        <s v="及川太一"/>
        <s v="川原俊彦"/>
        <s v="加藤弘晃"/>
        <s v="阿部秀一"/>
        <s v="桃瀬義久"/>
        <s v="稲田裕司"/>
        <s v="伊藤信一"/>
        <s v="荒井泰博"/>
        <s v="宮本富郷"/>
        <s v="中倉英喜"/>
        <s v="舘野幸佑"/>
        <s v="栗原真実"/>
        <s v="藤本一志"/>
        <s v="豊見本泰志"/>
        <s v="玉城浩巳"/>
        <s v="佐藤篤史"/>
        <s v="梶原英貴"/>
        <s v="千葉雅史"/>
        <s v="松森菜穂子"/>
        <s v="木村哲也"/>
        <s v="峯岸香代子"/>
        <s v="平石成一"/>
        <s v="前川真二"/>
        <s v="楢本雄一郎"/>
        <s v="小西毅"/>
        <s v="羽原千晴"/>
        <s v="杉田祐二"/>
        <s v="中岡由枝"/>
        <s v="安部慎也"/>
        <s v="近藤洋平"/>
        <s v="中尾学"/>
        <s v="福田光宏"/>
        <s v="望月篤"/>
        <s v="田辺伸崇"/>
        <s v="齋藤映介"/>
        <s v="坂口景子"/>
        <s v="山本美武"/>
        <s v="山川貴行"/>
        <s v="服部浩史"/>
        <s v="柴垣龍之介"/>
        <s v="合田幸司"/>
        <s v="濱名慶政"/>
        <s v="福田敏一"/>
        <s v="永井裕也"/>
        <s v="岩城万智"/>
        <s v="渡辺賢二"/>
        <s v="石原浩之"/>
        <s v="貞松浩司"/>
        <s v="蒲生秀俊"/>
        <s v="秋本靖仁"/>
        <s v="坂口伸子"/>
        <s v="下垣佳子"/>
        <s v="井上吉弘"/>
        <s v="山口欣子"/>
        <s v="井上昌樹"/>
        <s v="古川智之"/>
        <s v="鈴木康之"/>
        <s v="大吉純子"/>
        <s v="松本航"/>
        <s v="伏野耕平"/>
        <s v="松井剛志"/>
        <s v="段吉雅浩"/>
        <s v="棚木紀雄"/>
        <s v="石田勝裕"/>
        <s v="古谷進"/>
        <s v="池内尚美"/>
        <s v="加藤昌治"/>
        <s v="山本泰規"/>
        <s v="伊藤祐也"/>
        <s v="谷岡典子"/>
        <s v="小原啓志"/>
        <s v="松原伸三"/>
        <s v="佐々木仁美"/>
        <s v="綿谷和紀"/>
        <s v="稲垣京祐"/>
        <s v="深井英夫"/>
        <s v="小島雅之"/>
        <s v="石井泰司"/>
        <s v="米谷伸幸"/>
        <s v="羽場俊一郎"/>
        <s v="山本直也"/>
        <s v="川瀬邦裕"/>
        <s v="後藤功"/>
        <s v="日比野将和"/>
        <s v="渡辺貴之"/>
        <s v="林賢太朗"/>
        <s v="小原信恒"/>
        <s v="宮沢隆志"/>
        <s v="田中真理"/>
        <s v="平中健太"/>
        <s v="黒岩和輝"/>
        <s v="伊藤大輔"/>
        <s v="中島脩翔"/>
        <s v="碓井隆司"/>
        <s v="谷口俊一"/>
        <s v="森岡由加利"/>
        <s v="高木秀子"/>
        <s v="遠藤忍"/>
        <s v="岡田武将"/>
        <s v="樋上智之"/>
        <s v="豊岡奈津美"/>
        <s v="宇田川貴正"/>
        <s v="坂野唯"/>
        <s v="濱中宣成"/>
        <s v="神谷亮太"/>
        <s v="中村亮太"/>
        <s v="柿下浩幸"/>
        <s v="池口辰郎"/>
        <s v="辻功"/>
        <s v="植村圭三"/>
        <s v="木村元信"/>
        <s v="高木一輝"/>
        <s v="浅田晃嗣"/>
        <s v="中川富士子"/>
        <s v="内垣裕"/>
        <s v="大里仁志"/>
        <s v="金子幹也"/>
        <s v="小木戸有香"/>
        <s v="宮坂泰三"/>
        <s v="辻本純子"/>
        <s v="浮田佳秀"/>
        <s v="真崎徳満"/>
        <s v="三好佳織"/>
        <s v="根本涼子"/>
        <s v="日高淳一"/>
        <s v="山口日出子"/>
        <s v="佐野恒二"/>
        <s v="青木博之"/>
        <s v="小川幹"/>
        <s v="村木高志"/>
        <s v="仲栄真盛也"/>
        <s v="真柄恵理"/>
        <s v="八川広実"/>
        <s v="佐々木友子"/>
        <s v="真田貴子"/>
        <s v="宮田博文"/>
        <s v="三池雄大"/>
        <s v="永島靖大"/>
        <s v="古川貴裕"/>
        <s v="朝日晃大"/>
        <s v="森田哲哉"/>
        <s v="草原秀一郎"/>
        <s v="西郡英利"/>
        <s v="瀬古博之"/>
        <s v="櫻井一輝"/>
        <s v="平良勝彦"/>
        <s v="草野典生"/>
        <s v="吉田秀子"/>
        <s v="廣川雄大"/>
        <s v="岩屋こずえ"/>
        <s v="吉村由香"/>
        <s v="亀山麻衣"/>
        <s v="増田英司"/>
        <s v="上田昇"/>
        <s v="朱宮陽一"/>
        <s v="澤谷和広"/>
        <s v="中川淳"/>
        <s v="渋谷圭子"/>
        <s v="片岡昌子"/>
        <s v="別役淑美"/>
        <s v="松浦文彦"/>
        <s v="石渡康之"/>
        <s v="山崎善映"/>
        <s v="浜田猛志"/>
        <s v="加納弥紗"/>
        <s v="吉田信浩"/>
        <s v="五島泰信"/>
        <s v="永田壮二"/>
        <s v="長岐裕好"/>
        <s v="大城由香"/>
        <s v="相澤洋太"/>
        <s v="平岡直記"/>
        <s v="岩楯仁一"/>
        <s v="寺川真理"/>
        <s v="菊竹裕之"/>
        <s v="後藤直子"/>
        <s v="板谷繁"/>
        <s v="岡田一弘"/>
        <s v="鈴木薫子"/>
        <s v="松田節子"/>
        <s v="野口和彦"/>
        <s v="伊達章"/>
        <s v="菊池裕二"/>
        <s v="山田正俊"/>
        <s v="林克也"/>
        <s v="杉田俊雄"/>
        <s v="服部誠一"/>
        <s v="市川雄一郎"/>
        <s v="野村あつみ"/>
        <s v="上野泰人"/>
        <s v="左田野隆"/>
        <s v="樋口琢善"/>
        <s v="大島久幸"/>
        <s v="藤原久美子"/>
        <s v="野村昌利"/>
        <s v="臼杵千絵"/>
        <s v="太田敬子"/>
        <s v="林耕佑"/>
        <s v="伊藤秀俊"/>
        <s v="長谷川芳春"/>
        <s v="竹野弘展"/>
        <s v="飯村康正"/>
        <s v="西部健二"/>
        <s v="山上麻理"/>
        <s v="朴泰秀"/>
        <s v="吉岡廣志"/>
        <s v="石橋智子"/>
        <s v="岡村仁美"/>
        <s v="花園さやか"/>
        <s v="前中浩典"/>
        <s v="真田ひろみ"/>
        <s v="越後和正"/>
        <s v="近藤年昭"/>
        <s v="樋口博之"/>
        <s v="酒田三栄子"/>
        <s v="加納宏行"/>
        <s v="小澤栄二"/>
        <s v="簾内淑恵"/>
        <s v="船本全信"/>
        <s v="江上美好"/>
        <s v="槙平和騎"/>
        <s v="山田晶美"/>
        <s v="河嶋弥栄子"/>
        <s v="川瀬一広"/>
        <s v="富永敬子"/>
        <s v="内堀壽典"/>
        <s v="水谷猛"/>
        <s v="新海裕慎"/>
        <s v="八橋康則"/>
        <s v="北原正彦"/>
        <s v="郡司文夫"/>
        <s v="小串真司"/>
        <s v="大村建介"/>
        <s v="定光紀明"/>
        <s v="森本一希"/>
        <s v="陣内洋樹"/>
        <s v="田中康之"/>
        <s v="前田啓之"/>
        <s v="佐野かおる"/>
        <s v="高橋宏明"/>
        <s v="金子清貴"/>
        <s v="三村憲一"/>
        <s v="佐藤信輔"/>
        <s v="濵地尊"/>
        <s v="吉田妙子"/>
        <s v="山本純子"/>
        <s v="篠塚ともこ"/>
        <s v="林昌宏"/>
        <s v="小川直記"/>
        <s v="尾村泰裕"/>
        <s v="濱崎雅子"/>
        <s v="橋本孝弘"/>
        <s v="大城光二"/>
        <s v="阿久津豊"/>
        <s v="森下和樹"/>
        <s v="高槁純子"/>
        <s v="藤崎比佐衣"/>
        <s v="久田松祐子"/>
        <s v="井田牧子"/>
        <s v="宮沢暁"/>
        <s v="柏葉京子"/>
        <s v="尾田知之"/>
        <s v="樋田栄一"/>
        <s v="三好陽子"/>
        <s v="成瀬温子"/>
        <s v="古賀若菜"/>
        <s v="末永真也"/>
        <s v="前田ゆかり"/>
        <s v="石井明憲"/>
        <s v="北井孝彦"/>
        <s v="神保俊哉"/>
        <s v="吉田朋弘"/>
        <s v="縣直和"/>
        <s v="梶原龍太"/>
        <s v="梶本公"/>
        <s v="鈴木武史"/>
        <s v="濱野友生"/>
        <s v="福田恵美"/>
        <s v="小沢英郎"/>
        <s v="山口治秀"/>
        <s v="平城芳樹"/>
        <s v="待鳥尚子"/>
        <s v="伊藤航"/>
        <s v="篠崎幸造"/>
        <s v="安藤徹"/>
        <s v="鈴木直人"/>
        <s v="久田幸正"/>
        <s v="櫻井加代子"/>
        <s v="鹿毛真也"/>
        <s v="竹内伸夫"/>
        <s v="竹内朗人"/>
        <s v="権田武則"/>
        <s v="澤津川誠"/>
        <s v="黒須直子"/>
        <s v="平澤暁美"/>
        <s v="角家泉"/>
        <s v="平井善顕"/>
        <s v="佐藤裕也"/>
        <s v="海津行雄"/>
        <s v="明石融貴"/>
        <s v="衣川倫"/>
        <s v="田中佳乃"/>
        <s v="杉河修"/>
        <s v="遠藤陸也"/>
        <s v="大谷高史"/>
        <s v="高橋泰子"/>
        <s v="酒井方子"/>
        <s v="杉田直也"/>
        <s v="西沢秀男"/>
        <s v="関口幸栄"/>
        <s v="栗原正弘"/>
        <s v="佐藤彰郎"/>
        <s v="外海清吾"/>
        <s v="清水秀朗"/>
        <s v="谷詰周成"/>
        <s v="佐藤信次"/>
        <s v="後藤義行"/>
        <s v="伊藤幸喜代"/>
        <s v="大石雅弘"/>
        <s v="大館謙二"/>
        <s v="嵐隆幸"/>
        <s v="堀野直哉"/>
        <s v="瓜生英一"/>
        <s v="菊地郁夫"/>
        <s v="青柳圭太"/>
        <s v="須崎嘉文"/>
        <s v="太安孝允"/>
        <s v="春柳圭"/>
        <s v="前田拓哉"/>
        <s v="江里川雅一"/>
        <s v="田中義一"/>
        <s v="伊藤真基"/>
        <s v="城田大輔"/>
        <s v="金田智樹"/>
        <s v="鮫島常高"/>
        <s v="山田宏"/>
        <s v="國枝洋子"/>
        <s v="堀之内千秋"/>
        <s v="山村三信"/>
        <s v="山本茂市"/>
        <s v="海老澤裕三"/>
        <s v="堀谷真実"/>
        <s v="立川太一"/>
        <s v="中村康志"/>
        <s v="中道雅義"/>
        <s v="北山拓真"/>
        <s v="野崎耕司"/>
        <s v="人見慎治"/>
        <s v="岩橋竜士"/>
        <s v="松本州司"/>
        <s v="北川勝浩"/>
        <s v="土手貴博"/>
        <s v="橋爪史子"/>
        <s v="三輪雄二"/>
        <s v="大平祐造"/>
        <s v="伊藤勝司"/>
        <s v="田中太"/>
        <s v="北川浩太郎"/>
        <s v="竹内大輔"/>
        <s v="中村多都夫"/>
        <s v="西留良輔"/>
        <s v="浦山亜紀子"/>
        <s v="高宮文秀"/>
        <s v="新海晃"/>
        <s v="中村光男"/>
        <s v="村松淳"/>
        <s v="船山美芳"/>
        <s v="松山結城"/>
        <s v="伊藤秀昭"/>
        <s v="武山直之"/>
        <s v="鈴木隆永"/>
        <s v="福井雄士"/>
        <s v="テスト東"/>
        <s v="福島泉"/>
        <s v="五月女真英"/>
        <s v="因幡義人"/>
        <s v="長野修也"/>
        <s v="鷲山淳"/>
        <s v="中西祷"/>
        <s v="今井英樹"/>
        <s v="北原勇"/>
        <s v="田中志郎"/>
        <s v="林静枝"/>
        <s v="森山善弘"/>
        <s v="高桑一也"/>
        <s v="施其楽"/>
        <s v="秋山行普"/>
        <s v="森田昌志"/>
        <s v="矢野美奈子"/>
        <s v="西山祐子"/>
        <s v="原田直子"/>
        <s v="有村規子"/>
        <s v="庄子徳一"/>
        <s v="伊藤誠司"/>
        <s v="松下和樹"/>
        <s v="池田寿子"/>
        <s v="伴野均"/>
        <s v="川口緑子"/>
        <s v="榎田昭彦"/>
        <s v="大山郁文"/>
        <s v="東江明子"/>
        <s v="高山聡"/>
        <s v="喜田利生"/>
        <s v="渡慶次春美"/>
        <s v="松田則子"/>
        <s v="石原澄香"/>
        <s v="テスト秋池"/>
        <s v="角谷啓太"/>
        <s v="平井満晴"/>
        <s v="上田公美子"/>
        <s v="澤田又彦"/>
        <s v="安藤浩二"/>
        <s v="國崎真"/>
        <s v="渡辺敏明"/>
        <s v="水谷敏彦"/>
        <s v="内田葉子"/>
        <s v="岡村吉泰"/>
        <s v="川井聡子"/>
        <s v="小澤範鎮"/>
        <s v="池元俊士"/>
        <s v="直井由香里"/>
        <s v="諸戸芳雄"/>
        <s v="村上裕一"/>
        <s v="安部明"/>
        <s v="寺田大樹"/>
        <s v="光田宏"/>
        <s v="喜多岡雅典"/>
        <s v="辻和子"/>
        <s v="元栄慎一郎"/>
        <s v="矢吹江里子"/>
        <s v="高浪英二"/>
        <s v="池田祐二"/>
        <s v="大泉聡"/>
        <s v="小宮山実"/>
        <s v="郷貴代子"/>
        <s v="扇和洋"/>
        <s v="長坂泰光"/>
        <s v="畦地秀幸"/>
        <s v="太田光博"/>
        <s v="渡邉稔久"/>
        <s v="高橋秀巳"/>
        <s v="西家善明"/>
        <s v="黒河内健"/>
        <s v="伊藤照雄"/>
        <s v="江川準一"/>
        <s v="中村安博"/>
        <s v="木住野貴嗣"/>
        <s v="竹尾克之"/>
        <s v="横野智子"/>
        <s v="中ノ上美恵"/>
      </sharedItems>
    </cacheField>
    <cacheField name="登録メールアドレス" numFmtId="49">
      <sharedItems/>
    </cacheField>
    <cacheField name="CLEARTRADEコミュ会員タイプ" numFmtId="49">
      <sharedItems count="5">
        <s v="3ヶ月会員（ライト・クレカ自動更新）"/>
        <s v="6ヶ月会員（ライト・クレカ自動更新）"/>
        <s v="銀振会員（更新要ｶｸﾆﾝ）6ヶ月"/>
        <s v="銀振会員（更新要ｶｸﾆﾝ）3ヶ月"/>
        <s v="Apex年間会員（自動更新）"/>
      </sharedItems>
    </cacheField>
    <cacheField name="CLEARTRADEコミュ入会日" numFmtId="0">
      <sharedItems containsBlank="1"/>
    </cacheField>
    <cacheField name="CLEARTRADEコミュ退会日" numFmtId="0">
      <sharedItems containsBlank="1"/>
    </cacheField>
    <cacheField name="CLEARTRADEコミュ支払方法" numFmtId="0">
      <sharedItems containsBlank="1"/>
    </cacheField>
    <cacheField name="金額" numFmtId="0">
      <sharedItems containsSemiMixedTypes="0" containsString="0" containsNumber="1" containsInteger="1" minValue="59400" maxValue="114300"/>
    </cacheField>
    <cacheField name="CLEARTRADEコミュ配信状況" numFmtId="49">
      <sharedItems/>
    </cacheField>
    <cacheField name="2025年2月" numFmtId="0">
      <sharedItems containsSemiMixedTypes="0" containsString="0" containsNumber="1" containsInteger="1" minValue="0" maxValue="114300"/>
    </cacheField>
    <cacheField name="2025年3月" numFmtId="0">
      <sharedItems containsSemiMixedTypes="0" containsString="0" containsNumber="1" containsInteger="1" minValue="0" maxValue="114300"/>
    </cacheField>
    <cacheField name="2025年4月" numFmtId="0">
      <sharedItems containsSemiMixedTypes="0" containsString="0" containsNumber="1" containsInteger="1" minValue="0" maxValue="114300"/>
    </cacheField>
    <cacheField name="2025年5月" numFmtId="0">
      <sharedItems containsSemiMixedTypes="0" containsString="0" containsNumber="1" containsInteger="1" minValue="0" maxValue="114300"/>
    </cacheField>
    <cacheField name="2025年6月" numFmtId="0">
      <sharedItems containsSemiMixedTypes="0" containsString="0" containsNumber="1" containsInteger="1" minValue="0" maxValue="114300"/>
    </cacheField>
    <cacheField name="2025年7月" numFmtId="0">
      <sharedItems containsSemiMixedTypes="0" containsString="0" containsNumber="1" containsInteger="1" minValue="0" maxValue="114300"/>
    </cacheField>
    <cacheField name="2025年8月" numFmtId="0">
      <sharedItems containsSemiMixedTypes="0" containsString="0" containsNumber="1" containsInteger="1" minValue="0" maxValue="114300"/>
    </cacheField>
    <cacheField name="2025年9月" numFmtId="0">
      <sharedItems containsSemiMixedTypes="0" containsString="0" containsNumber="1" containsInteger="1" minValue="0" maxValue="0"/>
    </cacheField>
    <cacheField name="2025年10月" numFmtId="0">
      <sharedItems containsSemiMixedTypes="0" containsString="0" containsNumber="1" containsInteger="1" minValue="0" maxValue="0"/>
    </cacheField>
    <cacheField name="2025年11月" numFmtId="0">
      <sharedItems containsSemiMixedTypes="0" containsString="0" containsNumber="1" containsInteger="1" minValue="0" maxValue="0"/>
    </cacheField>
    <cacheField name="2025年12月" numFmtId="0">
      <sharedItems containsSemiMixedTypes="0" containsString="0" containsNumber="1" containsInteger="1" minValue="0" maxValue="113220"/>
    </cacheField>
    <cacheField name="2026年1月" numFmtId="0">
      <sharedItems containsSemiMixedTypes="0" containsString="0" containsNumber="1" containsInteger="1" minValue="0" maxValue="0"/>
    </cacheField>
    <cacheField name="2026年2月" numFmtId="0">
      <sharedItems containsSemiMixedTypes="0" containsString="0" containsNumber="1" containsInteger="1" minValue="0" maxValue="113220"/>
    </cacheField>
    <cacheField name="期間" numFmtId="0">
      <sharedItems containsSemiMixedTypes="0" containsString="0" containsNumber="1" containsInteger="1" minValue="3" maxValue="12"/>
    </cacheField>
    <cacheField name="2025年2月2" numFmtId="38">
      <sharedItems containsString="0" containsBlank="1" containsNumber="1" containsInteger="1" minValue="19050" maxValue="19800" count="3">
        <m/>
        <n v="19050"/>
        <n v="19800"/>
      </sharedItems>
    </cacheField>
    <cacheField name="2025年3月2" numFmtId="38">
      <sharedItems containsString="0" containsBlank="1" containsNumber="1" containsInteger="1" minValue="19050" maxValue="19800" count="3">
        <m/>
        <n v="19800"/>
        <n v="19050"/>
      </sharedItems>
    </cacheField>
    <cacheField name="2025年4月2" numFmtId="38">
      <sharedItems containsString="0" containsBlank="1" containsNumber="1" containsInteger="1" minValue="9435" maxValue="19800" count="4">
        <n v="19800"/>
        <m/>
        <n v="19050"/>
        <n v="9435"/>
      </sharedItems>
    </cacheField>
    <cacheField name="2025年5月2" numFmtId="38">
      <sharedItems containsString="0" containsBlank="1" containsNumber="1" containsInteger="1" minValue="9435" maxValue="19800" count="4">
        <n v="19800"/>
        <m/>
        <n v="19050"/>
        <n v="9435"/>
      </sharedItems>
    </cacheField>
    <cacheField name="2025年6月2" numFmtId="38">
      <sharedItems containsString="0" containsBlank="1" containsNumber="1" containsInteger="1" minValue="9435" maxValue="19800" count="4">
        <n v="19800"/>
        <m/>
        <n v="19050"/>
        <n v="9435"/>
      </sharedItems>
    </cacheField>
    <cacheField name="2025年7月2" numFmtId="38">
      <sharedItems containsString="0" containsBlank="1" containsNumber="1" containsInteger="1" minValue="9435" maxValue="19800" count="4">
        <m/>
        <n v="19050"/>
        <n v="19800"/>
        <n v="9435"/>
      </sharedItems>
    </cacheField>
    <cacheField name="2025年8月2" numFmtId="38">
      <sharedItems containsString="0" containsBlank="1" containsNumber="1" containsInteger="1" minValue="9435" maxValue="19050" count="3">
        <m/>
        <n v="19050"/>
        <n v="9435"/>
      </sharedItems>
    </cacheField>
    <cacheField name="2025年9月2" numFmtId="38">
      <sharedItems containsString="0" containsBlank="1" containsNumber="1" containsInteger="1" minValue="9435" maxValue="19050" count="3">
        <m/>
        <n v="19050"/>
        <n v="9435"/>
      </sharedItems>
    </cacheField>
    <cacheField name="2025年10月2" numFmtId="38">
      <sharedItems containsString="0" containsBlank="1" containsNumber="1" containsInteger="1" minValue="9435" maxValue="19050" count="3">
        <m/>
        <n v="19050"/>
        <n v="9435"/>
      </sharedItems>
    </cacheField>
    <cacheField name="2025年11月2" numFmtId="38">
      <sharedItems containsString="0" containsBlank="1" containsNumber="1" containsInteger="1" minValue="9435" maxValue="19050"/>
    </cacheField>
    <cacheField name="2025年12月2" numFmtId="38">
      <sharedItems containsString="0" containsBlank="1" containsNumber="1" containsInteger="1" minValue="9435" maxValue="19050"/>
    </cacheField>
    <cacheField name="2026年1月2" numFmtId="38">
      <sharedItems containsString="0" containsBlank="1" containsNumber="1" containsInteger="1" minValue="9435" maxValue="19050"/>
    </cacheField>
    <cacheField name="2026年2月2" numFmtId="38">
      <sharedItems containsString="0" containsBlank="1" containsNumber="1" containsInteger="1" minValue="9435" maxValue="9435"/>
    </cacheField>
    <cacheField name="2026年3月" numFmtId="38">
      <sharedItems containsString="0" containsBlank="1" containsNumber="1" containsInteger="1" minValue="9435" maxValue="9435"/>
    </cacheField>
    <cacheField name="2026年4月" numFmtId="38">
      <sharedItems containsString="0" containsBlank="1" containsNumber="1" containsInteger="1" minValue="9435" maxValue="9435"/>
    </cacheField>
    <cacheField name="2026年5月" numFmtId="38">
      <sharedItems containsString="0" containsBlank="1" containsNumber="1" containsInteger="1" minValue="9435" maxValue="9435"/>
    </cacheField>
    <cacheField name="2026年6月" numFmtId="38">
      <sharedItems containsString="0" containsBlank="1" containsNumber="1" containsInteger="1" minValue="9435" maxValue="9435"/>
    </cacheField>
    <cacheField name="2026年7月" numFmtId="38">
      <sharedItems containsString="0" containsBlank="1" containsNumber="1" containsInteger="1" minValue="9435" maxValue="9435"/>
    </cacheField>
    <cacheField name="2026年8月" numFmtId="38">
      <sharedItems containsString="0" containsBlank="1" containsNumber="1" containsInteger="1" minValue="9435" maxValue="9435"/>
    </cacheField>
    <cacheField name="2026年9月" numFmtId="38">
      <sharedItems containsString="0" containsBlank="1" containsNumber="1" containsInteger="1" minValue="9435" maxValue="9435"/>
    </cacheField>
    <cacheField name="2026年10月" numFmtId="38">
      <sharedItems containsString="0" containsBlank="1" containsNumber="1" containsInteger="1" minValue="9435" maxValue="9435"/>
    </cacheField>
    <cacheField name="2026年11月" numFmtId="38">
      <sharedItems containsString="0" containsBlank="1" containsNumber="1" containsInteger="1" minValue="9435" maxValue="9435"/>
    </cacheField>
    <cacheField name="2026年12月" numFmtId="38">
      <sharedItems containsString="0" containsBlank="1" containsNumber="1" containsInteger="1" minValue="9435" maxValue="9435"/>
    </cacheField>
    <cacheField name="2027年1月" numFmtId="38">
      <sharedItems containsString="0" containsBlank="1" containsNumber="1" containsInteger="1" minValue="9435" maxValue="9435"/>
    </cacheField>
    <cacheField name="A" numFmtId="0">
      <sharedItems containsSemiMixedTypes="0" containsString="0" containsNumber="1" containsInteger="1" minValue="0" maxValue="12"/>
    </cacheField>
    <cacheField name="B" numFmtId="0">
      <sharedItems/>
    </cacheField>
    <cacheField name="C" numFmtId="38">
      <sharedItems containsSemiMixedTypes="0" containsString="0" containsNumber="1" containsInteger="1" minValue="0" maxValue="114300"/>
    </cacheField>
    <cacheField name="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702.604098495372" createdVersion="8" refreshedVersion="8" minRefreshableVersion="3" recordCount="106" xr:uid="{5C5E8A2D-AE34-473F-9A81-D95BBF301C19}">
  <cacheSource type="worksheet">
    <worksheetSource ref="A1:E107" sheet="Sheet11(1月集計) "/>
  </cacheSource>
  <cacheFields count="5">
    <cacheField name="タイプ1" numFmtId="0">
      <sharedItems count="1">
        <s v="まとめ継続"/>
      </sharedItems>
    </cacheField>
    <cacheField name="タイプ2" numFmtId="0">
      <sharedItems count="2">
        <s v="全体売上"/>
        <s v="自社分"/>
      </sharedItems>
    </cacheField>
    <cacheField name="商品名" numFmtId="38">
      <sharedItems/>
    </cacheField>
    <cacheField name="計上月" numFmtId="55">
      <sharedItems count="24">
        <s v="2025年02月"/>
        <s v="2025年03月"/>
        <s v="2025年04月"/>
        <s v="2025年05月"/>
        <s v="2025年06月"/>
        <s v="2025年07月"/>
        <s v="2025年08月"/>
        <s v="2025年09月"/>
        <s v="2025年10月"/>
        <s v="2025年11月"/>
        <s v="2025年12月"/>
        <s v="2026年01月"/>
        <s v="2026年02月"/>
        <s v="2026年03月"/>
        <s v="2026年04月"/>
        <s v="2026年05月"/>
        <s v="2026年06月"/>
        <s v="2026年07月"/>
        <s v="2026年08月"/>
        <s v="2026年09月"/>
        <s v="2026年10月"/>
        <s v="2026年11月"/>
        <s v="2026年12月"/>
        <s v="2027年01月"/>
      </sharedItems>
    </cacheField>
    <cacheField name="合計金額" numFmtId="38">
      <sharedItems containsSemiMixedTypes="0" containsString="0" containsNumber="1" containsInteger="1" minValue="0" maxValue="9467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726.60147465278" createdVersion="8" refreshedVersion="8" minRefreshableVersion="3" recordCount="716" xr:uid="{86F5F842-2725-4A86-A11D-677358F6D7D0}">
  <cacheSource type="worksheet">
    <worksheetSource ref="A1:CK717" sheet="まとめ継続(2月)" r:id="rId2"/>
  </cacheSource>
  <cacheFields count="89">
    <cacheField name="顧客ID" numFmtId="0">
      <sharedItems/>
    </cacheField>
    <cacheField name="GMO継続ID(LV)" numFmtId="0">
      <sharedItems containsString="0" containsBlank="1" containsNumber="1" containsInteger="1" minValue="3009841" maxValue="3034733"/>
    </cacheField>
    <cacheField name="顧客属性" numFmtId="0">
      <sharedItems containsBlank="1"/>
    </cacheField>
    <cacheField name="注文履歴" numFmtId="0">
      <sharedItems containsBlank="1"/>
    </cacheField>
    <cacheField name="配送履歴" numFmtId="0">
      <sharedItems containsBlank="1"/>
    </cacheField>
    <cacheField name="氏名" numFmtId="0">
      <sharedItems/>
    </cacheField>
    <cacheField name="ふりがな" numFmtId="0">
      <sharedItems containsBlank="1"/>
    </cacheField>
    <cacheField name="電話番号" numFmtId="0">
      <sharedItems containsString="0" containsBlank="1" containsNumber="1" containsInteger="1" minValue="116672256" maxValue="9099991225"/>
    </cacheField>
    <cacheField name="登録メールアドレス" numFmtId="0">
      <sharedItems containsBlank="1"/>
    </cacheField>
    <cacheField name="MD" numFmtId="0">
      <sharedItems containsBlank="1"/>
    </cacheField>
    <cacheField name="予備メールアドレス" numFmtId="0">
      <sharedItems containsBlank="1"/>
    </cacheField>
    <cacheField name="郵便番号" numFmtId="0">
      <sharedItems containsBlank="1" containsMixedTypes="1" containsNumber="1" containsInteger="1" minValue="65" maxValue="9061735048"/>
    </cacheField>
    <cacheField name="都道府県" numFmtId="0">
      <sharedItems containsBlank="1"/>
    </cacheField>
    <cacheField name="住所（市区町村）" numFmtId="0">
      <sharedItems containsBlank="1"/>
    </cacheField>
    <cacheField name="それ以降の住所" numFmtId="0">
      <sharedItems containsDate="1" containsBlank="1" containsMixedTypes="1" minDate="1932-03-01T00:00:00" maxDate="2025-05-19T00:00:00"/>
    </cacheField>
    <cacheField name="GMO継続ID(JIS)" numFmtId="0">
      <sharedItems containsNonDate="0" containsString="0" containsBlank="1"/>
    </cacheField>
    <cacheField name="オプトイン" numFmtId="0">
      <sharedItems containsBlank="1"/>
    </cacheField>
    <cacheField name="顧客登録日" numFmtId="22">
      <sharedItems containsNonDate="0" containsDate="1" containsString="0" containsBlank="1" minDate="2017-03-08T00:00:00" maxDate="2024-10-27T00:00:00"/>
    </cacheField>
    <cacheField name="CLEARTRADEコミュ会員タイプ" numFmtId="0">
      <sharedItems count="9">
        <s v="6ヶ月会員（ライト・クレカ自動更新）"/>
        <s v="3ヶ月会員（ライト・クレカ自動更新）"/>
        <s v="銀振会員（更新要ｶｸﾆﾝ）6ヶ月"/>
        <s v="（退会済）月額ライト"/>
        <s v="銀振会員（更新要ｶｸﾆﾝ）3ヶ月"/>
        <s v="（退会済）3ヶ月会員（ライト）クレカ"/>
        <s v="（退会済）6ヶ月会員（ライト）クレカ"/>
        <s v="Apex年間会員（自動更新）"/>
        <s v="銀振会員（更新要ｶｸﾆﾝ）Apex年間"/>
      </sharedItems>
    </cacheField>
    <cacheField name="CLEARTRADEコミュ退会日" numFmtId="0">
      <sharedItems containsDate="1" containsMixedTypes="1" minDate="2025-02-11T00:00:00" maxDate="2026-02-21T00:00:00"/>
    </cacheField>
    <cacheField name="金額" numFmtId="0">
      <sharedItems containsString="0" containsBlank="1" containsNumber="1" containsInteger="1" minValue="59400" maxValue="114300"/>
    </cacheField>
    <cacheField name="2025年3月" numFmtId="0">
      <sharedItems containsString="0" containsBlank="1" containsNumber="1" containsInteger="1" minValue="114300" maxValue="114300"/>
    </cacheField>
    <cacheField name="2025年4月" numFmtId="0">
      <sharedItems containsString="0" containsBlank="1" containsNumber="1" containsInteger="1" minValue="0" maxValue="114300"/>
    </cacheField>
    <cacheField name="2025年5月" numFmtId="0">
      <sharedItems containsString="0" containsBlank="1" containsNumber="1" containsInteger="1" minValue="0" maxValue="114300"/>
    </cacheField>
    <cacheField name="2025年6月" numFmtId="0">
      <sharedItems containsString="0" containsBlank="1" containsNumber="1" containsInteger="1" minValue="59400" maxValue="114300"/>
    </cacheField>
    <cacheField name="2025年7月" numFmtId="0">
      <sharedItems containsString="0" containsBlank="1" containsNumber="1" containsInteger="1" minValue="0" maxValue="114300"/>
    </cacheField>
    <cacheField name="2025年8月" numFmtId="0">
      <sharedItems containsString="0" containsBlank="1" containsNumber="1" containsInteger="1" minValue="113220" maxValue="114300"/>
    </cacheField>
    <cacheField name="2025年9月" numFmtId="0">
      <sharedItems containsString="0" containsBlank="1" containsNumber="1" containsInteger="1" minValue="113220" maxValue="114300"/>
    </cacheField>
    <cacheField name="2025年10月" numFmtId="0">
      <sharedItems containsString="0" containsBlank="1" containsNumber="1" containsInteger="1" minValue="114300" maxValue="114300"/>
    </cacheField>
    <cacheField name="2025年11月" numFmtId="0">
      <sharedItems containsNonDate="0" containsString="0" containsBlank="1"/>
    </cacheField>
    <cacheField name="2025年12月" numFmtId="0">
      <sharedItems containsString="0" containsBlank="1" containsNumber="1" containsInteger="1" minValue="113220" maxValue="113220"/>
    </cacheField>
    <cacheField name="2026年1月" numFmtId="0">
      <sharedItems containsNonDate="0" containsString="0" containsBlank="1"/>
    </cacheField>
    <cacheField name="2026年2月" numFmtId="0">
      <sharedItems containsNonDate="0" containsString="0" containsBlank="1"/>
    </cacheField>
    <cacheField name="2026年3月" numFmtId="0">
      <sharedItems containsString="0" containsBlank="1" containsNumber="1" containsInteger="1" minValue="113220" maxValue="113220"/>
    </cacheField>
    <cacheField name="2025年3月2" numFmtId="0">
      <sharedItems containsString="0" containsBlank="1" containsNumber="1" containsInteger="1" minValue="19050" maxValue="19050"/>
    </cacheField>
    <cacheField name="2025年4月2" numFmtId="0">
      <sharedItems containsString="0" containsBlank="1" containsNumber="1" containsInteger="1" minValue="19050" maxValue="19800"/>
    </cacheField>
    <cacheField name="2025年5月2" numFmtId="0">
      <sharedItems containsString="0" containsBlank="1" containsNumber="1" containsInteger="1" minValue="9435" maxValue="19800"/>
    </cacheField>
    <cacheField name="2025年6月2" numFmtId="0">
      <sharedItems containsString="0" containsBlank="1" containsNumber="1" containsInteger="1" minValue="9435" maxValue="19800"/>
    </cacheField>
    <cacheField name="2025年7月2" numFmtId="0">
      <sharedItems containsString="0" containsBlank="1" containsNumber="1" containsInteger="1" minValue="9435" maxValue="19800"/>
    </cacheField>
    <cacheField name="2025年8月2" numFmtId="0">
      <sharedItems containsString="0" containsBlank="1" containsNumber="1" containsInteger="1" minValue="9435" maxValue="19800"/>
    </cacheField>
    <cacheField name="2025年9月2" numFmtId="0">
      <sharedItems containsString="0" containsBlank="1" containsNumber="1" containsInteger="1" minValue="9435" maxValue="19050"/>
    </cacheField>
    <cacheField name="2025年10月2" numFmtId="0">
      <sharedItems containsString="0" containsBlank="1" containsNumber="1" containsInteger="1" minValue="9435" maxValue="19050"/>
    </cacheField>
    <cacheField name="2025年11月2" numFmtId="0">
      <sharedItems containsString="0" containsBlank="1" containsNumber="1" containsInteger="1" minValue="9435" maxValue="19050"/>
    </cacheField>
    <cacheField name="2025年12月2" numFmtId="0">
      <sharedItems containsString="0" containsBlank="1" containsNumber="1" containsInteger="1" minValue="9435" maxValue="19050"/>
    </cacheField>
    <cacheField name="2026年1月2" numFmtId="0">
      <sharedItems containsString="0" containsBlank="1" containsNumber="1" containsInteger="1" minValue="9435" maxValue="19050"/>
    </cacheField>
    <cacheField name="2026年2月2" numFmtId="0">
      <sharedItems containsString="0" containsBlank="1" containsNumber="1" containsInteger="1" minValue="9435" maxValue="19050"/>
    </cacheField>
    <cacheField name="2026年3月2" numFmtId="0">
      <sharedItems containsString="0" containsBlank="1" containsNumber="1" containsInteger="1" minValue="9435" maxValue="19050"/>
    </cacheField>
    <cacheField name="2026年4月" numFmtId="0">
      <sharedItems containsString="0" containsBlank="1" containsNumber="1" containsInteger="1" minValue="9435" maxValue="9435"/>
    </cacheField>
    <cacheField name="2026年5月" numFmtId="0">
      <sharedItems containsString="0" containsBlank="1" containsNumber="1" containsInteger="1" minValue="9435" maxValue="9435"/>
    </cacheField>
    <cacheField name="2026年6月" numFmtId="0">
      <sharedItems containsString="0" containsBlank="1" containsNumber="1" containsInteger="1" minValue="9435" maxValue="9435"/>
    </cacheField>
    <cacheField name="2026年7月" numFmtId="0">
      <sharedItems containsString="0" containsBlank="1" containsNumber="1" containsInteger="1" minValue="9435" maxValue="9435"/>
    </cacheField>
    <cacheField name="2026年8月" numFmtId="0">
      <sharedItems containsString="0" containsBlank="1" containsNumber="1" containsInteger="1" minValue="9435" maxValue="9435"/>
    </cacheField>
    <cacheField name="2026年9月" numFmtId="0">
      <sharedItems containsString="0" containsBlank="1" containsNumber="1" containsInteger="1" minValue="9435" maxValue="9435"/>
    </cacheField>
    <cacheField name="2026年10月" numFmtId="0">
      <sharedItems containsString="0" containsBlank="1" containsNumber="1" containsInteger="1" minValue="9435" maxValue="9435"/>
    </cacheField>
    <cacheField name="2026年11月" numFmtId="0">
      <sharedItems containsString="0" containsBlank="1" containsNumber="1" containsInteger="1" minValue="9435" maxValue="9435"/>
    </cacheField>
    <cacheField name="2026年12月" numFmtId="0">
      <sharedItems containsString="0" containsBlank="1" containsNumber="1" containsInteger="1" minValue="9435" maxValue="9435"/>
    </cacheField>
    <cacheField name="2027年1月" numFmtId="0">
      <sharedItems containsString="0" containsBlank="1" containsNumber="1" containsInteger="1" minValue="9435" maxValue="9435"/>
    </cacheField>
    <cacheField name="2027年2月" numFmtId="0">
      <sharedItems containsString="0" containsBlank="1" containsNumber="1" containsInteger="1" minValue="9435" maxValue="9435"/>
    </cacheField>
    <cacheField name="2027年3月" numFmtId="0">
      <sharedItems containsNonDate="0" containsString="0" containsBlank="1"/>
    </cacheField>
    <cacheField name="億り人：相場研究会員タイプ" numFmtId="0">
      <sharedItems containsBlank="1"/>
    </cacheField>
    <cacheField name="億り人：相場研究退会日" numFmtId="0">
      <sharedItems containsNonDate="0" containsDate="1" containsString="0" containsBlank="1" minDate="2020-12-20T00:00:00" maxDate="2021-03-02T00:00:00"/>
    </cacheField>
    <cacheField name="りゅうじじデイトレ会員タイプ" numFmtId="0">
      <sharedItems containsNonDate="0" containsString="0" containsBlank="1"/>
    </cacheField>
    <cacheField name="りゅうじじデイトレ退会日" numFmtId="0">
      <sharedItems containsNonDate="0" containsString="0" containsBlank="1"/>
    </cacheField>
    <cacheField name="次世代知的投資家クラブ会員タイプ" numFmtId="0">
      <sharedItems containsBlank="1"/>
    </cacheField>
    <cacheField name="次世代知的投資家クラブ退会日" numFmtId="0">
      <sharedItems containsNonDate="0" containsDate="1" containsString="0" containsBlank="1" minDate="2021-05-20T00:00:00" maxDate="2021-05-21T00:00:00"/>
    </cacheField>
    <cacheField name="奥村尚の金融リテラシー会員タイプ" numFmtId="0">
      <sharedItems containsBlank="1"/>
    </cacheField>
    <cacheField name="奥村尚の金融リテラシー退会日" numFmtId="0">
      <sharedItems containsNonDate="0" containsDate="1" containsString="0" containsBlank="1" minDate="2020-11-02T00:00:00" maxDate="2024-12-17T00:00:00"/>
    </cacheField>
    <cacheField name="CLEARエッセンシャル会員タイプ" numFmtId="0">
      <sharedItems containsBlank="1"/>
    </cacheField>
    <cacheField name="CLEARエッセンシャル退会日" numFmtId="0">
      <sharedItems containsNonDate="0" containsDate="1" containsString="0" containsBlank="1" minDate="2020-06-17T00:00:00" maxDate="2025-01-21T00:00:00"/>
    </cacheField>
    <cacheField name="大魔神会員タイプ" numFmtId="0">
      <sharedItems containsNonDate="0" containsString="0" containsBlank="1"/>
    </cacheField>
    <cacheField name="大魔神退会日" numFmtId="0">
      <sharedItems containsNonDate="0" containsString="0" containsBlank="1"/>
    </cacheField>
    <cacheField name="MSTP通信会員タイプ" numFmtId="0">
      <sharedItems containsBlank="1"/>
    </cacheField>
    <cacheField name="MSTP通信退会日" numFmtId="0">
      <sharedItems containsNonDate="0" containsDate="1" containsString="0" containsBlank="1" minDate="2020-12-10T00:00:00" maxDate="2021-11-20T00:00:00"/>
    </cacheField>
    <cacheField name="高子ファミリー会員タイプ（プライスライン）" numFmtId="0">
      <sharedItems containsBlank="1"/>
    </cacheField>
    <cacheField name="高子ファミリー退会日" numFmtId="0">
      <sharedItems containsNonDate="0" containsDate="1" containsString="0" containsBlank="1" minDate="2019-11-16T00:00:00" maxDate="2021-03-02T00:00:00"/>
    </cacheField>
    <cacheField name="高子ファミリー【配信】会員タイプ" numFmtId="0">
      <sharedItems containsNonDate="0" containsString="0" containsBlank="1"/>
    </cacheField>
    <cacheField name="高子ファミリー【配信】退会日" numFmtId="0">
      <sharedItems containsNonDate="0" containsString="0" containsBlank="1"/>
    </cacheField>
    <cacheField name="エバトレ会員タイプ" numFmtId="0">
      <sharedItems containsBlank="1"/>
    </cacheField>
    <cacheField name="エバトレ退会日" numFmtId="0">
      <sharedItems containsNonDate="0" containsDate="1" containsString="0" containsBlank="1" minDate="2020-09-18T00:00:00" maxDate="2020-09-19T00:00:00"/>
    </cacheField>
    <cacheField name="秋田式ライトコース会員タイプ" numFmtId="0">
      <sharedItems containsNonDate="0" containsString="0" containsBlank="1"/>
    </cacheField>
    <cacheField name="秋田式ライトコース退会日" numFmtId="0">
      <sharedItems containsNonDate="0" containsString="0" containsBlank="1"/>
    </cacheField>
    <cacheField name="CLEARマスタープログラム分割会員" numFmtId="0">
      <sharedItems containsBlank="1"/>
    </cacheField>
    <cacheField name="CLEARマスタープログラム分割退会日" numFmtId="0">
      <sharedItems containsNonDate="0" containsDate="1" containsString="0" containsBlank="1" minDate="2022-05-08T00:00:00" maxDate="2022-11-21T00:00:00"/>
    </cacheField>
    <cacheField name="トレンドサイン会員タイプ" numFmtId="0">
      <sharedItems containsBlank="1"/>
    </cacheField>
    <cacheField name="トレンドサイン退会日" numFmtId="0">
      <sharedItems containsNonDate="0" containsDate="1" containsString="0" containsBlank="1" minDate="2022-06-28T00:00:00" maxDate="2024-11-21T00:00:00"/>
    </cacheField>
    <cacheField name="PEAKFINDER会員タイプ" numFmtId="0">
      <sharedItems containsBlank="1"/>
    </cacheField>
    <cacheField name="PEAKFINDER退会日" numFmtId="0">
      <sharedItems containsNonDate="0" containsDate="1" containsString="0" containsBlank="1" minDate="2024-05-20T00:00:00" maxDate="2024-05-21T00:00:00"/>
    </cacheField>
    <cacheField name="ADT継続会員タイプ" numFmtId="0">
      <sharedItems containsNonDate="0" containsString="0" containsBlank="1"/>
    </cacheField>
    <cacheField name="ADT継続退会日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">
  <r>
    <x v="0"/>
    <x v="0"/>
    <s v="武田祐二"/>
    <s v="yellow.tail@docomo.ne.jp"/>
    <s v="3ヶ月会員（ライト・クレカ自動更新）"/>
    <s v="2025/01/23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1"/>
    <s v="宮川美樹"/>
    <s v="adgjmptw2001@gmail.com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"/>
    <s v="岩崎由美子"/>
    <s v="kouandryuu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"/>
    <s v="藤山貴浩"/>
    <s v="akeboshi06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"/>
    <s v="橋本公洋"/>
    <s v="kisss642_ipad@icloud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"/>
    <s v="今泉宏章"/>
    <s v="botzehrc@yahoo.co.jp"/>
    <s v="銀振会員（更新要ｶｸﾆﾝ）6ヶ月"/>
    <s v="2024/12/21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6"/>
    <s v="廣田雅美"/>
    <s v="meru01312001@yahoo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"/>
    <s v="帆苅正典"/>
    <s v="nor.ism@icloud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"/>
    <s v="吉田努"/>
    <s v="yoshimoo732507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"/>
    <s v="上野利仁"/>
    <s v="toshi.hit.u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"/>
    <s v="近藤洋文"/>
    <s v="kkdental1122@gmail.com"/>
    <s v="銀振会員（更新要ｶｸﾆﾝ）3ヶ月"/>
    <s v="2024/12/23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11"/>
    <s v="西村与志郎"/>
    <s v="jl3sik@gmail.com"/>
    <s v="6ヶ月会員（ライト・クレカ自動更新）"/>
    <s v="2025/01/12 00:00:00"/>
    <s v="2025/07/20 00:00:00"/>
    <s v="クレジットカード（ROBOT）"/>
    <n v="114300"/>
    <s v="1"/>
    <x v="0"/>
    <x v="0"/>
    <x v="1"/>
    <x v="0"/>
    <x v="0"/>
    <n v="114300"/>
    <n v="0"/>
    <n v="0"/>
    <n v="0"/>
    <n v="0"/>
    <n v="0"/>
    <n v="0"/>
    <n v="0"/>
  </r>
  <r>
    <x v="0"/>
    <x v="12"/>
    <s v="コーンみさ"/>
    <s v="misanino2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3"/>
    <s v="佐藤誠"/>
    <s v="Wa87253iop@yahoo.co.jp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4"/>
    <s v="山野操"/>
    <s v="yamanoimo2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"/>
    <s v="若松俊宏"/>
    <s v="volken3535@i.softbank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6"/>
    <s v="宮川宏美"/>
    <s v="sabu.miyabi.no@gmail.com"/>
    <s v="3ヶ月会員（ライト・クレカ自動更新）"/>
    <s v="2024/12/2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7"/>
    <s v="塩田芳江"/>
    <s v="yoi@yahoo.co.jp"/>
    <s v="銀振会員（更新要ｶｸﾆﾝ）6ヶ月"/>
    <s v="2024/12/20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18"/>
    <s v="本目毅"/>
    <s v="tsu.honme@gmail.com"/>
    <s v="銀振会員（更新要ｶｸﾆﾝ）3ヶ月"/>
    <s v="2024/12/16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19"/>
    <s v="檀高博"/>
    <s v="taka.dan.2709.dragon@gmail.com"/>
    <s v="3ヶ月会員（ライト・クレカ自動更新）"/>
    <s v="2024/12/2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0"/>
    <s v="工藤貴之"/>
    <s v="mcm1801qlo1746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"/>
    <s v="馬場昭江"/>
    <s v="akiebaba@ybb.ne.jp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"/>
    <s v="景山康司"/>
    <s v="ha_sekai@yahoo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3"/>
    <s v="中馬宏昌"/>
    <s v="arms2678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"/>
    <s v="作田圭治"/>
    <s v="sakusaku7ks@outlook.jp"/>
    <s v="銀振会員（更新要ｶｸﾆﾝ）6ヶ月"/>
    <s v="2024/12/16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25"/>
    <s v="黒田真道"/>
    <s v="shindou19900120@yahoo.co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"/>
    <s v="大野木俊介"/>
    <s v="shunsukeonoki@gmail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"/>
    <s v="藤井成行"/>
    <s v="nariyvki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8"/>
    <s v="浅田貴大"/>
    <s v="takahiro_a_3_9@hotmail.com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"/>
    <s v="津田祐一"/>
    <s v="sin.g0jig0ji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"/>
    <s v="上野裕之"/>
    <s v="vw.16890827@gmail.com"/>
    <s v="6ヶ月会員（ライト・クレカ自動更新）"/>
    <s v="2024/12/1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"/>
    <s v="南出基志"/>
    <s v="rumraisin422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"/>
    <s v="渋谷昇"/>
    <s v="supi2016nz@yahoo.co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"/>
    <s v="北原悟史"/>
    <s v="kita1976.com@g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4"/>
    <s v="西木教子"/>
    <s v="ririmaru.0406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5"/>
    <s v="北村憲一"/>
    <s v="kk2010@zeus.eonet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6"/>
    <s v="竹上晴佳"/>
    <s v="sound.on.328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7"/>
    <s v="田中勲"/>
    <s v="tanaka140.85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8"/>
    <s v="飯田雄司"/>
    <s v="yujis39omy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9"/>
    <s v="柳澤里実"/>
    <s v="sawasiganay@gmail.com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0"/>
    <s v="酒井康輔"/>
    <s v="skoosuke5@yahoo.co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1"/>
    <s v="馬上尚樹"/>
    <s v="magami.naoki@takenaka.cn"/>
    <s v="3ヶ月会員（ライト・クレカ自動更新）"/>
    <s v="2024/12/1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2"/>
    <s v="上村千賀子"/>
    <s v="purple_yellow007-shop10@yahoo.co.jp"/>
    <s v="6ヶ月会員（ライト・クレカ自動更新）"/>
    <s v="2024/12/15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"/>
    <s v="加藤克昭"/>
    <s v="necc1234-ver1@yahoo.co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4"/>
    <s v="俵慎一"/>
    <s v="tawaras@mug.biglobe.ne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5"/>
    <s v="木村典子"/>
    <s v="noriko47kimura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"/>
    <s v="鈴木秀雄"/>
    <s v="oak4621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7"/>
    <s v="林健一"/>
    <s v="bikinokobuta0921@yahoo.co.jp"/>
    <s v="3ヶ月会員（ライト・クレカ自動更新）"/>
    <s v="2024/12/0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8"/>
    <s v="福田千浩"/>
    <s v="chihiro_f83@yahoo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9"/>
    <s v="大屋富志光"/>
    <s v="ootoshiya@yahoo.co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0"/>
    <s v="薗田雅樹"/>
    <s v="sonomasa1113@gmail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1"/>
    <s v="日下部博紀"/>
    <s v="fam.hirokikusakabe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2"/>
    <s v="清水勉"/>
    <s v="shimizu.cleartrade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3"/>
    <s v="計良健太"/>
    <s v="health_beauty_cool_wing@yahoo.co.jp"/>
    <s v="6ヶ月会員（ライト・クレカ自動更新）"/>
    <s v="2024/12/15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4"/>
    <s v="岡本成美"/>
    <s v="okamoto900@hotmail.com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5"/>
    <s v="中村昌利"/>
    <s v="masemateka939@gmail.com"/>
    <s v="3ヶ月会員（ライト・クレカ自動更新）"/>
    <s v="2024/12/08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6"/>
    <s v="高橋昇"/>
    <s v="noboru-takahashi@ezweb.ne.jp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7"/>
    <s v="平野信一"/>
    <s v="hirano4141@g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"/>
    <s v="田村剛"/>
    <s v="investmentfrom40@gmail.com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9"/>
    <s v="恵本和佳子"/>
    <s v="istan8@gmail.com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0"/>
    <s v="中村沙也子"/>
    <s v="sayakoa24@yahoo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1"/>
    <s v="浅野秀文"/>
    <s v="asanohide@me.com"/>
    <s v="3ヶ月会員（ライト・クレカ自動更新）"/>
    <s v="2024/12/1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2"/>
    <s v="溝呂木ゆみ子"/>
    <s v="mizorogimimi@gmail.com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3"/>
    <s v="野村和史"/>
    <s v="kazuuka920@kdt.biglobe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4"/>
    <s v="光山精一"/>
    <s v="hikari82172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5"/>
    <s v="五島大輔"/>
    <s v="bruno1002@outlook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6"/>
    <s v="内山友浩"/>
    <s v="teamcrystal@yahoo.co.jp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7"/>
    <s v="小島日高"/>
    <s v="nidasky.sol8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8"/>
    <s v="西村洋一"/>
    <s v="nyoichi_2468@yahoo.co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9"/>
    <s v="戸塚尚"/>
    <s v="takashi_tozuka@hot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0"/>
    <s v="東稔行"/>
    <s v="ryugukaihatsu@gmail.com"/>
    <s v="銀振会員（更新要ｶｸﾆﾝ）6ヶ月"/>
    <s v="2024/12/23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71"/>
    <s v="小野嘉洋"/>
    <s v="onokayou@yahoo.co.jp"/>
    <s v="銀振会員（更新要ｶｸﾆﾝ）6ヶ月"/>
    <s v="2024/12/13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72"/>
    <s v="藤江忠"/>
    <s v="chuuz123daa@gmail.com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3"/>
    <s v="野々村真悟"/>
    <s v="nono4n5@gmail.com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74"/>
    <s v="升本晶子"/>
    <s v="akomasumoto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5"/>
    <s v="下山浩一"/>
    <s v="ks1964326@docomo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6"/>
    <s v="青木精一朗"/>
    <s v="dorasa1515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7"/>
    <s v="蔵田文男"/>
    <s v="fumio.kurata@gmail.com"/>
    <s v="6ヶ月会員（ライト・クレカ自動更新）"/>
    <s v="2024/12/1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8"/>
    <s v="郷義幸"/>
    <s v="asakki.rurutyi.800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79"/>
    <s v="萩原宏紀"/>
    <s v="hiroki.hagiwara6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0"/>
    <s v="藤田正"/>
    <s v="tf09072700137@docomo.ne.jp"/>
    <s v="銀振会員（更新要ｶｸﾆﾝ）6ヶ月"/>
    <s v="2024/12/0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81"/>
    <s v="林朋彦"/>
    <s v="submarine507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2"/>
    <s v="笹原真哉"/>
    <s v="dec312021@bb.banban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3"/>
    <s v="上白木敬好"/>
    <s v="kohaku.sinjiro@icloud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4"/>
    <s v="日野直樹"/>
    <s v="nfr3141@me.pikara.ne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5"/>
    <s v="安江琴与"/>
    <s v="koto123sakuya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6"/>
    <s v="高山裕成"/>
    <s v="y.p.fantasy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7"/>
    <s v="齋藤弘勝"/>
    <s v="hirokatsu4312@keb.biglobe.ne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8"/>
    <s v="西崎伸彦"/>
    <s v="nishizakinobuhiko@yahoo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89"/>
    <s v="鈴木庸介"/>
    <s v="goshu0626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0"/>
    <s v="平城徹"/>
    <s v="gckpy178@yahoo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1"/>
    <s v="金久保孝雄"/>
    <s v="yiu19050@gmail.com"/>
    <s v="銀振会員（更新要ｶｸﾆﾝ）6ヶ月"/>
    <s v="2024/12/08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92"/>
    <s v="島田浩平"/>
    <s v="kshimada958i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3"/>
    <s v="山岡瞳"/>
    <s v="happyhitomi6078@gmail.com"/>
    <s v="6ヶ月会員（ライト・クレカ自動更新）"/>
    <s v="2024/12/14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4"/>
    <s v="山中新一"/>
    <s v="yamanaka.shinichi@maroon.plala.or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5"/>
    <s v="石川周平"/>
    <s v="bote369ron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6"/>
    <s v="大野順子"/>
    <s v="yori_o@icloud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7"/>
    <s v="阿部佳世子"/>
    <s v="tibikayo1.2.3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8"/>
    <s v="山下緑山"/>
    <s v="mmspcbmn@g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99"/>
    <s v="高橋恵"/>
    <s v="nakamegu1111@yahoo.co.jp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0"/>
    <s v="岡田知津"/>
    <s v="chiokada@nifty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1"/>
    <s v="山崎隆泰"/>
    <s v="akd.femc.kog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2"/>
    <s v="大西佑治"/>
    <s v="yuji02061984a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3"/>
    <s v="鈴木健介"/>
    <s v="kensuke_s77@yahoo.co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4"/>
    <s v="柴田泰英"/>
    <s v="yshibata1980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5"/>
    <s v="後藤全郎"/>
    <s v="machao46@gmail.com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6"/>
    <s v="竹村明日香"/>
    <s v="amachitapo@yahoo.co.jp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7"/>
    <s v="秋武利郎"/>
    <s v="aakitinn@ezweb.ne.jp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8"/>
    <s v="野田雄哉"/>
    <s v="nocchi.drum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09"/>
    <s v="越野貴裕"/>
    <s v="ym09057021053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0"/>
    <s v="高山武志"/>
    <s v="ihsekatamayakat@gmail.com"/>
    <s v="3ヶ月会員（ライト・クレカ自動更新）"/>
    <s v="2024/12/1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11"/>
    <s v="大西俊彦"/>
    <s v="cannibal0729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2"/>
    <s v="原豊光"/>
    <s v="hara373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3"/>
    <s v="山城静香"/>
    <s v="blueryukyu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4"/>
    <s v="佐藤京子"/>
    <s v="kyokosatokyo3@icloud.com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15"/>
    <s v="原康雄"/>
    <s v="x09099991225@i.softbank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6"/>
    <s v="内藤大伍"/>
    <s v="daigoro-08@hotmail.co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7"/>
    <s v="山本幸範"/>
    <s v="yama141421356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18"/>
    <s v="南岡和弥"/>
    <s v="kazuya.minamioka@gmail.com"/>
    <s v="銀振会員（更新要ｶｸﾆﾝ）6ヶ月"/>
    <s v="2024/12/0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119"/>
    <s v="泉智子"/>
    <s v="tomotomo757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0"/>
    <s v="井谷智子"/>
    <s v="t-valley0616@outlook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1"/>
    <s v="栗田賢二"/>
    <s v="krtkenji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2"/>
    <s v="谷洋子"/>
    <s v="yoko563127t@g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3"/>
    <s v="長谷川隆之"/>
    <s v="ryuu@ha-s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4"/>
    <s v="辻博之"/>
    <s v="tsuji07052674618@gmail.com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5"/>
    <s v="大矢昌章"/>
    <s v="moya095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6"/>
    <s v="山田喬之"/>
    <s v="rv0049vr@kankyousystem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7"/>
    <s v="鷹取功人"/>
    <s v="takatori.1963@gmail.com"/>
    <s v="銀振会員（更新要ｶｸﾆﾝ）6ヶ月"/>
    <s v="2024/12/15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128"/>
    <s v="得本直人"/>
    <s v="109moto.7oto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29"/>
    <s v="秋山裕太"/>
    <s v="yutaway@icloud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0"/>
    <s v="佐藤浩則"/>
    <s v="hirono1127@yahoo.co.jp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31"/>
    <s v="廣野恭資"/>
    <s v="h.kyo371770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2"/>
    <s v="村上光一"/>
    <s v="kobonta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3"/>
    <s v="和佐有起"/>
    <s v="mas_wasa@yahoo.co.jp"/>
    <s v="銀振会員（更新要ｶｸﾆﾝ）6ヶ月"/>
    <s v="2024/12/06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134"/>
    <s v="樋口勇輝"/>
    <s v="y.h.chikyugi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5"/>
    <s v="竹井勝一"/>
    <s v="katkoichi5123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36"/>
    <s v="廣瀬夕夏"/>
    <s v="syari098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7"/>
    <s v="大掛彰寛"/>
    <s v="snsktdln6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8"/>
    <s v="伊藤大貴"/>
    <s v="blair.waldorf.meester9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39"/>
    <s v="新川一美"/>
    <s v="khsk1228@gmail.com"/>
    <s v="3ヶ月会員（ライト・クレカ自動更新）"/>
    <s v="2024/12/14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40"/>
    <s v="後藤孝啓"/>
    <s v="mr.gocci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41"/>
    <s v="池中倫代"/>
    <s v="min2.no.green@gmail.com"/>
    <s v="3ヶ月会員（ライト・クレカ自動更新）"/>
    <s v="2025/01/23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142"/>
    <s v="袴田悠介"/>
    <s v="kb24.lom@gmail.com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43"/>
    <s v="手塚雅登"/>
    <s v="botamoti2koiri@hot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44"/>
    <s v="成田基良"/>
    <s v="naritamotomoto1980@gmail.com"/>
    <s v="銀振会員（更新要ｶｸﾆﾝ）3ヶ月"/>
    <s v="2024/12/23 00:00:00"/>
    <s v="2025/04/20 00:00:00"/>
    <s v="銀行振込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145"/>
    <s v="兒島邦幸"/>
    <s v="gtr6475@gmail.com"/>
    <s v="6ヶ月会員（ライト・クレカ自動更新）"/>
    <s v="2024/12/1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46"/>
    <s v="橋場公保"/>
    <s v="astraealibra.13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47"/>
    <s v="小野智弘"/>
    <s v="tomohiro.ono.prv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48"/>
    <s v="宮原健"/>
    <s v="zyakenn46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49"/>
    <s v="花島真由美"/>
    <s v="mayumi171727ab@softbank.ne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0"/>
    <s v="菅原毅"/>
    <s v="sugaport@gmail.com"/>
    <s v="6ヶ月会員（ライト・クレカ自動更新）"/>
    <s v="2024/12/14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1"/>
    <s v="金子純一郎"/>
    <s v="jiritzu30@yahoo.co.jp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52"/>
    <s v="森下政史"/>
    <s v="mini3633.mm@gmail.com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53"/>
    <s v="西野正孝"/>
    <s v="nishino.vov.masataka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4"/>
    <s v="須山恵明"/>
    <s v="symg14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5"/>
    <s v="内山昌子"/>
    <s v="ttrex0073-kabu@yahoo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56"/>
    <s v="熊沢勝明"/>
    <s v="winner200706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7"/>
    <s v="大平裕也"/>
    <s v="brave.man0021@gmail.com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8"/>
    <s v="齋藤雅和"/>
    <s v="masakazusaito94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59"/>
    <s v="山白祐平"/>
    <s v="yuheisekigane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60"/>
    <s v="工藤敏子"/>
    <s v="piano_kudo@yahoo.co.jp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61"/>
    <s v="中野俊吾"/>
    <s v="musselwatch@icloud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62"/>
    <s v="三浦大輝"/>
    <s v="tamisuke1130@gmail.com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63"/>
    <s v="坂本淳"/>
    <s v="cpcyv202@hct.zaq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64"/>
    <s v="橋本伸宏"/>
    <s v="n-hashimoto@gokoh.co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65"/>
    <s v="櫻庭幹彦"/>
    <s v="woodyshell2fm@yahoo.ne.jp"/>
    <s v="銀振会員（更新要ｶｸﾆﾝ）3ヶ月"/>
    <s v="2024/12/22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166"/>
    <s v="羽田尊子"/>
    <s v="takako0304ab@gmail.com"/>
    <s v="6ヶ月会員（ライト・クレカ自動更新）"/>
    <s v="2024/12/15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67"/>
    <s v="中野真良"/>
    <s v="cranky.condorer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68"/>
    <s v="新田晃久"/>
    <s v="nitta1123a@gmail.com"/>
    <s v="3ヶ月会員（ライト・クレカ自動更新）"/>
    <s v="2025/01/22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169"/>
    <s v="佐藤雅紀"/>
    <s v="millionddog@gmail.com"/>
    <s v="3ヶ月会員（ライト・クレカ自動更新）"/>
    <s v="2024/12/10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70"/>
    <s v="柏﨑裕貴"/>
    <s v="ryuga572@yahoo.co.jp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71"/>
    <s v="石黒修"/>
    <s v="o.i.stone96@gmail.com"/>
    <s v="3ヶ月会員（ライト・クレカ自動更新）"/>
    <s v="2024/12/1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72"/>
    <s v="小山美智子"/>
    <s v="raimu3812@gmail.com"/>
    <s v="3ヶ月会員（ライト・クレカ自動更新）"/>
    <s v="2024/12/1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73"/>
    <s v="小林敬子"/>
    <s v="hkkbys@gmail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74"/>
    <s v="丸毛健資"/>
    <s v="marutyan@zeus.eonet.ne.jp"/>
    <s v="銀振会員（更新要ｶｸﾆﾝ）6ヶ月"/>
    <s v="2024/12/19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175"/>
    <s v="内田海斗"/>
    <s v="11uchiuchi22@gmail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76"/>
    <s v="服部明彦"/>
    <s v="xpart77@gmail.com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77"/>
    <s v="松川剛"/>
    <s v="pondupon2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78"/>
    <s v="一ノ瀬利彦"/>
    <s v="tiichinose@g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79"/>
    <s v="高橋裕幸"/>
    <s v="heart_beats_831@yahoo.co.jp"/>
    <s v="銀振会員（更新要ｶｸﾆﾝ）3ヶ月"/>
    <s v="2024/12/16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180"/>
    <s v="杉浦正剛"/>
    <s v="suma0403@icloud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1"/>
    <s v="中山瑞恵"/>
    <s v="mizue.222426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2"/>
    <s v="岡田浩一"/>
    <s v="hiroichi_23-hiroichi_23@docomo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3"/>
    <s v="押田徹"/>
    <s v="to117yu1114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4"/>
    <s v="田中亮"/>
    <s v="tryo19881106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5"/>
    <s v="堀田康史郎"/>
    <s v="khotter817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6"/>
    <s v="柴田悠祐"/>
    <s v="suteys2018@gmail.com"/>
    <s v="3ヶ月会員（ライト・クレカ自動更新）"/>
    <s v="2024/12/0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87"/>
    <s v="原早苗"/>
    <s v="pxk06015@nifty.com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88"/>
    <s v="柴田優香"/>
    <s v="ys19877235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89"/>
    <s v="喜田巧"/>
    <s v="uujitan.moja22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90"/>
    <s v="木本岳史"/>
    <s v="takezaemon@gmail.com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91"/>
    <s v="富永信吾"/>
    <s v="dodge45durango@gmail.com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92"/>
    <s v="久保田直子"/>
    <s v="racco0830@gmail.com"/>
    <s v="3ヶ月会員（ライト・クレカ自動更新）"/>
    <s v="2024/12/08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93"/>
    <s v="浜本純郎"/>
    <s v="s02@hamaden.org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94"/>
    <s v="田澤一則"/>
    <s v="kazu.1116.ain@gmail.com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95"/>
    <s v="田島卓宗"/>
    <s v="yueliang_lunasea-bull@yahoo.co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96"/>
    <s v="中原宏高"/>
    <s v="bndwt249@yahoo.co.jp"/>
    <s v="3ヶ月会員（ライト・クレカ自動更新）"/>
    <s v="2024/12/18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197"/>
    <s v="城間秀之"/>
    <s v="viajero306@gmail.com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98"/>
    <s v="薮内和也"/>
    <s v="btyjw161@yahoo.co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199"/>
    <s v="秋場優子"/>
    <s v="choppaxa@yahoo.co.jp"/>
    <s v="3ヶ月会員（ライト・クレカ自動更新）"/>
    <s v="2024/12/1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00"/>
    <s v="小島透"/>
    <s v="kg_itiban@hotmail.com"/>
    <s v="3ヶ月会員（ライト・クレカ自動更新）"/>
    <s v="2024/12/1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01"/>
    <s v="青木友作"/>
    <s v="syakuretoniwatori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02"/>
    <s v="西村康子"/>
    <s v="earl-grey@kxf.biglobe.ne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03"/>
    <s v="金田繁"/>
    <s v="sss@myboom.jp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04"/>
    <s v="山本成司"/>
    <s v="sy0216maru@ezweb.ne.jp"/>
    <s v="銀振会員（更新要ｶｸﾆﾝ）3ヶ月"/>
    <s v="2024/12/21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205"/>
    <s v="山口悦子"/>
    <s v="bicky0805@gmail.com"/>
    <s v="3ヶ月会員（ライト・クレカ自動更新）"/>
    <s v="2024/12/14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06"/>
    <s v="土橋茂美"/>
    <s v="tomotaku220611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07"/>
    <s v="伊藤隆啓"/>
    <s v="takahiro31@me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08"/>
    <s v="岡田結樹子"/>
    <s v="yukko.okd18@outlook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09"/>
    <s v="高田孝太"/>
    <s v="mail8253ac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0"/>
    <s v="亀井雄介"/>
    <s v="yusuke06102255@icloud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1"/>
    <s v="鈴木浩"/>
    <s v="hiroshi.suzuki4243@jcom.zaq.ne.jp"/>
    <s v="6ヶ月会員（ライト・クレカ自動更新）"/>
    <s v="2024/12/1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2"/>
    <s v="飯島知也"/>
    <s v="nsppzufx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3"/>
    <s v="西尾秀樹"/>
    <s v="nishio.private@gmail.com"/>
    <s v="3ヶ月会員（ライト・クレカ自動更新）"/>
    <s v="2025/01/23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214"/>
    <s v="坂本秀樹"/>
    <s v="sakahide2123@gmail.com"/>
    <s v="6ヶ月会員（ライト・クレカ自動更新）"/>
    <s v="2024/12/15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5"/>
    <s v="大橋麻衣"/>
    <s v="0084mai0620@gmail.com"/>
    <s v="6ヶ月会員（ライト・クレカ自動更新）"/>
    <s v="2024/12/1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6"/>
    <s v="熊倉嘉貴"/>
    <s v="yoshi.kumakura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7"/>
    <s v="佐藤伸彦"/>
    <s v="nobu-is-dora@docomo.ne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8"/>
    <s v="石橋幸雄"/>
    <s v="yukio1958123@yahoo.ne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19"/>
    <s v="深町公子"/>
    <s v="kikko.3304.fk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20"/>
    <s v="吉岡裕美"/>
    <s v="y9626285@gmail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1"/>
    <s v="小笠原剛彦"/>
    <s v="take_oga@hot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2"/>
    <s v="舟洞久人"/>
    <s v="nisanichi8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3"/>
    <s v="花田浩二"/>
    <s v="truecomu@yahoo.co.jp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24"/>
    <s v="堀江正純"/>
    <s v="masa.holly.masa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5"/>
    <s v="吉本正義"/>
    <s v="live.camera00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6"/>
    <s v="齋藤雅実"/>
    <s v="mabisan@gmail.com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7"/>
    <s v="道脇麻里"/>
    <s v="kuroneko-lala@outlook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8"/>
    <s v="竹崎義清"/>
    <s v="y.madarame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29"/>
    <s v="里見優"/>
    <s v="yuu3103mj73@gmail.com"/>
    <s v="3ヶ月会員（ライト・クレカ自動更新）"/>
    <s v="2024/12/15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30"/>
    <s v="松本晶平"/>
    <s v="shohei@kk.iij4u.or.jp"/>
    <s v="6ヶ月会員（ライト・クレカ自動更新）"/>
    <s v="2024/07/20 00:00:00"/>
    <s v="2025/07/20 00:00:00"/>
    <s v="クレジットカード（ROBOT）"/>
    <n v="114300"/>
    <s v="1"/>
    <x v="0"/>
    <x v="0"/>
    <x v="1"/>
    <x v="0"/>
    <x v="0"/>
    <n v="114300"/>
    <n v="0"/>
    <n v="0"/>
    <n v="0"/>
    <n v="0"/>
    <n v="0"/>
    <n v="0"/>
    <n v="0"/>
  </r>
  <r>
    <x v="0"/>
    <x v="231"/>
    <s v="野口英明"/>
    <s v="haiji7234a@gmail.com"/>
    <s v="銀振会員（更新要ｶｸﾆﾝ）6ヶ月"/>
    <s v="2024/12/0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232"/>
    <s v="村林敬将"/>
    <s v="muraba8624@yahoo.co.jp"/>
    <s v="6ヶ月会員（ライト・クレカ自動更新）"/>
    <s v="2024/12/1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33"/>
    <s v="川邊誠一郎"/>
    <s v="mb27wu73ml@kcn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34"/>
    <s v="松浦直子"/>
    <s v="naoko09210609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35"/>
    <s v="竹内雄大"/>
    <s v="yudaitakeuchi731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36"/>
    <s v="河村靖"/>
    <s v="kasao.vvv.ason@lime.ocn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37"/>
    <s v="落合順子"/>
    <s v="mi616yu2003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38"/>
    <s v="齋藤久之"/>
    <s v="saisaisa235@gmail.com"/>
    <s v="銀振会員（更新要ｶｸﾆﾝ）3ヶ月"/>
    <s v="2024/12/20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239"/>
    <s v="澤村高至"/>
    <s v="takasis@gmail.com"/>
    <s v="3ヶ月会員（ライト・クレカ自動更新）"/>
    <s v="2024/12/1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40"/>
    <s v="及川太一"/>
    <s v="0088mtec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1"/>
    <s v="川原俊彦"/>
    <s v="fwtdn758@yahoo.co.jp"/>
    <s v="3ヶ月会員（ライト・クレカ自動更新）"/>
    <s v="2024/12/10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42"/>
    <s v="加藤弘晃"/>
    <s v="hiiro8342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3"/>
    <s v="阿部秀一"/>
    <s v="ebas19670609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4"/>
    <s v="桃瀬義久"/>
    <s v="chinchilla0302@yahoo.co.jp"/>
    <s v="銀振会員（更新要ｶｸﾆﾝ）6ヶ月"/>
    <s v="2024/12/09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245"/>
    <s v="稲田裕司"/>
    <s v="joeyuji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6"/>
    <s v="伊藤信一"/>
    <s v="aquapendente7149@dc4.so-net.ne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7"/>
    <s v="荒井泰博"/>
    <s v="x-net@y01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8"/>
    <s v="宮本富郷"/>
    <s v="kariso4811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49"/>
    <s v="中倉英喜"/>
    <s v="hideki.nakakura1228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0"/>
    <s v="舘野幸佑"/>
    <s v="ko.tateno@yot-inc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1"/>
    <s v="栗原真実"/>
    <s v="rutsuhuit3750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2"/>
    <s v="藤本一志"/>
    <s v="kaz.fujimoto18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3"/>
    <s v="豊見本泰志"/>
    <s v="yasuki9will@gmail.com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4"/>
    <s v="玉城浩巳"/>
    <s v="ptamaki6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5"/>
    <s v="佐藤篤史"/>
    <s v="ajarsenals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56"/>
    <s v="梶原英貴"/>
    <s v="hoh.12.kok.08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7"/>
    <s v="千葉雅史"/>
    <s v="masa0410g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58"/>
    <s v="松森菜穂子"/>
    <s v="nahoko.matsumori@gmail.com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59"/>
    <s v="木村哲也"/>
    <s v="dabasama@yahoo.co.jp"/>
    <s v="3ヶ月会員（ライト・クレカ自動更新）"/>
    <s v="2024/12/1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60"/>
    <s v="峯岸香代子"/>
    <s v="mikayofeliz@i.softbank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1"/>
    <s v="平石成一"/>
    <s v="gocuuuuuu@gmail.com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62"/>
    <s v="前川真二"/>
    <s v="shin.g1200t.bm@gmail.com"/>
    <s v="銀振会員（更新要ｶｸﾆﾝ）3ヶ月"/>
    <s v="2024/12/26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263"/>
    <s v="楢本雄一郎"/>
    <s v="naramoto007@yahoo.co.jp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4"/>
    <s v="小西毅"/>
    <s v="r-t.11-24.reliance@ezweb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5"/>
    <s v="羽原千晴"/>
    <s v="chappy4680@yahoo.co.jp"/>
    <s v="3ヶ月会員（ライト・クレカ自動更新）"/>
    <s v="2024/12/10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66"/>
    <s v="杉田祐二"/>
    <s v="yubon-bon-bon.385170y@ezweb.ne.jp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7"/>
    <s v="中岡由枝"/>
    <s v="nakaoka_yoshie@icloud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8"/>
    <s v="安部慎也"/>
    <s v="cycedelica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69"/>
    <s v="近藤洋平"/>
    <s v="yohei.kondo.biz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270"/>
    <s v="中尾学"/>
    <s v="rin53kanichi5@yahoo.co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1"/>
    <s v="福田光宏"/>
    <s v="m.f.0913_777@docomo.ne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2"/>
    <s v="望月篤"/>
    <s v="a2ce3105e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3"/>
    <s v="田辺伸崇"/>
    <s v="happy.yumpaka@gmail.com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4"/>
    <s v="齋藤映介"/>
    <s v="b_rain8@hot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5"/>
    <s v="坂口景子"/>
    <s v="k_sakaguchi2000jp@yahoo.co.jp"/>
    <s v="3ヶ月会員（ライト・クレカ自動更新）"/>
    <s v="2024/12/0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76"/>
    <s v="山本美武"/>
    <s v="yote@gaia.eonet.ne.jp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7"/>
    <s v="山川貴行"/>
    <s v="perceivex1@gmail.com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8"/>
    <s v="服部浩史"/>
    <s v="hirofumi.nagoya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79"/>
    <s v="柴垣龍之介"/>
    <s v="kykyky3r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80"/>
    <s v="合田幸司"/>
    <s v="seminamrk350@gmail.com"/>
    <s v="銀振会員（更新要ｶｸﾆﾝ）6ヶ月"/>
    <s v="2024/12/1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281"/>
    <s v="濱名慶政"/>
    <s v="yoshi0609216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82"/>
    <s v="福田敏一"/>
    <s v="f.toshikazu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83"/>
    <s v="永井裕也"/>
    <s v="yuya.nagai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84"/>
    <s v="岩城万智"/>
    <s v="cozyplace.a.m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85"/>
    <s v="渡辺賢二"/>
    <s v="kjoden327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86"/>
    <s v="石原浩之"/>
    <s v="numberboygirl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287"/>
    <s v="貞松浩司"/>
    <s v="kojispa26@gmail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288"/>
    <s v="蒲生秀俊"/>
    <s v="hgamo9500162@gmail.com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289"/>
    <s v="秋本靖仁"/>
    <s v="pippikup_227@yahoo.co.jp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290"/>
    <s v="坂口伸子"/>
    <s v="nobumu-0325@outlook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1"/>
    <s v="下垣佳子"/>
    <s v="yoshiten729@gmail.com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2"/>
    <s v="井上吉弘"/>
    <s v="yoshi-78@kyj.biglobe.ne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3"/>
    <s v="山口欣子"/>
    <s v="dfwhy595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4"/>
    <s v="井上昌樹"/>
    <s v="maino124614@gmail.com"/>
    <s v="3ヶ月会員（ライト・クレカ自動更新）"/>
    <s v="2024/12/0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95"/>
    <s v="古川智之"/>
    <s v="explorer4455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6"/>
    <s v="鈴木康之"/>
    <s v="yasuyasu335@yahoo.co.jp"/>
    <s v="3ヶ月会員（ライト・クレカ自動更新）"/>
    <s v="2024/12/1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297"/>
    <s v="大吉純子"/>
    <s v="wkyj.fulfill.hope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8"/>
    <s v="松本航"/>
    <s v="wtrm_shorinji@yahoo.co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299"/>
    <s v="伏野耕平"/>
    <s v="kohei00032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0"/>
    <s v="松井剛志"/>
    <s v="konto555@khh.biglobe.ne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1"/>
    <s v="段吉雅浩"/>
    <s v="dandan.ukiuki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2"/>
    <s v="棚木紀雄"/>
    <s v="noritanaki34ab@outlook.jp"/>
    <s v="6ヶ月会員（ライト・クレカ自動更新）"/>
    <s v="2024/12/14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3"/>
    <s v="石田勝裕"/>
    <s v="mikkabimikan2005ko@yahoo.co.jp"/>
    <s v="銀振会員（更新要ｶｸﾆﾝ）6ヶ月"/>
    <s v="2024/12/15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304"/>
    <s v="古谷進"/>
    <s v="furukameda@icloud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5"/>
    <s v="池内尚美"/>
    <s v="naomi5778.ikeuchi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6"/>
    <s v="加藤昌治"/>
    <s v="mshrkt55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07"/>
    <s v="山本泰規"/>
    <s v="cadv7081@yahoo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08"/>
    <s v="伊藤祐也"/>
    <s v="0345.y.i@gmail.com"/>
    <s v="銀振会員（更新要ｶｸﾆﾝ）6ヶ月"/>
    <s v="2024/12/23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309"/>
    <s v="谷岡典子"/>
    <s v="miracle.non424@gmail.com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0"/>
    <s v="小原啓志"/>
    <s v="jikerahako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1"/>
    <s v="松原伸三"/>
    <s v="shinzo.matsubara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2"/>
    <s v="佐々木仁美"/>
    <s v="gracesh3895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13"/>
    <s v="綿谷和紀"/>
    <s v="otomodachi64@yahoo.co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4"/>
    <s v="稲垣京祐"/>
    <s v="takemu.0056@gmail.com"/>
    <s v="銀振会員（更新要ｶｸﾆﾝ）6ヶ月"/>
    <s v="2024/12/0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315"/>
    <s v="深井英夫"/>
    <s v="hideo.fukai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16"/>
    <s v="小島雅之"/>
    <s v="msyk_77@yahoo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7"/>
    <s v="石井泰司"/>
    <s v="wwwpoiwww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8"/>
    <s v="米谷伸幸"/>
    <s v="jichikaikyouiku@gmail.com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19"/>
    <s v="羽場俊一郎"/>
    <s v="haba051603181214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0"/>
    <s v="山本直也"/>
    <s v="kawanishi-george21@ezweb.ne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1"/>
    <s v="川瀬邦裕"/>
    <s v="kunihiro_kawase@kplas.co.jp"/>
    <s v="3ヶ月会員（ライト・クレカ自動更新）"/>
    <s v="2024/12/2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22"/>
    <s v="後藤功"/>
    <s v="isa.gogogolf10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3"/>
    <s v="日比野将和"/>
    <s v="hibinomasakazu1991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4"/>
    <s v="渡辺貴之"/>
    <s v="forged660@gmail.com"/>
    <s v="6ヶ月会員（ライト・クレカ自動更新）"/>
    <s v="2024/12/14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5"/>
    <s v="林賢太朗"/>
    <s v="boraborabora0209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6"/>
    <s v="小原信恒"/>
    <s v="gutentag1234@yahoo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7"/>
    <s v="宮沢隆志"/>
    <s v="mtaka0114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8"/>
    <s v="田中真理"/>
    <s v="sanwatanaka3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29"/>
    <s v="平中健太"/>
    <s v="kekeke.h@icloud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0"/>
    <s v="黒岩和輝"/>
    <s v="kazukikuroiwa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1"/>
    <s v="伊藤大輔"/>
    <s v="monstera.a4@gmail.com"/>
    <s v="6ヶ月会員（ライト・クレカ自動更新）"/>
    <s v="2024/12/2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2"/>
    <s v="中島脩翔"/>
    <s v="yuto.withnaru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33"/>
    <s v="碓井隆司"/>
    <s v="stella21r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4"/>
    <s v="谷口俊一"/>
    <s v="monkeyjanjan@yahoo.co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5"/>
    <s v="森岡由加利"/>
    <s v="zakuro.m.0396@gmail.com"/>
    <s v="3ヶ月会員（ライト・クレカ自動更新）"/>
    <s v="2024/12/2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36"/>
    <s v="高木秀子"/>
    <s v="kirakira.life222@gmail.com"/>
    <s v="3ヶ月会員（ライト・クレカ自動更新）"/>
    <s v="2024/12/1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37"/>
    <s v="遠藤忍"/>
    <s v="t7s10m11s18r11k3y21m@softbank.ne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8"/>
    <s v="岡田武将"/>
    <s v="taketeko@hotmail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39"/>
    <s v="樋上智之"/>
    <s v="tomo216216@hot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40"/>
    <s v="豊岡奈津美"/>
    <s v="nk.mona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41"/>
    <s v="宇田川貴正"/>
    <s v="ex.udagawa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42"/>
    <s v="坂野唯"/>
    <s v="yui_mamechan@yahoo.co.jp"/>
    <s v="3ヶ月会員（ライト・クレカ自動更新）"/>
    <s v="2024/12/18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43"/>
    <s v="濱中宣成"/>
    <s v="nobunari@par.odn.ne.jp"/>
    <s v="3ヶ月会員（ライト・クレカ自動更新）"/>
    <s v="2024/12/1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44"/>
    <s v="神谷亮太"/>
    <s v="ka3ta2ryota@gmail.com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45"/>
    <s v="中村亮太"/>
    <s v="drgkmry11@gmail.com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46"/>
    <s v="柿下浩幸"/>
    <s v="hirosita707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47"/>
    <s v="池口辰郎"/>
    <s v="kerotan0314@yahoo.co.jp"/>
    <s v="3ヶ月会員（ライト・クレカ自動更新）"/>
    <s v="2024/12/0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48"/>
    <s v="辻功"/>
    <s v="isaotsuji1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49"/>
    <s v="植村圭三"/>
    <s v="kz3728yt@yahoo.co.jp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50"/>
    <s v="木村元信"/>
    <s v="mt.kim-7146@docomo.ne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51"/>
    <s v="高木一輝"/>
    <s v="orobanche.minor.29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52"/>
    <s v="浅田晃嗣"/>
    <s v="asadaterry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53"/>
    <s v="中川富士子"/>
    <s v="liar.aa1490@ezweb.ne.jp"/>
    <s v="銀振会員（更新要ｶｸﾆﾝ）6ヶ月"/>
    <s v="2024/10/13 00:00:00"/>
    <s v="2025/04/20 00:00:00"/>
    <s v="銀行振込（ROBOT）"/>
    <n v="114300"/>
    <s v="1"/>
    <x v="0"/>
    <x v="0"/>
    <x v="2"/>
    <x v="0"/>
    <x v="0"/>
    <n v="0"/>
    <n v="0"/>
    <n v="0"/>
    <n v="0"/>
    <n v="0"/>
    <n v="0"/>
    <n v="0"/>
    <n v="0"/>
  </r>
  <r>
    <x v="0"/>
    <x v="354"/>
    <s v="内垣裕"/>
    <s v="yuuchigaki@gmail.com"/>
    <s v="6ヶ月会員（ライト・クレカ自動更新）"/>
    <s v="2024/12/03 00:00:00"/>
    <s v="2025/05/20 00:00:00"/>
    <s v="クレジットカード（ROBOT）"/>
    <n v="114300"/>
    <s v="2"/>
    <x v="0"/>
    <x v="0"/>
    <x v="1"/>
    <x v="1"/>
    <x v="0"/>
    <n v="0"/>
    <n v="0"/>
    <n v="0"/>
    <n v="0"/>
    <n v="0"/>
    <n v="0"/>
    <n v="0"/>
    <n v="0"/>
  </r>
  <r>
    <x v="0"/>
    <x v="355"/>
    <s v="大里仁志"/>
    <s v="jj1105b@gmail.com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56"/>
    <s v="金子幹也"/>
    <s v="f1shoot@gmail.com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57"/>
    <s v="小木戸有香"/>
    <s v="yukashichida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58"/>
    <s v="宮坂泰三"/>
    <s v="taizoumiyasaka@gmail.com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59"/>
    <s v="辻本純子"/>
    <s v="junko0317dianne@i.softbank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60"/>
    <s v="浮田佳秀"/>
    <s v="lmn7899@yahoo.co.jp"/>
    <s v="3ヶ月会員（ライト・クレカ自動更新）"/>
    <s v="2024/12/2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61"/>
    <s v="真崎徳満"/>
    <s v="masaki3646@icloud.com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62"/>
    <s v="三好佳織"/>
    <s v="arl.lune.1230@gmail.com"/>
    <s v="6ヶ月会員（ライト・クレカ自動更新）"/>
    <s v="2024/04/16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63"/>
    <s v="根本涼子"/>
    <s v="ryoko.nemo@gmail.com"/>
    <s v="6ヶ月会員（ライト・クレカ自動更新）"/>
    <s v="2024/04/17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64"/>
    <s v="日高淳一"/>
    <s v="j.hitaka10@gmail.com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365"/>
    <s v="山口日出子"/>
    <s v="hiiko3035@gmail.com"/>
    <s v="6ヶ月会員（ライト・クレカ自動更新）"/>
    <s v="2024/06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66"/>
    <s v="佐野恒二"/>
    <s v="okok117117@yahoo.co.jp"/>
    <s v="3ヶ月会員（ライト・クレカ自動更新）"/>
    <s v="2024/04/18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367"/>
    <s v="青木博之"/>
    <s v="h.aokioffice@tenor.ocn.ne.jp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68"/>
    <s v="小川幹"/>
    <s v="miki@triforce3.com"/>
    <s v="3ヶ月会員（ライト・クレカ自動更新）"/>
    <s v="2024/04/22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369"/>
    <s v="村木高志"/>
    <s v="muraki@niigata-shiryo.co.jp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0"/>
    <s v="仲栄真盛也"/>
    <s v="painapo718na00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1"/>
    <s v="真柄恵理"/>
    <s v="mail.magara@mac.com"/>
    <s v="6ヶ月会員（ライト・クレカ自動更新）"/>
    <s v="2024/10/3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2"/>
    <s v="八川広実"/>
    <s v="riohiro@nifty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3"/>
    <s v="佐々木友子"/>
    <s v="first1991.st@gmail.com"/>
    <s v="6ヶ月会員（ライト・クレカ自動更新）"/>
    <s v="2024/04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4"/>
    <s v="真田貴子"/>
    <s v="sanadatta7620@gmail.com"/>
    <s v="6ヶ月会員（ライト・クレカ自動更新）"/>
    <s v="2024/07/02 00:00:00"/>
    <s v="2025/07/20 00:00:00"/>
    <s v="クレジットカード（ROBOT）"/>
    <n v="114300"/>
    <s v="1"/>
    <x v="0"/>
    <x v="0"/>
    <x v="1"/>
    <x v="0"/>
    <x v="0"/>
    <n v="114300"/>
    <n v="0"/>
    <n v="0"/>
    <n v="0"/>
    <n v="0"/>
    <n v="0"/>
    <n v="0"/>
    <n v="0"/>
  </r>
  <r>
    <x v="0"/>
    <x v="375"/>
    <s v="宮田博文"/>
    <s v="hirofumi_miyata@outlook.jp"/>
    <s v="6ヶ月会員（ライト・クレカ自動更新）"/>
    <s v="2024/10/09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6"/>
    <s v="三池雄大"/>
    <s v="tripuyurikabu20191015@yahoo.ne.jp"/>
    <s v="3ヶ月会員（ライト・クレカ自動更新）"/>
    <s v="2024/10/28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377"/>
    <s v="永島靖大"/>
    <s v="ngmaster29@gmail.com"/>
    <s v="6ヶ月会員（ライト・クレカ自動更新）"/>
    <s v="2024/04/1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8"/>
    <s v="古川貴裕"/>
    <s v="syuzokutidoryokuti@yahoo.co.jp"/>
    <s v="6ヶ月会員（ライト・クレカ自動更新）"/>
    <s v="2024/04/2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79"/>
    <s v="朝日晃大"/>
    <s v="akiosunnday12742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80"/>
    <s v="森田哲哉"/>
    <s v="trade@morinta.com"/>
    <s v="3ヶ月会員（ライト・クレカ自動更新）"/>
    <s v="2024/10/28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381"/>
    <s v="草原秀一郎"/>
    <s v="ziguzagu-dekobok.357@ezweb.ne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82"/>
    <s v="西郡英利"/>
    <s v="hide2456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83"/>
    <s v="瀬古博之"/>
    <s v="egao11toushi@gmail.com"/>
    <s v="銀振会員（更新要ｶｸﾆﾝ）6ヶ月"/>
    <s v="2024/10/10 00:00:00"/>
    <s v="2025/04/20 00:00:00"/>
    <s v="銀行振込（ROBOT）"/>
    <n v="114300"/>
    <s v="1"/>
    <x v="0"/>
    <x v="0"/>
    <x v="2"/>
    <x v="0"/>
    <x v="0"/>
    <n v="0"/>
    <n v="0"/>
    <n v="0"/>
    <n v="0"/>
    <n v="0"/>
    <n v="0"/>
    <n v="0"/>
    <n v="0"/>
  </r>
  <r>
    <x v="0"/>
    <x v="384"/>
    <s v="櫻井一輝"/>
    <s v="xxxg01w1115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85"/>
    <s v="平良勝彦"/>
    <s v="ktaira2023@gmail.com"/>
    <s v="6ヶ月会員（ライト・クレカ自動更新）"/>
    <s v="2024/10/3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86"/>
    <s v="草野典生"/>
    <s v="ididit348@gmail.com"/>
    <s v="3ヶ月会員（ライト・クレカ自動更新）"/>
    <s v="2024/04/19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387"/>
    <s v="吉田秀子"/>
    <s v="tomorrow1@kyi.biglobe.ne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88"/>
    <s v="廣川雄大"/>
    <s v="yudai.20000222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389"/>
    <s v="岩屋こずえ"/>
    <s v="sansankokko934@gmail.com"/>
    <s v="銀振会員（更新要ｶｸﾆﾝ）6ヶ月"/>
    <s v="2024/10/16 00:00:00"/>
    <s v="2025/04/20 00:00:00"/>
    <s v="銀行振込（ROBOT）"/>
    <n v="114300"/>
    <s v="1"/>
    <x v="0"/>
    <x v="0"/>
    <x v="2"/>
    <x v="0"/>
    <x v="0"/>
    <n v="0"/>
    <n v="0"/>
    <n v="0"/>
    <n v="0"/>
    <n v="0"/>
    <n v="0"/>
    <n v="0"/>
    <n v="0"/>
  </r>
  <r>
    <x v="0"/>
    <x v="390"/>
    <s v="吉村由香"/>
    <s v="yk12042177@gmail.com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1"/>
    <s v="亀山麻衣"/>
    <s v="waterfall3nd@gmail.com"/>
    <s v="6ヶ月会員（ライト・クレカ自動更新）"/>
    <s v="2024/04/1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2"/>
    <s v="増田英司"/>
    <s v="eiji.masuda1701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3"/>
    <s v="上田昇"/>
    <s v="shyachiccu@gmail.com"/>
    <s v="6ヶ月会員（ライト・クレカ自動更新）"/>
    <s v="2024/04/16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4"/>
    <s v="朱宮陽一"/>
    <s v="yzhugu37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5"/>
    <s v="澤谷和広"/>
    <s v="kazupon_akipon_sawaya@yahoo.co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6"/>
    <s v="中川淳"/>
    <s v="nakagawa189@gmail.com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7"/>
    <s v="渋谷圭子"/>
    <s v="kobuty0212@gmail.com"/>
    <s v="銀振会員（更新要ｶｸﾆﾝ）6ヶ月"/>
    <s v="2024/10/20 00:00:00"/>
    <s v="2025/04/20 00:00:00"/>
    <s v="銀行振込（ROBOT）"/>
    <n v="114300"/>
    <s v="1"/>
    <x v="0"/>
    <x v="0"/>
    <x v="2"/>
    <x v="0"/>
    <x v="0"/>
    <n v="0"/>
    <n v="0"/>
    <n v="0"/>
    <n v="0"/>
    <n v="0"/>
    <n v="0"/>
    <n v="0"/>
    <n v="0"/>
  </r>
  <r>
    <x v="0"/>
    <x v="398"/>
    <s v="片岡昌子"/>
    <s v="makoga717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399"/>
    <s v="別役淑美"/>
    <s v="cocoromi424@gmail.com"/>
    <s v="6ヶ月会員（ライト・クレカ自動更新）"/>
    <s v="2024/10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0"/>
    <s v="松浦文彦"/>
    <s v="fmmatsuu305@gmail.com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1"/>
    <s v="石渡康之"/>
    <s v="umizaru55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2"/>
    <s v="山崎善映"/>
    <s v="clv.foe@gmail.com"/>
    <s v="6ヶ月会員（ライト・クレカ自動更新）"/>
    <s v="2025/01/13 00:00:00"/>
    <s v="2025/07/20 00:00:00"/>
    <s v="クレジットカード（ROBOT）"/>
    <n v="114300"/>
    <s v="1"/>
    <x v="0"/>
    <x v="0"/>
    <x v="1"/>
    <x v="0"/>
    <x v="0"/>
    <n v="114300"/>
    <n v="0"/>
    <n v="0"/>
    <n v="0"/>
    <n v="0"/>
    <n v="0"/>
    <n v="0"/>
    <n v="0"/>
  </r>
  <r>
    <x v="0"/>
    <x v="403"/>
    <s v="浜田猛志"/>
    <s v="thamada5221@gmail.com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4"/>
    <s v="加納弥紗"/>
    <s v="misakano805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5"/>
    <s v="吉田信浩"/>
    <s v="noppu01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6"/>
    <s v="五島泰信"/>
    <s v="jasssoul@yahoo.co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7"/>
    <s v="永田壮二"/>
    <s v="soji.nagata@gmail.com"/>
    <s v="3ヶ月会員（ライト・クレカ自動更新）"/>
    <s v="2024/04/20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08"/>
    <s v="長岐裕好"/>
    <s v="yuimojiyuki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09"/>
    <s v="大城由香"/>
    <s v="ariten0358@gmail.com"/>
    <s v="3ヶ月会員（ライト・クレカ自動更新）"/>
    <s v="2024/04/21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10"/>
    <s v="相澤洋太"/>
    <s v="dng10004@gmail.com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1"/>
    <s v="平岡直記"/>
    <s v="nao55-hiraoka@docomo.ne.jp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2"/>
    <s v="岩楯仁一"/>
    <s v="marbo@hh.iij4u.or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13"/>
    <s v="寺川真理"/>
    <s v="shinri.terakawa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4"/>
    <s v="菊竹裕之"/>
    <s v="bumpof2007@yahoo.co.jp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5"/>
    <s v="後藤直子"/>
    <s v="akaru4829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6"/>
    <s v="板谷繁"/>
    <s v="im-shige.itaya@ezweb.ne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7"/>
    <s v="岡田一弘"/>
    <s v="okacchi0816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8"/>
    <s v="鈴木薫子"/>
    <s v="kunko-eezz@ezweb.ne.jp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19"/>
    <s v="松田節子"/>
    <s v="sekoma04@gmail.com"/>
    <s v="3ヶ月会員（ライト・クレカ自動更新）"/>
    <s v="2025/01/23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20"/>
    <s v="野口和彦"/>
    <s v="noguchi.k.aljl@gmail.com"/>
    <s v="3ヶ月会員（ライト・クレカ自動更新）"/>
    <s v="2024/10/31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21"/>
    <s v="伊達章"/>
    <s v="akiradate60@gmail.com"/>
    <s v="6ヶ月会員（ライト・クレカ自動更新）"/>
    <s v="2024/10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22"/>
    <s v="菊池裕二"/>
    <s v="marutyan7613@gmail.com"/>
    <s v="6ヶ月会員（ライト・クレカ自動更新）"/>
    <s v="2025/01/19 00:00:00"/>
    <s v="2025/07/20 00:00:00"/>
    <s v="クレジットカード（ROBOT）"/>
    <n v="114300"/>
    <s v="1"/>
    <x v="0"/>
    <x v="0"/>
    <x v="1"/>
    <x v="0"/>
    <x v="0"/>
    <n v="114300"/>
    <n v="0"/>
    <n v="0"/>
    <n v="0"/>
    <n v="0"/>
    <n v="0"/>
    <n v="0"/>
    <n v="0"/>
  </r>
  <r>
    <x v="0"/>
    <x v="423"/>
    <s v="山田正俊"/>
    <s v="cyp00464@nifty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24"/>
    <s v="林克也"/>
    <s v="progressbar1104@gmail.com"/>
    <s v="3ヶ月会員（ライト・クレカ自動更新）"/>
    <s v="2024/04/24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25"/>
    <s v="杉田俊雄"/>
    <s v="fumikamaru@yahoo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26"/>
    <s v="服部誠一"/>
    <s v="hattori.seiichi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27"/>
    <s v="市川雄一郎"/>
    <s v="yuichiroichikawa4444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28"/>
    <s v="野村あつみ"/>
    <s v="yecunatsumi@gmail.com"/>
    <s v="6ヶ月会員（ライト・クレカ自動更新）"/>
    <s v="2024/10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29"/>
    <s v="上野泰人"/>
    <s v="ueno.yasuhito@gmail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0"/>
    <s v="左田野隆"/>
    <s v="spr2002ymgt@gmail.com"/>
    <s v="6ヶ月会員（ライト・クレカ自動更新）"/>
    <s v="2024/04/2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31"/>
    <s v="樋口琢善"/>
    <s v="spm92ek9@dolphin.ocn.ne.jp"/>
    <s v="6ヶ月会員（ライト・クレカ自動更新）"/>
    <s v="2024/12/1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2"/>
    <s v="大島久幸"/>
    <s v="qbechehi@gmail.com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3"/>
    <s v="藤原久美子"/>
    <s v="purinmama@ezweb.ne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4"/>
    <s v="野村昌利"/>
    <s v="nomura.masatoshi9943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5"/>
    <s v="臼杵千絵"/>
    <s v="morochie1016@gmail.com"/>
    <s v="6ヶ月会員（ライト・クレカ自動更新）"/>
    <s v="2024/04/17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36"/>
    <s v="太田敬子"/>
    <s v="keiohta@ka2.so-net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37"/>
    <s v="林耕佑"/>
    <s v="k.dignoizeee@gmail.com"/>
    <s v="3ヶ月会員（ライト・クレカ自動更新）"/>
    <s v="2024/11/01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38"/>
    <s v="伊藤秀俊"/>
    <s v="itotuhi8@gmail.com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39"/>
    <s v="長谷川芳春"/>
    <s v="dchyfamily@amail.plala.or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40"/>
    <s v="竹野弘展"/>
    <s v="aikiumeda2000@yahoo.co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41"/>
    <s v="飯村康正"/>
    <s v="y-iimura@msi.biglobe.ne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42"/>
    <s v="西部健二"/>
    <s v="knishibu@gmail.com"/>
    <s v="6ヶ月会員（ライト・クレカ自動更新）"/>
    <s v="2024/12/1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43"/>
    <s v="山上麻理"/>
    <s v="rosesherry81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44"/>
    <s v="朴泰秀"/>
    <s v="pts6742@gmail.com"/>
    <s v="3ヶ月会員（ライト・クレカ自動更新）"/>
    <s v="2024/10/30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45"/>
    <s v="吉岡廣志"/>
    <s v="hysu1641@g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46"/>
    <s v="石橋智子"/>
    <s v="ishibashitomoko14@gmail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47"/>
    <s v="岡村仁美"/>
    <s v="wkohi@docomo.ne.jp"/>
    <s v="6ヶ月会員（ライト・クレカ自動更新）"/>
    <s v="2024/10/28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48"/>
    <s v="花園さやか"/>
    <s v="c082887@yahoo.co.jp"/>
    <s v="6ヶ月会員（ライト・クレカ自動更新）"/>
    <s v="2024/04/18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49"/>
    <s v="前中浩典"/>
    <s v="zensan9320@icloud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50"/>
    <s v="真田ひろみ"/>
    <s v="mmm.820ami.cutenainainai@gmail.com"/>
    <s v="6ヶ月会員（ライト・クレカ自動更新）"/>
    <s v="2024/12/1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51"/>
    <s v="越後和正"/>
    <s v="wech713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52"/>
    <s v="近藤年昭"/>
    <s v="wine_nomisugi@icloud.com"/>
    <s v="6ヶ月会員（ライト・クレカ自動更新）"/>
    <s v="2024/12/1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53"/>
    <s v="樋口博之"/>
    <s v="hirop.ip@gmail.com"/>
    <s v="3ヶ月会員（ライト・クレカ自動更新）"/>
    <s v="2025/01/23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54"/>
    <s v="酒田三栄子"/>
    <s v="mieko7511@gmail.com"/>
    <s v="6ヶ月会員（ライト・クレカ自動更新）"/>
    <s v="2024/05/28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455"/>
    <s v="加納宏行"/>
    <s v="possible750@yahoo.co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56"/>
    <s v="小澤栄二"/>
    <s v="haichan766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57"/>
    <s v="簾内淑恵"/>
    <s v="yoshie.khbar@icloud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58"/>
    <s v="船本全信"/>
    <s v="funamoto@funacli.or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59"/>
    <s v="江上美好"/>
    <s v="egami1008@gmail.com"/>
    <s v="3ヶ月会員（ライト・クレカ自動更新）"/>
    <s v="2024/04/12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460"/>
    <s v="槙平和騎"/>
    <s v="maki.kazu2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1"/>
    <s v="山田晶美"/>
    <s v="a-yellow.h-mint.0728-03@docomo.ne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2"/>
    <s v="河嶋弥栄子"/>
    <s v="yako_1127@yahoo.co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3"/>
    <s v="川瀬一広"/>
    <s v="Magome3zun@gmail.com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4"/>
    <s v="富永敬子"/>
    <s v="cozyscents01@gmail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65"/>
    <s v="内堀壽典"/>
    <s v="hi_takatuki@yahoo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6"/>
    <s v="水谷猛"/>
    <s v="clubmin3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7"/>
    <s v="新海裕慎"/>
    <s v="tom.chan.ron.voka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68"/>
    <s v="八橋康則"/>
    <s v="yassy210y@sk9.so-net.ne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69"/>
    <s v="北原正彦"/>
    <s v="ka877500@gmail.com"/>
    <s v="6ヶ月会員（ライト・クレカ自動更新）"/>
    <s v="2024/04/2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0"/>
    <s v="郡司文夫"/>
    <s v="giocodue@gmail.com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1"/>
    <s v="小串真司"/>
    <s v="dengluyongmerumaga@gmail.com"/>
    <s v="6ヶ月会員（ライト・クレカ自動更新）"/>
    <s v="2024/04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2"/>
    <s v="大村建介"/>
    <s v="egaodelink@gmail.com"/>
    <s v="6ヶ月会員（ライト・クレカ自動更新）"/>
    <s v="2024/04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3"/>
    <s v="定光紀明"/>
    <s v="n-sada@nifty.ne.jp"/>
    <s v="銀振会員（更新要ｶｸﾆﾝ）3ヶ月"/>
    <s v="2024/12/23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474"/>
    <s v="森本一希"/>
    <s v="triple.trees.kazu@gmail.com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5"/>
    <s v="陣内洋樹"/>
    <s v="jinnouchi516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6"/>
    <s v="田中康之"/>
    <s v="yasu.t0511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77"/>
    <s v="前田啓之"/>
    <s v="darumataishi858-net@yahoo.co.jp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8"/>
    <s v="佐野かおる"/>
    <s v="s_kaoru812@yahoo.co.jp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79"/>
    <s v="高橋宏明"/>
    <s v="cs.montmorillonite@gmail.com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80"/>
    <s v="金子清貴"/>
    <s v="kiyotaka25m@gmail.com"/>
    <s v="銀振会員（更新要ｶｸﾆﾝ）3ヶ月"/>
    <s v="2024/12/13 00:00:00"/>
    <s v="2025/03/20 00:00:00"/>
    <s v="銀行振込（ROBOT）"/>
    <n v="59400"/>
    <s v="1"/>
    <x v="0"/>
    <x v="1"/>
    <x v="1"/>
    <x v="0"/>
    <x v="0"/>
    <n v="0"/>
    <n v="0"/>
    <n v="0"/>
    <n v="0"/>
    <n v="0"/>
    <n v="0"/>
    <n v="0"/>
    <n v="0"/>
  </r>
  <r>
    <x v="0"/>
    <x v="481"/>
    <s v="三村憲一"/>
    <s v="saekimon@hotmail.com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82"/>
    <s v="佐藤信輔"/>
    <s v="sato@highvolume.co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83"/>
    <s v="濵地尊"/>
    <s v="golfsuki72@gmail.com"/>
    <s v="6ヶ月会員（ライト・クレカ自動更新）"/>
    <s v="2024/04/2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84"/>
    <s v="吉田妙子"/>
    <s v="himawari55577@gmail.com"/>
    <s v="銀振会員（更新要ｶｸﾆﾝ）6ヶ月"/>
    <s v="2024/12/12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485"/>
    <s v="山本純子"/>
    <s v="jukym2t218@gmail.com"/>
    <s v="6ヶ月会員（ライト・クレカ自動更新）"/>
    <s v="2024/04/19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86"/>
    <s v="篠塚ともこ"/>
    <s v="nezun1951@gmail.com"/>
    <s v="6ヶ月会員（ライト・クレカ自動更新）"/>
    <s v="2024/10/16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87"/>
    <s v="林昌宏"/>
    <s v="mars.jupiter.fam@gmail.com"/>
    <s v="6ヶ月会員（ライト・クレカ自動更新）"/>
    <s v="2024/04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88"/>
    <s v="小川直記"/>
    <s v="namihei1167@gmail.com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89"/>
    <s v="尾村泰裕"/>
    <s v="yattin77@icloud.com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90"/>
    <s v="濱崎雅子"/>
    <s v="nano873n@gmail.com"/>
    <s v="6ヶ月会員（ライト・クレカ自動更新）"/>
    <s v="2024/11/01 00:00:00"/>
    <s v="2025/04/20 00:00:00"/>
    <s v="クレジットカード（ROBOT）"/>
    <n v="114300"/>
    <s v="3"/>
    <x v="0"/>
    <x v="0"/>
    <x v="2"/>
    <x v="0"/>
    <x v="0"/>
    <n v="0"/>
    <n v="0"/>
    <n v="0"/>
    <n v="0"/>
    <n v="0"/>
    <n v="0"/>
    <n v="0"/>
    <n v="0"/>
  </r>
  <r>
    <x v="0"/>
    <x v="491"/>
    <s v="橋本孝弘"/>
    <s v="nankaitaka0117@gmail.com"/>
    <s v="6ヶ月会員（ライト・クレカ自動更新）"/>
    <s v="2024/10/16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92"/>
    <s v="大城光二"/>
    <s v="k.ohki1983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93"/>
    <s v="阿久津豊"/>
    <s v="yutakakutsu@gmail.com"/>
    <s v="6ヶ月会員（ライト・クレカ自動更新）"/>
    <s v="2024/10/29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94"/>
    <s v="森下和樹"/>
    <s v="kazuki.m.1210@gmail.com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495"/>
    <s v="高槁純子"/>
    <s v="disneyjunco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96"/>
    <s v="藤崎比佐衣"/>
    <s v="bienemajagogo@yahoo.co.jp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97"/>
    <s v="久田松祐子"/>
    <s v="yuko.famik@icloud.com"/>
    <s v="6ヶ月会員（ライト・クレカ自動更新）"/>
    <s v="2024/04/19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498"/>
    <s v="井田牧子"/>
    <s v="makiron-ida1226@outlook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499"/>
    <s v="宮沢暁"/>
    <s v="midnight117.1182@gmail.com"/>
    <s v="6ヶ月会員（ライト・クレカ自動更新）"/>
    <s v="2023/09/28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00"/>
    <s v="柏葉京子"/>
    <s v="izako@aria.ocn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01"/>
    <s v="尾田知之"/>
    <s v="tmykoda@yahoo.co.jp"/>
    <s v="3ヶ月会員（ライト・クレカ自動更新）"/>
    <s v="2023/09/1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02"/>
    <s v="樋田栄一"/>
    <s v="greenecho@nifty.com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03"/>
    <s v="三好陽子"/>
    <s v="hochi@hotmail.co.jp"/>
    <s v="6ヶ月会員（ライト・クレカ自動更新）"/>
    <s v="2024/04/1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04"/>
    <s v="成瀬温子"/>
    <s v="a.ti.ko.0827@gmail.com"/>
    <s v="6ヶ月会員（ライト・クレカ自動更新）"/>
    <s v="2023/09/10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05"/>
    <s v="古賀若菜"/>
    <s v="fujityaku830813@outlook.jp"/>
    <s v="6ヶ月会員（ライト・クレカ自動更新）"/>
    <s v="2024/03/06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06"/>
    <s v="末永真也"/>
    <s v="s.suenaga19703@gmail.com"/>
    <s v="6ヶ月会員（ライト・クレカ自動更新）"/>
    <s v="2024/03/28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07"/>
    <s v="前田ゆかり"/>
    <s v="ringopaimy@gmail.com"/>
    <s v="6ヶ月会員（ライト・クレカ自動更新）"/>
    <s v="2025/02/02 00:00:00"/>
    <s v="2025/08/20 00:00:00"/>
    <s v="クレジットカード（ROBOT）"/>
    <n v="114300"/>
    <s v="1"/>
    <x v="0"/>
    <x v="0"/>
    <x v="1"/>
    <x v="0"/>
    <x v="0"/>
    <n v="0"/>
    <n v="114300"/>
    <n v="0"/>
    <n v="0"/>
    <n v="0"/>
    <n v="0"/>
    <n v="0"/>
    <n v="0"/>
  </r>
  <r>
    <x v="0"/>
    <x v="508"/>
    <s v="石井明憲"/>
    <s v="cute.3521.paradise@docomo.ne.jp"/>
    <s v="6ヶ月会員（ライト・クレカ自動更新）"/>
    <s v="2023/09/0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09"/>
    <s v="北井孝彦"/>
    <s v="amenokoyanekita@m7.gyao.ne.jp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10"/>
    <s v="神保俊哉"/>
    <s v="jnb3743@gmail.com"/>
    <s v="6ヶ月会員（ライト・クレカ自動更新）"/>
    <s v="2024/03/25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11"/>
    <s v="吉田朋弘"/>
    <s v="ugn03132@nifty.com"/>
    <s v="6ヶ月会員（ライト・クレカ自動更新）"/>
    <s v="2023/09/0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12"/>
    <s v="縣直和"/>
    <s v="nao.universe0906@gmail.com"/>
    <s v="3ヶ月会員（ライト・クレカ自動更新）"/>
    <s v="2023/12/1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13"/>
    <s v="梶原龍太"/>
    <s v="tatsunoya19990514@docomo.ne.jp"/>
    <s v="6ヶ月会員（ライト・クレカ自動更新）"/>
    <s v="2023/09/0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14"/>
    <s v="梶本公"/>
    <s v="tadashi_05_25@yahoo.co.jp"/>
    <s v="6ヶ月会員（ライト・クレカ自動更新）"/>
    <s v="2023/09/26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15"/>
    <s v="鈴木武史"/>
    <s v="sic.seaum@gmail.com"/>
    <s v="6ヶ月会員（ライト・クレカ自動更新）"/>
    <s v="2023/09/25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16"/>
    <s v="濱野友生"/>
    <s v="friendlife45@gmail.com"/>
    <s v="6ヶ月会員（ライト・クレカ自動更新）"/>
    <s v="2023/10/09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17"/>
    <s v="福田恵美"/>
    <s v="kokoroodayaka333@gmail.com"/>
    <s v="6ヶ月会員（ライト・クレカ自動更新）"/>
    <s v="2023/09/22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18"/>
    <s v="小沢英郎"/>
    <s v="ichicabachica.0611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19"/>
    <s v="山口治秀"/>
    <s v="haru03401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20"/>
    <s v="平城芳樹"/>
    <s v="maisuta1987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21"/>
    <s v="待鳥尚子"/>
    <s v="matt_naorin@yahoo.co.jp"/>
    <s v="6ヶ月会員（ライト・クレカ自動更新）"/>
    <s v="2024/10/28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22"/>
    <s v="伊藤航"/>
    <s v="wataruuuuu4230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23"/>
    <s v="篠崎幸造"/>
    <s v="kozysmart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24"/>
    <s v="安藤徹"/>
    <s v="300and800@gmail.com"/>
    <s v="6ヶ月会員（ライト・クレカ自動更新）"/>
    <s v="2024/10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25"/>
    <s v="鈴木直人"/>
    <s v="s@etc-karada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26"/>
    <s v="久田幸正"/>
    <s v="yusan7820@gmail.com"/>
    <s v="3ヶ月会員（ライト・クレカ自動更新）"/>
    <s v="2024/12/0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27"/>
    <s v="櫻井加代子"/>
    <s v="kk.sakura@cosmochemicals.co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28"/>
    <s v="鹿毛真也"/>
    <s v="nkage00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29"/>
    <s v="竹内伸夫"/>
    <s v="dkk921258@gmail.com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30"/>
    <s v="竹内朗人"/>
    <s v="kazuemonn@lion.ocn.ne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31"/>
    <s v="権田武則"/>
    <s v="takegonda427@gmail.com"/>
    <s v="3ヶ月会員（ライト・クレカ自動更新）"/>
    <s v="2024/12/07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32"/>
    <s v="澤津川誠"/>
    <s v="makotosawa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33"/>
    <s v="黒須直子"/>
    <s v="kurosu3102@outlook.jp"/>
    <s v="銀振会員（更新要ｶｸﾆﾝ）6ヶ月"/>
    <s v="2024/12/06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534"/>
    <s v="平澤暁美"/>
    <s v="ahira010101@gmail.com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35"/>
    <s v="角家泉"/>
    <s v="minidragon.snufkin278@gmail.com"/>
    <s v="6ヶ月会員（ライト・クレカ自動更新）"/>
    <s v="2024/03/04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36"/>
    <s v="平井善顕"/>
    <s v="crew53065306@gmail.com"/>
    <s v="6ヶ月会員（ライト・クレカ自動更新）"/>
    <s v="2024/04/2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37"/>
    <s v="佐藤裕也"/>
    <s v="sleet.seacow@gmail.com"/>
    <s v="3ヶ月会員（ライト・クレカ自動更新）"/>
    <s v="2024/12/11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38"/>
    <s v="海津行雄"/>
    <s v="15850xingxiong55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39"/>
    <s v="明石融貴"/>
    <s v="mobilesskwrkingmobileschirping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40"/>
    <s v="衣川倫"/>
    <s v="four-of-a-kind142030@docomo.ne.jp"/>
    <s v="6ヶ月会員（ライト・クレカ自動更新）"/>
    <s v="2025/01/15 00:00:00"/>
    <s v="2025/07/20 00:00:00"/>
    <s v="クレジットカード（ROBOT）"/>
    <n v="114300"/>
    <s v="1"/>
    <x v="0"/>
    <x v="0"/>
    <x v="1"/>
    <x v="0"/>
    <x v="0"/>
    <n v="114300"/>
    <n v="0"/>
    <n v="0"/>
    <n v="0"/>
    <n v="0"/>
    <n v="0"/>
    <n v="0"/>
    <n v="0"/>
  </r>
  <r>
    <x v="0"/>
    <x v="541"/>
    <s v="田中佳乃"/>
    <s v="yoshino.anne@gmail.com"/>
    <s v="3ヶ月会員（ライト・クレカ自動更新）"/>
    <s v="2024/12/18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42"/>
    <s v="杉河修"/>
    <s v="sosamu@rose.ocn.ne.jp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43"/>
    <s v="遠藤陸也"/>
    <s v="rikuya.endy@docomo.ne.jp"/>
    <s v="3ヶ月会員（ライト・クレカ自動更新）"/>
    <s v="2024/04/24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544"/>
    <s v="大谷高史"/>
    <s v="taka_ohtani@yahoo.co.jp"/>
    <s v="6ヶ月会員（ライト・クレカ自動更新）"/>
    <s v="2024/04/18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45"/>
    <s v="高橋泰子"/>
    <s v="yasu2highbri@yahoo.co.jp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46"/>
    <s v="酒井方子"/>
    <s v="boofoowoo28@gmail.com"/>
    <s v="6ヶ月会員（ライト・クレカ自動更新）"/>
    <s v="2025/01/0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47"/>
    <s v="杉田直也"/>
    <s v="naoya1717@gmail.com"/>
    <s v="3ヶ月会員（ライト・クレカ自動更新）"/>
    <s v="2023/09/24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48"/>
    <s v="西沢秀男"/>
    <s v="hideo2430a@gmail.com"/>
    <s v="銀振会員（更新要ｶｸﾆﾝ）6ヶ月"/>
    <s v="2024/12/0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549"/>
    <s v="関口幸栄"/>
    <s v="jacaranda2425@gmail.com"/>
    <s v="6ヶ月会員（ライト・クレカ自動更新）"/>
    <s v="2024/12/1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50"/>
    <s v="栗原正弘"/>
    <s v="nitoro.hazard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51"/>
    <s v="佐藤彰郎"/>
    <s v="s10026626@yahoo.co.jp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52"/>
    <s v="外海清吾"/>
    <s v="golf54003088@iris.eonet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53"/>
    <s v="清水秀朗"/>
    <s v="shimizu930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54"/>
    <s v="谷詰周成"/>
    <s v="dq6shu17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55"/>
    <s v="佐藤信次"/>
    <s v="blackjackatom@yahoo.co.jp"/>
    <s v="6ヶ月会員（ライト・クレカ自動更新）"/>
    <s v="2024/04/1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56"/>
    <s v="後藤義行"/>
    <s v="yocchin.510@gmail.com"/>
    <s v="6ヶ月会員（ライト・クレカ自動更新）"/>
    <s v="2024/04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57"/>
    <s v="伊藤幸喜代"/>
    <s v="htm.y2017krv@gmail.com"/>
    <s v="3ヶ月会員（ライト・クレカ自動更新）"/>
    <s v="2024/12/08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58"/>
    <s v="大石雅弘"/>
    <s v="oishi-ma@tokai.or.jp"/>
    <s v="6ヶ月会員（ライト・クレカ自動更新）"/>
    <s v="2023/09/26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59"/>
    <s v="大館謙二"/>
    <s v="k-ohdate@mrfj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60"/>
    <s v="嵐隆幸"/>
    <s v="qjrmc677@yahoo.co.jp"/>
    <s v="6ヶ月会員（ライト・クレカ自動更新）"/>
    <s v="2023/09/10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61"/>
    <s v="堀野直哉"/>
    <s v="hfield108@gmail.com"/>
    <s v="6ヶ月会員（ライト・クレカ自動更新）"/>
    <s v="2023/09/24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62"/>
    <s v="瓜生英一"/>
    <s v="eddieuriu@gmail.com"/>
    <s v="3ヶ月会員（ライト・クレカ自動更新）"/>
    <s v="2023/09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63"/>
    <s v="菊地郁夫"/>
    <s v="ikuokiku100@gmail.com"/>
    <s v="3ヶ月会員（ライト・クレカ自動更新）"/>
    <s v="2023/09/05 00:00:00"/>
    <s v="2025/05/20 00:00:00"/>
    <s v="クレジットカード（ROBOT）"/>
    <n v="59400"/>
    <s v="3"/>
    <x v="0"/>
    <x v="0"/>
    <x v="1"/>
    <x v="2"/>
    <x v="0"/>
    <n v="0"/>
    <n v="0"/>
    <n v="0"/>
    <n v="0"/>
    <n v="0"/>
    <n v="0"/>
    <n v="0"/>
    <n v="0"/>
  </r>
  <r>
    <x v="0"/>
    <x v="564"/>
    <s v="青柳圭太"/>
    <s v="aoyagi-k@mist.dti.ne.jp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65"/>
    <s v="須崎嘉文"/>
    <s v="suzaki.yoshifumi@kagawa-u.ac.jp"/>
    <s v="6ヶ月会員（ライト・クレカ自動更新）"/>
    <s v="2025/01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66"/>
    <s v="太安孝允"/>
    <s v="nine_planets_in_solar_system@yahoo.co.jp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67"/>
    <s v="春柳圭"/>
    <s v="horuyagi@gmail.com"/>
    <s v="銀振会員（更新要ｶｸﾆﾝ）6ヶ月"/>
    <s v="2024/12/22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568"/>
    <s v="前田拓哉"/>
    <s v="maetaku4319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69"/>
    <s v="江里川雅一"/>
    <s v="R53erika32@gmail.com"/>
    <s v="6ヶ月会員（ライト・クレカ自動更新）"/>
    <s v="2024/04/17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70"/>
    <s v="田中義一"/>
    <s v="ginger1969715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71"/>
    <s v="伊藤真基"/>
    <s v="taiheimaru2117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72"/>
    <s v="城田大輔"/>
    <s v="daisukedaisuke0000@yahoo.co.jp"/>
    <s v="3ヶ月会員（ライト・クレカ自動更新）"/>
    <s v="2024/12/16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573"/>
    <s v="金田智樹"/>
    <s v="tomoki5170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74"/>
    <s v="鮫島常高"/>
    <s v="link1218@i.softbank.jp"/>
    <s v="6ヶ月会員（ライト・クレカ自動更新）"/>
    <s v="2024/12/1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75"/>
    <s v="山田宏"/>
    <s v="fighterscan2015@gmail.com"/>
    <s v="6ヶ月会員（ライト・クレカ自動更新）"/>
    <s v="2024/04/2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76"/>
    <s v="國枝洋子"/>
    <s v="kunitakumama@gmail.com"/>
    <s v="3ヶ月会員（ライト・クレカ自動更新）"/>
    <s v="2024/04/14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577"/>
    <s v="堀之内千秋"/>
    <s v="from.1.123@docomo.ne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78"/>
    <s v="山村三信"/>
    <s v="mi.yamamura@gmail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79"/>
    <s v="山本茂市"/>
    <s v="syamamoto1103@yahoo.co.jp"/>
    <s v="6ヶ月会員（ライト・クレカ自動更新）"/>
    <s v="2023/05/27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580"/>
    <s v="海老澤裕三"/>
    <s v="ebizou03@gmail.com"/>
    <s v="6ヶ月会員（ライト・クレカ自動更新）"/>
    <s v="2023/09/0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81"/>
    <s v="堀谷真実"/>
    <s v="lovelin.mamitan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2"/>
    <s v="立川太一"/>
    <s v="seamaster007007@yahoo.co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83"/>
    <s v="中村康志"/>
    <s v="yasu5645jp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4"/>
    <s v="中道雅義"/>
    <s v="masayoshinakamichi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5"/>
    <s v="北山拓真"/>
    <s v="inkotg@gmail.com"/>
    <s v="6ヶ月会員（ライト・クレカ自動更新）"/>
    <s v="2023/05/28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586"/>
    <s v="野崎耕司"/>
    <s v="grunpa.715.kn@gmail.com"/>
    <s v="6ヶ月会員（ライト・クレカ自動更新）"/>
    <s v="2024/12/08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7"/>
    <s v="人見慎治"/>
    <s v="j_tommy3skm@ybb.ne.jp"/>
    <s v="6ヶ月会員（ライト・クレカ自動更新）"/>
    <s v="2024/12/2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8"/>
    <s v="岩橋竜士"/>
    <s v="convoy.funk.co@gmail.com"/>
    <s v="6ヶ月会員（ライト・クレカ自動更新）"/>
    <s v="2024/12/1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89"/>
    <s v="松本州司"/>
    <s v="shumatsu3387@gmail.com"/>
    <s v="6ヶ月会員（ライト・クレカ自動更新）"/>
    <s v="2024/04/01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90"/>
    <s v="北川勝浩"/>
    <s v="jh3prr@gmail.com"/>
    <s v="6ヶ月会員（ライト・クレカ自動更新）"/>
    <s v="2023/09/0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91"/>
    <s v="土手貴博"/>
    <s v="takahiro.d.925@outlook.jp"/>
    <s v="6ヶ月会員（ライト・クレカ自動更新）"/>
    <s v="2023/05/19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592"/>
    <s v="橋爪史子"/>
    <s v="fumiko524@yahoo.co.jp"/>
    <s v="6ヶ月会員（ライト・クレカ自動更新）"/>
    <s v="2023/09/23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93"/>
    <s v="三輪雄二"/>
    <s v="yanh7016@gmail.com"/>
    <s v="6ヶ月会員（ライト・クレカ自動更新）"/>
    <s v="2023/09/0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594"/>
    <s v="大平祐造"/>
    <s v="nobi_sen@yahoo.co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95"/>
    <s v="伊藤勝司"/>
    <s v="tk02100117y@yahoo.co.jp"/>
    <s v="6ヶ月会員（ライト・クレカ自動更新）"/>
    <s v="2024/04/2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96"/>
    <s v="田中太"/>
    <s v="futa11@msn.com"/>
    <s v="6ヶ月会員（ライト・クレカ自動更新）"/>
    <s v="2024/04/17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597"/>
    <s v="北川浩太郎"/>
    <s v="kotaro.kitagawa@gmail.com"/>
    <s v="6ヶ月会員（ライト・クレカ自動更新）"/>
    <s v="2024/12/12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98"/>
    <s v="竹内大輔"/>
    <s v="takeuchi.disk.0.0.zzz@gmail.com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599"/>
    <s v="中村多都夫"/>
    <s v="ttonkm2723@gmail.com"/>
    <s v="6ヶ月会員（ライト・クレカ自動更新）"/>
    <s v="2024/10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00"/>
    <s v="西留良輔"/>
    <s v="tometype2@yahoo.co.jp"/>
    <s v="3ヶ月会員（ライト・クレカ自動更新）"/>
    <s v="2024/12/23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01"/>
    <s v="浦山亜紀子"/>
    <s v="akikoyogo45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02"/>
    <s v="高宮文秀"/>
    <s v="takamiya@gf7.so-net.ne.jp"/>
    <s v="6ヶ月会員（ライト・クレカ自動更新）"/>
    <s v="2023/02/16 00:00:00"/>
    <s v="2025/02/20 00:00:00"/>
    <s v="クレジットカード（ROBOT）"/>
    <n v="114300"/>
    <s v="6"/>
    <x v="1"/>
    <x v="0"/>
    <x v="1"/>
    <x v="0"/>
    <x v="0"/>
    <n v="0"/>
    <n v="0"/>
    <n v="0"/>
    <n v="0"/>
    <n v="0"/>
    <n v="0"/>
    <n v="0"/>
    <n v="0"/>
  </r>
  <r>
    <x v="0"/>
    <x v="603"/>
    <s v="新海晃"/>
    <s v="amkakki7@yahoo.co.jp"/>
    <s v="6ヶ月会員（ライト・クレカ自動更新）"/>
    <s v="2023/09/29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604"/>
    <s v="中村光男"/>
    <s v="nkmrtro@i.softbank.jp"/>
    <s v="6ヶ月会員（ライト・クレカ自動更新）"/>
    <s v="2024/10/3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05"/>
    <s v="村松淳"/>
    <s v="jm3210jm32100@gmail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06"/>
    <s v="船山美芳"/>
    <s v="haka78827@gmail.com"/>
    <s v="Apex年間会員（自動更新）"/>
    <s v="2025/02/06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07"/>
    <s v="松山結城"/>
    <s v="yuki.mat1122@gmail.com"/>
    <s v="6ヶ月会員（ライト・クレカ自動更新）"/>
    <s v="2024/12/2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08"/>
    <s v="伊藤秀昭"/>
    <s v="haryuki110@yahoo.co.jp"/>
    <s v="Apex年間会員（自動更新）"/>
    <s v="2025/02/06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09"/>
    <s v="武山直之"/>
    <s v="chosuke_0308@yahoo.co.jp"/>
    <s v="6ヶ月会員（ライト・クレカ自動更新）"/>
    <s v="2023/05/20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610"/>
    <s v="鈴木隆永"/>
    <s v="maro-takatsukasa-tkn@ezweb.ne.jp"/>
    <s v="6ヶ月会員（ライト・クレカ自動更新）"/>
    <s v="2024/04/2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11"/>
    <s v="福井雄士"/>
    <s v="hp@mayro.biz"/>
    <s v="3ヶ月会員（ライト・クレカ自動更新）"/>
    <s v="2024/04/20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612"/>
    <s v="テスト東"/>
    <s v="hiroaki.higashi.res@gmail.com"/>
    <s v="3ヶ月会員（ライト・クレカ自動更新）"/>
    <m/>
    <m/>
    <m/>
    <n v="59400"/>
    <s v="3"/>
    <x v="0"/>
    <x v="0"/>
    <x v="1"/>
    <x v="0"/>
    <x v="0"/>
    <n v="0"/>
    <n v="0"/>
    <n v="0"/>
    <n v="0"/>
    <n v="0"/>
    <n v="0"/>
    <n v="0"/>
    <n v="0"/>
  </r>
  <r>
    <x v="0"/>
    <x v="613"/>
    <s v="福島泉"/>
    <s v="izumi000126@gmail.com"/>
    <s v="6ヶ月会員（ライト・クレカ自動更新）"/>
    <s v="2023/09/21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614"/>
    <s v="五月女真英"/>
    <s v="sagittarius.ms1975@gmail.com"/>
    <s v="6ヶ月会員（ライト・クレカ自動更新）"/>
    <s v="2024/04/17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15"/>
    <s v="因幡義人"/>
    <s v="toyako178@gmail.com"/>
    <s v="3ヶ月会員（ライト・クレカ自動更新）"/>
    <s v="2024/04/10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616"/>
    <s v="長野修也"/>
    <s v="spirytushu@gmail.com"/>
    <s v="6ヶ月会員（ライト・クレカ自動更新）"/>
    <s v="2023/09/30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617"/>
    <s v="鷲山淳"/>
    <s v="wasshoy.jun@gmail.com"/>
    <s v="6ヶ月会員（ライト・クレカ自動更新）"/>
    <s v="2024/04/24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18"/>
    <s v="中西祷"/>
    <s v="suntao0430@hotmail.com"/>
    <s v="6ヶ月会員（ライト・クレカ自動更新）"/>
    <s v="2023/11/28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619"/>
    <s v="今井英樹"/>
    <s v="hide19730513@icloud.com"/>
    <s v="6ヶ月会員（ライト・クレカ自動更新）"/>
    <s v="2024/12/23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20"/>
    <s v="北原勇"/>
    <s v="yunyou889@yahoo.co.jp"/>
    <s v="Apex年間会員（自動更新）"/>
    <s v="2025/02/06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21"/>
    <s v="田中志郎"/>
    <s v="syart0928@gmail.com"/>
    <s v="6ヶ月会員（ライト・クレカ自動更新）"/>
    <s v="2024/04/16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22"/>
    <s v="林静枝"/>
    <s v="parukawa1809@yahoo.co.jp"/>
    <s v="銀振会員（更新要ｶｸﾆﾝ）6ヶ月"/>
    <s v="2024/12/17 00:00:00"/>
    <s v="2025/06/20 00:00:00"/>
    <s v="銀行振込（ROBOT）"/>
    <n v="114300"/>
    <s v="1"/>
    <x v="0"/>
    <x v="0"/>
    <x v="1"/>
    <x v="0"/>
    <x v="1"/>
    <n v="0"/>
    <n v="0"/>
    <n v="0"/>
    <n v="0"/>
    <n v="0"/>
    <n v="0"/>
    <n v="0"/>
    <n v="0"/>
  </r>
  <r>
    <x v="0"/>
    <x v="623"/>
    <s v="森山善弘"/>
    <s v="zenkou.m@gmail.com"/>
    <s v="6ヶ月会員（ライト・クレカ自動更新）"/>
    <s v="2024/04/13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24"/>
    <s v="高桑一也"/>
    <s v="onego15@gmail.com"/>
    <s v="6ヶ月会員（ライト・クレカ自動更新）"/>
    <s v="2024/04/15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25"/>
    <s v="施其楽"/>
    <s v="free-style._0619_@i.softbank.jp"/>
    <s v="6ヶ月会員（ライト・クレカ自動更新）"/>
    <s v="2024/12/0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26"/>
    <s v="秋山行普"/>
    <s v="hu84477343@yahoo.co.jp"/>
    <s v="6ヶ月会員（ライト・クレカ自動更新）"/>
    <s v="2024/05/29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627"/>
    <s v="森田昌志"/>
    <s v="morita1m2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28"/>
    <s v="矢野美奈子"/>
    <s v="mina.yan375@ezweb.ne.jp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29"/>
    <s v="西山祐子"/>
    <s v="lovelyuko@gmail.com"/>
    <s v="6ヶ月会員（ライト・クレカ自動更新）"/>
    <s v="2023/09/01 00:00:00"/>
    <s v="2025/02/20 00:00:00"/>
    <s v="クレジットカード（ROBOT）"/>
    <n v="114300"/>
    <s v="6"/>
    <x v="1"/>
    <x v="0"/>
    <x v="1"/>
    <x v="0"/>
    <x v="0"/>
    <n v="0"/>
    <n v="0"/>
    <n v="0"/>
    <n v="0"/>
    <n v="0"/>
    <n v="0"/>
    <n v="0"/>
    <n v="0"/>
  </r>
  <r>
    <x v="0"/>
    <x v="630"/>
    <s v="原田直子"/>
    <s v="haranao5005@gmail.com"/>
    <s v="6ヶ月会員（ライト・クレカ自動更新）"/>
    <s v="2024/12/07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31"/>
    <s v="有村規子"/>
    <s v="gon5chako2@gmail.com"/>
    <s v="6ヶ月会員（ライト・クレカ自動更新）"/>
    <s v="2024/04/12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32"/>
    <s v="庄子徳一"/>
    <s v="shoji123@fgbb.jp"/>
    <s v="6ヶ月会員（ライト・クレカ自動更新）"/>
    <s v="2023/09/17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633"/>
    <s v="伊藤誠司"/>
    <s v="seiji.deen@gmail.com"/>
    <s v="Apex年間会員（自動更新）"/>
    <s v="2024/08/16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34"/>
    <s v="松下和樹"/>
    <s v="delirayarc@yahoo.co.jp"/>
    <s v="3ヶ月会員（ライト・クレカ自動更新）"/>
    <s v="2024/12/22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35"/>
    <s v="池田寿子"/>
    <s v="rakuchakochan@gmail.com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36"/>
    <s v="伴野均"/>
    <s v="banbanbee@yahoo.co.jp"/>
    <s v="6ヶ月会員（ライト・クレカ自動更新）"/>
    <s v="2023/09/22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637"/>
    <s v="川口緑子"/>
    <s v="mitdy.236714k@ezweb.ne.jp"/>
    <s v="3ヶ月会員（ライト・クレカ自動更新）"/>
    <s v="2024/12/0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38"/>
    <s v="榎田昭彦"/>
    <s v="11043865e@gmail.com"/>
    <s v="6ヶ月会員（ライト・クレカ自動更新）"/>
    <s v="2024/12/11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39"/>
    <s v="大山郁文"/>
    <s v="ohyamagon@yahoo.co.jp"/>
    <s v="6ヶ月会員（ライト・クレカ自動更新）"/>
    <s v="2024/04/2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40"/>
    <s v="東江明子"/>
    <s v="hkhrf700@yahoo.co.jp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41"/>
    <s v="高山聡"/>
    <s v="takarinayan910@gmail.com"/>
    <s v="Apex年間会員（自動更新）"/>
    <s v="2025/02/05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42"/>
    <s v="喜田利生"/>
    <s v="athj1101@bcc.bai.ne.jp"/>
    <s v="6ヶ月会員（ライト・クレカ自動更新）"/>
    <s v="2023/09/15 00:00:00"/>
    <s v="2025/03/20 00:00:00"/>
    <s v="クレジットカード（ROBOT）"/>
    <n v="114300"/>
    <s v="5"/>
    <x v="0"/>
    <x v="2"/>
    <x v="1"/>
    <x v="0"/>
    <x v="0"/>
    <n v="0"/>
    <n v="0"/>
    <n v="0"/>
    <n v="0"/>
    <n v="0"/>
    <n v="0"/>
    <n v="0"/>
    <n v="0"/>
  </r>
  <r>
    <x v="0"/>
    <x v="643"/>
    <s v="渡慶次春美"/>
    <s v="tokeshi3831@gmail.com"/>
    <s v="Apex年間会員（自動更新）"/>
    <s v="2024/08/09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44"/>
    <s v="松田則子"/>
    <s v="jajauma1@i.softbank.jp"/>
    <s v="Apex年間会員（自動更新）"/>
    <s v="2024/07/05 00:00:00"/>
    <s v="2025/07/20 00:00:00"/>
    <s v="クレジットカード（ROBOT）"/>
    <n v="113220"/>
    <s v="7"/>
    <x v="0"/>
    <x v="0"/>
    <x v="1"/>
    <x v="0"/>
    <x v="0"/>
    <n v="113220"/>
    <n v="0"/>
    <n v="0"/>
    <n v="0"/>
    <n v="0"/>
    <n v="0"/>
    <n v="0"/>
    <n v="0"/>
  </r>
  <r>
    <x v="0"/>
    <x v="645"/>
    <s v="石原澄香"/>
    <s v="agashi@za.ztv.ne.jp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46"/>
    <s v="テスト秋池"/>
    <s v="saori.akiike.jim@gmail.com"/>
    <s v="銀振会員（更新要ｶｸﾆﾝ）6ヶ月"/>
    <s v="2024/04/04 00:00:00"/>
    <m/>
    <s v="銀行振込（ROBOT）"/>
    <n v="114300"/>
    <s v="1"/>
    <x v="0"/>
    <x v="0"/>
    <x v="1"/>
    <x v="0"/>
    <x v="0"/>
    <n v="0"/>
    <n v="0"/>
    <n v="0"/>
    <n v="0"/>
    <n v="0"/>
    <n v="0"/>
    <n v="0"/>
    <n v="0"/>
  </r>
  <r>
    <x v="0"/>
    <x v="647"/>
    <s v="角谷啓太"/>
    <s v="baconjapan@gmail.com"/>
    <s v="Apex年間会員（自動更新）"/>
    <s v="2025/02/02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48"/>
    <s v="平井満晴"/>
    <s v="escamillas@docomo.ne.jp"/>
    <s v="3ヶ月会員（ライト・クレカ自動更新）"/>
    <s v="2024/10/30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649"/>
    <s v="上田公美子"/>
    <s v="hanahana.po@gmail.com"/>
    <s v="6ヶ月会員（ライト・クレカ自動更新）"/>
    <s v="2024/04/11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50"/>
    <s v="澤田又彦"/>
    <s v="youyuan0420@yahoo.co.jp"/>
    <s v="3ヶ月会員（ライト・クレカ自動更新）"/>
    <s v="2023/02/16 00:00:00"/>
    <s v="2025/02/20 00:00:00"/>
    <s v="クレジットカード（ROBOT）"/>
    <n v="59400"/>
    <s v="3"/>
    <x v="2"/>
    <x v="0"/>
    <x v="1"/>
    <x v="0"/>
    <x v="0"/>
    <n v="0"/>
    <n v="0"/>
    <n v="0"/>
    <n v="0"/>
    <n v="0"/>
    <n v="0"/>
    <n v="0"/>
    <n v="0"/>
  </r>
  <r>
    <x v="0"/>
    <x v="651"/>
    <s v="安藤浩二"/>
    <s v="ando913224904@gmail.com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52"/>
    <s v="國崎真"/>
    <s v="kunisaki.cc@gmail.com"/>
    <s v="Apex年間会員（自動更新）"/>
    <s v="2024/08/03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53"/>
    <s v="渡辺敏明"/>
    <s v="tswatana@gmail.com"/>
    <s v="Apex年間会員（自動更新）"/>
    <s v="2024/05/03 00:00:00"/>
    <s v="2025/05/20 00:00:00"/>
    <s v="クレジットカード（ROBOT）"/>
    <n v="113220"/>
    <s v="9"/>
    <x v="0"/>
    <x v="0"/>
    <x v="1"/>
    <x v="3"/>
    <x v="0"/>
    <n v="0"/>
    <n v="0"/>
    <n v="0"/>
    <n v="0"/>
    <n v="0"/>
    <n v="0"/>
    <n v="0"/>
    <n v="0"/>
  </r>
  <r>
    <x v="0"/>
    <x v="654"/>
    <s v="水谷敏彦"/>
    <s v="mzt2-104hk-7hk@coda.ocn.ne.jp"/>
    <s v="Apex年間会員（自動更新）"/>
    <s v="2025/02/02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55"/>
    <s v="内田葉子"/>
    <s v="hakochan@gmail.com"/>
    <s v="Apex年間会員（自動更新）"/>
    <s v="2024/05/14 00:00:00"/>
    <s v="2025/05/20 00:00:00"/>
    <s v="クレジットカード（ROBOT）"/>
    <n v="113220"/>
    <s v="9"/>
    <x v="0"/>
    <x v="0"/>
    <x v="1"/>
    <x v="3"/>
    <x v="0"/>
    <n v="0"/>
    <n v="0"/>
    <n v="0"/>
    <n v="0"/>
    <n v="0"/>
    <n v="0"/>
    <n v="0"/>
    <n v="0"/>
  </r>
  <r>
    <x v="0"/>
    <x v="656"/>
    <s v="岡村吉泰"/>
    <s v="montoyo3012@gmail.com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57"/>
    <s v="川井聡子"/>
    <s v="satosato104@gmail.com"/>
    <s v="Apex年間会員（自動更新）"/>
    <s v="2025/02/02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58"/>
    <s v="小澤範鎮"/>
    <s v="norizou0726@yahoo.co.jp"/>
    <s v="6ヶ月会員（ライト・クレカ自動更新）"/>
    <s v="2024/12/14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59"/>
    <s v="池元俊士"/>
    <s v="ae86apex13@hotmail.com"/>
    <s v="Apex年間会員（自動更新）"/>
    <s v="2024/04/05 00:00:00"/>
    <s v="2025/04/20 00:00:00"/>
    <s v="クレジットカード（ROBOT）"/>
    <n v="113220"/>
    <s v="10"/>
    <x v="0"/>
    <x v="0"/>
    <x v="3"/>
    <x v="0"/>
    <x v="0"/>
    <n v="0"/>
    <n v="0"/>
    <n v="0"/>
    <n v="0"/>
    <n v="0"/>
    <n v="0"/>
    <n v="0"/>
    <n v="0"/>
  </r>
  <r>
    <x v="0"/>
    <x v="660"/>
    <s v="直井由香里"/>
    <s v="wainaoi@yahoo.co.jp"/>
    <s v="6ヶ月会員（ライト・クレカ自動更新）"/>
    <s v="2024/12/09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61"/>
    <s v="諸戸芳雄"/>
    <s v="u36015@i.softbank.jp"/>
    <s v="Apex年間会員（自動更新）"/>
    <s v="2024/04/03 00:00:00"/>
    <s v="2025/04/20 00:00:00"/>
    <s v="クレジットカード（ROBOT）"/>
    <n v="113220"/>
    <s v="10"/>
    <x v="0"/>
    <x v="0"/>
    <x v="3"/>
    <x v="0"/>
    <x v="0"/>
    <n v="0"/>
    <n v="0"/>
    <n v="0"/>
    <n v="0"/>
    <n v="0"/>
    <n v="0"/>
    <n v="0"/>
    <n v="0"/>
  </r>
  <r>
    <x v="0"/>
    <x v="662"/>
    <s v="村上裕一"/>
    <s v="srikych5lg@outlook.jp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63"/>
    <s v="安部明"/>
    <s v="akirasato0927@gmail.com"/>
    <s v="Apex年間会員（自動更新）"/>
    <s v="2024/08/03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64"/>
    <s v="寺田大樹"/>
    <s v="zwu10716@gmail.com"/>
    <s v="Apex年間会員（自動更新）"/>
    <s v="2024/04/02 00:00:00"/>
    <s v="2025/04/20 00:00:00"/>
    <s v="クレジットカード（ROBOT）"/>
    <n v="113220"/>
    <s v="10"/>
    <x v="0"/>
    <x v="0"/>
    <x v="3"/>
    <x v="0"/>
    <x v="0"/>
    <n v="0"/>
    <n v="0"/>
    <n v="0"/>
    <n v="0"/>
    <n v="0"/>
    <n v="0"/>
    <n v="0"/>
    <n v="0"/>
  </r>
  <r>
    <x v="0"/>
    <x v="665"/>
    <s v="光田宏"/>
    <s v="minamoto724@icloud.com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66"/>
    <s v="喜多岡雅典"/>
    <s v="info@kitaokaclinic.jp"/>
    <s v="Apex年間会員（自動更新）"/>
    <s v="2025/01/04 00:00:00"/>
    <s v="2025/12/20 00:00:00"/>
    <s v="クレジットカード（ROBOT）"/>
    <n v="113220"/>
    <s v="2"/>
    <x v="0"/>
    <x v="0"/>
    <x v="1"/>
    <x v="0"/>
    <x v="0"/>
    <n v="0"/>
    <n v="0"/>
    <n v="0"/>
    <n v="0"/>
    <n v="0"/>
    <n v="113220"/>
    <n v="0"/>
    <n v="0"/>
  </r>
  <r>
    <x v="0"/>
    <x v="667"/>
    <s v="辻和子"/>
    <s v="fortuna783kaichan@ezweb.ne.jp"/>
    <s v="Apex年間会員（自動更新）"/>
    <s v="2024/04/05 00:00:00"/>
    <s v="2025/04/20 00:00:00"/>
    <s v="クレジットカード（ROBOT）"/>
    <n v="113220"/>
    <s v="10"/>
    <x v="0"/>
    <x v="0"/>
    <x v="3"/>
    <x v="0"/>
    <x v="0"/>
    <n v="0"/>
    <n v="0"/>
    <n v="0"/>
    <n v="0"/>
    <n v="0"/>
    <n v="0"/>
    <n v="0"/>
    <n v="0"/>
  </r>
  <r>
    <x v="0"/>
    <x v="668"/>
    <s v="元栄慎一郎"/>
    <s v="qqba55bd@oasis.ocn.ne.jp"/>
    <s v="Apex年間会員（自動更新）"/>
    <s v="2024/05/05 00:00:00"/>
    <s v="2025/05/20 00:00:00"/>
    <s v="クレジットカード（ROBOT）"/>
    <n v="113220"/>
    <s v="9"/>
    <x v="0"/>
    <x v="0"/>
    <x v="1"/>
    <x v="3"/>
    <x v="0"/>
    <n v="0"/>
    <n v="0"/>
    <n v="0"/>
    <n v="0"/>
    <n v="0"/>
    <n v="0"/>
    <n v="0"/>
    <n v="0"/>
  </r>
  <r>
    <x v="0"/>
    <x v="669"/>
    <s v="矢吹江里子"/>
    <s v="ybkerk@gmail.com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70"/>
    <s v="高浪英二"/>
    <s v="takanami007731@i.softbank.jp"/>
    <s v="Apex年間会員（自動更新）"/>
    <s v="2024/04/03 00:00:00"/>
    <s v="2025/04/20 00:00:00"/>
    <s v="クレジットカード（ROBOT）"/>
    <n v="113220"/>
    <s v="10"/>
    <x v="0"/>
    <x v="0"/>
    <x v="3"/>
    <x v="0"/>
    <x v="0"/>
    <n v="0"/>
    <n v="0"/>
    <n v="0"/>
    <n v="0"/>
    <n v="0"/>
    <n v="0"/>
    <n v="0"/>
    <n v="0"/>
  </r>
  <r>
    <x v="0"/>
    <x v="671"/>
    <s v="池田祐二"/>
    <s v="juydki@gmail.com"/>
    <s v="Apex年間会員（自動更新）"/>
    <s v="2024/08/20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72"/>
    <s v="大泉聡"/>
    <s v="stv.oizumi@gmail.com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73"/>
    <s v="小宮山実"/>
    <s v="mino.komiyama@gmail.com"/>
    <s v="Apex年間会員（自動更新）"/>
    <s v="2024/08/03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74"/>
    <s v="郷貴代子"/>
    <s v="lilac2701@gmail.com"/>
    <s v="Apex年間会員（自動更新）"/>
    <s v="2024/08/13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75"/>
    <s v="扇和洋"/>
    <s v="okaz876@gmail.com"/>
    <s v="6ヶ月会員（ライト・クレカ自動更新）"/>
    <s v="2024/04/1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76"/>
    <s v="長坂泰光"/>
    <s v="nagayanda@yahoo.co.jp"/>
    <s v="3ヶ月会員（ライト・クレカ自動更新）"/>
    <s v="2024/04/16 00:00:00"/>
    <s v="2025/04/20 00:00:00"/>
    <s v="クレジットカード（ROBOT）"/>
    <n v="59400"/>
    <s v="1"/>
    <x v="0"/>
    <x v="0"/>
    <x v="0"/>
    <x v="0"/>
    <x v="0"/>
    <n v="0"/>
    <n v="0"/>
    <n v="0"/>
    <n v="0"/>
    <n v="0"/>
    <n v="0"/>
    <n v="0"/>
    <n v="0"/>
  </r>
  <r>
    <x v="0"/>
    <x v="677"/>
    <s v="畦地秀幸"/>
    <s v="hidesato571526@yahoo.co.jp"/>
    <s v="Apex年間会員（自動更新）"/>
    <s v="2025/02/03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78"/>
    <s v="太田光博"/>
    <s v="trader3216@yahoo.co.jp"/>
    <s v="Apex年間会員（自動更新）"/>
    <s v="2024/08/02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79"/>
    <s v="渡邉稔久"/>
    <s v="tku05210903@gmail.com"/>
    <s v="Apex年間会員（自動更新）"/>
    <s v="2025/02/02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  <r>
    <x v="0"/>
    <x v="680"/>
    <s v="高橋秀巳"/>
    <s v="hide777keitai@ezweb.ne.jp"/>
    <s v="Apex年間会員（自動更新）"/>
    <s v="2024/08/05 00:00:00"/>
    <s v="2025/08/20 00:00:00"/>
    <s v="クレジットカード（ROBOT）"/>
    <n v="113220"/>
    <s v="6"/>
    <x v="0"/>
    <x v="0"/>
    <x v="1"/>
    <x v="0"/>
    <x v="0"/>
    <n v="0"/>
    <n v="113220"/>
    <n v="0"/>
    <n v="0"/>
    <n v="0"/>
    <n v="0"/>
    <n v="0"/>
    <n v="0"/>
  </r>
  <r>
    <x v="0"/>
    <x v="681"/>
    <s v="西家善明"/>
    <s v="nishiya8@gmail.com"/>
    <s v="3ヶ月会員（ライト・クレカ自動更新）"/>
    <s v="2024/12/19 00:00:00"/>
    <s v="2025/03/20 00:00:00"/>
    <s v="クレジットカード（ROBOT）"/>
    <n v="59400"/>
    <s v="2"/>
    <x v="0"/>
    <x v="1"/>
    <x v="1"/>
    <x v="0"/>
    <x v="0"/>
    <n v="0"/>
    <n v="0"/>
    <n v="0"/>
    <n v="0"/>
    <n v="0"/>
    <n v="0"/>
    <n v="0"/>
    <n v="0"/>
  </r>
  <r>
    <x v="0"/>
    <x v="682"/>
    <s v="黒河内健"/>
    <s v="tkskurokochi@gmail.com"/>
    <s v="Apex年間会員（自動更新）"/>
    <s v="2024/04/13 00:00:00"/>
    <s v="2025/04/20 00:00:00"/>
    <s v="クレジットカード（ROBOT）"/>
    <n v="113220"/>
    <s v="10"/>
    <x v="0"/>
    <x v="0"/>
    <x v="3"/>
    <x v="0"/>
    <x v="0"/>
    <n v="0"/>
    <n v="0"/>
    <n v="0"/>
    <n v="0"/>
    <n v="0"/>
    <n v="0"/>
    <n v="0"/>
    <n v="0"/>
  </r>
  <r>
    <x v="0"/>
    <x v="683"/>
    <s v="伊藤照雄"/>
    <s v="d86u2xfd@i.softbank.jp"/>
    <s v="6ヶ月会員（ライト・クレカ自動更新）"/>
    <s v="2024/04/20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84"/>
    <s v="江川準一"/>
    <s v="egawajunichi1002@gmail.com"/>
    <s v="6ヶ月会員（ライト・クレカ自動更新）"/>
    <s v="2024/04/19 00:00:00"/>
    <s v="2025/04/20 00:00:00"/>
    <s v="クレジットカード（ROBOT）"/>
    <n v="114300"/>
    <s v="4"/>
    <x v="0"/>
    <x v="0"/>
    <x v="2"/>
    <x v="0"/>
    <x v="0"/>
    <n v="0"/>
    <n v="0"/>
    <n v="0"/>
    <n v="0"/>
    <n v="0"/>
    <n v="0"/>
    <n v="0"/>
    <n v="0"/>
  </r>
  <r>
    <x v="0"/>
    <x v="685"/>
    <s v="中村安博"/>
    <s v="naka8344@gmail.com"/>
    <s v="6ヶ月会員（ライト・クレカ自動更新）"/>
    <s v="2023/11/17 00:00:00"/>
    <s v="2025/05/20 00:00:00"/>
    <s v="クレジットカード（ROBOT）"/>
    <n v="114300"/>
    <s v="3"/>
    <x v="0"/>
    <x v="0"/>
    <x v="1"/>
    <x v="1"/>
    <x v="0"/>
    <n v="0"/>
    <n v="0"/>
    <n v="0"/>
    <n v="0"/>
    <n v="0"/>
    <n v="0"/>
    <n v="0"/>
    <n v="0"/>
  </r>
  <r>
    <x v="0"/>
    <x v="686"/>
    <s v="木住野貴嗣"/>
    <s v="takashikishino6387@gmail.com"/>
    <s v="6ヶ月会員（ライト・クレカ自動更新）"/>
    <s v="2024/12/25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87"/>
    <s v="竹尾克之"/>
    <s v="cxk00451@nifty.ne.jp"/>
    <s v="6ヶ月会員（ライト・クレカ自動更新）"/>
    <s v="2024/12/20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88"/>
    <s v="横野智子"/>
    <s v="sumire1231po@outlook.jp"/>
    <s v="6ヶ月会員（ライト・クレカ自動更新）"/>
    <s v="2024/12/16 00:00:00"/>
    <s v="2025/06/20 00:00:00"/>
    <s v="クレジットカード（ROBOT）"/>
    <n v="114300"/>
    <s v="2"/>
    <x v="0"/>
    <x v="0"/>
    <x v="1"/>
    <x v="0"/>
    <x v="1"/>
    <n v="0"/>
    <n v="0"/>
    <n v="0"/>
    <n v="0"/>
    <n v="0"/>
    <n v="0"/>
    <n v="0"/>
    <n v="0"/>
  </r>
  <r>
    <x v="0"/>
    <x v="689"/>
    <s v="中ノ上美恵"/>
    <s v="mee.neko.nyao@gmail.com"/>
    <s v="Apex年間会員（自動更新）"/>
    <s v="2025/02/11 00:00:00"/>
    <s v="2026/02/20 00:00:00"/>
    <s v="クレジットカード（ROBOT）"/>
    <n v="113220"/>
    <s v="1"/>
    <x v="0"/>
    <x v="0"/>
    <x v="1"/>
    <x v="0"/>
    <x v="0"/>
    <n v="0"/>
    <n v="0"/>
    <n v="0"/>
    <n v="0"/>
    <n v="0"/>
    <n v="0"/>
    <n v="0"/>
    <n v="1132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">
  <r>
    <s v="PEAK ONE. LLC[山崎裕久(Mr.K)]"/>
    <s v="C-00075126"/>
    <x v="0"/>
    <s v="yellow.tail@docomo.ne.jp"/>
    <x v="0"/>
    <s v="2025/01/23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947"/>
    <x v="1"/>
    <s v="adgjmptw2001@gmail.com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945"/>
    <x v="2"/>
    <s v="kouandryuu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942"/>
    <x v="3"/>
    <s v="akeboshi06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941"/>
    <x v="4"/>
    <s v="kisss642_ipad@icloud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937"/>
    <x v="5"/>
    <s v="botzehrc@yahoo.co.jp"/>
    <x v="2"/>
    <s v="2024/12/21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934"/>
    <x v="6"/>
    <s v="meru01312001@yahoo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931"/>
    <x v="7"/>
    <s v="nor.ism@icloud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928"/>
    <x v="8"/>
    <s v="yoshimoo732507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922"/>
    <x v="9"/>
    <s v="toshi.hit.u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916"/>
    <x v="10"/>
    <s v="kkdental1122@gmail.com"/>
    <x v="3"/>
    <s v="2024/12/23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914"/>
    <x v="11"/>
    <s v="jl3sik@gmail.com"/>
    <x v="1"/>
    <s v="2025/01/12 00:00:00"/>
    <s v="2025/07/20 00:00:00"/>
    <s v="クレジットカード（ROBOT）"/>
    <n v="114300"/>
    <s v="1"/>
    <n v="0"/>
    <n v="0"/>
    <n v="0"/>
    <n v="0"/>
    <n v="0"/>
    <n v="114300"/>
    <n v="0"/>
    <n v="0"/>
    <n v="0"/>
    <n v="0"/>
    <n v="0"/>
    <n v="0"/>
    <n v="0"/>
    <n v="6"/>
    <x v="0"/>
    <x v="0"/>
    <x v="1"/>
    <x v="1"/>
    <x v="1"/>
    <x v="1"/>
    <x v="1"/>
    <x v="1"/>
    <x v="1"/>
    <n v="19050"/>
    <n v="19050"/>
    <m/>
    <m/>
    <m/>
    <m/>
    <m/>
    <m/>
    <m/>
    <m/>
    <m/>
    <m/>
    <m/>
    <m/>
    <m/>
    <n v="6"/>
    <b v="1"/>
    <n v="114300"/>
    <b v="1"/>
  </r>
  <r>
    <s v="PEAK ONE. LLC[山崎裕久(Mr.K)]"/>
    <s v="C-00074903"/>
    <x v="12"/>
    <s v="misanino2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901"/>
    <x v="13"/>
    <s v="Wa87253iop@yahoo.co.jp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97"/>
    <x v="14"/>
    <s v="yamanoimo2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92"/>
    <x v="15"/>
    <s v="volken3535@i.softbank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91"/>
    <x v="16"/>
    <s v="sabu.miyabi.no@gmail.com"/>
    <x v="0"/>
    <s v="2024/12/2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889"/>
    <x v="17"/>
    <s v="yoi@yahoo.co.jp"/>
    <x v="2"/>
    <s v="2024/12/20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88"/>
    <x v="18"/>
    <s v="tsu.honme@gmail.com"/>
    <x v="3"/>
    <s v="2024/12/16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887"/>
    <x v="19"/>
    <s v="taka.dan.2709.dragon@gmail.com"/>
    <x v="0"/>
    <s v="2024/12/2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885"/>
    <x v="20"/>
    <s v="mcm1801qlo1746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81"/>
    <x v="21"/>
    <s v="akiebaba@ybb.ne.jp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76"/>
    <x v="22"/>
    <s v="ha_sekai@yahoo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870"/>
    <x v="23"/>
    <s v="arms2678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63"/>
    <x v="24"/>
    <s v="sakusaku7ks@outlook.jp"/>
    <x v="2"/>
    <s v="2024/12/16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59"/>
    <x v="25"/>
    <s v="shindou19900120@yahoo.co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55"/>
    <x v="26"/>
    <s v="shunsukeonoki@gmail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54"/>
    <x v="27"/>
    <s v="nariyvki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51"/>
    <x v="28"/>
    <s v="takahiro_a_3_9@hotmail.com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43"/>
    <x v="29"/>
    <s v="sin.g0jig0ji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42"/>
    <x v="30"/>
    <s v="vw.16890827@gmail.com"/>
    <x v="1"/>
    <s v="2024/12/1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41"/>
    <x v="31"/>
    <s v="rumraisin422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38"/>
    <x v="32"/>
    <s v="supi2016nz@yahoo.co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31"/>
    <x v="33"/>
    <s v="kita1976.com@g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30"/>
    <x v="34"/>
    <s v="ririmaru.0406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24"/>
    <x v="35"/>
    <s v="kk2010@zeus.eonet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23"/>
    <x v="36"/>
    <s v="sound.on.328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16"/>
    <x v="37"/>
    <s v="tanaka140.85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14"/>
    <x v="38"/>
    <s v="yujis39omy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11"/>
    <x v="39"/>
    <s v="sawasiganay@gmail.com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10"/>
    <x v="40"/>
    <s v="skoosuke5@yahoo.co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06"/>
    <x v="41"/>
    <s v="magami.naoki@takenaka.cn"/>
    <x v="0"/>
    <s v="2024/12/1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803"/>
    <x v="42"/>
    <s v="purple_yellow007-shop10@yahoo.co.jp"/>
    <x v="1"/>
    <s v="2024/12/15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01"/>
    <x v="43"/>
    <s v="necc1234-ver1@yahoo.co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800"/>
    <x v="44"/>
    <s v="tawaras@mug.biglobe.ne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93"/>
    <x v="45"/>
    <s v="noriko47kimura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82"/>
    <x v="46"/>
    <s v="oak4621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77"/>
    <x v="47"/>
    <s v="bikinokobuta0921@yahoo.co.jp"/>
    <x v="0"/>
    <s v="2024/12/0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76"/>
    <x v="48"/>
    <s v="chihiro_f83@yahoo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73"/>
    <x v="49"/>
    <s v="ootoshiya@yahoo.co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70"/>
    <x v="50"/>
    <s v="sonomasa1113@gmail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68"/>
    <x v="51"/>
    <s v="fam.hirokikusakabe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66"/>
    <x v="52"/>
    <s v="shimizu.cleartrade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65"/>
    <x v="53"/>
    <s v="health_beauty_cool_wing@yahoo.co.jp"/>
    <x v="1"/>
    <s v="2024/12/15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59"/>
    <x v="54"/>
    <s v="okamoto900@hotmail.com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58"/>
    <x v="55"/>
    <s v="masemateka939@gmail.com"/>
    <x v="0"/>
    <s v="2024/12/08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57"/>
    <x v="56"/>
    <s v="noboru-takahashi@ezweb.ne.jp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55"/>
    <x v="57"/>
    <s v="hirano4141@g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51"/>
    <x v="58"/>
    <s v="investmentfrom40@gmail.com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50"/>
    <x v="59"/>
    <s v="istan8@gmail.com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49"/>
    <x v="60"/>
    <s v="sayakoa24@yahoo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48"/>
    <x v="61"/>
    <s v="asanohide@me.com"/>
    <x v="0"/>
    <s v="2024/12/1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46"/>
    <x v="62"/>
    <s v="mizorogimimi@gmail.com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45"/>
    <x v="63"/>
    <s v="kazuuka920@kdt.biglobe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43"/>
    <x v="64"/>
    <s v="hikari82172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42"/>
    <x v="65"/>
    <s v="bruno1002@outlook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38"/>
    <x v="66"/>
    <s v="teamcrystal@yahoo.co.jp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37"/>
    <x v="67"/>
    <s v="nidasky.sol8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36"/>
    <x v="68"/>
    <s v="nyoichi_2468@yahoo.co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31"/>
    <x v="69"/>
    <s v="takashi_tozuka@hot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23"/>
    <x v="70"/>
    <s v="ryugukaihatsu@gmail.com"/>
    <x v="2"/>
    <s v="2024/12/23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21"/>
    <x v="71"/>
    <s v="onokayou@yahoo.co.jp"/>
    <x v="2"/>
    <s v="2024/12/13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20"/>
    <x v="72"/>
    <s v="chuuz123daa@gmail.com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718"/>
    <x v="73"/>
    <s v="nono4n5@gmail.com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709"/>
    <x v="74"/>
    <s v="akomasumoto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96"/>
    <x v="75"/>
    <s v="ks1964326@docomo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95"/>
    <x v="76"/>
    <s v="dorasa1515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86"/>
    <x v="77"/>
    <s v="fumio.kurata@gmail.com"/>
    <x v="1"/>
    <s v="2024/12/1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82"/>
    <x v="78"/>
    <s v="asakki.rurutyi.800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79"/>
    <x v="79"/>
    <s v="hiroki.hagiwara6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58"/>
    <x v="80"/>
    <s v="tf09072700137@docomo.ne.jp"/>
    <x v="2"/>
    <s v="2024/12/0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50"/>
    <x v="81"/>
    <s v="submarine507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47"/>
    <x v="82"/>
    <s v="dec312021@bb.banban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43"/>
    <x v="83"/>
    <s v="kohaku.sinjiro@icloud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42"/>
    <x v="84"/>
    <s v="nfr3141@me.pikara.ne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37"/>
    <x v="85"/>
    <s v="koto123sakuya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35"/>
    <x v="86"/>
    <s v="y.p.fantasy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30"/>
    <x v="87"/>
    <s v="hirokatsu4312@keb.biglobe.ne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29"/>
    <x v="88"/>
    <s v="nishizakinobuhiko@yahoo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25"/>
    <x v="89"/>
    <s v="goshu0626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24"/>
    <x v="90"/>
    <s v="gckpy178@yahoo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17"/>
    <x v="91"/>
    <s v="yiu19050@gmail.com"/>
    <x v="2"/>
    <s v="2024/12/08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13"/>
    <x v="92"/>
    <s v="kshimada958i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05"/>
    <x v="93"/>
    <s v="happyhitomi6078@gmail.com"/>
    <x v="1"/>
    <s v="2024/12/14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04"/>
    <x v="94"/>
    <s v="yamanaka.shinichi@maroon.plala.or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02"/>
    <x v="95"/>
    <s v="bote369ron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01"/>
    <x v="96"/>
    <s v="yori_o@icloud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600"/>
    <x v="97"/>
    <s v="tibikayo1.2.3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99"/>
    <x v="98"/>
    <s v="mmspcbmn@g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95"/>
    <x v="99"/>
    <s v="nakamegu1111@yahoo.co.jp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94"/>
    <x v="100"/>
    <s v="chiokada@nifty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92"/>
    <x v="101"/>
    <s v="akd.femc.kog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89"/>
    <x v="102"/>
    <s v="yuji02061984a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84"/>
    <x v="103"/>
    <s v="kensuke_s77@yahoo.co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80"/>
    <x v="104"/>
    <s v="yshibata1980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77"/>
    <x v="105"/>
    <s v="machao46@gmail.com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76"/>
    <x v="106"/>
    <s v="amachitapo@yahoo.co.jp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74"/>
    <x v="107"/>
    <s v="aakitinn@ezweb.ne.jp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573"/>
    <x v="108"/>
    <s v="nocchi.drum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495"/>
    <x v="109"/>
    <s v="ym09057021053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373"/>
    <x v="110"/>
    <s v="ihsekatamayakat@gmail.com"/>
    <x v="0"/>
    <s v="2024/12/1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4330"/>
    <x v="111"/>
    <s v="cannibal0729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4171"/>
    <x v="112"/>
    <s v="hara373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2712"/>
    <x v="113"/>
    <s v="blueryukyu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2328"/>
    <x v="114"/>
    <s v="kyokosatokyo3@icloud.com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72076"/>
    <x v="115"/>
    <s v="x09099991225@i.softbank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1581"/>
    <x v="116"/>
    <s v="daigoro-08@hotmail.co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1021"/>
    <x v="117"/>
    <s v="yama141421356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0967"/>
    <x v="118"/>
    <s v="kazuya.minamioka@gmail.com"/>
    <x v="2"/>
    <s v="2024/12/0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70808"/>
    <x v="119"/>
    <s v="tomotomo757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880"/>
    <x v="120"/>
    <s v="t-valley0616@outlook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855"/>
    <x v="121"/>
    <s v="krtkenji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584"/>
    <x v="122"/>
    <s v="yoko563127t@g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350"/>
    <x v="123"/>
    <s v="ryuu@ha-s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290"/>
    <x v="124"/>
    <s v="tsuji07052674618@gmail.com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177"/>
    <x v="125"/>
    <s v="moya095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167"/>
    <x v="126"/>
    <s v="rv0049vr@kankyousystem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128"/>
    <x v="127"/>
    <s v="takatori.1963@gmail.com"/>
    <x v="2"/>
    <s v="2024/12/15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9026"/>
    <x v="128"/>
    <s v="109moto.7oto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750"/>
    <x v="129"/>
    <s v="yutaway@icloud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730"/>
    <x v="130"/>
    <s v="hirono1127@yahoo.co.jp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683"/>
    <x v="131"/>
    <s v="h.kyo371770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632"/>
    <x v="132"/>
    <s v="kobonta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624"/>
    <x v="133"/>
    <s v="mas_wasa@yahoo.co.jp"/>
    <x v="2"/>
    <s v="2024/12/06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620"/>
    <x v="134"/>
    <s v="y.h.chikyugi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609"/>
    <x v="135"/>
    <s v="katkoichi5123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599"/>
    <x v="136"/>
    <s v="syari098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567"/>
    <x v="137"/>
    <s v="snsktdln6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486"/>
    <x v="138"/>
    <s v="blair.waldorf.meester9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83"/>
    <x v="139"/>
    <s v="khsk1228@gmail.com"/>
    <x v="0"/>
    <s v="2024/12/14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82"/>
    <x v="140"/>
    <s v="mr.gocci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81"/>
    <x v="141"/>
    <s v="min2.no.green@gmail.com"/>
    <x v="0"/>
    <s v="2025/01/23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80"/>
    <x v="142"/>
    <s v="kb24.lom@gmail.com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78"/>
    <x v="143"/>
    <s v="botamoti2koiri@hot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77"/>
    <x v="144"/>
    <s v="naritamotomoto1980@gmail.com"/>
    <x v="3"/>
    <s v="2024/12/23 00:00:00"/>
    <s v="2025/04/20 00:00:00"/>
    <s v="銀行振込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75"/>
    <x v="145"/>
    <s v="gtr6475@gmail.com"/>
    <x v="1"/>
    <s v="2024/12/1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64"/>
    <x v="146"/>
    <s v="astraealibra.13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63"/>
    <x v="147"/>
    <s v="tomohiro.ono.prv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55"/>
    <x v="148"/>
    <s v="zyakenn46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51"/>
    <x v="149"/>
    <s v="mayumi171727ab@softbank.ne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49"/>
    <x v="150"/>
    <s v="sugaport@gmail.com"/>
    <x v="1"/>
    <s v="2024/12/14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46"/>
    <x v="151"/>
    <s v="jiritzu30@yahoo.co.jp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44"/>
    <x v="152"/>
    <s v="mini3633.mm@gmail.com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41"/>
    <x v="153"/>
    <s v="nishino.vov.masataka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39"/>
    <x v="154"/>
    <s v="symg14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36"/>
    <x v="155"/>
    <s v="ttrex0073-kabu@yahoo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34"/>
    <x v="156"/>
    <s v="winner200706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32"/>
    <x v="157"/>
    <s v="brave.man0021@gmail.com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30"/>
    <x v="158"/>
    <s v="masakazusaito94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27"/>
    <x v="159"/>
    <s v="yuheisekigane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26"/>
    <x v="160"/>
    <s v="piano_kudo@yahoo.co.jp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25"/>
    <x v="161"/>
    <s v="musselwatch@icloud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22"/>
    <x v="162"/>
    <s v="tamisuke1130@gmail.com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18"/>
    <x v="163"/>
    <s v="cpcyv202@hct.zaq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17"/>
    <x v="164"/>
    <s v="n-hashimoto@gokoh.co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16"/>
    <x v="165"/>
    <s v="woodyshell2fm@yahoo.ne.jp"/>
    <x v="3"/>
    <s v="2024/12/22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14"/>
    <x v="166"/>
    <s v="takako0304ab@gmail.com"/>
    <x v="1"/>
    <s v="2024/12/15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312"/>
    <x v="167"/>
    <s v="cranky.condorer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11"/>
    <x v="168"/>
    <s v="nitta1123a@gmail.com"/>
    <x v="0"/>
    <s v="2025/01/22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05"/>
    <x v="169"/>
    <s v="millionddog@gmail.com"/>
    <x v="0"/>
    <s v="2024/12/10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302"/>
    <x v="170"/>
    <s v="ryuga572@yahoo.co.jp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95"/>
    <x v="171"/>
    <s v="o.i.stone96@gmail.com"/>
    <x v="0"/>
    <s v="2024/12/1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87"/>
    <x v="172"/>
    <s v="raimu3812@gmail.com"/>
    <x v="0"/>
    <s v="2024/12/1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85"/>
    <x v="173"/>
    <s v="hkkbys@gmail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79"/>
    <x v="174"/>
    <s v="marutyan@zeus.eonet.ne.jp"/>
    <x v="2"/>
    <s v="2024/12/19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77"/>
    <x v="175"/>
    <s v="11uchiuchi22@gmail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75"/>
    <x v="176"/>
    <s v="xpart77@gmail.com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74"/>
    <x v="177"/>
    <s v="pondupon2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73"/>
    <x v="178"/>
    <s v="tiichinose@g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72"/>
    <x v="179"/>
    <s v="heart_beats_831@yahoo.co.jp"/>
    <x v="3"/>
    <s v="2024/12/16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71"/>
    <x v="180"/>
    <s v="suma0403@icloud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64"/>
    <x v="181"/>
    <s v="mizue.222426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63"/>
    <x v="182"/>
    <s v="hiroichi_23-hiroichi_23@docomo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60"/>
    <x v="183"/>
    <s v="to117yu1114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49"/>
    <x v="184"/>
    <s v="tryo19881106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45"/>
    <x v="185"/>
    <s v="khotter817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41"/>
    <x v="186"/>
    <s v="suteys2018@gmail.com"/>
    <x v="0"/>
    <s v="2024/12/0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28"/>
    <x v="187"/>
    <s v="pxk06015@nifty.com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18"/>
    <x v="188"/>
    <s v="ys19877235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16"/>
    <x v="189"/>
    <s v="uujitan.moja22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14"/>
    <x v="190"/>
    <s v="takezaemon@gmail.com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13"/>
    <x v="191"/>
    <s v="dodge45durango@gmail.com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10"/>
    <x v="192"/>
    <s v="racco0830@gmail.com"/>
    <x v="0"/>
    <s v="2024/12/08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208"/>
    <x v="193"/>
    <s v="s02@hamaden.org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201"/>
    <x v="194"/>
    <s v="kazu.1116.ain@gmail.com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99"/>
    <x v="195"/>
    <s v="yueliang_lunasea-bull@yahoo.co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97"/>
    <x v="196"/>
    <s v="bndwt249@yahoo.co.jp"/>
    <x v="0"/>
    <s v="2024/12/18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90"/>
    <x v="197"/>
    <s v="viajero306@gmail.com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89"/>
    <x v="198"/>
    <s v="btyjw161@yahoo.co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88"/>
    <x v="199"/>
    <s v="choppaxa@yahoo.co.jp"/>
    <x v="0"/>
    <s v="2024/12/1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85"/>
    <x v="200"/>
    <s v="kg_itiban@hotmail.com"/>
    <x v="0"/>
    <s v="2024/12/1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84"/>
    <x v="201"/>
    <s v="syakuretoniwatori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82"/>
    <x v="202"/>
    <s v="earl-grey@kxf.biglobe.ne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81"/>
    <x v="203"/>
    <s v="sss@myboom.jp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80"/>
    <x v="204"/>
    <s v="sy0216maru@ezweb.ne.jp"/>
    <x v="3"/>
    <s v="2024/12/21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79"/>
    <x v="205"/>
    <s v="bicky0805@gmail.com"/>
    <x v="0"/>
    <s v="2024/12/14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77"/>
    <x v="206"/>
    <s v="tomotaku220611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64"/>
    <x v="207"/>
    <s v="takahiro31@me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60"/>
    <x v="208"/>
    <s v="yukko.okd18@outlook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55"/>
    <x v="209"/>
    <s v="mail8253ac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49"/>
    <x v="210"/>
    <s v="yusuke06102255@icloud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47"/>
    <x v="211"/>
    <s v="hiroshi.suzuki4243@jcom.zaq.ne.jp"/>
    <x v="1"/>
    <s v="2024/12/1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43"/>
    <x v="212"/>
    <s v="nsppzufx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37"/>
    <x v="213"/>
    <s v="nishio.private@gmail.com"/>
    <x v="0"/>
    <s v="2025/01/23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31"/>
    <x v="214"/>
    <s v="sakahide2123@gmail.com"/>
    <x v="1"/>
    <s v="2024/12/15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29"/>
    <x v="215"/>
    <s v="0084mai0620@gmail.com"/>
    <x v="1"/>
    <s v="2024/12/1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28"/>
    <x v="216"/>
    <s v="yoshi.kumakura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27"/>
    <x v="217"/>
    <s v="nobu-is-dora@docomo.ne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19"/>
    <x v="218"/>
    <s v="yukio1958123@yahoo.ne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17"/>
    <x v="219"/>
    <s v="kikko.3304.fk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114"/>
    <x v="220"/>
    <s v="y9626285@gmail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04"/>
    <x v="221"/>
    <s v="take_oga@hot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01"/>
    <x v="222"/>
    <s v="nisanichi8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100"/>
    <x v="223"/>
    <s v="truecomu@yahoo.co.jp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096"/>
    <x v="224"/>
    <s v="masa.holly.masa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92"/>
    <x v="225"/>
    <s v="live.camera00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91"/>
    <x v="226"/>
    <s v="mabisan@gmail.com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87"/>
    <x v="227"/>
    <s v="kuroneko-lala@outlook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85"/>
    <x v="228"/>
    <s v="y.madarame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81"/>
    <x v="229"/>
    <s v="yuu3103mj73@gmail.com"/>
    <x v="0"/>
    <s v="2024/12/15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079"/>
    <x v="230"/>
    <s v="shohei@kk.iij4u.or.jp"/>
    <x v="1"/>
    <s v="2024/07/20 00:00:00"/>
    <s v="2025/07/20 00:00:00"/>
    <s v="クレジットカード（ROBOT）"/>
    <n v="114300"/>
    <s v="1"/>
    <n v="0"/>
    <n v="0"/>
    <n v="0"/>
    <n v="0"/>
    <n v="0"/>
    <n v="114300"/>
    <n v="0"/>
    <n v="0"/>
    <n v="0"/>
    <n v="0"/>
    <n v="0"/>
    <n v="0"/>
    <n v="0"/>
    <n v="6"/>
    <x v="0"/>
    <x v="0"/>
    <x v="1"/>
    <x v="1"/>
    <x v="1"/>
    <x v="1"/>
    <x v="1"/>
    <x v="1"/>
    <x v="1"/>
    <n v="19050"/>
    <n v="19050"/>
    <m/>
    <m/>
    <m/>
    <m/>
    <m/>
    <m/>
    <m/>
    <m/>
    <m/>
    <m/>
    <m/>
    <m/>
    <m/>
    <n v="6"/>
    <b v="1"/>
    <n v="114300"/>
    <b v="1"/>
  </r>
  <r>
    <s v="PEAK ONE. LLC[山崎裕久(Mr.K)]"/>
    <s v="C-00068072"/>
    <x v="231"/>
    <s v="haiji7234a@gmail.com"/>
    <x v="2"/>
    <s v="2024/12/0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70"/>
    <x v="232"/>
    <s v="muraba8624@yahoo.co.jp"/>
    <x v="1"/>
    <s v="2024/12/1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57"/>
    <x v="233"/>
    <s v="mb27wu73ml@kcn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53"/>
    <x v="234"/>
    <s v="naoko09210609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49"/>
    <x v="235"/>
    <s v="yudaitakeuchi731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47"/>
    <x v="236"/>
    <s v="kasao.vvv.ason@lime.ocn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46"/>
    <x v="237"/>
    <s v="mi616yu2003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40"/>
    <x v="238"/>
    <s v="saisaisa235@gmail.com"/>
    <x v="3"/>
    <s v="2024/12/20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038"/>
    <x v="239"/>
    <s v="takasis@gmail.com"/>
    <x v="0"/>
    <s v="2024/12/1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034"/>
    <x v="240"/>
    <s v="0088mtec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31"/>
    <x v="241"/>
    <s v="fwtdn758@yahoo.co.jp"/>
    <x v="0"/>
    <s v="2024/12/10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8029"/>
    <x v="242"/>
    <s v="hiiro8342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26"/>
    <x v="243"/>
    <s v="ebas19670609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24"/>
    <x v="244"/>
    <s v="chinchilla0302@yahoo.co.jp"/>
    <x v="2"/>
    <s v="2024/12/09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8015"/>
    <x v="245"/>
    <s v="joeyuji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927"/>
    <x v="246"/>
    <s v="aquapendente7149@dc4.so-net.ne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836"/>
    <x v="247"/>
    <s v="x-net@y01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833"/>
    <x v="248"/>
    <s v="kariso4811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810"/>
    <x v="249"/>
    <s v="hideki.nakakura1228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798"/>
    <x v="250"/>
    <s v="ko.tateno@yot-inc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773"/>
    <x v="251"/>
    <s v="rutsuhuit3750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7243"/>
    <x v="252"/>
    <s v="kaz.fujimoto18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6789"/>
    <x v="253"/>
    <s v="yasuki9will@gmail.com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6743"/>
    <x v="254"/>
    <s v="ptamaki6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6116"/>
    <x v="255"/>
    <s v="ajarsenals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6077"/>
    <x v="256"/>
    <s v="hoh.12.kok.08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5938"/>
    <x v="257"/>
    <s v="masa0410g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5608"/>
    <x v="258"/>
    <s v="nahoko.matsumori@gmail.com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5140"/>
    <x v="259"/>
    <s v="dabasama@yahoo.co.jp"/>
    <x v="0"/>
    <s v="2024/12/1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4514"/>
    <x v="260"/>
    <s v="mikayofeliz@i.softbank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4485"/>
    <x v="261"/>
    <s v="gocuuuuuu@gmail.com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3837"/>
    <x v="262"/>
    <s v="shin.g1200t.bm@gmail.com"/>
    <x v="3"/>
    <s v="2024/12/26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3532"/>
    <x v="263"/>
    <s v="naramoto007@yahoo.co.jp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2930"/>
    <x v="264"/>
    <s v="r-t.11-24.reliance@ezweb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2193"/>
    <x v="265"/>
    <s v="chappy4680@yahoo.co.jp"/>
    <x v="0"/>
    <s v="2024/12/10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2157"/>
    <x v="266"/>
    <s v="yubon-bon-bon.385170y@ezweb.ne.jp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945"/>
    <x v="267"/>
    <s v="nakaoka_yoshie@icloud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924"/>
    <x v="268"/>
    <s v="cycedelica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733"/>
    <x v="269"/>
    <s v="yohei.kondo.biz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60320"/>
    <x v="270"/>
    <s v="rin53kanichi5@yahoo.co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69"/>
    <x v="271"/>
    <s v="m.f.0913_777@docomo.ne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68"/>
    <x v="272"/>
    <s v="a2ce3105e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54"/>
    <x v="273"/>
    <s v="happy.yumpaka@gmail.com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52"/>
    <x v="274"/>
    <s v="b_rain8@hot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44"/>
    <x v="275"/>
    <s v="k_sakaguchi2000jp@yahoo.co.jp"/>
    <x v="0"/>
    <s v="2024/12/0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0240"/>
    <x v="276"/>
    <s v="yote@gaia.eonet.ne.jp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29"/>
    <x v="277"/>
    <s v="perceivex1@gmail.com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26"/>
    <x v="278"/>
    <s v="hirofumi.nagoya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24"/>
    <x v="279"/>
    <s v="kykyky3r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17"/>
    <x v="280"/>
    <s v="seminamrk350@gmail.com"/>
    <x v="2"/>
    <s v="2024/12/1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07"/>
    <x v="281"/>
    <s v="yoshi0609216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202"/>
    <x v="282"/>
    <s v="f.toshikazu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199"/>
    <x v="283"/>
    <s v="yuya.nagai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196"/>
    <x v="284"/>
    <s v="cozyplace.a.m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60189"/>
    <x v="285"/>
    <s v="kjoden327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60187"/>
    <x v="286"/>
    <s v="numberboygirl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60095"/>
    <x v="287"/>
    <s v="kojispa26@gmail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9784"/>
    <x v="288"/>
    <s v="hgamo9500162@gmail.com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9767"/>
    <x v="289"/>
    <s v="pippikup_227@yahoo.co.jp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9717"/>
    <x v="290"/>
    <s v="nobumu-0325@outlook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9602"/>
    <x v="291"/>
    <s v="yoshiten729@gmail.com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8278"/>
    <x v="292"/>
    <s v="yoshi-78@kyj.biglobe.ne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8036"/>
    <x v="293"/>
    <s v="dfwhy595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666"/>
    <x v="294"/>
    <s v="maino124614@gmail.com"/>
    <x v="0"/>
    <s v="2024/12/0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7616"/>
    <x v="295"/>
    <s v="explorer4455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534"/>
    <x v="296"/>
    <s v="yasuyasu335@yahoo.co.jp"/>
    <x v="0"/>
    <s v="2024/12/1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7224"/>
    <x v="297"/>
    <s v="wkyj.fulfill.hope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132"/>
    <x v="298"/>
    <s v="wtrm_shorinji@yahoo.co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129"/>
    <x v="299"/>
    <s v="kohei00032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124"/>
    <x v="300"/>
    <s v="konto555@khh.biglobe.ne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107"/>
    <x v="301"/>
    <s v="dandan.ukiuki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094"/>
    <x v="302"/>
    <s v="noritanaki34ab@outlook.jp"/>
    <x v="1"/>
    <s v="2024/12/14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089"/>
    <x v="303"/>
    <s v="mikkabimikan2005ko@yahoo.co.jp"/>
    <x v="2"/>
    <s v="2024/12/15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068"/>
    <x v="304"/>
    <s v="furukameda@icloud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7017"/>
    <x v="305"/>
    <s v="naomi5778.ikeuchi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985"/>
    <x v="306"/>
    <s v="mshrkt55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950"/>
    <x v="307"/>
    <s v="cadv7081@yahoo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6719"/>
    <x v="308"/>
    <s v="0345.y.i@gmail.com"/>
    <x v="2"/>
    <s v="2024/12/23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711"/>
    <x v="309"/>
    <s v="miracle.non424@gmail.com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668"/>
    <x v="310"/>
    <s v="jikerahako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561"/>
    <x v="311"/>
    <s v="shinzo.matsubara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549"/>
    <x v="312"/>
    <s v="gracesh3895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6344"/>
    <x v="313"/>
    <s v="otomodachi64@yahoo.co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317"/>
    <x v="314"/>
    <s v="takemu.0056@gmail.com"/>
    <x v="2"/>
    <s v="2024/12/0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175"/>
    <x v="315"/>
    <s v="hideo.fukai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6155"/>
    <x v="316"/>
    <s v="msyk_77@yahoo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152"/>
    <x v="317"/>
    <s v="wwwpoiwww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127"/>
    <x v="318"/>
    <s v="jichikaikyouiku@gmail.com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6069"/>
    <x v="319"/>
    <s v="haba051603181214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972"/>
    <x v="320"/>
    <s v="kawanishi-george21@ezweb.ne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891"/>
    <x v="321"/>
    <s v="kunihiro_kawase@kplas.co.jp"/>
    <x v="0"/>
    <s v="2024/12/2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5807"/>
    <x v="322"/>
    <s v="isa.gogogolf10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672"/>
    <x v="323"/>
    <s v="hibinomasakazu1991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529"/>
    <x v="324"/>
    <s v="forged660@gmail.com"/>
    <x v="1"/>
    <s v="2024/12/14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454"/>
    <x v="325"/>
    <s v="boraborabora0209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441"/>
    <x v="326"/>
    <s v="gutentag1234@yahoo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437"/>
    <x v="327"/>
    <s v="mtaka0114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426"/>
    <x v="328"/>
    <s v="sanwatanaka3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413"/>
    <x v="329"/>
    <s v="kekeke.h@icloud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398"/>
    <x v="330"/>
    <s v="kazukikuroiwa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345"/>
    <x v="331"/>
    <s v="monstera.a4@gmail.com"/>
    <x v="1"/>
    <s v="2024/12/2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312"/>
    <x v="332"/>
    <s v="yuto.withnaru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5309"/>
    <x v="333"/>
    <s v="stella21r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303"/>
    <x v="334"/>
    <s v="monkeyjanjan@yahoo.co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293"/>
    <x v="335"/>
    <s v="zakuro.m.0396@gmail.com"/>
    <x v="0"/>
    <s v="2024/12/2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5283"/>
    <x v="336"/>
    <s v="kirakira.life222@gmail.com"/>
    <x v="0"/>
    <s v="2024/12/1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5260"/>
    <x v="337"/>
    <s v="t7s10m11s18r11k3y21m@softbank.ne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223"/>
    <x v="338"/>
    <s v="taketeko@hotmail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209"/>
    <x v="339"/>
    <s v="tomo216216@hot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119"/>
    <x v="340"/>
    <s v="nk.mona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5115"/>
    <x v="341"/>
    <s v="ex.udagawa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5062"/>
    <x v="342"/>
    <s v="yui_mamechan@yahoo.co.jp"/>
    <x v="0"/>
    <s v="2024/12/18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5053"/>
    <x v="343"/>
    <s v="nobunari@par.odn.ne.jp"/>
    <x v="0"/>
    <s v="2024/12/1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972"/>
    <x v="344"/>
    <s v="ka3ta2ryota@gmail.com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954"/>
    <x v="345"/>
    <s v="drgkmry11@gmail.com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880"/>
    <x v="346"/>
    <s v="hirosita707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877"/>
    <x v="347"/>
    <s v="kerotan0314@yahoo.co.jp"/>
    <x v="0"/>
    <s v="2024/12/0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867"/>
    <x v="348"/>
    <s v="isaotsuji1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793"/>
    <x v="349"/>
    <s v="kz3728yt@yahoo.co.jp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653"/>
    <x v="350"/>
    <s v="mt.kim-7146@docomo.ne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614"/>
    <x v="351"/>
    <s v="orobanche.minor.29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481"/>
    <x v="352"/>
    <s v="asadaterry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174"/>
    <x v="353"/>
    <s v="liar.aa1490@ezweb.ne.jp"/>
    <x v="2"/>
    <s v="2024/10/13 00:00:00"/>
    <s v="2025/04/20 00:00:00"/>
    <s v="銀行振込（ROBOT）"/>
    <n v="114300"/>
    <s v="1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57"/>
    <x v="354"/>
    <s v="yuuchigaki@gmail.com"/>
    <x v="1"/>
    <s v="2024/12/03 00:00:00"/>
    <s v="2025/05/20 00:00:00"/>
    <s v="クレジットカード（ROBOT）"/>
    <n v="114300"/>
    <s v="2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56"/>
    <x v="355"/>
    <s v="jj1105b@gmail.com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155"/>
    <x v="356"/>
    <s v="f1shoot@gmail.com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54"/>
    <x v="357"/>
    <s v="yukashichida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50"/>
    <x v="358"/>
    <s v="taizoumiyasaka@gmail.com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47"/>
    <x v="359"/>
    <s v="junko0317dianne@i.softbank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139"/>
    <x v="360"/>
    <s v="lmn7899@yahoo.co.jp"/>
    <x v="0"/>
    <s v="2024/12/2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138"/>
    <x v="361"/>
    <s v="masaki3646@icloud.com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37"/>
    <x v="362"/>
    <s v="arl.lune.1230@gmail.com"/>
    <x v="1"/>
    <s v="2024/04/16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30"/>
    <x v="363"/>
    <s v="ryoko.nemo@gmail.com"/>
    <x v="1"/>
    <s v="2024/04/17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28"/>
    <x v="364"/>
    <s v="j.hitaka10@gmail.com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117"/>
    <x v="365"/>
    <s v="hiiko3035@gmail.com"/>
    <x v="1"/>
    <s v="2024/06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4114"/>
    <x v="366"/>
    <s v="okok117117@yahoo.co.jp"/>
    <x v="0"/>
    <s v="2024/04/18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112"/>
    <x v="367"/>
    <s v="h.aokioffice@tenor.ocn.ne.jp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10"/>
    <x v="368"/>
    <s v="miki@triforce3.com"/>
    <x v="0"/>
    <s v="2024/04/22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109"/>
    <x v="369"/>
    <s v="muraki@niigata-shiryo.co.jp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06"/>
    <x v="370"/>
    <s v="painapo718na00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05"/>
    <x v="371"/>
    <s v="mail.magara@mac.com"/>
    <x v="1"/>
    <s v="2024/10/3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100"/>
    <x v="372"/>
    <s v="riohiro@nifty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97"/>
    <x v="373"/>
    <s v="first1991.st@gmail.com"/>
    <x v="1"/>
    <s v="2024/04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92"/>
    <x v="374"/>
    <s v="sanadatta7620@gmail.com"/>
    <x v="1"/>
    <s v="2024/07/02 00:00:00"/>
    <s v="2025/07/20 00:00:00"/>
    <s v="クレジットカード（ROBOT）"/>
    <n v="114300"/>
    <s v="1"/>
    <n v="0"/>
    <n v="0"/>
    <n v="0"/>
    <n v="0"/>
    <n v="0"/>
    <n v="114300"/>
    <n v="0"/>
    <n v="0"/>
    <n v="0"/>
    <n v="0"/>
    <n v="0"/>
    <n v="0"/>
    <n v="0"/>
    <n v="6"/>
    <x v="0"/>
    <x v="0"/>
    <x v="1"/>
    <x v="1"/>
    <x v="1"/>
    <x v="1"/>
    <x v="1"/>
    <x v="1"/>
    <x v="1"/>
    <n v="19050"/>
    <n v="19050"/>
    <m/>
    <m/>
    <m/>
    <m/>
    <m/>
    <m/>
    <m/>
    <m/>
    <m/>
    <m/>
    <m/>
    <m/>
    <m/>
    <n v="6"/>
    <b v="1"/>
    <n v="114300"/>
    <b v="1"/>
  </r>
  <r>
    <s v="PEAK ONE. LLC[山崎裕久(Mr.K)]"/>
    <s v="C-00054091"/>
    <x v="375"/>
    <s v="hirofumi_miyata@outlook.jp"/>
    <x v="1"/>
    <s v="2024/10/09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90"/>
    <x v="376"/>
    <s v="tripuyurikabu20191015@yahoo.ne.jp"/>
    <x v="0"/>
    <s v="2024/10/28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076"/>
    <x v="377"/>
    <s v="ngmaster29@gmail.com"/>
    <x v="1"/>
    <s v="2024/04/1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72"/>
    <x v="378"/>
    <s v="syuzokutidoryokuti@yahoo.co.jp"/>
    <x v="1"/>
    <s v="2024/04/2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60"/>
    <x v="379"/>
    <s v="akiosunnday12742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44"/>
    <x v="380"/>
    <s v="trade@morinta.com"/>
    <x v="0"/>
    <s v="2024/10/28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4041"/>
    <x v="381"/>
    <s v="ziguzagu-dekobok.357@ezweb.ne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4036"/>
    <x v="382"/>
    <s v="hide2456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960"/>
    <x v="383"/>
    <s v="egao11toushi@gmail.com"/>
    <x v="2"/>
    <s v="2024/10/10 00:00:00"/>
    <s v="2025/04/20 00:00:00"/>
    <s v="銀行振込（ROBOT）"/>
    <n v="114300"/>
    <s v="1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903"/>
    <x v="384"/>
    <s v="xxxg01w1115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94"/>
    <x v="385"/>
    <s v="ktaira2023@gmail.com"/>
    <x v="1"/>
    <s v="2024/10/3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87"/>
    <x v="386"/>
    <s v="ididit348@gmail.com"/>
    <x v="0"/>
    <s v="2024/04/19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3880"/>
    <x v="387"/>
    <s v="tomorrow1@kyi.biglobe.ne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77"/>
    <x v="388"/>
    <s v="yudai.20000222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3870"/>
    <x v="389"/>
    <s v="sansankokko934@gmail.com"/>
    <x v="2"/>
    <s v="2024/10/16 00:00:00"/>
    <s v="2025/04/20 00:00:00"/>
    <s v="銀行振込（ROBOT）"/>
    <n v="114300"/>
    <s v="1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60"/>
    <x v="390"/>
    <s v="yk12042177@gmail.com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55"/>
    <x v="391"/>
    <s v="waterfall3nd@gmail.com"/>
    <x v="1"/>
    <s v="2024/04/1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45"/>
    <x v="392"/>
    <s v="eiji.masuda1701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44"/>
    <x v="393"/>
    <s v="shyachiccu@gmail.com"/>
    <x v="1"/>
    <s v="2024/04/16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43"/>
    <x v="394"/>
    <s v="yzhugu37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37"/>
    <x v="395"/>
    <s v="kazupon_akipon_sawaya@yahoo.co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36"/>
    <x v="396"/>
    <s v="nakagawa189@gmail.com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31"/>
    <x v="397"/>
    <s v="kobuty0212@gmail.com"/>
    <x v="2"/>
    <s v="2024/10/20 00:00:00"/>
    <s v="2025/04/20 00:00:00"/>
    <s v="銀行振込（ROBOT）"/>
    <n v="114300"/>
    <s v="1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30"/>
    <x v="398"/>
    <s v="makoga717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28"/>
    <x v="399"/>
    <s v="cocoromi424@gmail.com"/>
    <x v="1"/>
    <s v="2024/10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19"/>
    <x v="400"/>
    <s v="fmmatsuu305@gmail.com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17"/>
    <x v="401"/>
    <s v="umizaru55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14"/>
    <x v="402"/>
    <s v="clv.foe@gmail.com"/>
    <x v="1"/>
    <s v="2025/01/13 00:00:00"/>
    <s v="2025/07/20 00:00:00"/>
    <s v="クレジットカード（ROBOT）"/>
    <n v="114300"/>
    <s v="1"/>
    <n v="0"/>
    <n v="0"/>
    <n v="0"/>
    <n v="0"/>
    <n v="0"/>
    <n v="114300"/>
    <n v="0"/>
    <n v="0"/>
    <n v="0"/>
    <n v="0"/>
    <n v="0"/>
    <n v="0"/>
    <n v="0"/>
    <n v="6"/>
    <x v="0"/>
    <x v="0"/>
    <x v="1"/>
    <x v="1"/>
    <x v="1"/>
    <x v="1"/>
    <x v="1"/>
    <x v="1"/>
    <x v="1"/>
    <n v="19050"/>
    <n v="19050"/>
    <m/>
    <m/>
    <m/>
    <m/>
    <m/>
    <m/>
    <m/>
    <m/>
    <m/>
    <m/>
    <m/>
    <m/>
    <m/>
    <n v="6"/>
    <b v="1"/>
    <n v="114300"/>
    <b v="1"/>
  </r>
  <r>
    <s v="PEAK ONE. LLC[山崎裕久(Mr.K)]"/>
    <s v="C-00053810"/>
    <x v="403"/>
    <s v="thamada5221@gmail.com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802"/>
    <x v="404"/>
    <s v="misakano805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96"/>
    <x v="405"/>
    <s v="noppu01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90"/>
    <x v="406"/>
    <s v="jasssoul@yahoo.co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85"/>
    <x v="407"/>
    <s v="soji.nagata@gmail.com"/>
    <x v="0"/>
    <s v="2024/04/20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3783"/>
    <x v="408"/>
    <s v="yuimojiyuki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76"/>
    <x v="409"/>
    <s v="ariten0358@gmail.com"/>
    <x v="0"/>
    <s v="2024/04/21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3767"/>
    <x v="410"/>
    <s v="dng10004@gmail.com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63"/>
    <x v="411"/>
    <s v="nao55-hiraoka@docomo.ne.jp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62"/>
    <x v="412"/>
    <s v="marbo@hh.iij4u.or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3760"/>
    <x v="413"/>
    <s v="shinri.terakawa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705"/>
    <x v="414"/>
    <s v="bumpof2007@yahoo.co.jp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664"/>
    <x v="415"/>
    <s v="akaru4829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663"/>
    <x v="416"/>
    <s v="im-shige.itaya@ezweb.ne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562"/>
    <x v="417"/>
    <s v="okacchi0816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3432"/>
    <x v="418"/>
    <s v="kunko-eezz@ezweb.ne.jp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2843"/>
    <x v="419"/>
    <s v="sekoma04@gmail.com"/>
    <x v="0"/>
    <s v="2025/01/23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2448"/>
    <x v="420"/>
    <s v="noguchi.k.aljl@gmail.com"/>
    <x v="0"/>
    <s v="2024/10/31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2324"/>
    <x v="421"/>
    <s v="akiradate60@gmail.com"/>
    <x v="1"/>
    <s v="2024/10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2304"/>
    <x v="422"/>
    <s v="marutyan7613@gmail.com"/>
    <x v="1"/>
    <s v="2025/01/19 00:00:00"/>
    <s v="2025/07/20 00:00:00"/>
    <s v="クレジットカード（ROBOT）"/>
    <n v="114300"/>
    <s v="1"/>
    <n v="0"/>
    <n v="0"/>
    <n v="0"/>
    <n v="0"/>
    <n v="0"/>
    <n v="114300"/>
    <n v="0"/>
    <n v="0"/>
    <n v="0"/>
    <n v="0"/>
    <n v="0"/>
    <n v="0"/>
    <n v="0"/>
    <n v="6"/>
    <x v="0"/>
    <x v="0"/>
    <x v="1"/>
    <x v="1"/>
    <x v="1"/>
    <x v="1"/>
    <x v="1"/>
    <x v="1"/>
    <x v="1"/>
    <n v="19050"/>
    <n v="19050"/>
    <m/>
    <m/>
    <m/>
    <m/>
    <m/>
    <m/>
    <m/>
    <m/>
    <m/>
    <m/>
    <m/>
    <m/>
    <m/>
    <n v="6"/>
    <b v="1"/>
    <n v="114300"/>
    <b v="1"/>
  </r>
  <r>
    <s v="PEAK ONE. LLC[山崎裕久(Mr.K)]"/>
    <s v="C-00052181"/>
    <x v="423"/>
    <s v="cyp00464@nifty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1865"/>
    <x v="424"/>
    <s v="progressbar1104@gmail.com"/>
    <x v="0"/>
    <s v="2024/04/24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1748"/>
    <x v="425"/>
    <s v="fumikamaru@yahoo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1403"/>
    <x v="426"/>
    <s v="hattori.seiichi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1345"/>
    <x v="427"/>
    <s v="yuichiroichikawa4444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1304"/>
    <x v="428"/>
    <s v="yecunatsumi@gmail.com"/>
    <x v="1"/>
    <s v="2024/10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1220"/>
    <x v="429"/>
    <s v="ueno.yasuhito@gmail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1026"/>
    <x v="430"/>
    <s v="spr2002ymgt@gmail.com"/>
    <x v="1"/>
    <s v="2024/04/2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1025"/>
    <x v="431"/>
    <s v="spm92ek9@dolphin.ocn.ne.jp"/>
    <x v="1"/>
    <s v="2024/12/1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0875"/>
    <x v="432"/>
    <s v="qbechehi@gmail.com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0872"/>
    <x v="433"/>
    <s v="purinmama@ezweb.ne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0780"/>
    <x v="434"/>
    <s v="nomura.masatoshi9943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0707"/>
    <x v="435"/>
    <s v="morochie1016@gmail.com"/>
    <x v="1"/>
    <s v="2024/04/17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0480"/>
    <x v="436"/>
    <s v="keiohta@ka2.so-net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50413"/>
    <x v="437"/>
    <s v="k.dignoizeee@gmail.com"/>
    <x v="0"/>
    <s v="2024/11/01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50387"/>
    <x v="438"/>
    <s v="itotuhi8@gmail.com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50141"/>
    <x v="439"/>
    <s v="dchyfamily@amail.plala.or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9977"/>
    <x v="440"/>
    <s v="aikiumeda2000@yahoo.co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9571"/>
    <x v="441"/>
    <s v="y-iimura@msi.biglobe.ne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9394"/>
    <x v="442"/>
    <s v="knishibu@gmail.com"/>
    <x v="1"/>
    <s v="2024/12/1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9277"/>
    <x v="443"/>
    <s v="rosesherry81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9215"/>
    <x v="444"/>
    <s v="pts6742@gmail.com"/>
    <x v="0"/>
    <s v="2024/10/30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8983"/>
    <x v="445"/>
    <s v="hysu1641@g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8142"/>
    <x v="446"/>
    <s v="ishibashitomoko14@gmail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7948"/>
    <x v="447"/>
    <s v="wkohi@docomo.ne.jp"/>
    <x v="1"/>
    <s v="2024/10/28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7842"/>
    <x v="448"/>
    <s v="c082887@yahoo.co.jp"/>
    <x v="1"/>
    <s v="2024/04/18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7559"/>
    <x v="449"/>
    <s v="zensan9320@icloud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7514"/>
    <x v="450"/>
    <s v="mmm.820ami.cutenainainai@gmail.com"/>
    <x v="1"/>
    <s v="2024/12/1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7315"/>
    <x v="451"/>
    <s v="wech713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7104"/>
    <x v="452"/>
    <s v="wine_nomisugi@icloud.com"/>
    <x v="1"/>
    <s v="2024/12/1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6792"/>
    <x v="453"/>
    <s v="hirop.ip@gmail.com"/>
    <x v="0"/>
    <s v="2025/01/23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6739"/>
    <x v="454"/>
    <s v="mieko7511@gmail.com"/>
    <x v="1"/>
    <s v="2024/05/28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6580"/>
    <x v="455"/>
    <s v="possible750@yahoo.co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6230"/>
    <x v="456"/>
    <s v="haichan766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5916"/>
    <x v="457"/>
    <s v="yoshie.khbar@icloud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5814"/>
    <x v="458"/>
    <s v="funamoto@funacli.or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5636"/>
    <x v="459"/>
    <s v="egami1008@gmail.com"/>
    <x v="0"/>
    <s v="2024/04/12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5537"/>
    <x v="460"/>
    <s v="maki.kazu2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5088"/>
    <x v="461"/>
    <s v="a-yellow.h-mint.0728-03@docomo.ne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5078"/>
    <x v="462"/>
    <s v="yako_1127@yahoo.co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4986"/>
    <x v="463"/>
    <s v="Magome3zun@gmail.com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4384"/>
    <x v="464"/>
    <s v="cozyscents01@gmail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4315"/>
    <x v="465"/>
    <s v="hi_takatuki@yahoo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4277"/>
    <x v="466"/>
    <s v="clubmin3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4248"/>
    <x v="467"/>
    <s v="tom.chan.ron.voka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4133"/>
    <x v="468"/>
    <s v="yassy210y@sk9.so-net.ne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3792"/>
    <x v="469"/>
    <s v="ka877500@gmail.com"/>
    <x v="1"/>
    <s v="2024/04/2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3509"/>
    <x v="470"/>
    <s v="giocodue@gmail.com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3307"/>
    <x v="471"/>
    <s v="dengluyongmerumaga@gmail.com"/>
    <x v="1"/>
    <s v="2024/04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3206"/>
    <x v="472"/>
    <s v="egaodelink@gmail.com"/>
    <x v="1"/>
    <s v="2024/04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3097"/>
    <x v="473"/>
    <s v="n-sada@nifty.ne.jp"/>
    <x v="3"/>
    <s v="2024/12/23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3062"/>
    <x v="474"/>
    <s v="triple.trees.kazu@gmail.com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892"/>
    <x v="475"/>
    <s v="jinnouchi516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880"/>
    <x v="476"/>
    <s v="yasu.t0511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2862"/>
    <x v="477"/>
    <s v="darumataishi858-net@yahoo.co.jp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704"/>
    <x v="478"/>
    <s v="s_kaoru812@yahoo.co.jp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684"/>
    <x v="479"/>
    <s v="cs.montmorillonite@gmail.com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2662"/>
    <x v="480"/>
    <s v="kiyotaka25m@gmail.com"/>
    <x v="3"/>
    <s v="2024/12/13 00:00:00"/>
    <s v="2025/03/20 00:00:00"/>
    <s v="銀行振込（ROBOT）"/>
    <n v="59400"/>
    <s v="1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2587"/>
    <x v="481"/>
    <s v="saekimon@hotmail.com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2446"/>
    <x v="482"/>
    <s v="sato@highvolume.co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408"/>
    <x v="483"/>
    <s v="golfsuki72@gmail.com"/>
    <x v="1"/>
    <s v="2024/04/2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364"/>
    <x v="484"/>
    <s v="himawari55577@gmail.com"/>
    <x v="2"/>
    <s v="2024/12/12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2362"/>
    <x v="485"/>
    <s v="jukym2t218@gmail.com"/>
    <x v="1"/>
    <s v="2024/04/19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359"/>
    <x v="486"/>
    <s v="nezun1951@gmail.com"/>
    <x v="1"/>
    <s v="2024/10/16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340"/>
    <x v="487"/>
    <s v="mars.jupiter.fam@gmail.com"/>
    <x v="1"/>
    <s v="2024/04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238"/>
    <x v="488"/>
    <s v="namihei1167@gmail.com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2197"/>
    <x v="489"/>
    <s v="yattin77@icloud.com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2185"/>
    <x v="490"/>
    <s v="nano873n@gmail.com"/>
    <x v="1"/>
    <s v="2024/11/01 00:00:00"/>
    <s v="2025/04/20 00:00:00"/>
    <s v="クレジットカード（ROBOT）"/>
    <n v="114300"/>
    <s v="3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2005"/>
    <x v="491"/>
    <s v="nankaitaka0117@gmail.com"/>
    <x v="1"/>
    <s v="2024/10/16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996"/>
    <x v="492"/>
    <s v="k.ohki1983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1972"/>
    <x v="493"/>
    <s v="yutakakutsu@gmail.com"/>
    <x v="1"/>
    <s v="2024/10/29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922"/>
    <x v="494"/>
    <s v="kazuki.m.1210@gmail.com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1904"/>
    <x v="495"/>
    <s v="disneyjunco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1671"/>
    <x v="496"/>
    <s v="bienemajagogo@yahoo.co.jp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588"/>
    <x v="497"/>
    <s v="yuko.famik@icloud.com"/>
    <x v="1"/>
    <s v="2024/04/19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450"/>
    <x v="498"/>
    <s v="makiron-ida1226@outlook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1432"/>
    <x v="499"/>
    <s v="midnight117.1182@gmail.com"/>
    <x v="1"/>
    <s v="2023/09/28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429"/>
    <x v="500"/>
    <s v="izako@aria.ocn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1389"/>
    <x v="501"/>
    <s v="tmykoda@yahoo.co.jp"/>
    <x v="0"/>
    <s v="2023/09/1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1385"/>
    <x v="502"/>
    <s v="greenecho@nifty.com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352"/>
    <x v="503"/>
    <s v="hochi@hotmail.co.jp"/>
    <x v="1"/>
    <s v="2024/04/1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302"/>
    <x v="504"/>
    <s v="a.ti.ko.0827@gmail.com"/>
    <x v="1"/>
    <s v="2023/09/10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271"/>
    <x v="505"/>
    <s v="fujityaku830813@outlook.jp"/>
    <x v="1"/>
    <s v="2024/03/06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264"/>
    <x v="506"/>
    <s v="s.suenaga19703@gmail.com"/>
    <x v="1"/>
    <s v="2024/03/28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255"/>
    <x v="507"/>
    <s v="ringopaimy@gmail.com"/>
    <x v="1"/>
    <s v="2025/02/02 00:00:00"/>
    <s v="2025/08/20 00:00:00"/>
    <s v="クレジットカード（ROBOT）"/>
    <n v="114300"/>
    <s v="1"/>
    <n v="0"/>
    <n v="0"/>
    <n v="0"/>
    <n v="0"/>
    <n v="0"/>
    <n v="0"/>
    <n v="114300"/>
    <n v="0"/>
    <n v="0"/>
    <n v="0"/>
    <n v="0"/>
    <n v="0"/>
    <n v="0"/>
    <n v="6"/>
    <x v="0"/>
    <x v="0"/>
    <x v="1"/>
    <x v="1"/>
    <x v="1"/>
    <x v="0"/>
    <x v="1"/>
    <x v="1"/>
    <x v="1"/>
    <n v="19050"/>
    <n v="19050"/>
    <n v="19050"/>
    <m/>
    <m/>
    <m/>
    <m/>
    <m/>
    <m/>
    <m/>
    <m/>
    <m/>
    <m/>
    <m/>
    <m/>
    <n v="6"/>
    <b v="1"/>
    <n v="114300"/>
    <b v="1"/>
  </r>
  <r>
    <s v="PEAK ONE. LLC[山崎裕久(Mr.K)]"/>
    <s v="C-00041248"/>
    <x v="508"/>
    <s v="cute.3521.paradise@docomo.ne.jp"/>
    <x v="1"/>
    <s v="2023/09/0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239"/>
    <x v="509"/>
    <s v="amenokoyanekita@m7.gyao.ne.jp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1236"/>
    <x v="510"/>
    <s v="jnb3743@gmail.com"/>
    <x v="1"/>
    <s v="2024/03/25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229"/>
    <x v="511"/>
    <s v="ugn03132@nifty.com"/>
    <x v="1"/>
    <s v="2023/09/0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196"/>
    <x v="512"/>
    <s v="nao.universe0906@gmail.com"/>
    <x v="0"/>
    <s v="2023/12/1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41194"/>
    <x v="513"/>
    <s v="tatsunoya19990514@docomo.ne.jp"/>
    <x v="1"/>
    <s v="2023/09/0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180"/>
    <x v="514"/>
    <s v="tadashi_05_25@yahoo.co.jp"/>
    <x v="1"/>
    <s v="2023/09/26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146"/>
    <x v="515"/>
    <s v="sic.seaum@gmail.com"/>
    <x v="1"/>
    <s v="2023/09/25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128"/>
    <x v="516"/>
    <s v="friendlife45@gmail.com"/>
    <x v="1"/>
    <s v="2023/10/09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1074"/>
    <x v="517"/>
    <s v="kokoroodayaka333@gmail.com"/>
    <x v="1"/>
    <s v="2023/09/22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40921"/>
    <x v="518"/>
    <s v="ichicabachica.0611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40116"/>
    <x v="519"/>
    <s v="haru03401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9825"/>
    <x v="520"/>
    <s v="maisuta1987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9735"/>
    <x v="521"/>
    <s v="matt_naorin@yahoo.co.jp"/>
    <x v="1"/>
    <s v="2024/10/28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9555"/>
    <x v="522"/>
    <s v="wataruuuuu4230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9297"/>
    <x v="523"/>
    <s v="kozysmart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9287"/>
    <x v="524"/>
    <s v="300and800@gmail.com"/>
    <x v="1"/>
    <s v="2024/10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8837"/>
    <x v="525"/>
    <s v="s@etc-karada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8641"/>
    <x v="526"/>
    <s v="yusan7820@gmail.com"/>
    <x v="0"/>
    <s v="2024/12/0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8590"/>
    <x v="527"/>
    <s v="kk.sakura@cosmochemicals.co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8508"/>
    <x v="528"/>
    <s v="nkage00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8092"/>
    <x v="529"/>
    <s v="dkk921258@gmail.com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7916"/>
    <x v="530"/>
    <s v="kazuemonn@lion.ocn.ne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7567"/>
    <x v="531"/>
    <s v="takegonda427@gmail.com"/>
    <x v="0"/>
    <s v="2024/12/07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7417"/>
    <x v="532"/>
    <s v="makotosawa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6830"/>
    <x v="533"/>
    <s v="kurosu3102@outlook.jp"/>
    <x v="2"/>
    <s v="2024/12/06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6778"/>
    <x v="534"/>
    <s v="ahira010101@gmail.com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6117"/>
    <x v="535"/>
    <s v="minidragon.snufkin278@gmail.com"/>
    <x v="1"/>
    <s v="2024/03/04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5422"/>
    <x v="536"/>
    <s v="crew53065306@gmail.com"/>
    <x v="1"/>
    <s v="2024/04/2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5395"/>
    <x v="537"/>
    <s v="sleet.seacow@gmail.com"/>
    <x v="0"/>
    <s v="2024/12/11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5161"/>
    <x v="538"/>
    <s v="15850xingxiong55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4704"/>
    <x v="539"/>
    <s v="mobilesskwrkingmobileschirping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4588"/>
    <x v="540"/>
    <s v="four-of-a-kind142030@docomo.ne.jp"/>
    <x v="1"/>
    <s v="2025/01/15 00:00:00"/>
    <s v="2025/07/20 00:00:00"/>
    <s v="クレジットカード（ROBOT）"/>
    <n v="114300"/>
    <s v="1"/>
    <n v="0"/>
    <n v="0"/>
    <n v="0"/>
    <n v="0"/>
    <n v="0"/>
    <n v="114300"/>
    <n v="0"/>
    <n v="0"/>
    <n v="0"/>
    <n v="0"/>
    <n v="0"/>
    <n v="0"/>
    <n v="0"/>
    <n v="6"/>
    <x v="0"/>
    <x v="0"/>
    <x v="1"/>
    <x v="1"/>
    <x v="1"/>
    <x v="1"/>
    <x v="1"/>
    <x v="1"/>
    <x v="1"/>
    <n v="19050"/>
    <n v="19050"/>
    <m/>
    <m/>
    <m/>
    <m/>
    <m/>
    <m/>
    <m/>
    <m/>
    <m/>
    <m/>
    <m/>
    <m/>
    <m/>
    <n v="6"/>
    <b v="1"/>
    <n v="114300"/>
    <b v="1"/>
  </r>
  <r>
    <s v="PEAK ONE. LLC[山崎裕久(Mr.K)]"/>
    <s v="C-00034063"/>
    <x v="541"/>
    <s v="yoshino.anne@gmail.com"/>
    <x v="0"/>
    <s v="2024/12/18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3672"/>
    <x v="542"/>
    <s v="sosamu@rose.ocn.ne.jp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2703"/>
    <x v="543"/>
    <s v="rikuya.endy@docomo.ne.jp"/>
    <x v="0"/>
    <s v="2024/04/24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2684"/>
    <x v="544"/>
    <s v="taka_ohtani@yahoo.co.jp"/>
    <x v="1"/>
    <s v="2024/04/18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2324"/>
    <x v="545"/>
    <s v="yasu2highbri@yahoo.co.jp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2168"/>
    <x v="546"/>
    <s v="boofoowoo28@gmail.com"/>
    <x v="1"/>
    <s v="2025/01/0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945"/>
    <x v="547"/>
    <s v="naoya1717@gmail.com"/>
    <x v="0"/>
    <s v="2023/09/24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1786"/>
    <x v="548"/>
    <s v="hideo2430a@gmail.com"/>
    <x v="2"/>
    <s v="2024/12/0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713"/>
    <x v="549"/>
    <s v="jacaranda2425@gmail.com"/>
    <x v="1"/>
    <s v="2024/12/1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694"/>
    <x v="550"/>
    <s v="nitoro.hazard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497"/>
    <x v="551"/>
    <s v="s10026626@yahoo.co.jp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402"/>
    <x v="552"/>
    <s v="golf54003088@iris.eonet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388"/>
    <x v="553"/>
    <s v="shimizu930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1282"/>
    <x v="554"/>
    <s v="dq6shu17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1281"/>
    <x v="555"/>
    <s v="blackjackatom@yahoo.co.jp"/>
    <x v="1"/>
    <s v="2024/04/1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1174"/>
    <x v="556"/>
    <s v="yocchin.510@gmail.com"/>
    <x v="1"/>
    <s v="2024/04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1119"/>
    <x v="557"/>
    <s v="htm.y2017krv@gmail.com"/>
    <x v="0"/>
    <s v="2024/12/08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0849"/>
    <x v="558"/>
    <s v="oishi-ma@tokai.or.jp"/>
    <x v="1"/>
    <s v="2023/09/26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0731"/>
    <x v="559"/>
    <s v="k-ohdate@mrfj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0709"/>
    <x v="560"/>
    <s v="qjrmc677@yahoo.co.jp"/>
    <x v="1"/>
    <s v="2023/09/10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0654"/>
    <x v="561"/>
    <s v="hfield108@gmail.com"/>
    <x v="1"/>
    <s v="2023/09/24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30502"/>
    <x v="562"/>
    <s v="eddieuriu@gmail.com"/>
    <x v="0"/>
    <s v="2023/09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0352"/>
    <x v="563"/>
    <s v="ikuokiku100@gmail.com"/>
    <x v="0"/>
    <s v="2023/09/05 00:00:00"/>
    <s v="2025/05/20 00:00:00"/>
    <s v="クレジットカード（ROBOT）"/>
    <n v="59400"/>
    <s v="3"/>
    <n v="0"/>
    <n v="0"/>
    <n v="0"/>
    <n v="59400"/>
    <n v="0"/>
    <n v="0"/>
    <n v="0"/>
    <n v="0"/>
    <n v="0"/>
    <n v="0"/>
    <n v="0"/>
    <n v="0"/>
    <n v="0"/>
    <n v="3"/>
    <x v="0"/>
    <x v="0"/>
    <x v="1"/>
    <x v="0"/>
    <x v="0"/>
    <x v="2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30319"/>
    <x v="564"/>
    <s v="aoyagi-k@mist.dti.ne.jp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30314"/>
    <x v="565"/>
    <s v="suzaki.yoshifumi@kagawa-u.ac.jp"/>
    <x v="1"/>
    <s v="2025/01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9821"/>
    <x v="566"/>
    <s v="nine_planets_in_solar_system@yahoo.co.jp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9736"/>
    <x v="567"/>
    <s v="horuyagi@gmail.com"/>
    <x v="2"/>
    <s v="2024/12/22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9684"/>
    <x v="568"/>
    <s v="maetaku4319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9406"/>
    <x v="569"/>
    <s v="R53erika32@gmail.com"/>
    <x v="1"/>
    <s v="2024/04/17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9385"/>
    <x v="570"/>
    <s v="ginger1969715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9079"/>
    <x v="571"/>
    <s v="taiheimaru2117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9014"/>
    <x v="572"/>
    <s v="daisukedaisuke0000@yahoo.co.jp"/>
    <x v="0"/>
    <s v="2024/12/16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28845"/>
    <x v="573"/>
    <s v="tomoki5170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8768"/>
    <x v="574"/>
    <s v="link1218@i.softbank.jp"/>
    <x v="1"/>
    <s v="2024/12/1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8480"/>
    <x v="575"/>
    <s v="fighterscan2015@gmail.com"/>
    <x v="1"/>
    <s v="2024/04/2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8329"/>
    <x v="576"/>
    <s v="kunitakumama@gmail.com"/>
    <x v="0"/>
    <s v="2024/04/14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27938"/>
    <x v="577"/>
    <s v="from.1.123@docomo.ne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7712"/>
    <x v="578"/>
    <s v="mi.yamamura@gmail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7549"/>
    <x v="579"/>
    <s v="syamamoto1103@yahoo.co.jp"/>
    <x v="1"/>
    <s v="2023/05/27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7491"/>
    <x v="580"/>
    <s v="ebizou03@gmail.com"/>
    <x v="1"/>
    <s v="2023/09/0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7128"/>
    <x v="581"/>
    <s v="lovelin.mamitan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6928"/>
    <x v="582"/>
    <s v="seamaster007007@yahoo.co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6900"/>
    <x v="583"/>
    <s v="yasu5645jp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6888"/>
    <x v="584"/>
    <s v="masayoshinakamichi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6694"/>
    <x v="585"/>
    <s v="inkotg@gmail.com"/>
    <x v="1"/>
    <s v="2023/05/28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6649"/>
    <x v="586"/>
    <s v="grunpa.715.kn@gmail.com"/>
    <x v="1"/>
    <s v="2024/12/08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6435"/>
    <x v="587"/>
    <s v="j_tommy3skm@ybb.ne.jp"/>
    <x v="1"/>
    <s v="2024/12/2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5744"/>
    <x v="588"/>
    <s v="convoy.funk.co@gmail.com"/>
    <x v="1"/>
    <s v="2024/12/1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5274"/>
    <x v="589"/>
    <s v="shumatsu3387@gmail.com"/>
    <x v="1"/>
    <s v="2024/04/01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5264"/>
    <x v="590"/>
    <s v="jh3prr@gmail.com"/>
    <x v="1"/>
    <s v="2023/09/0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5215"/>
    <x v="591"/>
    <s v="takahiro.d.925@outlook.jp"/>
    <x v="1"/>
    <s v="2023/05/19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4875"/>
    <x v="592"/>
    <s v="fumiko524@yahoo.co.jp"/>
    <x v="1"/>
    <s v="2023/09/23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4856"/>
    <x v="593"/>
    <s v="yanh7016@gmail.com"/>
    <x v="1"/>
    <s v="2023/09/0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4635"/>
    <x v="594"/>
    <s v="nobi_sen@yahoo.co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4070"/>
    <x v="595"/>
    <s v="tk02100117y@yahoo.co.jp"/>
    <x v="1"/>
    <s v="2024/04/2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3673"/>
    <x v="596"/>
    <s v="futa11@msn.com"/>
    <x v="1"/>
    <s v="2024/04/17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1295"/>
    <x v="597"/>
    <s v="kotaro.kitagawa@gmail.com"/>
    <x v="1"/>
    <s v="2024/12/12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1132"/>
    <x v="598"/>
    <s v="takeuchi.disk.0.0.zzz@gmail.com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20743"/>
    <x v="599"/>
    <s v="ttonkm2723@gmail.com"/>
    <x v="1"/>
    <s v="2024/10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0577"/>
    <x v="600"/>
    <s v="tometype2@yahoo.co.jp"/>
    <x v="0"/>
    <s v="2024/12/23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20461"/>
    <x v="601"/>
    <s v="akikoyogo45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0383"/>
    <x v="602"/>
    <s v="takamiya@gf7.so-net.ne.jp"/>
    <x v="1"/>
    <s v="2023/02/16 00:00:00"/>
    <s v="2025/02/20 00:00:00"/>
    <s v="クレジットカード（ROBOT）"/>
    <n v="114300"/>
    <s v="6"/>
    <n v="114300"/>
    <n v="0"/>
    <n v="0"/>
    <n v="0"/>
    <n v="0"/>
    <n v="0"/>
    <n v="0"/>
    <n v="0"/>
    <n v="0"/>
    <n v="0"/>
    <n v="0"/>
    <n v="0"/>
    <n v="0"/>
    <n v="6"/>
    <x v="1"/>
    <x v="2"/>
    <x v="2"/>
    <x v="2"/>
    <x v="2"/>
    <x v="1"/>
    <x v="0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20073"/>
    <x v="603"/>
    <s v="amkakki7@yahoo.co.jp"/>
    <x v="1"/>
    <s v="2023/09/29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9885"/>
    <x v="604"/>
    <s v="nkmrtro@i.softbank.jp"/>
    <x v="1"/>
    <s v="2024/10/3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9706"/>
    <x v="605"/>
    <s v="jm3210jm32100@gmail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9691"/>
    <x v="606"/>
    <s v="haka78827@gmail.com"/>
    <x v="4"/>
    <s v="2025/02/06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9662"/>
    <x v="607"/>
    <s v="yuki.mat1122@gmail.com"/>
    <x v="1"/>
    <s v="2024/12/2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9024"/>
    <x v="608"/>
    <s v="haryuki110@yahoo.co.jp"/>
    <x v="4"/>
    <s v="2025/02/06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8184"/>
    <x v="609"/>
    <s v="chosuke_0308@yahoo.co.jp"/>
    <x v="1"/>
    <s v="2023/05/20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8166"/>
    <x v="610"/>
    <s v="maro-takatsukasa-tkn@ezweb.ne.jp"/>
    <x v="1"/>
    <s v="2024/04/2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8088"/>
    <x v="611"/>
    <s v="hp@mayro.biz"/>
    <x v="0"/>
    <s v="2024/04/20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17686"/>
    <x v="612"/>
    <s v="hiroaki.higashi.res@gmail.com"/>
    <x v="0"/>
    <m/>
    <m/>
    <m/>
    <n v="59400"/>
    <s v="3"/>
    <n v="0"/>
    <n v="0"/>
    <n v="0"/>
    <n v="0"/>
    <n v="0"/>
    <n v="0"/>
    <n v="0"/>
    <n v="0"/>
    <n v="0"/>
    <n v="0"/>
    <n v="0"/>
    <n v="0"/>
    <n v="0"/>
    <n v="3"/>
    <x v="0"/>
    <x v="0"/>
    <x v="1"/>
    <x v="1"/>
    <x v="1"/>
    <x v="0"/>
    <x v="0"/>
    <x v="0"/>
    <x v="0"/>
    <m/>
    <m/>
    <m/>
    <m/>
    <m/>
    <m/>
    <m/>
    <m/>
    <m/>
    <m/>
    <m/>
    <m/>
    <m/>
    <m/>
    <m/>
    <n v="0"/>
    <b v="0"/>
    <n v="0"/>
    <b v="0"/>
  </r>
  <r>
    <s v="PEAK ONE. LLC[山崎裕久(Mr.K)]"/>
    <s v="C-00017451"/>
    <x v="613"/>
    <s v="izumi000126@gmail.com"/>
    <x v="1"/>
    <s v="2023/09/21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7224"/>
    <x v="614"/>
    <s v="sagittarius.ms1975@gmail.com"/>
    <x v="1"/>
    <s v="2024/04/17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7086"/>
    <x v="615"/>
    <s v="toyako178@gmail.com"/>
    <x v="0"/>
    <s v="2024/04/10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17042"/>
    <x v="616"/>
    <s v="spirytushu@gmail.com"/>
    <x v="1"/>
    <s v="2023/09/30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7016"/>
    <x v="617"/>
    <s v="wasshoy.jun@gmail.com"/>
    <x v="1"/>
    <s v="2024/04/24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6827"/>
    <x v="618"/>
    <s v="suntao0430@hotmail.com"/>
    <x v="1"/>
    <s v="2023/11/28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6687"/>
    <x v="619"/>
    <s v="hide19730513@icloud.com"/>
    <x v="1"/>
    <s v="2024/12/23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6374"/>
    <x v="620"/>
    <s v="yunyou889@yahoo.co.jp"/>
    <x v="4"/>
    <s v="2025/02/06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6159"/>
    <x v="621"/>
    <s v="syart0928@gmail.com"/>
    <x v="1"/>
    <s v="2024/04/16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5663"/>
    <x v="622"/>
    <s v="parukawa1809@yahoo.co.jp"/>
    <x v="2"/>
    <s v="2024/12/17 00:00:00"/>
    <s v="2025/06/20 00:00:00"/>
    <s v="銀行振込（ROBOT）"/>
    <n v="114300"/>
    <s v="1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5564"/>
    <x v="623"/>
    <s v="zenkou.m@gmail.com"/>
    <x v="1"/>
    <s v="2024/04/13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5365"/>
    <x v="624"/>
    <s v="onego15@gmail.com"/>
    <x v="1"/>
    <s v="2024/04/15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5272"/>
    <x v="625"/>
    <s v="free-style._0619_@i.softbank.jp"/>
    <x v="1"/>
    <s v="2024/12/0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4763"/>
    <x v="626"/>
    <s v="hu84477343@yahoo.co.jp"/>
    <x v="1"/>
    <s v="2024/05/29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4741"/>
    <x v="627"/>
    <s v="morita1m2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4706"/>
    <x v="628"/>
    <s v="mina.yan375@ezweb.ne.jp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4442"/>
    <x v="629"/>
    <s v="lovelyuko@gmail.com"/>
    <x v="1"/>
    <s v="2023/09/01 00:00:00"/>
    <s v="2025/02/20 00:00:00"/>
    <s v="クレジットカード（ROBOT）"/>
    <n v="114300"/>
    <s v="6"/>
    <n v="114300"/>
    <n v="0"/>
    <n v="0"/>
    <n v="0"/>
    <n v="0"/>
    <n v="0"/>
    <n v="0"/>
    <n v="0"/>
    <n v="0"/>
    <n v="0"/>
    <n v="0"/>
    <n v="0"/>
    <n v="0"/>
    <n v="6"/>
    <x v="1"/>
    <x v="2"/>
    <x v="2"/>
    <x v="2"/>
    <x v="2"/>
    <x v="1"/>
    <x v="0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4173"/>
    <x v="630"/>
    <s v="haranao5005@gmail.com"/>
    <x v="1"/>
    <s v="2024/12/07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4148"/>
    <x v="631"/>
    <s v="gon5chako2@gmail.com"/>
    <x v="1"/>
    <s v="2024/04/12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3943"/>
    <x v="632"/>
    <s v="shoji123@fgbb.jp"/>
    <x v="1"/>
    <s v="2023/09/17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3941"/>
    <x v="633"/>
    <s v="seiji.deen@gmail.com"/>
    <x v="4"/>
    <s v="2024/08/16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13880"/>
    <x v="634"/>
    <s v="delirayarc@yahoo.co.jp"/>
    <x v="0"/>
    <s v="2024/12/22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13819"/>
    <x v="635"/>
    <s v="rakuchakochan@gmail.com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13797"/>
    <x v="636"/>
    <s v="banbanbee@yahoo.co.jp"/>
    <x v="1"/>
    <s v="2023/09/22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3600"/>
    <x v="637"/>
    <s v="mitdy.236714k@ezweb.ne.jp"/>
    <x v="0"/>
    <s v="2024/12/0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13450"/>
    <x v="638"/>
    <s v="11043865e@gmail.com"/>
    <x v="1"/>
    <s v="2024/12/11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3377"/>
    <x v="639"/>
    <s v="ohyamagon@yahoo.co.jp"/>
    <x v="1"/>
    <s v="2024/04/2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2524"/>
    <x v="640"/>
    <s v="hkhrf700@yahoo.co.jp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2509"/>
    <x v="641"/>
    <s v="takarinayan910@gmail.com"/>
    <x v="4"/>
    <s v="2025/02/05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1849"/>
    <x v="642"/>
    <s v="athj1101@bcc.bai.ne.jp"/>
    <x v="1"/>
    <s v="2023/09/15 00:00:00"/>
    <s v="2025/03/20 00:00:00"/>
    <s v="クレジットカード（ROBOT）"/>
    <n v="114300"/>
    <s v="5"/>
    <n v="0"/>
    <n v="114300"/>
    <n v="0"/>
    <n v="0"/>
    <n v="0"/>
    <n v="0"/>
    <n v="0"/>
    <n v="0"/>
    <n v="0"/>
    <n v="0"/>
    <n v="0"/>
    <n v="0"/>
    <n v="0"/>
    <n v="6"/>
    <x v="0"/>
    <x v="2"/>
    <x v="2"/>
    <x v="2"/>
    <x v="2"/>
    <x v="1"/>
    <x v="1"/>
    <x v="0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1840"/>
    <x v="643"/>
    <s v="tokeshi3831@gmail.com"/>
    <x v="4"/>
    <s v="2024/08/09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11781"/>
    <x v="644"/>
    <s v="jajauma1@i.softbank.jp"/>
    <x v="4"/>
    <s v="2024/07/05 00:00:00"/>
    <s v="2025/07/20 00:00:00"/>
    <s v="クレジットカード（ROBOT）"/>
    <n v="113220"/>
    <s v="7"/>
    <n v="0"/>
    <n v="0"/>
    <n v="0"/>
    <n v="0"/>
    <n v="0"/>
    <n v="113220"/>
    <n v="0"/>
    <n v="0"/>
    <n v="0"/>
    <n v="0"/>
    <n v="0"/>
    <n v="0"/>
    <n v="0"/>
    <n v="12"/>
    <x v="0"/>
    <x v="0"/>
    <x v="1"/>
    <x v="1"/>
    <x v="1"/>
    <x v="3"/>
    <x v="2"/>
    <x v="2"/>
    <x v="2"/>
    <n v="9435"/>
    <n v="9435"/>
    <n v="9435"/>
    <n v="9435"/>
    <n v="9435"/>
    <n v="9435"/>
    <n v="9435"/>
    <n v="9435"/>
    <m/>
    <m/>
    <m/>
    <m/>
    <m/>
    <m/>
    <m/>
    <n v="12"/>
    <b v="1"/>
    <n v="113220"/>
    <b v="1"/>
  </r>
  <r>
    <s v="PEAK ONE. LLC[山崎裕久(Mr.K)]"/>
    <s v="C-00011517"/>
    <x v="645"/>
    <s v="agashi@za.ztv.ne.jp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1116"/>
    <x v="646"/>
    <s v="saori.akiike.jim@gmail.com"/>
    <x v="2"/>
    <s v="2024/04/04 00:00:00"/>
    <m/>
    <s v="銀行振込（ROBOT）"/>
    <n v="114300"/>
    <s v="1"/>
    <n v="0"/>
    <n v="0"/>
    <n v="0"/>
    <n v="0"/>
    <n v="0"/>
    <n v="0"/>
    <n v="0"/>
    <n v="0"/>
    <n v="0"/>
    <n v="0"/>
    <n v="0"/>
    <n v="0"/>
    <n v="0"/>
    <n v="6"/>
    <x v="0"/>
    <x v="0"/>
    <x v="1"/>
    <x v="1"/>
    <x v="1"/>
    <x v="0"/>
    <x v="0"/>
    <x v="0"/>
    <x v="0"/>
    <m/>
    <m/>
    <m/>
    <m/>
    <m/>
    <m/>
    <m/>
    <m/>
    <m/>
    <m/>
    <m/>
    <m/>
    <m/>
    <m/>
    <m/>
    <n v="0"/>
    <b v="0"/>
    <n v="0"/>
    <b v="0"/>
  </r>
  <r>
    <s v="PEAK ONE. LLC[山崎裕久(Mr.K)]"/>
    <s v="C-00010769"/>
    <x v="647"/>
    <s v="baconjapan@gmail.com"/>
    <x v="4"/>
    <s v="2025/02/02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0742"/>
    <x v="648"/>
    <s v="escamillas@docomo.ne.jp"/>
    <x v="0"/>
    <s v="2024/10/30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10694"/>
    <x v="649"/>
    <s v="hanahana.po@gmail.com"/>
    <x v="1"/>
    <s v="2024/04/11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10674"/>
    <x v="650"/>
    <s v="youyuan0420@yahoo.co.jp"/>
    <x v="0"/>
    <s v="2023/02/16 00:00:00"/>
    <s v="2025/02/20 00:00:00"/>
    <s v="クレジットカード（ROBOT）"/>
    <n v="59400"/>
    <s v="3"/>
    <n v="59400"/>
    <n v="0"/>
    <n v="0"/>
    <n v="0"/>
    <n v="0"/>
    <n v="0"/>
    <n v="0"/>
    <n v="0"/>
    <n v="0"/>
    <n v="0"/>
    <n v="0"/>
    <n v="0"/>
    <n v="0"/>
    <n v="3"/>
    <x v="2"/>
    <x v="1"/>
    <x v="0"/>
    <x v="1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10415"/>
    <x v="651"/>
    <s v="ando913224904@gmail.com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10413"/>
    <x v="652"/>
    <s v="kunisaki.cc@gmail.com"/>
    <x v="4"/>
    <s v="2024/08/03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10380"/>
    <x v="653"/>
    <s v="tswatana@gmail.com"/>
    <x v="4"/>
    <s v="2024/05/03 00:00:00"/>
    <s v="2025/05/20 00:00:00"/>
    <s v="クレジットカード（ROBOT）"/>
    <n v="113220"/>
    <s v="9"/>
    <n v="0"/>
    <n v="0"/>
    <n v="0"/>
    <n v="113220"/>
    <n v="0"/>
    <n v="0"/>
    <n v="0"/>
    <n v="0"/>
    <n v="0"/>
    <n v="0"/>
    <n v="0"/>
    <n v="0"/>
    <n v="0"/>
    <n v="12"/>
    <x v="0"/>
    <x v="0"/>
    <x v="1"/>
    <x v="3"/>
    <x v="3"/>
    <x v="3"/>
    <x v="2"/>
    <x v="2"/>
    <x v="2"/>
    <n v="9435"/>
    <n v="9435"/>
    <n v="9435"/>
    <n v="9435"/>
    <n v="9435"/>
    <n v="9435"/>
    <m/>
    <m/>
    <m/>
    <m/>
    <m/>
    <m/>
    <m/>
    <m/>
    <m/>
    <n v="12"/>
    <b v="1"/>
    <n v="113220"/>
    <b v="1"/>
  </r>
  <r>
    <s v="PEAK ONE. LLC[山崎裕久(Mr.K)]"/>
    <s v="C-00010361"/>
    <x v="654"/>
    <s v="mzt2-104hk-7hk@coda.ocn.ne.jp"/>
    <x v="4"/>
    <s v="2025/02/02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0357"/>
    <x v="655"/>
    <s v="hakochan@gmail.com"/>
    <x v="4"/>
    <s v="2024/05/14 00:00:00"/>
    <s v="2025/05/20 00:00:00"/>
    <s v="クレジットカード（ROBOT）"/>
    <n v="113220"/>
    <s v="9"/>
    <n v="0"/>
    <n v="0"/>
    <n v="0"/>
    <n v="113220"/>
    <n v="0"/>
    <n v="0"/>
    <n v="0"/>
    <n v="0"/>
    <n v="0"/>
    <n v="0"/>
    <n v="0"/>
    <n v="0"/>
    <n v="0"/>
    <n v="12"/>
    <x v="0"/>
    <x v="0"/>
    <x v="1"/>
    <x v="3"/>
    <x v="3"/>
    <x v="3"/>
    <x v="2"/>
    <x v="2"/>
    <x v="2"/>
    <n v="9435"/>
    <n v="9435"/>
    <n v="9435"/>
    <n v="9435"/>
    <n v="9435"/>
    <n v="9435"/>
    <m/>
    <m/>
    <m/>
    <m/>
    <m/>
    <m/>
    <m/>
    <m/>
    <m/>
    <n v="12"/>
    <b v="1"/>
    <n v="113220"/>
    <b v="1"/>
  </r>
  <r>
    <s v="PEAK ONE. LLC[山崎裕久(Mr.K)]"/>
    <s v="C-00010349"/>
    <x v="656"/>
    <s v="montoyo3012@gmail.com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10289"/>
    <x v="657"/>
    <s v="satosato104@gmail.com"/>
    <x v="4"/>
    <s v="2025/02/02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10227"/>
    <x v="658"/>
    <s v="norizou0726@yahoo.co.jp"/>
    <x v="1"/>
    <s v="2024/12/14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0084"/>
    <x v="659"/>
    <s v="ae86apex13@hotmail.com"/>
    <x v="4"/>
    <s v="2024/04/05 00:00:00"/>
    <s v="2025/04/20 00:00:00"/>
    <s v="クレジットカード（ROBOT）"/>
    <n v="113220"/>
    <s v="10"/>
    <n v="0"/>
    <n v="0"/>
    <n v="113220"/>
    <n v="0"/>
    <n v="0"/>
    <n v="0"/>
    <n v="0"/>
    <n v="0"/>
    <n v="0"/>
    <n v="0"/>
    <n v="0"/>
    <n v="0"/>
    <n v="0"/>
    <n v="12"/>
    <x v="0"/>
    <x v="0"/>
    <x v="3"/>
    <x v="3"/>
    <x v="3"/>
    <x v="3"/>
    <x v="2"/>
    <x v="2"/>
    <x v="2"/>
    <n v="9435"/>
    <n v="9435"/>
    <n v="9435"/>
    <n v="9435"/>
    <n v="9435"/>
    <m/>
    <m/>
    <m/>
    <m/>
    <m/>
    <m/>
    <m/>
    <m/>
    <m/>
    <m/>
    <n v="12"/>
    <b v="1"/>
    <n v="113220"/>
    <b v="1"/>
  </r>
  <r>
    <s v="PEAK ONE. LLC[山崎裕久(Mr.K)]"/>
    <s v="C-00010029"/>
    <x v="660"/>
    <s v="wainaoi@yahoo.co.jp"/>
    <x v="1"/>
    <s v="2024/12/09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10021"/>
    <x v="661"/>
    <s v="u36015@i.softbank.jp"/>
    <x v="4"/>
    <s v="2024/04/03 00:00:00"/>
    <s v="2025/04/20 00:00:00"/>
    <s v="クレジットカード（ROBOT）"/>
    <n v="113220"/>
    <s v="10"/>
    <n v="0"/>
    <n v="0"/>
    <n v="113220"/>
    <n v="0"/>
    <n v="0"/>
    <n v="0"/>
    <n v="0"/>
    <n v="0"/>
    <n v="0"/>
    <n v="0"/>
    <n v="0"/>
    <n v="0"/>
    <n v="0"/>
    <n v="12"/>
    <x v="0"/>
    <x v="0"/>
    <x v="3"/>
    <x v="3"/>
    <x v="3"/>
    <x v="3"/>
    <x v="2"/>
    <x v="2"/>
    <x v="2"/>
    <n v="9435"/>
    <n v="9435"/>
    <n v="9435"/>
    <n v="9435"/>
    <n v="9435"/>
    <m/>
    <m/>
    <m/>
    <m/>
    <m/>
    <m/>
    <m/>
    <m/>
    <m/>
    <m/>
    <n v="12"/>
    <b v="1"/>
    <n v="113220"/>
    <b v="1"/>
  </r>
  <r>
    <s v="PEAK ONE. LLC[山崎裕久(Mr.K)]"/>
    <s v="C-00009999"/>
    <x v="662"/>
    <s v="srikych5lg@outlook.jp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91"/>
    <x v="663"/>
    <s v="akirasato0927@gmail.com"/>
    <x v="4"/>
    <s v="2024/08/03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90"/>
    <x v="664"/>
    <s v="zwu10716@gmail.com"/>
    <x v="4"/>
    <s v="2024/04/02 00:00:00"/>
    <s v="2025/04/20 00:00:00"/>
    <s v="クレジットカード（ROBOT）"/>
    <n v="113220"/>
    <s v="10"/>
    <n v="0"/>
    <n v="0"/>
    <n v="113220"/>
    <n v="0"/>
    <n v="0"/>
    <n v="0"/>
    <n v="0"/>
    <n v="0"/>
    <n v="0"/>
    <n v="0"/>
    <n v="0"/>
    <n v="0"/>
    <n v="0"/>
    <n v="12"/>
    <x v="0"/>
    <x v="0"/>
    <x v="3"/>
    <x v="3"/>
    <x v="3"/>
    <x v="3"/>
    <x v="2"/>
    <x v="2"/>
    <x v="2"/>
    <n v="9435"/>
    <n v="9435"/>
    <n v="9435"/>
    <n v="9435"/>
    <n v="9435"/>
    <m/>
    <m/>
    <m/>
    <m/>
    <m/>
    <m/>
    <m/>
    <m/>
    <m/>
    <m/>
    <n v="12"/>
    <b v="1"/>
    <n v="113220"/>
    <b v="1"/>
  </r>
  <r>
    <s v="PEAK ONE. LLC[山崎裕久(Mr.K)]"/>
    <s v="C-00009989"/>
    <x v="665"/>
    <s v="minamoto724@icloud.com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81"/>
    <x v="666"/>
    <s v="info@kitaokaclinic.jp"/>
    <x v="4"/>
    <s v="2025/01/04 00:00:00"/>
    <s v="2025/12/20 00:00:00"/>
    <s v="クレジットカード（ROBOT）"/>
    <n v="113220"/>
    <s v="2"/>
    <n v="0"/>
    <n v="0"/>
    <n v="0"/>
    <n v="0"/>
    <n v="0"/>
    <n v="0"/>
    <n v="0"/>
    <n v="0"/>
    <n v="0"/>
    <n v="0"/>
    <n v="113220"/>
    <n v="0"/>
    <n v="0"/>
    <n v="12"/>
    <x v="0"/>
    <x v="0"/>
    <x v="1"/>
    <x v="1"/>
    <x v="1"/>
    <x v="0"/>
    <x v="0"/>
    <x v="0"/>
    <x v="0"/>
    <m/>
    <n v="9435"/>
    <n v="9435"/>
    <n v="9435"/>
    <n v="9435"/>
    <n v="9435"/>
    <n v="9435"/>
    <n v="9435"/>
    <n v="9435"/>
    <n v="9435"/>
    <n v="9435"/>
    <n v="9435"/>
    <n v="9435"/>
    <m/>
    <m/>
    <n v="12"/>
    <b v="1"/>
    <n v="113220"/>
    <b v="1"/>
  </r>
  <r>
    <s v="PEAK ONE. LLC[山崎裕久(Mr.K)]"/>
    <s v="C-00009974"/>
    <x v="667"/>
    <s v="fortuna783kaichan@ezweb.ne.jp"/>
    <x v="4"/>
    <s v="2024/04/05 00:00:00"/>
    <s v="2025/04/20 00:00:00"/>
    <s v="クレジットカード（ROBOT）"/>
    <n v="113220"/>
    <s v="10"/>
    <n v="0"/>
    <n v="0"/>
    <n v="113220"/>
    <n v="0"/>
    <n v="0"/>
    <n v="0"/>
    <n v="0"/>
    <n v="0"/>
    <n v="0"/>
    <n v="0"/>
    <n v="0"/>
    <n v="0"/>
    <n v="0"/>
    <n v="12"/>
    <x v="0"/>
    <x v="0"/>
    <x v="3"/>
    <x v="3"/>
    <x v="3"/>
    <x v="3"/>
    <x v="2"/>
    <x v="2"/>
    <x v="2"/>
    <n v="9435"/>
    <n v="9435"/>
    <n v="9435"/>
    <n v="9435"/>
    <n v="9435"/>
    <m/>
    <m/>
    <m/>
    <m/>
    <m/>
    <m/>
    <m/>
    <m/>
    <m/>
    <m/>
    <n v="12"/>
    <b v="1"/>
    <n v="113220"/>
    <b v="1"/>
  </r>
  <r>
    <s v="PEAK ONE. LLC[山崎裕久(Mr.K)]"/>
    <s v="C-00009968"/>
    <x v="668"/>
    <s v="qqba55bd@oasis.ocn.ne.jp"/>
    <x v="4"/>
    <s v="2024/05/05 00:00:00"/>
    <s v="2025/05/20 00:00:00"/>
    <s v="クレジットカード（ROBOT）"/>
    <n v="113220"/>
    <s v="9"/>
    <n v="0"/>
    <n v="0"/>
    <n v="0"/>
    <n v="113220"/>
    <n v="0"/>
    <n v="0"/>
    <n v="0"/>
    <n v="0"/>
    <n v="0"/>
    <n v="0"/>
    <n v="0"/>
    <n v="0"/>
    <n v="0"/>
    <n v="12"/>
    <x v="0"/>
    <x v="0"/>
    <x v="1"/>
    <x v="3"/>
    <x v="3"/>
    <x v="3"/>
    <x v="2"/>
    <x v="2"/>
    <x v="2"/>
    <n v="9435"/>
    <n v="9435"/>
    <n v="9435"/>
    <n v="9435"/>
    <n v="9435"/>
    <n v="9435"/>
    <m/>
    <m/>
    <m/>
    <m/>
    <m/>
    <m/>
    <m/>
    <m/>
    <m/>
    <n v="12"/>
    <b v="1"/>
    <n v="113220"/>
    <b v="1"/>
  </r>
  <r>
    <s v="PEAK ONE. LLC[山崎裕久(Mr.K)]"/>
    <s v="C-00009957"/>
    <x v="669"/>
    <s v="ybkerk@gmail.com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54"/>
    <x v="670"/>
    <s v="takanami007731@i.softbank.jp"/>
    <x v="4"/>
    <s v="2024/04/03 00:00:00"/>
    <s v="2025/04/20 00:00:00"/>
    <s v="クレジットカード（ROBOT）"/>
    <n v="113220"/>
    <s v="10"/>
    <n v="0"/>
    <n v="0"/>
    <n v="113220"/>
    <n v="0"/>
    <n v="0"/>
    <n v="0"/>
    <n v="0"/>
    <n v="0"/>
    <n v="0"/>
    <n v="0"/>
    <n v="0"/>
    <n v="0"/>
    <n v="0"/>
    <n v="12"/>
    <x v="0"/>
    <x v="0"/>
    <x v="3"/>
    <x v="3"/>
    <x v="3"/>
    <x v="3"/>
    <x v="2"/>
    <x v="2"/>
    <x v="2"/>
    <n v="9435"/>
    <n v="9435"/>
    <n v="9435"/>
    <n v="9435"/>
    <n v="9435"/>
    <m/>
    <m/>
    <m/>
    <m/>
    <m/>
    <m/>
    <m/>
    <m/>
    <m/>
    <m/>
    <n v="12"/>
    <b v="1"/>
    <n v="113220"/>
    <b v="1"/>
  </r>
  <r>
    <s v="PEAK ONE. LLC[山崎裕久(Mr.K)]"/>
    <s v="C-00009951"/>
    <x v="671"/>
    <s v="juydki@gmail.com"/>
    <x v="4"/>
    <s v="2024/08/20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45"/>
    <x v="672"/>
    <s v="stv.oizumi@gmail.com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43"/>
    <x v="673"/>
    <s v="mino.komiyama@gmail.com"/>
    <x v="4"/>
    <s v="2024/08/03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30"/>
    <x v="674"/>
    <s v="lilac2701@gmail.com"/>
    <x v="4"/>
    <s v="2024/08/13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922"/>
    <x v="675"/>
    <s v="okaz876@gmail.com"/>
    <x v="1"/>
    <s v="2024/04/1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09867"/>
    <x v="676"/>
    <s v="nagayanda@yahoo.co.jp"/>
    <x v="0"/>
    <s v="2024/04/16 00:00:00"/>
    <s v="2025/04/20 00:00:00"/>
    <s v="クレジットカード（ROBOT）"/>
    <n v="59400"/>
    <s v="1"/>
    <n v="0"/>
    <n v="0"/>
    <n v="59400"/>
    <n v="0"/>
    <n v="0"/>
    <n v="0"/>
    <n v="0"/>
    <n v="0"/>
    <n v="0"/>
    <n v="0"/>
    <n v="0"/>
    <n v="0"/>
    <n v="0"/>
    <n v="3"/>
    <x v="0"/>
    <x v="0"/>
    <x v="0"/>
    <x v="0"/>
    <x v="0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09845"/>
    <x v="677"/>
    <s v="hidesato571526@yahoo.co.jp"/>
    <x v="4"/>
    <s v="2025/02/03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09844"/>
    <x v="678"/>
    <s v="trader3216@yahoo.co.jp"/>
    <x v="4"/>
    <s v="2024/08/02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9735"/>
    <x v="679"/>
    <s v="tku05210903@gmail.com"/>
    <x v="4"/>
    <s v="2025/02/02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  <r>
    <s v="PEAK ONE. LLC[山崎裕久(Mr.K)]"/>
    <s v="C-00009716"/>
    <x v="680"/>
    <s v="hide777keitai@ezweb.ne.jp"/>
    <x v="4"/>
    <s v="2024/08/05 00:00:00"/>
    <s v="2025/08/20 00:00:00"/>
    <s v="クレジットカード（ROBOT）"/>
    <n v="113220"/>
    <s v="6"/>
    <n v="0"/>
    <n v="0"/>
    <n v="0"/>
    <n v="0"/>
    <n v="0"/>
    <n v="0"/>
    <n v="113220"/>
    <n v="0"/>
    <n v="0"/>
    <n v="0"/>
    <n v="0"/>
    <n v="0"/>
    <n v="0"/>
    <n v="12"/>
    <x v="0"/>
    <x v="0"/>
    <x v="1"/>
    <x v="1"/>
    <x v="1"/>
    <x v="0"/>
    <x v="2"/>
    <x v="2"/>
    <x v="2"/>
    <n v="9435"/>
    <n v="9435"/>
    <n v="9435"/>
    <n v="9435"/>
    <n v="9435"/>
    <n v="9435"/>
    <n v="9435"/>
    <n v="9435"/>
    <n v="9435"/>
    <m/>
    <m/>
    <m/>
    <m/>
    <m/>
    <m/>
    <n v="12"/>
    <b v="1"/>
    <n v="113220"/>
    <b v="1"/>
  </r>
  <r>
    <s v="PEAK ONE. LLC[山崎裕久(Mr.K)]"/>
    <s v="C-00008161"/>
    <x v="681"/>
    <s v="nishiya8@gmail.com"/>
    <x v="0"/>
    <s v="2024/12/19 00:00:00"/>
    <s v="2025/03/20 00:00:00"/>
    <s v="クレジットカード（ROBOT）"/>
    <n v="59400"/>
    <s v="2"/>
    <n v="0"/>
    <n v="59400"/>
    <n v="0"/>
    <n v="0"/>
    <n v="0"/>
    <n v="0"/>
    <n v="0"/>
    <n v="0"/>
    <n v="0"/>
    <n v="0"/>
    <n v="0"/>
    <n v="0"/>
    <n v="0"/>
    <n v="3"/>
    <x v="0"/>
    <x v="1"/>
    <x v="0"/>
    <x v="0"/>
    <x v="1"/>
    <x v="0"/>
    <x v="0"/>
    <x v="0"/>
    <x v="0"/>
    <m/>
    <m/>
    <m/>
    <m/>
    <m/>
    <m/>
    <m/>
    <m/>
    <m/>
    <m/>
    <m/>
    <m/>
    <m/>
    <m/>
    <m/>
    <n v="3"/>
    <b v="1"/>
    <n v="59400"/>
    <b v="1"/>
  </r>
  <r>
    <s v="PEAK ONE. LLC[山崎裕久(Mr.K)]"/>
    <s v="C-00008001"/>
    <x v="682"/>
    <s v="tkskurokochi@gmail.com"/>
    <x v="4"/>
    <s v="2024/04/13 00:00:00"/>
    <s v="2025/04/20 00:00:00"/>
    <s v="クレジットカード（ROBOT）"/>
    <n v="113220"/>
    <s v="10"/>
    <n v="0"/>
    <n v="0"/>
    <n v="113220"/>
    <n v="0"/>
    <n v="0"/>
    <n v="0"/>
    <n v="0"/>
    <n v="0"/>
    <n v="0"/>
    <n v="0"/>
    <n v="0"/>
    <n v="0"/>
    <n v="0"/>
    <n v="12"/>
    <x v="0"/>
    <x v="0"/>
    <x v="3"/>
    <x v="3"/>
    <x v="3"/>
    <x v="3"/>
    <x v="2"/>
    <x v="2"/>
    <x v="2"/>
    <n v="9435"/>
    <n v="9435"/>
    <n v="9435"/>
    <n v="9435"/>
    <n v="9435"/>
    <m/>
    <m/>
    <m/>
    <m/>
    <m/>
    <m/>
    <m/>
    <m/>
    <m/>
    <m/>
    <n v="12"/>
    <b v="1"/>
    <n v="113220"/>
    <b v="1"/>
  </r>
  <r>
    <s v="PEAK ONE. LLC[山崎裕久(Mr.K)]"/>
    <s v="C-00007952"/>
    <x v="683"/>
    <s v="d86u2xfd@i.softbank.jp"/>
    <x v="1"/>
    <s v="2024/04/20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05599"/>
    <x v="684"/>
    <s v="egawajunichi1002@gmail.com"/>
    <x v="1"/>
    <s v="2024/04/19 00:00:00"/>
    <s v="2025/04/20 00:00:00"/>
    <s v="クレジットカード（ROBOT）"/>
    <n v="114300"/>
    <s v="4"/>
    <n v="0"/>
    <n v="0"/>
    <n v="114300"/>
    <n v="0"/>
    <n v="0"/>
    <n v="0"/>
    <n v="0"/>
    <n v="0"/>
    <n v="0"/>
    <n v="0"/>
    <n v="0"/>
    <n v="0"/>
    <n v="0"/>
    <n v="6"/>
    <x v="0"/>
    <x v="0"/>
    <x v="2"/>
    <x v="2"/>
    <x v="2"/>
    <x v="1"/>
    <x v="1"/>
    <x v="1"/>
    <x v="0"/>
    <m/>
    <m/>
    <m/>
    <m/>
    <m/>
    <m/>
    <m/>
    <m/>
    <m/>
    <m/>
    <m/>
    <m/>
    <m/>
    <m/>
    <m/>
    <n v="6"/>
    <b v="1"/>
    <n v="114300"/>
    <b v="1"/>
  </r>
  <r>
    <s v="PEAK ONE. LLC[山崎裕久(Mr.K)]"/>
    <s v="C-00005086"/>
    <x v="685"/>
    <s v="naka8344@gmail.com"/>
    <x v="1"/>
    <s v="2023/11/17 00:00:00"/>
    <s v="2025/05/20 00:00:00"/>
    <s v="クレジットカード（ROBOT）"/>
    <n v="114300"/>
    <s v="3"/>
    <n v="0"/>
    <n v="0"/>
    <n v="0"/>
    <n v="114300"/>
    <n v="0"/>
    <n v="0"/>
    <n v="0"/>
    <n v="0"/>
    <n v="0"/>
    <n v="0"/>
    <n v="0"/>
    <n v="0"/>
    <n v="0"/>
    <n v="6"/>
    <x v="0"/>
    <x v="0"/>
    <x v="1"/>
    <x v="2"/>
    <x v="2"/>
    <x v="1"/>
    <x v="1"/>
    <x v="1"/>
    <x v="1"/>
    <m/>
    <m/>
    <m/>
    <m/>
    <m/>
    <m/>
    <m/>
    <m/>
    <m/>
    <m/>
    <m/>
    <m/>
    <m/>
    <m/>
    <m/>
    <n v="6"/>
    <b v="1"/>
    <n v="114300"/>
    <b v="1"/>
  </r>
  <r>
    <s v="PEAK ONE. LLC[山崎裕久(Mr.K)]"/>
    <s v="C-00004918"/>
    <x v="686"/>
    <s v="takashikishino6387@gmail.com"/>
    <x v="1"/>
    <s v="2024/12/25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03854"/>
    <x v="687"/>
    <s v="cxk00451@nifty.ne.jp"/>
    <x v="1"/>
    <s v="2024/12/20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00788"/>
    <x v="688"/>
    <s v="sumire1231po@outlook.jp"/>
    <x v="1"/>
    <s v="2024/12/16 00:00:00"/>
    <s v="2025/06/20 00:00:00"/>
    <s v="クレジットカード（ROBOT）"/>
    <n v="114300"/>
    <s v="2"/>
    <n v="0"/>
    <n v="0"/>
    <n v="0"/>
    <n v="0"/>
    <n v="114300"/>
    <n v="0"/>
    <n v="0"/>
    <n v="0"/>
    <n v="0"/>
    <n v="0"/>
    <n v="0"/>
    <n v="0"/>
    <n v="0"/>
    <n v="6"/>
    <x v="0"/>
    <x v="0"/>
    <x v="1"/>
    <x v="1"/>
    <x v="2"/>
    <x v="1"/>
    <x v="1"/>
    <x v="1"/>
    <x v="1"/>
    <n v="19050"/>
    <m/>
    <m/>
    <m/>
    <m/>
    <m/>
    <m/>
    <m/>
    <m/>
    <m/>
    <m/>
    <m/>
    <m/>
    <m/>
    <m/>
    <n v="6"/>
    <b v="1"/>
    <n v="114300"/>
    <b v="1"/>
  </r>
  <r>
    <s v="PEAK ONE. LLC[山崎裕久(Mr.K)]"/>
    <s v="C-00000014"/>
    <x v="689"/>
    <s v="mee.neko.nyao@gmail.com"/>
    <x v="4"/>
    <s v="2025/02/11 00:00:00"/>
    <s v="2026/02/20 00:00:00"/>
    <s v="クレジットカード（ROBOT）"/>
    <n v="113220"/>
    <s v="1"/>
    <n v="0"/>
    <n v="0"/>
    <n v="0"/>
    <n v="0"/>
    <n v="0"/>
    <n v="0"/>
    <n v="0"/>
    <n v="0"/>
    <n v="0"/>
    <n v="0"/>
    <n v="0"/>
    <n v="0"/>
    <n v="113220"/>
    <n v="12"/>
    <x v="0"/>
    <x v="0"/>
    <x v="1"/>
    <x v="1"/>
    <x v="1"/>
    <x v="0"/>
    <x v="0"/>
    <x v="0"/>
    <x v="0"/>
    <m/>
    <m/>
    <m/>
    <n v="9435"/>
    <n v="9435"/>
    <n v="9435"/>
    <n v="9435"/>
    <n v="9435"/>
    <n v="9435"/>
    <n v="9435"/>
    <n v="9435"/>
    <n v="9435"/>
    <n v="9435"/>
    <n v="9435"/>
    <n v="9435"/>
    <n v="12"/>
    <b v="1"/>
    <n v="113220"/>
    <b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x v="0"/>
    <x v="0"/>
    <s v="3ヶ月会員（ライト・クレカ自動更新）"/>
    <x v="0"/>
    <n v="19800"/>
  </r>
  <r>
    <x v="0"/>
    <x v="0"/>
    <s v="3ヶ月会員（ライト・クレカ自動更新）"/>
    <x v="1"/>
    <n v="1821600"/>
  </r>
  <r>
    <x v="0"/>
    <x v="0"/>
    <s v="3ヶ月会員（ライト・クレカ自動更新）"/>
    <x v="2"/>
    <n v="2296800"/>
  </r>
  <r>
    <x v="0"/>
    <x v="0"/>
    <s v="3ヶ月会員（ライト・クレカ自動更新）"/>
    <x v="3"/>
    <n v="2296800"/>
  </r>
  <r>
    <x v="0"/>
    <x v="0"/>
    <s v="3ヶ月会員（ライト・クレカ自動更新）"/>
    <x v="4"/>
    <n v="495000"/>
  </r>
  <r>
    <x v="0"/>
    <x v="0"/>
    <s v="3ヶ月会員（ライト・クレカ自動更新）"/>
    <x v="5"/>
    <n v="19800"/>
  </r>
  <r>
    <x v="0"/>
    <x v="0"/>
    <s v="6ヶ月会員（ライト・クレカ自動更新）"/>
    <x v="0"/>
    <n v="38100"/>
  </r>
  <r>
    <x v="0"/>
    <x v="0"/>
    <s v="6ヶ月会員（ライト・クレカ自動更新）"/>
    <x v="1"/>
    <n v="533400"/>
  </r>
  <r>
    <x v="0"/>
    <x v="0"/>
    <s v="6ヶ月会員（ライト・クレカ自動更新）"/>
    <x v="2"/>
    <n v="3009900"/>
  </r>
  <r>
    <x v="0"/>
    <x v="0"/>
    <s v="6ヶ月会員（ライト・クレカ自動更新）"/>
    <x v="3"/>
    <n v="3181350"/>
  </r>
  <r>
    <x v="0"/>
    <x v="0"/>
    <s v="6ヶ月会員（ライト・クレカ自動更新）"/>
    <x v="4"/>
    <n v="9353550"/>
  </r>
  <r>
    <x v="0"/>
    <x v="0"/>
    <s v="6ヶ月会員（ライト・クレカ自動更新）"/>
    <x v="5"/>
    <n v="9467850"/>
  </r>
  <r>
    <x v="0"/>
    <x v="0"/>
    <s v="6ヶ月会員（ライト・クレカ自動更新）"/>
    <x v="6"/>
    <n v="9448800"/>
  </r>
  <r>
    <x v="0"/>
    <x v="0"/>
    <s v="6ヶ月会員（ライト・クレカ自動更新）"/>
    <x v="7"/>
    <n v="8953500"/>
  </r>
  <r>
    <x v="0"/>
    <x v="0"/>
    <s v="6ヶ月会員（ライト・クレカ自動更新）"/>
    <x v="8"/>
    <n v="6477000"/>
  </r>
  <r>
    <x v="0"/>
    <x v="0"/>
    <s v="6ヶ月会員（ライト・クレカ自動更新）"/>
    <x v="9"/>
    <n v="6305550"/>
  </r>
  <r>
    <x v="0"/>
    <x v="0"/>
    <s v="6ヶ月会員（ライト・クレカ自動更新）"/>
    <x v="10"/>
    <n v="133350"/>
  </r>
  <r>
    <x v="0"/>
    <x v="0"/>
    <s v="6ヶ月会員（ライト・クレカ自動更新）"/>
    <x v="11"/>
    <n v="19050"/>
  </r>
  <r>
    <x v="0"/>
    <x v="0"/>
    <s v="Apex年間会員（自動更新）"/>
    <x v="2"/>
    <n v="56610"/>
  </r>
  <r>
    <x v="0"/>
    <x v="0"/>
    <s v="Apex年間会員（自動更新）"/>
    <x v="3"/>
    <n v="84915"/>
  </r>
  <r>
    <x v="0"/>
    <x v="0"/>
    <s v="Apex年間会員（自動更新）"/>
    <x v="4"/>
    <n v="84915"/>
  </r>
  <r>
    <x v="0"/>
    <x v="0"/>
    <s v="Apex年間会員（自動更新）"/>
    <x v="5"/>
    <n v="94350"/>
  </r>
  <r>
    <x v="0"/>
    <x v="0"/>
    <s v="Apex年間会員（自動更新）"/>
    <x v="6"/>
    <n v="245310"/>
  </r>
  <r>
    <x v="0"/>
    <x v="0"/>
    <s v="Apex年間会員（自動更新）"/>
    <x v="7"/>
    <n v="245310"/>
  </r>
  <r>
    <x v="0"/>
    <x v="0"/>
    <s v="Apex年間会員（自動更新）"/>
    <x v="8"/>
    <n v="245310"/>
  </r>
  <r>
    <x v="0"/>
    <x v="0"/>
    <s v="Apex年間会員（自動更新）"/>
    <x v="9"/>
    <n v="245310"/>
  </r>
  <r>
    <x v="0"/>
    <x v="0"/>
    <s v="Apex年間会員（自動更新）"/>
    <x v="10"/>
    <n v="254745"/>
  </r>
  <r>
    <x v="0"/>
    <x v="0"/>
    <s v="Apex年間会員（自動更新）"/>
    <x v="11"/>
    <n v="254745"/>
  </r>
  <r>
    <x v="0"/>
    <x v="0"/>
    <s v="Apex年間会員（自動更新）"/>
    <x v="12"/>
    <n v="349095"/>
  </r>
  <r>
    <x v="0"/>
    <x v="0"/>
    <s v="Apex年間会員（自動更新）"/>
    <x v="13"/>
    <n v="349095"/>
  </r>
  <r>
    <x v="0"/>
    <x v="0"/>
    <s v="Apex年間会員（自動更新）"/>
    <x v="14"/>
    <n v="292485"/>
  </r>
  <r>
    <x v="0"/>
    <x v="0"/>
    <s v="Apex年間会員（自動更新）"/>
    <x v="15"/>
    <n v="264180"/>
  </r>
  <r>
    <x v="0"/>
    <x v="0"/>
    <s v="Apex年間会員（自動更新）"/>
    <x v="16"/>
    <n v="264180"/>
  </r>
  <r>
    <x v="0"/>
    <x v="0"/>
    <s v="Apex年間会員（自動更新）"/>
    <x v="17"/>
    <n v="254745"/>
  </r>
  <r>
    <x v="0"/>
    <x v="0"/>
    <s v="Apex年間会員（自動更新）"/>
    <x v="18"/>
    <n v="103785"/>
  </r>
  <r>
    <x v="0"/>
    <x v="0"/>
    <s v="Apex年間会員（自動更新）"/>
    <x v="19"/>
    <n v="103785"/>
  </r>
  <r>
    <x v="0"/>
    <x v="0"/>
    <s v="Apex年間会員（自動更新）"/>
    <x v="20"/>
    <n v="103785"/>
  </r>
  <r>
    <x v="0"/>
    <x v="0"/>
    <s v="Apex年間会員（自動更新）"/>
    <x v="21"/>
    <n v="103785"/>
  </r>
  <r>
    <x v="0"/>
    <x v="0"/>
    <s v="Apex年間会員（自動更新）"/>
    <x v="22"/>
    <n v="94350"/>
  </r>
  <r>
    <x v="0"/>
    <x v="0"/>
    <s v="Apex年間会員（自動更新）"/>
    <x v="23"/>
    <n v="94350"/>
  </r>
  <r>
    <x v="0"/>
    <x v="0"/>
    <s v="銀振会員（更新要ｶｸﾆﾝ）3ヶ月"/>
    <x v="0"/>
    <n v="0"/>
  </r>
  <r>
    <x v="0"/>
    <x v="0"/>
    <s v="銀振会員（更新要ｶｸﾆﾝ）3ヶ月"/>
    <x v="1"/>
    <n v="178200"/>
  </r>
  <r>
    <x v="0"/>
    <x v="0"/>
    <s v="銀振会員（更新要ｶｸﾆﾝ）3ヶ月"/>
    <x v="2"/>
    <n v="198000"/>
  </r>
  <r>
    <x v="0"/>
    <x v="0"/>
    <s v="銀振会員（更新要ｶｸﾆﾝ）3ヶ月"/>
    <x v="3"/>
    <n v="198000"/>
  </r>
  <r>
    <x v="0"/>
    <x v="0"/>
    <s v="銀振会員（更新要ｶｸﾆﾝ）3ヶ月"/>
    <x v="4"/>
    <n v="19800"/>
  </r>
  <r>
    <x v="0"/>
    <x v="0"/>
    <s v="銀振会員（更新要ｶｸﾆﾝ）6ヶ月"/>
    <x v="2"/>
    <n v="76200"/>
  </r>
  <r>
    <x v="0"/>
    <x v="0"/>
    <s v="銀振会員（更新要ｶｸﾆﾝ）6ヶ月"/>
    <x v="3"/>
    <n v="76200"/>
  </r>
  <r>
    <x v="0"/>
    <x v="0"/>
    <s v="銀振会員（更新要ｶｸﾆﾝ）6ヶ月"/>
    <x v="4"/>
    <n v="495300"/>
  </r>
  <r>
    <x v="0"/>
    <x v="0"/>
    <s v="銀振会員（更新要ｶｸﾆﾝ）6ヶ月"/>
    <x v="5"/>
    <n v="495300"/>
  </r>
  <r>
    <x v="0"/>
    <x v="0"/>
    <s v="銀振会員（更新要ｶｸﾆﾝ）6ヶ月"/>
    <x v="6"/>
    <n v="495300"/>
  </r>
  <r>
    <x v="0"/>
    <x v="0"/>
    <s v="銀振会員（更新要ｶｸﾆﾝ）6ヶ月"/>
    <x v="7"/>
    <n v="495300"/>
  </r>
  <r>
    <x v="0"/>
    <x v="0"/>
    <s v="銀振会員（更新要ｶｸﾆﾝ）6ヶ月"/>
    <x v="8"/>
    <n v="419100"/>
  </r>
  <r>
    <x v="0"/>
    <x v="0"/>
    <s v="銀振会員（更新要ｶｸﾆﾝ）6ヶ月"/>
    <x v="9"/>
    <n v="419100"/>
  </r>
  <r>
    <x v="0"/>
    <x v="1"/>
    <s v="3ヶ月会員（ライト・クレカ自動更新）"/>
    <x v="0"/>
    <n v="8910"/>
  </r>
  <r>
    <x v="0"/>
    <x v="1"/>
    <s v="3ヶ月会員（ライト・クレカ自動更新）"/>
    <x v="1"/>
    <n v="819720"/>
  </r>
  <r>
    <x v="0"/>
    <x v="1"/>
    <s v="3ヶ月会員（ライト・クレカ自動更新）"/>
    <x v="2"/>
    <n v="1033560"/>
  </r>
  <r>
    <x v="0"/>
    <x v="1"/>
    <s v="3ヶ月会員（ライト・クレカ自動更新）"/>
    <x v="3"/>
    <n v="1033560"/>
  </r>
  <r>
    <x v="0"/>
    <x v="1"/>
    <s v="3ヶ月会員（ライト・クレカ自動更新）"/>
    <x v="4"/>
    <n v="222750"/>
  </r>
  <r>
    <x v="0"/>
    <x v="1"/>
    <s v="3ヶ月会員（ライト・クレカ自動更新）"/>
    <x v="5"/>
    <n v="8910"/>
  </r>
  <r>
    <x v="0"/>
    <x v="1"/>
    <s v="6ヶ月会員（ライト・クレカ自動更新）"/>
    <x v="0"/>
    <n v="17145"/>
  </r>
  <r>
    <x v="0"/>
    <x v="1"/>
    <s v="6ヶ月会員（ライト・クレカ自動更新）"/>
    <x v="1"/>
    <n v="240030"/>
  </r>
  <r>
    <x v="0"/>
    <x v="1"/>
    <s v="6ヶ月会員（ライト・クレカ自動更新）"/>
    <x v="2"/>
    <n v="1354455"/>
  </r>
  <r>
    <x v="0"/>
    <x v="1"/>
    <s v="6ヶ月会員（ライト・クレカ自動更新）"/>
    <x v="3"/>
    <n v="1431607"/>
  </r>
  <r>
    <x v="0"/>
    <x v="1"/>
    <s v="6ヶ月会員（ライト・クレカ自動更新）"/>
    <x v="4"/>
    <n v="4209097"/>
  </r>
  <r>
    <x v="0"/>
    <x v="1"/>
    <s v="6ヶ月会員（ライト・クレカ自動更新）"/>
    <x v="5"/>
    <n v="4260532"/>
  </r>
  <r>
    <x v="0"/>
    <x v="1"/>
    <s v="6ヶ月会員（ライト・クレカ自動更新）"/>
    <x v="6"/>
    <n v="4251960"/>
  </r>
  <r>
    <x v="0"/>
    <x v="1"/>
    <s v="6ヶ月会員（ライト・クレカ自動更新）"/>
    <x v="7"/>
    <n v="4029075"/>
  </r>
  <r>
    <x v="0"/>
    <x v="1"/>
    <s v="6ヶ月会員（ライト・クレカ自動更新）"/>
    <x v="8"/>
    <n v="2914650"/>
  </r>
  <r>
    <x v="0"/>
    <x v="1"/>
    <s v="6ヶ月会員（ライト・クレカ自動更新）"/>
    <x v="9"/>
    <n v="2837497"/>
  </r>
  <r>
    <x v="0"/>
    <x v="1"/>
    <s v="6ヶ月会員（ライト・クレカ自動更新）"/>
    <x v="10"/>
    <n v="60007"/>
  </r>
  <r>
    <x v="0"/>
    <x v="1"/>
    <s v="6ヶ月会員（ライト・クレカ自動更新）"/>
    <x v="11"/>
    <n v="8572"/>
  </r>
  <r>
    <x v="0"/>
    <x v="1"/>
    <s v="Apex年間会員（自動更新）"/>
    <x v="2"/>
    <n v="25474"/>
  </r>
  <r>
    <x v="0"/>
    <x v="1"/>
    <s v="Apex年間会員（自動更新）"/>
    <x v="3"/>
    <n v="38211"/>
  </r>
  <r>
    <x v="0"/>
    <x v="1"/>
    <s v="Apex年間会員（自動更新）"/>
    <x v="4"/>
    <n v="38211"/>
  </r>
  <r>
    <x v="0"/>
    <x v="1"/>
    <s v="Apex年間会員（自動更新）"/>
    <x v="5"/>
    <n v="42457"/>
  </r>
  <r>
    <x v="0"/>
    <x v="1"/>
    <s v="Apex年間会員（自動更新）"/>
    <x v="6"/>
    <n v="110389"/>
  </r>
  <r>
    <x v="0"/>
    <x v="1"/>
    <s v="Apex年間会員（自動更新）"/>
    <x v="7"/>
    <n v="110389"/>
  </r>
  <r>
    <x v="0"/>
    <x v="1"/>
    <s v="Apex年間会員（自動更新）"/>
    <x v="8"/>
    <n v="110389"/>
  </r>
  <r>
    <x v="0"/>
    <x v="1"/>
    <s v="Apex年間会員（自動更新）"/>
    <x v="9"/>
    <n v="110389"/>
  </r>
  <r>
    <x v="0"/>
    <x v="1"/>
    <s v="Apex年間会員（自動更新）"/>
    <x v="10"/>
    <n v="114635"/>
  </r>
  <r>
    <x v="0"/>
    <x v="1"/>
    <s v="Apex年間会員（自動更新）"/>
    <x v="11"/>
    <n v="114635"/>
  </r>
  <r>
    <x v="0"/>
    <x v="1"/>
    <s v="Apex年間会員（自動更新）"/>
    <x v="12"/>
    <n v="157092"/>
  </r>
  <r>
    <x v="0"/>
    <x v="1"/>
    <s v="Apex年間会員（自動更新）"/>
    <x v="13"/>
    <n v="157092"/>
  </r>
  <r>
    <x v="0"/>
    <x v="1"/>
    <s v="Apex年間会員（自動更新）"/>
    <x v="14"/>
    <n v="131618"/>
  </r>
  <r>
    <x v="0"/>
    <x v="1"/>
    <s v="Apex年間会員（自動更新）"/>
    <x v="15"/>
    <n v="118881"/>
  </r>
  <r>
    <x v="0"/>
    <x v="1"/>
    <s v="Apex年間会員（自動更新）"/>
    <x v="16"/>
    <n v="118881"/>
  </r>
  <r>
    <x v="0"/>
    <x v="1"/>
    <s v="Apex年間会員（自動更新）"/>
    <x v="17"/>
    <n v="114635"/>
  </r>
  <r>
    <x v="0"/>
    <x v="1"/>
    <s v="Apex年間会員（自動更新）"/>
    <x v="18"/>
    <n v="46703"/>
  </r>
  <r>
    <x v="0"/>
    <x v="1"/>
    <s v="Apex年間会員（自動更新）"/>
    <x v="19"/>
    <n v="46703"/>
  </r>
  <r>
    <x v="0"/>
    <x v="1"/>
    <s v="Apex年間会員（自動更新）"/>
    <x v="20"/>
    <n v="46703"/>
  </r>
  <r>
    <x v="0"/>
    <x v="1"/>
    <s v="Apex年間会員（自動更新）"/>
    <x v="21"/>
    <n v="46703"/>
  </r>
  <r>
    <x v="0"/>
    <x v="1"/>
    <s v="Apex年間会員（自動更新）"/>
    <x v="22"/>
    <n v="42457"/>
  </r>
  <r>
    <x v="0"/>
    <x v="1"/>
    <s v="Apex年間会員（自動更新）"/>
    <x v="23"/>
    <n v="42457"/>
  </r>
  <r>
    <x v="0"/>
    <x v="1"/>
    <s v="銀振会員（更新要ｶｸﾆﾝ）3ヶ月"/>
    <x v="0"/>
    <n v="0"/>
  </r>
  <r>
    <x v="0"/>
    <x v="1"/>
    <s v="銀振会員（更新要ｶｸﾆﾝ）3ヶ月"/>
    <x v="1"/>
    <n v="80190"/>
  </r>
  <r>
    <x v="0"/>
    <x v="1"/>
    <s v="銀振会員（更新要ｶｸﾆﾝ）3ヶ月"/>
    <x v="2"/>
    <n v="89100"/>
  </r>
  <r>
    <x v="0"/>
    <x v="1"/>
    <s v="銀振会員（更新要ｶｸﾆﾝ）3ヶ月"/>
    <x v="3"/>
    <n v="89100"/>
  </r>
  <r>
    <x v="0"/>
    <x v="1"/>
    <s v="銀振会員（更新要ｶｸﾆﾝ）3ヶ月"/>
    <x v="4"/>
    <n v="8910"/>
  </r>
  <r>
    <x v="0"/>
    <x v="1"/>
    <s v="銀振会員（更新要ｶｸﾆﾝ）6ヶ月"/>
    <x v="2"/>
    <n v="34290"/>
  </r>
  <r>
    <x v="0"/>
    <x v="1"/>
    <s v="銀振会員（更新要ｶｸﾆﾝ）6ヶ月"/>
    <x v="3"/>
    <n v="34290"/>
  </r>
  <r>
    <x v="0"/>
    <x v="1"/>
    <s v="銀振会員（更新要ｶｸﾆﾝ）6ヶ月"/>
    <x v="4"/>
    <n v="222885"/>
  </r>
  <r>
    <x v="0"/>
    <x v="1"/>
    <s v="銀振会員（更新要ｶｸﾆﾝ）6ヶ月"/>
    <x v="5"/>
    <n v="222885"/>
  </r>
  <r>
    <x v="0"/>
    <x v="1"/>
    <s v="銀振会員（更新要ｶｸﾆﾝ）6ヶ月"/>
    <x v="6"/>
    <n v="222885"/>
  </r>
  <r>
    <x v="0"/>
    <x v="1"/>
    <s v="銀振会員（更新要ｶｸﾆﾝ）6ヶ月"/>
    <x v="7"/>
    <n v="222885"/>
  </r>
  <r>
    <x v="0"/>
    <x v="1"/>
    <s v="銀振会員（更新要ｶｸﾆﾝ）6ヶ月"/>
    <x v="8"/>
    <n v="188595"/>
  </r>
  <r>
    <x v="0"/>
    <x v="1"/>
    <s v="銀振会員（更新要ｶｸﾆﾝ）6ヶ月"/>
    <x v="9"/>
    <n v="1885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">
  <r>
    <s v="C-00083249"/>
    <m/>
    <m/>
    <s v="注文履歴"/>
    <s v="配送履歴"/>
    <s v="田辺博史"/>
    <s v="たなべひろふみ"/>
    <n v="8037680607"/>
    <s v="tanabe@yen-group.com"/>
    <s v="https://mdpink.maildealer.jp/wapi.php"/>
    <m/>
    <s v="540-0004"/>
    <s v="大阪府"/>
    <s v="大阪市東成区中道"/>
    <s v="1-10-10Hoxinpeace森ノ宮105"/>
    <m/>
    <s v="res_youtube_mrk"/>
    <d v="2024-10-26T00:00:00"/>
    <x v="0"/>
    <d v="2025-08-20T00:00:00"/>
    <n v="114300"/>
    <m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81946"/>
    <m/>
    <m/>
    <s v="注文履歴"/>
    <s v="配送履歴"/>
    <s v="山田世賢"/>
    <s v="やまだせいけん"/>
    <n v="9044161980"/>
    <s v="isohatago@yahoo.co.jp"/>
    <s v="https://mdpink.maildealer.jp/wapi.php"/>
    <m/>
    <s v="115-0045"/>
    <s v="東京都"/>
    <s v="北区"/>
    <s v="赤羽1-40-11-704 プレールドゥーク赤羽Ⅱ"/>
    <m/>
    <s v="res_youtube_mrk_seminar241005"/>
    <d v="2024-09-03T00:00:00"/>
    <x v="0"/>
    <d v="2025-09-20T00:00:00"/>
    <n v="114300"/>
    <m/>
    <m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5126"/>
    <m/>
    <s v="ID重複用"/>
    <s v="注文履歴"/>
    <s v="配送履歴"/>
    <s v="武田祐二"/>
    <s v="たけだゆうじ"/>
    <n v="9089580958"/>
    <s v="yellow.tail@docomo.ne.jp"/>
    <s v="https://mdpink.maildealer.jp/wapi.php"/>
    <m/>
    <s v="421-0117"/>
    <s v="静岡県"/>
    <s v="静岡市駿河区下川原南"/>
    <d v="2025-07-21T00:00:00"/>
    <m/>
    <s v="res_youtube_mrk"/>
    <d v="2024-06-01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47"/>
    <m/>
    <m/>
    <s v="注文履歴"/>
    <s v="配送履歴"/>
    <s v="宮川美樹"/>
    <s v="みやかわよしき"/>
    <n v="8018828811"/>
    <s v="adgjmptw2001@gmail.com"/>
    <s v="https://mdpink.maildealer.jp/wapi.php"/>
    <m/>
    <s v="005-0004"/>
    <s v="北海道"/>
    <s v="札幌市南区澄川4条"/>
    <s v="3丁目8-44-1"/>
    <m/>
    <s v="res_youtube_mrk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45"/>
    <m/>
    <m/>
    <s v="注文履歴"/>
    <s v="配送履歴"/>
    <s v="岩崎由美子"/>
    <s v="いわさきゆみこ"/>
    <n v="9069630121"/>
    <s v="kouandryuu@gmail.com"/>
    <s v="https://mdpink.maildealer.jp/wapi.php"/>
    <m/>
    <s v="651-2135"/>
    <s v="兵庫県"/>
    <s v="神戸市西区王塚台"/>
    <s v="2-13-10"/>
    <m/>
    <s v="res_youtube_mrk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42"/>
    <m/>
    <m/>
    <s v="注文履歴"/>
    <s v="配送履歴"/>
    <s v="藤山貴浩"/>
    <s v="ふじやまたかひろ"/>
    <n v="8012788103"/>
    <s v="akeboshi06@gmail.com"/>
    <s v="https://mdpink.maildealer.jp/wapi.php"/>
    <m/>
    <s v="341-0002"/>
    <s v="埼玉県"/>
    <s v="三郷市彦音"/>
    <s v="2-25-2 ルーラルパーク301"/>
    <m/>
    <s v="res_youtube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41"/>
    <m/>
    <m/>
    <s v="注文履歴"/>
    <s v="配送履歴"/>
    <s v="橋本公洋"/>
    <s v="はしもときみひろ"/>
    <n v="9070642282"/>
    <s v="kisss642_ipad@icloud.com"/>
    <s v="https://mdpink.maildealer.jp/wapi.php"/>
    <m/>
    <s v="962-0401"/>
    <s v="福島県"/>
    <s v="須賀川市"/>
    <s v="向陽町642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37"/>
    <m/>
    <m/>
    <s v="注文履歴"/>
    <s v="配送履歴"/>
    <s v="今泉宏章"/>
    <s v="いまいずみひろあき"/>
    <n v="9091911429"/>
    <s v="botzehrc@yahoo.co.jp"/>
    <s v="https://mdpink.maildealer.jp/wapi.php"/>
    <m/>
    <s v="447-0012"/>
    <s v="埼玉県"/>
    <s v="加須市"/>
    <d v="2025-01-02T00:00:00"/>
    <m/>
    <s v="res_youtube_mrk"/>
    <d v="2024-06-04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34"/>
    <m/>
    <m/>
    <s v="注文履歴"/>
    <s v="配送履歴"/>
    <s v="廣田雅美"/>
    <s v="ひろたまさみ"/>
    <n v="9054692739"/>
    <s v="meru01312001@yahoo.co.jp"/>
    <s v="https://mdpink.maildealer.jp/wapi.php"/>
    <m/>
    <s v="646-1417"/>
    <s v="和歌山県"/>
    <s v="田辺市中辺路町川合"/>
    <n v="1532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31"/>
    <m/>
    <m/>
    <s v="注文履歴"/>
    <s v="配送履歴"/>
    <s v="帆苅正典"/>
    <s v="ほかりまさのり"/>
    <n v="9044761520"/>
    <s v="nor.ism@icloud.com"/>
    <s v="https://mdpink.maildealer.jp/wapi.php"/>
    <m/>
    <s v="314-0143"/>
    <s v="茨城県"/>
    <s v="神栖市"/>
    <s v="神栖13-22 ミリオンファミリーズ105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28"/>
    <m/>
    <m/>
    <s v="注文履歴"/>
    <s v="配送履歴"/>
    <s v="吉田努"/>
    <s v="よしだつとむ"/>
    <n v="9043850274"/>
    <s v="yoshimoo732507@gmail.com"/>
    <s v="https://mdpink.maildealer.jp/wapi.php"/>
    <m/>
    <s v="113-0023"/>
    <s v="東京都"/>
    <s v="文京区向丘"/>
    <s v="2-34-1 エスタジオ本駒込302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22"/>
    <m/>
    <m/>
    <s v="注文履歴"/>
    <s v="配送履歴"/>
    <s v="上野利仁"/>
    <s v="うえのとしひと"/>
    <n v="9014964243"/>
    <s v="toshi.hit.u@gmail.com"/>
    <s v="https://mdpink.maildealer.jp/wapi.php"/>
    <m/>
    <s v="321-0111"/>
    <s v="栃木県"/>
    <s v="宇都宮市"/>
    <s v="川田町111ー2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20"/>
    <m/>
    <m/>
    <s v="注文履歴"/>
    <s v="配送履歴"/>
    <s v="谷田昌広"/>
    <s v="たにだまさひろ"/>
    <n v="9091991825"/>
    <s v="tanidakagu1@gmail.com"/>
    <s v="https://mdpink.maildealer.jp/wapi.php"/>
    <m/>
    <s v="444-3433"/>
    <s v="愛知県"/>
    <s v="岡崎市"/>
    <s v="木下町字竹ノ花41"/>
    <m/>
    <s v="res_youtube_mrk"/>
    <d v="2024-06-04T00:00:00"/>
    <x v="3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16"/>
    <m/>
    <m/>
    <s v="注文履歴"/>
    <s v="配送履歴"/>
    <s v="近藤洋文"/>
    <s v="こんどうひろふみ"/>
    <n v="9095010677"/>
    <s v="kkdental1122@gmail.com"/>
    <s v="https://mdpink.maildealer.jp/wapi.php"/>
    <m/>
    <s v="600-8415"/>
    <s v="京都府"/>
    <s v="京都市下京区"/>
    <s v="因幡堂町677イスケビル2階"/>
    <m/>
    <s v="res_youtube_mrk"/>
    <d v="2024-06-04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14"/>
    <m/>
    <m/>
    <s v="注文履歴"/>
    <s v="配送履歴"/>
    <s v="西村与志郎"/>
    <s v="にしむらよしろう"/>
    <n v="9040250328"/>
    <s v="jl3sik@gmail.com"/>
    <s v="https://mdpink.maildealer.jp/wapi.php"/>
    <m/>
    <s v="565-0863"/>
    <s v="大阪府"/>
    <s v="吹田市竹見台"/>
    <s v="4丁目2-6"/>
    <m/>
    <s v="res_youtube_mrk"/>
    <d v="2024-06-04T00:00:00"/>
    <x v="0"/>
    <d v="2025-07-20T00:00:00"/>
    <n v="114300"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05"/>
    <m/>
    <m/>
    <s v="注文履歴"/>
    <s v="配送履歴"/>
    <s v="實平哲也"/>
    <s v="さねひらてつや"/>
    <n v="8047165868"/>
    <s v="sanetti25th@yahoo.co.jp"/>
    <s v="https://mdpink.maildealer.jp/wapi.php"/>
    <m/>
    <s v="252-0344"/>
    <s v="神奈川県"/>
    <s v="相模原市南区古淵"/>
    <s v="2-3-7T&amp;T第二ビル205"/>
    <m/>
    <s v="res_youtube_mrk"/>
    <d v="2024-06-04T00:00:00"/>
    <x v="0"/>
    <d v="2025-08-20T00:00:00"/>
    <n v="114300"/>
    <m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03"/>
    <m/>
    <m/>
    <s v="注文履歴"/>
    <s v="配送履歴"/>
    <s v="コーンみさ"/>
    <s v="こーんみさ"/>
    <n v="8089539757"/>
    <s v="misanino2@gmail.com"/>
    <s v="https://mdpink.maildealer.jp/wapi.php"/>
    <m/>
    <n v="96701"/>
    <s v="東京都"/>
    <s v="Onikiniki Way Aiea"/>
    <s v="98-1411"/>
    <m/>
    <s v="res_youtube_mrk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901"/>
    <m/>
    <m/>
    <s v="注文履歴"/>
    <s v="配送履歴"/>
    <s v="佐藤誠"/>
    <s v="さとうまこと"/>
    <n v="8064027748"/>
    <s v="Wa87253iop@yahoo.co.jp"/>
    <s v="https://mdpink.maildealer.jp/wapi.php"/>
    <m/>
    <s v="234-0003"/>
    <s v="神奈川県"/>
    <s v="横浜市港南区港南"/>
    <s v="2-15-10 204号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97"/>
    <m/>
    <m/>
    <s v="注文履歴"/>
    <s v="配送履歴"/>
    <s v="山野操"/>
    <s v="やまのみさお"/>
    <n v="9066084616"/>
    <s v="yamanoimo2@gmail.com"/>
    <s v="https://mdpink.maildealer.jp/wapi.php"/>
    <m/>
    <s v="542-0083"/>
    <s v="大阪府"/>
    <s v="中央区東心斎橋"/>
    <s v="1-3-3, ブランズタワーウェリス心斎橋South704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92"/>
    <m/>
    <m/>
    <s v="注文履歴"/>
    <s v="配送履歴"/>
    <s v="若松俊宏"/>
    <s v="わかまつとしひろ"/>
    <n v="9095406258"/>
    <s v="volken3535@i.softbank.jp"/>
    <s v="https://mdpink.maildealer.jp/wapi.php"/>
    <m/>
    <s v="605-0913"/>
    <s v="京都府"/>
    <s v="京都市東山区石垣町東側"/>
    <n v="6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91"/>
    <m/>
    <m/>
    <s v="注文履歴"/>
    <s v="配送履歴"/>
    <s v="宮川宏美"/>
    <s v="みやがわひろみ"/>
    <n v="8014999421"/>
    <s v="sabu.miyabi.no@gmail.com"/>
    <s v="https://mdpink.maildealer.jp/wapi.php"/>
    <m/>
    <s v="617-0002"/>
    <s v="京都府"/>
    <s v="向日市寺戸町西野辺"/>
    <s v="21-14シャルマンコート202"/>
    <m/>
    <s v="res_youtube_mrk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89"/>
    <m/>
    <m/>
    <s v="注文履歴"/>
    <s v="配送履歴"/>
    <s v="塩田芳江"/>
    <s v="しおだよしえ"/>
    <n v="9087020938"/>
    <s v="yoi@yahoo.co.jp"/>
    <s v="https://mdpink.maildealer.jp/wapi.php"/>
    <m/>
    <s v="910-0015"/>
    <s v="福井県"/>
    <s v="福井市"/>
    <s v="二ノ宮2-15-18A-1"/>
    <m/>
    <s v="res_youtube_mrk"/>
    <d v="2024-06-04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88"/>
    <m/>
    <m/>
    <s v="注文履歴"/>
    <s v="配送履歴"/>
    <s v="本目毅"/>
    <s v="ほんめつよし"/>
    <n v="9040904687"/>
    <s v="tsu.honme@gmail.com"/>
    <s v="https://mdpink.maildealer.jp/wapi.php"/>
    <m/>
    <s v="350-0807"/>
    <s v="埼玉県"/>
    <s v="川越市大字吉田"/>
    <s v="185-6 ゼフィール101"/>
    <m/>
    <s v="res_youtube_mrk"/>
    <d v="2024-06-04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87"/>
    <m/>
    <m/>
    <s v="注文履歴"/>
    <s v="配送履歴"/>
    <s v="檀高博"/>
    <s v="だんたかひろ"/>
    <n v="9093940688"/>
    <s v="taka.dan.2709.dragon@gmail.com"/>
    <s v="https://mdpink.maildealer.jp/wapi.php"/>
    <m/>
    <s v="245-0014"/>
    <s v="神奈川県"/>
    <s v="横浜市泉区"/>
    <s v="中田南1-1-16-201"/>
    <m/>
    <s v="res_youtube_mrk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86"/>
    <m/>
    <m/>
    <s v="注文履歴"/>
    <s v="配送履歴"/>
    <s v="中嶋啓博"/>
    <s v="なかじまあきひろ"/>
    <n v="9073082308"/>
    <s v="sirube73@gmail.com"/>
    <s v="https://mdpink.maildealer.jp/wapi.php"/>
    <m/>
    <s v="465-0073"/>
    <s v="愛知県"/>
    <s v="名古屋市名東区"/>
    <s v="高針原1-801"/>
    <m/>
    <s v="res_youtube_mrk"/>
    <d v="2024-06-04T00:00:00"/>
    <x v="3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85"/>
    <m/>
    <m/>
    <s v="注文履歴"/>
    <s v="配送履歴"/>
    <s v="工藤貴之"/>
    <s v="くどうたかゆき"/>
    <n v="8018011746"/>
    <s v="mcm1801qlo1746@gmail.com"/>
    <s v="https://mdpink.maildealer.jp/wapi.php"/>
    <m/>
    <s v="997-0821"/>
    <s v="山形県"/>
    <s v="鶴岡市三光町"/>
    <d v="2025-04-05T00:00:0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81"/>
    <m/>
    <m/>
    <s v="注文履歴"/>
    <s v="配送履歴"/>
    <s v="馬場昭江"/>
    <s v="ばばあきえ"/>
    <n v="9094220703"/>
    <s v="akiebaba@ybb.ne.jp"/>
    <s v="https://mdpink.maildealer.jp/wapi.php"/>
    <m/>
    <s v="014-0333"/>
    <s v="秋田県"/>
    <s v="仙北市角館町川原町"/>
    <d v="1958-01-01T00:00:0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76"/>
    <m/>
    <m/>
    <s v="注文履歴"/>
    <s v="配送履歴"/>
    <s v="景山康司"/>
    <s v="かげやまやすじ"/>
    <n v="9071260021"/>
    <s v="ha_sekai@yahoo.co.jp"/>
    <s v="https://mdpink.maildealer.jp/wapi.php"/>
    <m/>
    <s v="733-0002"/>
    <s v="広島県"/>
    <s v="広島市西区楠木町"/>
    <s v="4-9-8  リバーサイドパーク楠木"/>
    <m/>
    <s v="res_youtube_mrk"/>
    <d v="2024-06-0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71"/>
    <m/>
    <m/>
    <s v="注文履歴"/>
    <s v="配送履歴"/>
    <s v="山口裕紀"/>
    <s v="やまぐちゆき"/>
    <n v="9056243606"/>
    <s v="yukky.minnie@gmail.com"/>
    <s v="https://mdpink.maildealer.jp/wapi.php"/>
    <m/>
    <s v="470-0135"/>
    <s v="愛知県"/>
    <s v="日進岩崎台"/>
    <s v="2-1306-17"/>
    <m/>
    <s v="res_youtube_mrk"/>
    <d v="2024-06-04T00:00:00"/>
    <x v="3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70"/>
    <m/>
    <m/>
    <s v="注文履歴"/>
    <s v="配送履歴"/>
    <s v="中馬宏昌"/>
    <s v="ちゅうまひろまさ"/>
    <n v="8053842109"/>
    <s v="arms2678@gmail.com"/>
    <s v="https://mdpink.maildealer.jp/wapi.php"/>
    <m/>
    <s v="223-0064"/>
    <s v="神奈川県"/>
    <s v="横浜市港北区下田町"/>
    <s v="3-13-18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63"/>
    <m/>
    <m/>
    <s v="注文履歴"/>
    <s v="配送履歴"/>
    <s v="作田圭治"/>
    <s v="さくだけいじ"/>
    <n v="9042906316"/>
    <s v="sakusaku7ks@outlook.jp"/>
    <s v="https://mdpink.maildealer.jp/wapi.php"/>
    <m/>
    <s v="555-0001"/>
    <s v="大阪府"/>
    <s v="大阪市西淀川区佃"/>
    <d v="2025-05-05T00:00:00"/>
    <m/>
    <s v="res_youtube_mrk"/>
    <d v="2024-06-04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59"/>
    <m/>
    <m/>
    <s v="注文履歴"/>
    <s v="配送履歴"/>
    <s v="黒田真道"/>
    <s v="くろだまさみち"/>
    <n v="8075088042"/>
    <s v="shindou19900120@yahoo.co.jp"/>
    <s v="https://mdpink.maildealer.jp/wapi.php"/>
    <m/>
    <s v="093-0033"/>
    <s v="北海道"/>
    <s v="網走市駒場北"/>
    <d v="2004-01-03T00:00:0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55"/>
    <m/>
    <m/>
    <s v="注文履歴"/>
    <s v="配送履歴"/>
    <s v="大野木俊介"/>
    <s v="おおのきしゅんすけ"/>
    <n v="9054587245"/>
    <s v="shunsukeonoki@gmail.com"/>
    <s v="https://mdpink.maildealer.jp/wapi.php"/>
    <m/>
    <s v="430-0929"/>
    <s v="静岡県"/>
    <s v="浜松市中央区木戸町"/>
    <d v="2025-08-07T00:00:0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54"/>
    <m/>
    <m/>
    <s v="注文履歴"/>
    <s v="配送履歴"/>
    <s v="藤井成行"/>
    <s v="ふじいなりゆき"/>
    <n v="9079925252"/>
    <s v="nariyvki@gmail.com"/>
    <s v="https://mdpink.maildealer.jp/wapi.php"/>
    <m/>
    <s v="565-0804"/>
    <s v="大阪府"/>
    <s v="吹田市新芦屋上"/>
    <s v="13-8-602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51"/>
    <m/>
    <m/>
    <s v="注文履歴"/>
    <s v="配送履歴"/>
    <s v="浅田貴大"/>
    <s v="あさだたかひろ"/>
    <n v="8050868922"/>
    <s v="takahiro_a_3_9@hotmail.com"/>
    <s v="https://mdpink.maildealer.jp/wapi.php"/>
    <m/>
    <s v="260-0002"/>
    <s v="千葉県"/>
    <s v="千葉市中央区旭町"/>
    <d v="2025-08-01T00:00:0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43"/>
    <m/>
    <m/>
    <s v="注文履歴"/>
    <s v="配送履歴"/>
    <s v="津田祐一"/>
    <s v="つだゆういち"/>
    <n v="9014767965"/>
    <s v="sin.g0jig0ji@gmail.com"/>
    <s v="https://mdpink.maildealer.jp/wapi.php"/>
    <m/>
    <s v="732-0065"/>
    <s v="広島県"/>
    <s v="広島市東区牛田中"/>
    <d v="2002-05-12T00:00:00"/>
    <m/>
    <s v="res_youtube_mrk"/>
    <d v="2024-06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42"/>
    <m/>
    <m/>
    <s v="注文履歴"/>
    <s v="配送履歴"/>
    <s v="上野裕之"/>
    <s v="うえのひろゆき"/>
    <n v="9074217982"/>
    <s v="vw.16890827@gmail.com"/>
    <s v="https://mdpink.maildealer.jp/wapi.php"/>
    <m/>
    <s v="321-4364"/>
    <s v="栃木県"/>
    <s v="真岡市"/>
    <s v="長田 1-10-6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41"/>
    <m/>
    <m/>
    <s v="注文履歴"/>
    <s v="配送履歴"/>
    <s v="南出基志"/>
    <s v="みなみでもとし"/>
    <n v="7084048033"/>
    <s v="rumraisin422@gmail.com"/>
    <s v="https://mdpink.maildealer.jp/wapi.php"/>
    <m/>
    <s v="640-8358"/>
    <s v="和歌山県"/>
    <s v="和歌山市"/>
    <s v="北ノ新地下六軒丁12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38"/>
    <m/>
    <m/>
    <s v="注文履歴"/>
    <s v="配送履歴"/>
    <s v="渋谷昇"/>
    <s v="しぶやのぼる"/>
    <n v="8034559878"/>
    <s v="supi2016nz@yahoo.co.jp"/>
    <s v="https://mdpink.maildealer.jp/wapi.php"/>
    <m/>
    <s v="353-0007"/>
    <s v="埼玉県"/>
    <s v="志木市柏町"/>
    <d v="2006-05-15T00:00:00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31"/>
    <m/>
    <m/>
    <s v="注文履歴"/>
    <s v="配送履歴"/>
    <s v="北原悟史"/>
    <s v="きたはらさとし"/>
    <n v="9062460768"/>
    <s v="kita1976.com@gmail.com"/>
    <s v="https://mdpink.maildealer.jp/wapi.php"/>
    <m/>
    <s v="567-0897"/>
    <s v="大阪府"/>
    <s v="茨木市主原町"/>
    <d v="2025-10-25T00:00:00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30"/>
    <m/>
    <m/>
    <s v="注文履歴"/>
    <s v="配送履歴"/>
    <s v="西木教子"/>
    <s v="にしききょうこ"/>
    <n v="9068266658"/>
    <s v="ririmaru.0406@gmail.com"/>
    <s v="https://mdpink.maildealer.jp/wapi.php"/>
    <m/>
    <s v="589-0023"/>
    <s v="大阪府"/>
    <s v="大阪狭山市"/>
    <s v="大野台4丁目23-14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24"/>
    <m/>
    <m/>
    <s v="注文履歴"/>
    <s v="配送履歴"/>
    <s v="北村憲一"/>
    <s v="きたむらけんいち"/>
    <n v="9014831925"/>
    <s v="kk2010@zeus.eonet.ne.jp"/>
    <s v="https://mdpink.maildealer.jp/wapi.php"/>
    <m/>
    <n v="635"/>
    <s v="奈良県"/>
    <s v="高市郡高取町"/>
    <s v="薩摩527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23"/>
    <m/>
    <m/>
    <s v="注文履歴"/>
    <s v="配送履歴"/>
    <s v="竹上晴佳"/>
    <s v="たけがみはるか"/>
    <n v="8069210951"/>
    <s v="sound.on.328@gmail.com"/>
    <s v="https://mdpink.maildealer.jp/wapi.php"/>
    <m/>
    <s v="431-1415"/>
    <s v="静岡県"/>
    <s v="浜松市浜名区三ヶ日町岡本"/>
    <n v="1819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16"/>
    <m/>
    <m/>
    <s v="注文履歴"/>
    <s v="配送履歴"/>
    <s v="田中勲"/>
    <s v="たなかいさお"/>
    <n v="9021108147"/>
    <s v="tanaka140.85@gmail.com"/>
    <s v="https://mdpink.maildealer.jp/wapi.php"/>
    <m/>
    <s v="520-0846"/>
    <s v="滋賀県"/>
    <s v="大津市"/>
    <s v="富士見台52-16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14"/>
    <m/>
    <m/>
    <s v="注文履歴"/>
    <s v="配送履歴"/>
    <s v="飯田雄司"/>
    <s v="いいだゆうじ"/>
    <n v="9093205336"/>
    <s v="yujis39omy@gmail.com"/>
    <s v="https://mdpink.maildealer.jp/wapi.php"/>
    <m/>
    <s v="330-0802"/>
    <s v="埼玉県"/>
    <s v="さいたま市大宮区"/>
    <s v="宮町1-17"/>
    <m/>
    <s v="jim_opt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11"/>
    <m/>
    <m/>
    <s v="注文履歴"/>
    <s v="配送履歴"/>
    <s v="柳澤里実"/>
    <s v="やなぎさわさとみ"/>
    <n v="9016908348"/>
    <s v="sawasiganay@gmail.com"/>
    <s v="https://mdpink.maildealer.jp/wapi.php"/>
    <m/>
    <s v="389-1200"/>
    <s v="長野県"/>
    <s v="飯綱町"/>
    <n v="1127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10"/>
    <m/>
    <m/>
    <s v="注文履歴"/>
    <s v="配送履歴"/>
    <s v="酒井康輔"/>
    <s v="さかいこうすけ"/>
    <n v="9050441439"/>
    <s v="skoosuke5@yahoo.co.jp"/>
    <s v="https://mdpink.maildealer.jp/wapi.php"/>
    <m/>
    <s v="611-0002"/>
    <s v="京都府"/>
    <s v="宇治市木幡平尾"/>
    <d v="1974-07-01T00:00:00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06"/>
    <m/>
    <m/>
    <s v="注文履歴"/>
    <s v="配送履歴"/>
    <s v="馬上尚樹"/>
    <s v="まがみなおき"/>
    <n v="7076696865"/>
    <s v="magami.naoki@takenaka.cn"/>
    <s v="https://mdpink.maildealer.jp/wapi.php"/>
    <m/>
    <s v="125-0063"/>
    <s v="東京都"/>
    <s v="葛飾区白鳥"/>
    <d v="2001-11-08T00:00:00"/>
    <m/>
    <s v="res_youtube_mrk"/>
    <d v="2024-06-0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03"/>
    <m/>
    <m/>
    <s v="注文履歴"/>
    <s v="配送履歴"/>
    <s v="上村千賀子"/>
    <s v="うえむらちかこ"/>
    <n v="9029206734"/>
    <s v="purple_yellow007-shop10@yahoo.co.jp"/>
    <s v="https://mdpink.maildealer.jp/wapi.php"/>
    <m/>
    <s v="465-0032"/>
    <s v="愛知県"/>
    <s v="名古屋市名東区藤が丘"/>
    <s v="162藤ヶ丘市街地5-502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01"/>
    <m/>
    <m/>
    <s v="注文履歴"/>
    <s v="配送履歴"/>
    <s v="加藤克昭"/>
    <s v="かとうかつあき"/>
    <n v="9066128410"/>
    <s v="necc1234-ver1@yahoo.co.jp"/>
    <s v="https://mdpink.maildealer.jp/wapi.php"/>
    <m/>
    <s v="418-0065"/>
    <s v="静岡県"/>
    <s v="富士宮市中央町"/>
    <s v="4-15  アクシスコート富士宮302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800"/>
    <m/>
    <m/>
    <s v="注文履歴"/>
    <s v="配送履歴"/>
    <s v="俵慎一"/>
    <s v="たわらしんいち"/>
    <n v="9017477244"/>
    <s v="tawaras@mug.biglobe.ne.jp"/>
    <s v="https://mdpink.maildealer.jp/wapi.php"/>
    <m/>
    <s v="101-0041"/>
    <s v="東京都"/>
    <s v="千代田区神田須田町"/>
    <s v="2-19-7メイクスデザイン秋葉原404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93"/>
    <m/>
    <m/>
    <s v="注文履歴"/>
    <s v="配送履歴"/>
    <s v="木村典子"/>
    <s v="きむらのりこ"/>
    <n v="8052952421"/>
    <s v="noriko47kimura@gmail.com"/>
    <s v="https://mdpink.maildealer.jp/wapi.php"/>
    <m/>
    <s v="470-0117"/>
    <s v="愛知県"/>
    <s v="日進市藤塚"/>
    <s v="3丁目92番地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89"/>
    <m/>
    <m/>
    <s v="注文履歴"/>
    <s v="配送履歴"/>
    <s v="福馬加代"/>
    <s v="ふくまかよ"/>
    <n v="9061019228"/>
    <s v="kikumaru63@gmail.com"/>
    <s v="https://mdpink.maildealer.jp/wapi.php"/>
    <m/>
    <s v="158-0097"/>
    <s v="東京都"/>
    <s v="世田谷区用賀"/>
    <s v="2-25-2-206"/>
    <m/>
    <s v="res_youtube_mrk"/>
    <d v="2024-06-03T00:00:00"/>
    <x v="3"/>
    <d v="2025-02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85"/>
    <m/>
    <m/>
    <s v="注文履歴"/>
    <s v="配送履歴"/>
    <s v="平井友己"/>
    <s v="ひらいともき"/>
    <n v="9061081805"/>
    <s v="tyo.snowball.club@gmail.com"/>
    <s v="https://mdpink.maildealer.jp/wapi.php"/>
    <m/>
    <s v="401-0301"/>
    <s v="山梨県"/>
    <s v="南都留郡富士河口湖町船津"/>
    <s v="7295 コーポサンII 106号室"/>
    <m/>
    <s v="res_youtube_mrk"/>
    <d v="2024-06-03T00:00:00"/>
    <x v="3"/>
    <d v="2025-03-1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82"/>
    <m/>
    <m/>
    <s v="注文履歴"/>
    <s v="配送履歴"/>
    <s v="鈴木秀雄"/>
    <s v="すずきひでお"/>
    <n v="9021406422"/>
    <s v="oak4621@gmail.com"/>
    <s v="https://mdpink.maildealer.jp/wapi.php"/>
    <m/>
    <s v="342-0058"/>
    <s v="埼玉県"/>
    <s v="吉川市きよみ野"/>
    <s v="3-13-30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77"/>
    <m/>
    <m/>
    <s v="注文履歴"/>
    <s v="配送履歴"/>
    <s v="林健一"/>
    <s v="はやしけんいち"/>
    <n v="8053732978"/>
    <s v="bikinokobuta0921@yahoo.co.jp"/>
    <s v="https://mdpink.maildealer.jp/wapi.php"/>
    <m/>
    <s v="331-0045"/>
    <s v="埼玉県"/>
    <s v="さいたま市西区内野本郷"/>
    <s v="315-5"/>
    <m/>
    <s v="res_youtube_mrk"/>
    <d v="2024-06-0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76"/>
    <m/>
    <m/>
    <s v="注文履歴"/>
    <s v="配送履歴"/>
    <s v="福田千浩"/>
    <s v="ふくだちひろ"/>
    <n v="8037230803"/>
    <s v="chihiro_f83@yahoo.co.jp"/>
    <s v="https://mdpink.maildealer.jp/wapi.php"/>
    <m/>
    <s v="182-0005"/>
    <s v="東京都"/>
    <s v="調布市"/>
    <s v="東ツツジヶ丘2-10-3ラ・メール2-102"/>
    <m/>
    <s v="res_youtube_mrk"/>
    <d v="2024-06-0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73"/>
    <m/>
    <m/>
    <s v="注文履歴"/>
    <s v="配送履歴"/>
    <s v="大屋富志光"/>
    <s v="おおやとしみつ"/>
    <n v="9032941988"/>
    <s v="ootoshiya@yahoo.co.jp"/>
    <s v="https://mdpink.maildealer.jp/wapi.php"/>
    <m/>
    <s v="939-1363"/>
    <s v="富山県"/>
    <s v="砺波市太郎丸"/>
    <s v="288-4 フォレストブリエ201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70"/>
    <m/>
    <m/>
    <s v="注文履歴"/>
    <s v="配送履歴"/>
    <s v="薗田雅樹"/>
    <s v="そのだまさき"/>
    <n v="9034064288"/>
    <s v="sonomasa1113@gmail.com"/>
    <s v="https://mdpink.maildealer.jp/wapi.php"/>
    <m/>
    <s v="103-0003"/>
    <s v="東京都"/>
    <s v="日本橋横山町"/>
    <d v="2025-09-07T00:00:00"/>
    <m/>
    <s v="res_youtube_mrk"/>
    <d v="2024-06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68"/>
    <m/>
    <m/>
    <s v="注文履歴"/>
    <s v="配送履歴"/>
    <s v="日下部博紀"/>
    <s v="くさかべひろき"/>
    <n v="9078732879"/>
    <s v="fam.hirokikusakabe@gmail.com"/>
    <s v="https://mdpink.maildealer.jp/wapi.php"/>
    <m/>
    <s v="542-0073"/>
    <s v="大阪府"/>
    <s v="大阪市中央区日本橋"/>
    <s v="2丁目1番34号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66"/>
    <m/>
    <m/>
    <s v="注文履歴"/>
    <s v="配送履歴"/>
    <s v="清水勉"/>
    <s v="しみずつとむ"/>
    <n v="9061751684"/>
    <s v="shimizu.cleartrade@gmail.com"/>
    <s v="https://mdpink.maildealer.jp/wapi.php"/>
    <m/>
    <s v="335-0004"/>
    <s v="埼玉県"/>
    <s v="蕨市中央"/>
    <s v="3-19-20ライオンズプラザ蕨シティー1205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65"/>
    <m/>
    <m/>
    <s v="注文履歴"/>
    <s v="配送履歴"/>
    <s v="計良健太"/>
    <s v="けらけんた"/>
    <n v="9014625892"/>
    <s v="health_beauty_cool_wing@yahoo.co.jp"/>
    <s v="https://mdpink.maildealer.jp/wapi.php"/>
    <m/>
    <s v="357-0033"/>
    <s v="埼玉県"/>
    <s v="飯能市八幡町"/>
    <d v="2024-10-04T00:00:00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59"/>
    <m/>
    <m/>
    <s v="注文履歴"/>
    <s v="配送履歴"/>
    <s v="岡本成美"/>
    <s v="おかもとなるみ"/>
    <n v="9033418711"/>
    <s v="okamoto900@hotmail.com"/>
    <s v="https://mdpink.maildealer.jp/wapi.php"/>
    <m/>
    <s v="194-0212"/>
    <s v="東京都"/>
    <s v="町田市小山町"/>
    <d v="2025-03-23T00:00:00"/>
    <m/>
    <s v="res_youtube_mrk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58"/>
    <m/>
    <m/>
    <s v="注文履歴"/>
    <s v="配送履歴"/>
    <s v="中村昌利"/>
    <s v="なかむらまさとし"/>
    <n v="9094355114"/>
    <s v="masemateka939@gmail.com"/>
    <s v="https://mdpink.maildealer.jp/wapi.php"/>
    <m/>
    <s v="814-0012"/>
    <s v="福岡県"/>
    <s v="福岡市早良区昭代1丁目20－12"/>
    <s v="ライオンズマンション祖原公園603号"/>
    <m/>
    <s v="res_youtube_mrk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57"/>
    <m/>
    <m/>
    <s v="注文履歴"/>
    <s v="配送履歴"/>
    <s v="高橋昇"/>
    <s v="たかはしのぼる"/>
    <n v="9026603597"/>
    <s v="noboru-takahashi@ezweb.ne.jp"/>
    <s v="https://mdpink.maildealer.jp/wapi.php"/>
    <m/>
    <s v="060-0034"/>
    <s v="北海道"/>
    <s v="札幌市中央区北四条東二丁目"/>
    <s v="1-10ティーダ北四条1406号室"/>
    <m/>
    <s v="res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55"/>
    <m/>
    <m/>
    <s v="注文履歴"/>
    <s v="配送履歴"/>
    <s v="平野信一"/>
    <s v="ひらのしんいち"/>
    <n v="8033016314"/>
    <s v="hirano4141@gmail.com"/>
    <s v="https://mdpink.maildealer.jp/wapi.php"/>
    <m/>
    <s v="145-0065"/>
    <s v="東京都"/>
    <s v="大田区"/>
    <s v="東雪谷2-2-4-202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51"/>
    <m/>
    <m/>
    <s v="注文履歴"/>
    <s v="配送履歴"/>
    <s v="田村剛"/>
    <s v="たむらごう"/>
    <n v="8012173683"/>
    <s v="investmentfrom40@gmail.com"/>
    <s v="https://mdpink.maildealer.jp/wapi.php"/>
    <m/>
    <s v="173-0026"/>
    <s v="東京都"/>
    <s v="板橋区中丸町"/>
    <d v="1943-11-01T00:00:00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50"/>
    <m/>
    <m/>
    <s v="注文履歴"/>
    <s v="配送履歴"/>
    <s v="恵本和佳子"/>
    <s v="えもとわかこ"/>
    <n v="9097300508"/>
    <s v="istan8@gmail.com"/>
    <s v="https://mdpink.maildealer.jp/wapi.php"/>
    <m/>
    <s v="751-0804"/>
    <s v="山口県"/>
    <s v="山口県下関市楠乃4丁目"/>
    <s v="4-14 サンリットヒル4-201"/>
    <m/>
    <s v="res_youtube_mrk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49"/>
    <m/>
    <m/>
    <s v="注文履歴"/>
    <s v="配送履歴"/>
    <s v="中村沙也子"/>
    <s v="なかむらさやこ"/>
    <n v="8031134750"/>
    <s v="sayakoa24@yahoo.co.jp"/>
    <s v="https://mdpink.maildealer.jp/wapi.php"/>
    <m/>
    <s v="424-0841"/>
    <s v="静岡県"/>
    <s v="静岡市清水区"/>
    <s v="4-2286-1Kハイム追分108"/>
    <m/>
    <s v="res_youtube_mrk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48"/>
    <m/>
    <m/>
    <s v="注文履歴"/>
    <s v="配送履歴"/>
    <s v="浅野秀文"/>
    <s v="あさのひでふみ"/>
    <n v="9023487116"/>
    <s v="asanohide@me.com"/>
    <s v="https://mdpink.maildealer.jp/wapi.php"/>
    <m/>
    <s v="456-0062"/>
    <s v="愛知県"/>
    <s v="名古屋市熱田区大宝一丁目"/>
    <s v="4番16号"/>
    <m/>
    <s v="res_youtube_mrk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46"/>
    <m/>
    <m/>
    <s v="注文履歴"/>
    <s v="配送履歴"/>
    <s v="溝呂木ゆみ子"/>
    <s v="みぞろぎゆみこ"/>
    <n v="8054103450"/>
    <s v="mizorogimimi@gmail.com"/>
    <s v="https://mdpink.maildealer.jp/wapi.php"/>
    <m/>
    <s v="272-0035"/>
    <s v="千葉県"/>
    <s v="市川市新田"/>
    <s v="5-4-20-5B"/>
    <m/>
    <s v="res_youtube_mrk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45"/>
    <m/>
    <m/>
    <s v="注文履歴"/>
    <s v="配送履歴"/>
    <s v="野村和史"/>
    <s v="のむらかずふみ"/>
    <n v="9085251883"/>
    <s v="kazuuka920@kdt.biglobe.ne.jp"/>
    <s v="https://mdpink.maildealer.jp/wapi.php"/>
    <m/>
    <s v="547-0032"/>
    <s v="大阪府"/>
    <s v="大阪市平野区流町1-1-5"/>
    <s v="コーポラス平野4-C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43"/>
    <m/>
    <m/>
    <s v="注文履歴"/>
    <s v="配送履歴"/>
    <s v="光山精一"/>
    <s v="みつやませいいち"/>
    <n v="9037171807"/>
    <s v="hikari82172@gmail.com"/>
    <s v="https://mdpink.maildealer.jp/wapi.php"/>
    <m/>
    <s v="669-2323"/>
    <s v="兵庫県"/>
    <s v="丹波篠山市"/>
    <s v="立町37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42"/>
    <m/>
    <m/>
    <s v="注文履歴"/>
    <s v="配送履歴"/>
    <s v="五島大輔"/>
    <s v="ごとうだいすけ"/>
    <n v="9061386851"/>
    <s v="bruno1002@outlook.jp"/>
    <s v="https://mdpink.maildealer.jp/wapi.php"/>
    <m/>
    <s v="170-0004"/>
    <s v="東京都"/>
    <s v="豊島区北大塚"/>
    <s v="2-19-4アメニティーヒル大塚1102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38"/>
    <m/>
    <m/>
    <s v="注文履歴"/>
    <s v="配送履歴"/>
    <s v="内山友浩"/>
    <s v="うちやまともひろ"/>
    <n v="9031102034"/>
    <s v="teamcrystal@yahoo.co.jp"/>
    <s v="https://mdpink.maildealer.jp/wapi.php"/>
    <m/>
    <n v="65"/>
    <s v="北海道"/>
    <s v="札幌市東区北26条東1丁目"/>
    <d v="2025-03-03T00:00:00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37"/>
    <m/>
    <m/>
    <s v="注文履歴"/>
    <s v="配送履歴"/>
    <s v="小島日高"/>
    <s v="こじまひだか"/>
    <n v="9040572506"/>
    <s v="nidasky.sol8@gmail.com"/>
    <s v="https://mdpink.maildealer.jp/wapi.php"/>
    <m/>
    <s v="225-0011"/>
    <s v="神奈川県"/>
    <s v="横浜市青葉区あざみ野"/>
    <s v="3-11-76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36"/>
    <m/>
    <m/>
    <s v="注文履歴"/>
    <s v="配送履歴"/>
    <s v="西村洋一"/>
    <s v="にしむらよういち"/>
    <n v="9097458625"/>
    <s v="nyoichi_2468@yahoo.co.jp"/>
    <s v="https://mdpink.maildealer.jp/wapi.php"/>
    <m/>
    <s v="960-8254"/>
    <s v="福島県"/>
    <s v="福島市南沢又字北川原"/>
    <s v="19-20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31"/>
    <m/>
    <m/>
    <s v="注文履歴"/>
    <s v="配送履歴"/>
    <s v="戸塚尚"/>
    <s v="とづかたかし"/>
    <n v="9010413863"/>
    <s v="takashi_tozuka@hotmail.com"/>
    <s v="https://mdpink.maildealer.jp/wapi.php"/>
    <m/>
    <s v="377-0007"/>
    <s v="群馬県"/>
    <s v="渋川市"/>
    <s v="石原28番地1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23"/>
    <m/>
    <m/>
    <s v="注文履歴"/>
    <s v="配送履歴"/>
    <s v="東稔行"/>
    <s v="ひがしとしゆき"/>
    <n v="9033445306"/>
    <s v="ryugukaihatsu@gmail.com"/>
    <s v="https://mdpink.maildealer.jp/wapi.php"/>
    <m/>
    <s v="957-0054"/>
    <s v="新潟県"/>
    <s v="新発田市"/>
    <s v="本町4-14-30"/>
    <m/>
    <s v="res_youtube_mrk"/>
    <d v="2024-06-02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21"/>
    <m/>
    <m/>
    <s v="注文履歴"/>
    <s v="配送履歴"/>
    <s v="小野嘉洋"/>
    <s v="おのよしひろ"/>
    <n v="8050634694"/>
    <s v="onokayou@yahoo.co.jp"/>
    <s v="https://mdpink.maildealer.jp/wapi.php"/>
    <m/>
    <s v="321-3226"/>
    <s v="栃木県"/>
    <s v="宇都宮市ゆいの杜"/>
    <s v="6-21-11"/>
    <m/>
    <s v="res_youtube_mrk"/>
    <d v="2024-06-02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20"/>
    <m/>
    <m/>
    <s v="注文履歴"/>
    <s v="配送履歴"/>
    <s v="藤江忠"/>
    <s v="ふじえただし"/>
    <n v="9030486899"/>
    <s v="chuuz123daa@gmail.com"/>
    <s v="https://mdpink.maildealer.jp/wapi.php"/>
    <m/>
    <s v="134-0091"/>
    <s v="東京都"/>
    <s v="江戸川区船堀"/>
    <s v="1-8-22-908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18"/>
    <m/>
    <m/>
    <s v="注文履歴"/>
    <s v="配送履歴"/>
    <s v="野々村真悟"/>
    <s v="ののむらしんご"/>
    <n v="9016642250"/>
    <s v="nono4n5@gmail.com"/>
    <s v="https://mdpink.maildealer.jp/wapi.php"/>
    <m/>
    <s v="063-0830"/>
    <s v="北海道"/>
    <s v="札幌市西区"/>
    <s v="発寒十条11-1-45ソレイユ発寒608"/>
    <m/>
    <s v="jim_opt"/>
    <d v="2024-06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709"/>
    <m/>
    <m/>
    <s v="注文履歴"/>
    <s v="配送履歴"/>
    <s v="升本晶子"/>
    <s v="ますもとあきこ"/>
    <n v="8010743229"/>
    <s v="akomasumoto@gmail.com"/>
    <s v="https://mdpink.maildealer.jp/wapi.php"/>
    <m/>
    <s v="150-0012"/>
    <s v="東京都"/>
    <s v="渋谷区広尾"/>
    <s v="4-1-11-402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96"/>
    <m/>
    <m/>
    <s v="注文履歴"/>
    <s v="配送履歴"/>
    <s v="下山浩一"/>
    <s v="しもやまこういち"/>
    <n v="8010689551"/>
    <s v="ks1964326@docomo.ne.jp"/>
    <s v="https://mdpink.maildealer.jp/wapi.php"/>
    <m/>
    <s v="370-2603"/>
    <s v="群馬県"/>
    <s v="甘楽郡下仁田町馬山"/>
    <d v="1996-01-01T00:00:00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95"/>
    <m/>
    <m/>
    <s v="注文履歴"/>
    <s v="配送履歴"/>
    <s v="青木精一朗"/>
    <s v="あおきせいいちろう"/>
    <n v="9012931517"/>
    <s v="dorasa1515@gmail.com"/>
    <s v="https://mdpink.maildealer.jp/wapi.php"/>
    <m/>
    <s v="471-0026"/>
    <s v="愛知県"/>
    <s v="豊田市若宮町"/>
    <s v="4-16-2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86"/>
    <m/>
    <m/>
    <s v="注文履歴"/>
    <s v="配送履歴"/>
    <s v="蔵田文男"/>
    <s v="くらたふみお"/>
    <n v="8054592303"/>
    <s v="fumio.kurata@gmail.com"/>
    <s v="https://mdpink.maildealer.jp/wapi.php"/>
    <m/>
    <s v="154-0015"/>
    <s v="東京都"/>
    <s v="世田谷区桜新町"/>
    <s v="1ー37ー1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82"/>
    <m/>
    <m/>
    <s v="注文履歴"/>
    <s v="配送履歴"/>
    <s v="郷義幸"/>
    <s v="ごうよしゆき"/>
    <n v="9094274863"/>
    <s v="asakki.rurutyi.800@gmail.com"/>
    <s v="https://mdpink.maildealer.jp/wapi.php"/>
    <m/>
    <s v="950-0901"/>
    <s v="新潟県"/>
    <s v="新潟市中央区弁天"/>
    <s v="1-1-26-607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79"/>
    <m/>
    <m/>
    <s v="注文履歴"/>
    <s v="配送履歴"/>
    <s v="萩原宏紀"/>
    <s v="はぎわらひろのり"/>
    <n v="9012383082"/>
    <s v="hiroki.hagiwara6@gmail.com"/>
    <s v="https://mdpink.maildealer.jp/wapi.php"/>
    <m/>
    <s v="425-0074"/>
    <s v="静岡県"/>
    <s v="焼津市柳新屋"/>
    <n v="174"/>
    <m/>
    <s v="res_youtube_mrk"/>
    <d v="2024-06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58"/>
    <m/>
    <m/>
    <s v="注文履歴"/>
    <s v="配送履歴"/>
    <s v="藤田正"/>
    <s v="ふじたただし"/>
    <n v="9072700137"/>
    <s v="tf09072700137@docomo.ne.jp"/>
    <s v="https://mdpink.maildealer.jp/wapi.php"/>
    <m/>
    <s v="350-0817"/>
    <s v="埼玉県"/>
    <s v="川越市上戸しんまち"/>
    <d v="2025-02-26T00:00:00"/>
    <m/>
    <s v="res_youtube_mrk"/>
    <d v="2024-06-01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50"/>
    <m/>
    <m/>
    <s v="注文履歴"/>
    <s v="配送履歴"/>
    <s v="林朋彦"/>
    <s v="はやしともひこ"/>
    <n v="9052123985"/>
    <s v="submarine507@gmail.com"/>
    <s v="https://mdpink.maildealer.jp/wapi.php"/>
    <m/>
    <s v="155-0032"/>
    <s v="東京都"/>
    <s v="世田谷区代沢3丁目"/>
    <s v="19-10 Daizawa Hills 102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47"/>
    <m/>
    <m/>
    <s v="注文履歴"/>
    <s v="配送履歴"/>
    <s v="笹原真哉"/>
    <s v="ささはらしんや"/>
    <n v="9018924534"/>
    <s v="dec312021@bb.banban.jp"/>
    <s v="https://mdpink.maildealer.jp/wapi.php"/>
    <m/>
    <s v="675-0024"/>
    <s v="兵庫県"/>
    <s v="加古川市尾上町長田"/>
    <s v="173-38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43"/>
    <m/>
    <m/>
    <s v="注文履歴"/>
    <s v="配送履歴"/>
    <s v="上白木敬好"/>
    <s v="かみしらきたかよし"/>
    <n v="9090747165"/>
    <s v="kohaku.sinjiro@icloud.com"/>
    <s v="https://mdpink.maildealer.jp/wapi.php"/>
    <m/>
    <s v="811-2128"/>
    <s v="福岡県"/>
    <s v="糟屋郡宇美町宇美中央"/>
    <s v="4-12-1カトルシャンブル101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42"/>
    <m/>
    <m/>
    <s v="注文履歴"/>
    <s v="配送履歴"/>
    <s v="日野直樹"/>
    <s v="ひのなおき"/>
    <n v="9095563537"/>
    <s v="nfr3141@me.pikara.ne.jp"/>
    <s v="https://mdpink.maildealer.jp/wapi.php"/>
    <m/>
    <s v="770-0804"/>
    <s v="徳島県"/>
    <s v="徳島市"/>
    <s v="中吉野町2丁目25-1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37"/>
    <m/>
    <m/>
    <s v="注文履歴"/>
    <s v="配送履歴"/>
    <s v="安江琴与"/>
    <s v="やすえことよ"/>
    <n v="9042673580"/>
    <s v="koto123sakuya@gmail.com"/>
    <s v="https://mdpink.maildealer.jp/wapi.php"/>
    <m/>
    <s v="498-0012"/>
    <s v="愛知県"/>
    <s v="弥富市五之三町伊三郎"/>
    <n v="31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35"/>
    <m/>
    <m/>
    <s v="注文履歴"/>
    <s v="配送履歴"/>
    <s v="高山裕成"/>
    <s v="たかやまやすなり"/>
    <n v="8015075721"/>
    <s v="y.p.fantasy@gmail.com"/>
    <s v="https://mdpink.maildealer.jp/wapi.php"/>
    <m/>
    <s v="536-0001"/>
    <s v="大阪府"/>
    <s v="大阪市城東区古市"/>
    <s v="3-17-26 211号室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30"/>
    <m/>
    <m/>
    <s v="注文履歴"/>
    <s v="配送履歴"/>
    <s v="齋藤弘勝"/>
    <s v="さいとうひろかつ"/>
    <n v="9086056212"/>
    <s v="hirokatsu4312@keb.biglobe.ne.jp"/>
    <s v="https://mdpink.maildealer.jp/wapi.php"/>
    <m/>
    <s v="181-0013"/>
    <s v="東京都"/>
    <s v="三鷹市下連雀３丁目38-1"/>
    <s v="アビタシオン三鷹405号室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29"/>
    <m/>
    <m/>
    <s v="注文履歴"/>
    <s v="配送履歴"/>
    <s v="西崎伸彦"/>
    <s v="にしざきのぶひこ"/>
    <n v="9049793824"/>
    <s v="nishizakinobuhiko@yahoo.co.jp"/>
    <s v="https://mdpink.maildealer.jp/wapi.php"/>
    <m/>
    <s v="108-0074"/>
    <s v="東京都"/>
    <s v="港区高輪"/>
    <s v="2-15-35-402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25"/>
    <m/>
    <m/>
    <s v="注文履歴"/>
    <s v="配送履歴"/>
    <s v="鈴木庸介"/>
    <s v="すずきようすけ"/>
    <n v="9065813818"/>
    <s v="goshu0626@gmail.com"/>
    <s v="https://mdpink.maildealer.jp/wapi.php"/>
    <m/>
    <s v="112-0004"/>
    <s v="東京都"/>
    <s v="文京区後楽"/>
    <s v="2-19-13-703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24"/>
    <m/>
    <m/>
    <s v="注文履歴"/>
    <s v="配送履歴"/>
    <s v="平城徹"/>
    <s v="ひらぎとおる"/>
    <n v="9028313987"/>
    <s v="gckpy178@yahoo.co.jp"/>
    <s v="https://mdpink.maildealer.jp/wapi.php"/>
    <m/>
    <s v="914-0056"/>
    <s v="福井県"/>
    <s v="敦賀市"/>
    <s v="津内町3丁目2-31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17"/>
    <m/>
    <m/>
    <s v="注文履歴"/>
    <s v="配送履歴"/>
    <s v="金久保孝雄"/>
    <s v="かなくぼたかお"/>
    <n v="7015758942"/>
    <s v="yiu19050@gmail.com"/>
    <s v="https://mdpink.maildealer.jp/wapi.php"/>
    <m/>
    <s v="240-0108"/>
    <s v="神奈川県"/>
    <s v="横須賀市佐島の丘"/>
    <s v="1-19-16"/>
    <m/>
    <s v="res_youtube_mrk"/>
    <d v="2024-06-01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13"/>
    <m/>
    <m/>
    <s v="注文履歴"/>
    <s v="配送履歴"/>
    <s v="島田浩平"/>
    <s v="しまだこうへい"/>
    <n v="9038478591"/>
    <s v="kshimada958i@gmail.com"/>
    <s v="https://mdpink.maildealer.jp/wapi.php"/>
    <m/>
    <s v="520-0025"/>
    <s v="滋賀県"/>
    <s v="大津市皇子が丘"/>
    <s v="2-10-25-207"/>
    <m/>
    <s v="res_youtube_mrk"/>
    <d v="2024-06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05"/>
    <m/>
    <m/>
    <s v="注文履歴"/>
    <s v="配送履歴"/>
    <s v="山岡瞳"/>
    <s v="やまおかひとみ"/>
    <n v="8050874909"/>
    <s v="happyhitomi6078@gmail.com"/>
    <s v="https://mdpink.maildealer.jp/wapi.php"/>
    <m/>
    <s v="950-0163"/>
    <s v="新潟県"/>
    <s v="新潟市江南区東船場"/>
    <s v="1-4-32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04"/>
    <m/>
    <m/>
    <s v="注文履歴"/>
    <s v="配送履歴"/>
    <s v="山中新一"/>
    <s v="やまなかしんいち"/>
    <n v="9055395510"/>
    <s v="yamanaka.shinichi@maroon.plala.or.jp"/>
    <s v="https://mdpink.maildealer.jp/wapi.php"/>
    <m/>
    <s v="301-0033"/>
    <s v="茨城県"/>
    <s v="龍ケ崎市佐貫町"/>
    <d v="1953-11-01T00:00:00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02"/>
    <m/>
    <m/>
    <s v="注文履歴"/>
    <s v="配送履歴"/>
    <s v="石川周平"/>
    <s v="いしかわしゅうへい"/>
    <n v="9061983930"/>
    <s v="bote369ron@gmail.com"/>
    <s v="https://mdpink.maildealer.jp/wapi.php"/>
    <m/>
    <s v="156-0052"/>
    <s v="東京都"/>
    <s v="世田谷区経堂"/>
    <s v="1-35-21-305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01"/>
    <m/>
    <m/>
    <s v="注文履歴"/>
    <s v="配送履歴"/>
    <s v="大野順子"/>
    <s v="おおのよりこ"/>
    <n v="9013309387"/>
    <s v="yori_o@icloud.com"/>
    <s v="https://mdpink.maildealer.jp/wapi.php"/>
    <m/>
    <s v="734-0005"/>
    <s v="広島県"/>
    <s v="広島市南区翠"/>
    <s v="4丁目5番14号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600"/>
    <m/>
    <m/>
    <s v="注文履歴"/>
    <s v="配送履歴"/>
    <s v="阿部佳世子"/>
    <s v="あべかよこ"/>
    <n v="9035439232"/>
    <s v="tibikayo1.2.3@gmail.com"/>
    <s v="https://mdpink.maildealer.jp/wapi.php"/>
    <m/>
    <s v="194-0215"/>
    <s v="東京都"/>
    <s v="町田市小山ヶ丘"/>
    <s v="6-1-202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99"/>
    <m/>
    <m/>
    <s v="注文履歴"/>
    <s v="配送履歴"/>
    <s v="山下緑山"/>
    <s v="やましたろくざん"/>
    <n v="8063103196"/>
    <s v="mmspcbmn@gmail.com"/>
    <s v="https://mdpink.maildealer.jp/wapi.php"/>
    <m/>
    <s v="731-5157"/>
    <s v="広島県"/>
    <s v="広島市佐伯区観音"/>
    <s v="一丁目49-12 ビューテラスY's 101号室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95"/>
    <m/>
    <m/>
    <s v="注文履歴"/>
    <s v="配送履歴"/>
    <s v="高橋恵"/>
    <s v="たかはしめぐみ"/>
    <n v="9047644721"/>
    <s v="nakamegu1111@yahoo.co.jp"/>
    <s v="https://mdpink.maildealer.jp/wapi.php"/>
    <m/>
    <s v="632-0078"/>
    <s v="奈良県"/>
    <s v="天理市杉本町"/>
    <n v="263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94"/>
    <m/>
    <m/>
    <s v="注文履歴"/>
    <s v="配送履歴"/>
    <s v="岡田知津"/>
    <s v="おかだちづ"/>
    <n v="8054407102"/>
    <s v="chiokada@nifty.com"/>
    <s v="https://mdpink.maildealer.jp/wapi.php"/>
    <m/>
    <s v="270-0013"/>
    <s v="千葉県"/>
    <s v="松戸市"/>
    <s v="小金キヨシヶ丘3ー6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92"/>
    <m/>
    <m/>
    <s v="注文履歴"/>
    <s v="配送履歴"/>
    <s v="山崎隆泰"/>
    <s v="やまざきたかやす"/>
    <n v="9058113250"/>
    <s v="akd.femc.kog@gmail.com"/>
    <s v="https://mdpink.maildealer.jp/wapi.php"/>
    <m/>
    <s v="213-0013"/>
    <s v="神奈川県"/>
    <s v="川崎市高津区末長"/>
    <s v="1-8-33 ソラティア梶ケ谷104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89"/>
    <m/>
    <m/>
    <s v="注文履歴"/>
    <s v="配送履歴"/>
    <s v="大西佑治"/>
    <s v="おおにしゆうじ"/>
    <n v="9046245419"/>
    <s v="yuji02061984a@yahoo.co.jp"/>
    <s v="https://mdpink.maildealer.jp/wapi.php"/>
    <m/>
    <s v="321-0165"/>
    <s v="栃木県"/>
    <s v="宇都宮市緑"/>
    <s v="5-9-17 グランヴィータB202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84"/>
    <m/>
    <m/>
    <s v="注文履歴"/>
    <s v="配送履歴"/>
    <s v="鈴木健介"/>
    <s v="すずきけんすけ"/>
    <n v="9082353050"/>
    <s v="kensuke_s77@yahoo.co.jp"/>
    <s v="https://mdpink.maildealer.jp/wapi.php"/>
    <m/>
    <s v="111-0032"/>
    <s v="東京都"/>
    <s v="台東区浅草5-46-8"/>
    <s v="ガーラ・アヴェニュー浅草903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80"/>
    <m/>
    <m/>
    <s v="注文履歴"/>
    <s v="配送履歴"/>
    <s v="柴田泰英"/>
    <s v="しばたやすひで"/>
    <n v="9065798359"/>
    <s v="yshibata1980@gmail.com"/>
    <s v="https://mdpink.maildealer.jp/wapi.php"/>
    <m/>
    <s v="436-0081"/>
    <s v="静岡県"/>
    <s v="掛川市初馬"/>
    <s v="1813-12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79"/>
    <m/>
    <m/>
    <s v="注文履歴"/>
    <s v="配送履歴"/>
    <s v="阿部悠輝"/>
    <s v="あべゆうき"/>
    <n v="9044645454"/>
    <s v="y24.private.yu.01@gmail.com"/>
    <s v="https://mdpink.maildealer.jp/wapi.php"/>
    <m/>
    <s v="558-0004"/>
    <s v="大阪府"/>
    <s v="大阪市住吉区長居東"/>
    <s v="3-4-18-902号"/>
    <m/>
    <s v="res_youtube_mrk"/>
    <d v="2024-05-31T00:00:00"/>
    <x v="3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77"/>
    <m/>
    <m/>
    <s v="注文履歴"/>
    <s v="配送履歴"/>
    <s v="後藤全郎"/>
    <s v="ごとうまさお"/>
    <n v="8040371971"/>
    <s v="machao46@gmail.com"/>
    <s v="https://mdpink.maildealer.jp/wapi.php"/>
    <m/>
    <s v="799-0111"/>
    <s v="愛媛県"/>
    <s v="四国中央市金生町下分"/>
    <n v="343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76"/>
    <m/>
    <m/>
    <s v="注文履歴"/>
    <s v="配送履歴"/>
    <s v="竹村明日香"/>
    <s v="たけむらあすか"/>
    <n v="9067023996"/>
    <s v="amachitapo@yahoo.co.jp"/>
    <s v="https://mdpink.maildealer.jp/wapi.php"/>
    <m/>
    <s v="211-0063"/>
    <s v="神奈川県"/>
    <s v="川崎市中原区小杉町"/>
    <s v="1-542-10, ベレ・マァーム202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74"/>
    <m/>
    <m/>
    <s v="注文履歴"/>
    <s v="配送履歴"/>
    <s v="秋武利郎"/>
    <s v="あきたけとしお"/>
    <n v="9017131664"/>
    <s v="aakitinn@ezweb.ne.jp"/>
    <s v="https://mdpink.maildealer.jp/wapi.php"/>
    <m/>
    <s v="671-1102"/>
    <s v="兵庫県"/>
    <s v="姫路市広畑区蒲田"/>
    <s v="4丁目92クリスタルアベニュー1番館101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573"/>
    <m/>
    <m/>
    <s v="注文履歴"/>
    <s v="配送履歴"/>
    <s v="野田雄哉"/>
    <s v="のだゆうや"/>
    <n v="8023922841"/>
    <s v="nocchi.drum@gmail.com"/>
    <s v="https://mdpink.maildealer.jp/wapi.php"/>
    <m/>
    <s v="305-0031"/>
    <s v="茨城県"/>
    <s v="つくば市吾妻1丁目"/>
    <s v="7-5レジェイドツクバ1713"/>
    <m/>
    <s v="res_youtube_mrk"/>
    <d v="2024-05-3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495"/>
    <m/>
    <m/>
    <s v="注文履歴"/>
    <s v="配送履歴"/>
    <s v="越野貴裕"/>
    <s v="こしのたかひろ"/>
    <n v="9057021053"/>
    <s v="ym09057021053@gmail.com"/>
    <s v="https://mdpink.maildealer.jp/wapi.php"/>
    <m/>
    <s v="689-2102"/>
    <s v="鳥取県"/>
    <s v="東伯郡北栄町国坂"/>
    <s v="657-1ジェルソミーナ201"/>
    <m/>
    <s v="res_youtube"/>
    <d v="2024-05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373"/>
    <m/>
    <m/>
    <s v="注文履歴"/>
    <s v="配送履歴"/>
    <s v="高山武志"/>
    <s v="たかやまたけし"/>
    <n v="9052109951"/>
    <s v="ihsekatamayakat@gmail.com"/>
    <s v="https://mdpink.maildealer.jp/wapi.php"/>
    <m/>
    <s v="240-0112"/>
    <s v="神奈川県"/>
    <s v="三浦郡葉山町"/>
    <s v="堀内546"/>
    <m/>
    <s v="res_youtube"/>
    <d v="2024-05-26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330"/>
    <m/>
    <m/>
    <s v="注文履歴"/>
    <s v="配送履歴"/>
    <s v="大西俊彦"/>
    <s v="おおにしとしひこ"/>
    <n v="9016553073"/>
    <s v="cannibal0729@gmail.com"/>
    <s v="https://mdpink.maildealer.jp/wapi.php"/>
    <m/>
    <s v="320-0041"/>
    <s v="栃木県"/>
    <s v="宇都宮市　松原"/>
    <s v="1-8-30 202"/>
    <m/>
    <s v="res_youtube_mrk"/>
    <d v="2024-05-2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4171"/>
    <m/>
    <m/>
    <s v="注文履歴"/>
    <s v="配送履歴"/>
    <s v="原豊光"/>
    <s v="はらとよみつ"/>
    <n v="276455387"/>
    <s v="hara373@gmail.com"/>
    <s v="https://mdpink.maildealer.jp/wapi.php"/>
    <m/>
    <s v="373-0823"/>
    <s v="群馬県"/>
    <s v="太田市西矢島町"/>
    <s v="270-31"/>
    <m/>
    <s v="res_youtube"/>
    <d v="2024-05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3381"/>
    <m/>
    <m/>
    <s v="注文履歴"/>
    <s v="配送履歴"/>
    <s v="小峯理子"/>
    <s v="こみねりこ"/>
    <n v="9096658752"/>
    <s v="rikonakajima8@gmail.com"/>
    <s v="https://mdpink.maildealer.jp/wapi.php"/>
    <m/>
    <s v="113-0021"/>
    <s v="東京都"/>
    <s v="文京区本駒込"/>
    <s v="3-40-13-603"/>
    <m/>
    <s v="hamamoto_book_ydn"/>
    <d v="2024-05-08T00:00:00"/>
    <x v="3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2712"/>
    <m/>
    <m/>
    <s v="注文履歴"/>
    <s v="配送履歴"/>
    <s v="山城静香"/>
    <s v="やましろしずか"/>
    <n v="9025810455"/>
    <s v="blueryukyu@gmail.com"/>
    <s v="https://mdpink.maildealer.jp/wapi.php"/>
    <m/>
    <s v="901-2226"/>
    <s v="沖縄県"/>
    <s v="宜野湾市"/>
    <s v="嘉数3-17-3 グランメゾンIHA 104号"/>
    <m/>
    <s v="res_youtube_book2"/>
    <d v="2024-04-2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2328"/>
    <m/>
    <m/>
    <s v="注文履歴"/>
    <s v="配送履歴"/>
    <s v="佐藤京子"/>
    <s v="さとうきょうこ"/>
    <n v="423814769"/>
    <s v="kyokosatokyo3@icloud.com"/>
    <s v="https://mdpink.maildealer.jp/wapi.php"/>
    <m/>
    <s v="184-0004"/>
    <s v="東京都"/>
    <s v="小金井市本町"/>
    <d v="2006-09-15T00:00:00"/>
    <m/>
    <s v="res_youtube_book2"/>
    <d v="2024-04-2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2076"/>
    <m/>
    <m/>
    <s v="注文履歴"/>
    <s v="配送履歴"/>
    <s v="原康雄"/>
    <s v="はらやすお"/>
    <n v="9099991225"/>
    <s v="x09099991225@i.softbank.jp"/>
    <s v="https://mdpink.maildealer.jp/wapi.php"/>
    <m/>
    <s v="194-0004"/>
    <s v="東京都"/>
    <s v="町田市鶴間"/>
    <s v="3-3-7-2507"/>
    <m/>
    <s v="res_youtube"/>
    <d v="2024-04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1581"/>
    <m/>
    <m/>
    <s v="注文履歴"/>
    <s v="配送履歴"/>
    <s v="内藤大伍"/>
    <s v="ないとうだいご"/>
    <n v="9082468802"/>
    <s v="daigoro-08@hotmail.co.jp"/>
    <s v="https://mdpink.maildealer.jp/wapi.php"/>
    <m/>
    <s v="745-0065"/>
    <s v="山口県"/>
    <s v="周南市原宿町"/>
    <s v="5-15ユウメゾン原宿102"/>
    <m/>
    <s v="res_youtube_book2"/>
    <d v="2024-03-2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1021"/>
    <m/>
    <m/>
    <s v="注文履歴"/>
    <s v="配送履歴"/>
    <s v="山本幸範"/>
    <s v="やまもとゆきのり"/>
    <n v="9043977172"/>
    <s v="yama141421356@gmail.com"/>
    <s v="https://mdpink.maildealer.jp/wapi.php"/>
    <m/>
    <s v="329-2752"/>
    <s v="栃木県"/>
    <s v="那須塩原市"/>
    <s v="三島5-334-212"/>
    <m/>
    <s v="res_youtube_book2"/>
    <d v="2024-03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0967"/>
    <m/>
    <m/>
    <s v="注文履歴"/>
    <s v="配送履歴"/>
    <s v="南岡和弥"/>
    <s v="みなみおかかずや"/>
    <n v="8045035343"/>
    <s v="kazuya.minamioka@gmail.com"/>
    <s v="https://mdpink.maildealer.jp/wapi.php"/>
    <m/>
    <s v="401-0511"/>
    <s v="山梨県"/>
    <s v="南都留郡忍野村"/>
    <s v="忍草3515-1-MN109"/>
    <m/>
    <s v="res_youtube_book2"/>
    <d v="2024-03-19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70808"/>
    <m/>
    <m/>
    <s v="注文履歴"/>
    <s v="配送履歴"/>
    <s v="泉智子"/>
    <s v="いずみともこ"/>
    <n v="9053182321"/>
    <s v="tomotomo757@gmail.com"/>
    <s v="https://mdpink.maildealer.jp/wapi.php"/>
    <m/>
    <s v="320-1233"/>
    <s v="茨城県"/>
    <s v="牛久市栄町"/>
    <s v="3-162-3"/>
    <m/>
    <s v="res_youtube_book2"/>
    <d v="2024-03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880"/>
    <m/>
    <m/>
    <s v="注文履歴"/>
    <s v="配送履歴"/>
    <s v="井谷智子"/>
    <s v="いたにともこ"/>
    <n v="9041133680"/>
    <s v="t-valley0616@outlook.jp"/>
    <s v="https://mdpink.maildealer.jp/wapi.php"/>
    <m/>
    <s v="153-0065"/>
    <s v="東京都"/>
    <s v="目黒区中町"/>
    <s v="1-28-4 イニシアイオ目黒学芸大学 508"/>
    <m/>
    <s v="res_youtube_mrk"/>
    <d v="2024-02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855"/>
    <m/>
    <m/>
    <s v="注文履歴"/>
    <s v="配送履歴"/>
    <s v="栗田賢二"/>
    <s v="くりたけんじ"/>
    <n v="9021369249"/>
    <s v="krtkenji@yahoo.co.jp"/>
    <s v="https://mdpink.maildealer.jp/wapi.php"/>
    <m/>
    <s v="486-0917"/>
    <s v="愛知県"/>
    <s v="春日井市美濃町"/>
    <s v="1丁目155番地バンベール美濃町公園507"/>
    <m/>
    <s v="res_youtube_mrk"/>
    <d v="2024-02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584"/>
    <m/>
    <m/>
    <s v="注文履歴"/>
    <s v="配送履歴"/>
    <s v="谷洋子"/>
    <s v="たにようこ"/>
    <n v="9083274601"/>
    <s v="yoko563127t@gmail.com"/>
    <s v="https://mdpink.maildealer.jp/wapi.php"/>
    <m/>
    <s v="411-0021"/>
    <s v="静岡県"/>
    <s v="三島市富士見台"/>
    <d v="2025-08-14T00:00:00"/>
    <m/>
    <s v="res_youtube_mrk"/>
    <d v="2024-02-1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350"/>
    <m/>
    <m/>
    <s v="注文履歴"/>
    <s v="配送履歴"/>
    <s v="長谷川隆之"/>
    <s v="はせがわたかゆき"/>
    <n v="9091410080"/>
    <s v="ryuu@ha-se.jp"/>
    <s v="https://mdpink.maildealer.jp/wapi.php"/>
    <m/>
    <s v="144-0055"/>
    <s v="東京都"/>
    <s v="大田区仲六郷"/>
    <s v="4-34-8"/>
    <m/>
    <s v="res_youtube_mrk"/>
    <d v="2024-02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290"/>
    <m/>
    <m/>
    <s v="注文履歴"/>
    <s v="配送履歴"/>
    <s v="辻博之"/>
    <s v="つじひろゆき"/>
    <n v="7052674618"/>
    <s v="tsuji07052674618@gmail.com"/>
    <s v="https://mdpink.maildealer.jp/wapi.php"/>
    <m/>
    <s v="659-0034"/>
    <s v="兵庫県"/>
    <s v="芦屋市陽光町"/>
    <d v="2025-03-29T00:00:00"/>
    <m/>
    <s v="res_youtube_mrk"/>
    <d v="2024-02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177"/>
    <m/>
    <m/>
    <s v="注文履歴"/>
    <s v="配送履歴"/>
    <s v="大矢昌章"/>
    <s v="おおやまさあき"/>
    <n v="9065136623"/>
    <s v="moya095@gmail.com"/>
    <s v="https://mdpink.maildealer.jp/wapi.php"/>
    <m/>
    <s v="246-0021"/>
    <s v="神奈川県"/>
    <s v="横浜市瀬谷区二ツ橋町"/>
    <s v="39-35"/>
    <m/>
    <s v="res_youtube_mrk"/>
    <d v="2024-02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167"/>
    <m/>
    <m/>
    <s v="注文履歴"/>
    <s v="配送履歴"/>
    <s v="山田喬之"/>
    <s v="やまだたかゆき"/>
    <n v="8052720014"/>
    <s v="rv0049vr@kankyousystem.jp"/>
    <s v="https://mdpink.maildealer.jp/wapi.php"/>
    <m/>
    <s v="232-0063"/>
    <s v="神奈川県"/>
    <s v="横浜市南区中里"/>
    <s v="2-15 L401"/>
    <m/>
    <s v="res_youtube_mrk"/>
    <d v="2024-02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128"/>
    <m/>
    <m/>
    <s v="注文履歴"/>
    <s v="配送履歴"/>
    <s v="鷹取功人"/>
    <s v="たかとりのりひと"/>
    <n v="9071827042"/>
    <s v="takatori.1963@gmail.com"/>
    <s v="https://mdpink.maildealer.jp/wapi.php"/>
    <m/>
    <s v="251-0057"/>
    <s v="神奈川県"/>
    <s v="藤沢市城南"/>
    <s v="3-1-33-1104"/>
    <m/>
    <s v="res_youtube_mrk"/>
    <d v="2024-02-17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9026"/>
    <m/>
    <m/>
    <s v="注文履歴"/>
    <s v="配送履歴"/>
    <s v="得本直人"/>
    <s v="とくもとなおと"/>
    <n v="9017862161"/>
    <s v="109moto.7oto@gmail.com"/>
    <s v="https://mdpink.maildealer.jp/wapi.php"/>
    <m/>
    <s v="546-0033"/>
    <s v="大阪府"/>
    <s v="大阪市東住吉区南田辺"/>
    <s v="5-27-13"/>
    <m/>
    <s v="res_youtube_mrk"/>
    <d v="2024-02-1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750"/>
    <m/>
    <m/>
    <s v="注文履歴"/>
    <s v="配送履歴"/>
    <s v="秋山裕太"/>
    <s v="あきやまゆうた"/>
    <n v="8033176623"/>
    <s v="yutaway@icloud.com"/>
    <s v="https://mdpink.maildealer.jp/wapi.php"/>
    <m/>
    <s v="272-0143"/>
    <s v="千葉県"/>
    <s v="市川市相之川"/>
    <s v="2-10-3リノア南行徳105号室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730"/>
    <m/>
    <m/>
    <s v="注文履歴"/>
    <s v="配送履歴"/>
    <s v="佐藤浩則"/>
    <s v="さとうひろのり"/>
    <n v="9080165819"/>
    <s v="hirono1127@yahoo.co.jp"/>
    <s v="https://mdpink.maildealer.jp/wapi.php"/>
    <m/>
    <s v="359-0023"/>
    <s v="埼玉県"/>
    <s v="所沢市東所沢和田"/>
    <s v="3-16-16"/>
    <m/>
    <s v="res_youtube_mrk"/>
    <d v="2024-02-19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683"/>
    <m/>
    <m/>
    <s v="注文履歴"/>
    <s v="配送履歴"/>
    <s v="廣野恭資"/>
    <s v="ひろのきょうすけ"/>
    <n v="9064927757"/>
    <s v="h.kyo371770@gmail.com"/>
    <s v="https://mdpink.maildealer.jp/wapi.php"/>
    <m/>
    <s v="338-0003"/>
    <s v="埼玉県"/>
    <s v="さいたま市中央区"/>
    <s v="本町東7-6-1グレイス与野107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632"/>
    <m/>
    <m/>
    <s v="注文履歴"/>
    <s v="配送履歴"/>
    <s v="村上光一"/>
    <s v="むらかみこういち"/>
    <n v="7090177847"/>
    <s v="kobonta@gmail.com"/>
    <s v="https://mdpink.maildealer.jp/wapi.php"/>
    <m/>
    <s v="178-0064"/>
    <s v="東京都"/>
    <s v="練馬区南大泉"/>
    <s v="4-40-18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624"/>
    <m/>
    <m/>
    <s v="注文履歴"/>
    <s v="配送履歴"/>
    <s v="和佐有起"/>
    <s v="わさゆうき"/>
    <n v="8053469657"/>
    <s v="mas_wasa@yahoo.co.jp"/>
    <s v="https://mdpink.maildealer.jp/wapi.php"/>
    <m/>
    <s v="655-0052"/>
    <s v="兵庫県"/>
    <s v="神戸市垂水区舞多聞東"/>
    <d v="2001-04-11T00:00:00"/>
    <m/>
    <s v="res_youtube_mrk"/>
    <d v="2024-02-20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620"/>
    <m/>
    <m/>
    <s v="注文履歴"/>
    <s v="配送履歴"/>
    <s v="樋口勇輝"/>
    <s v="ひぐちゆうき"/>
    <n v="8055571330"/>
    <s v="y.h.chikyugi@gmail.com"/>
    <s v="https://mdpink.maildealer.jp/wapi.php"/>
    <m/>
    <s v="440-0813"/>
    <s v="愛知県"/>
    <s v="豊橋市舟原町"/>
    <s v="111-1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609"/>
    <m/>
    <m/>
    <s v="注文履歴"/>
    <s v="配送履歴"/>
    <s v="竹井勝一"/>
    <s v="たけいかついち"/>
    <n v="9036890503"/>
    <s v="katkoichi5123@gmail.com"/>
    <s v="https://mdpink.maildealer.jp/wapi.php"/>
    <m/>
    <s v="215-0036"/>
    <s v="神奈川県"/>
    <s v="川崎市麻生区はるひ野"/>
    <s v="4-14-7"/>
    <m/>
    <s v="res_youtube_mrk"/>
    <d v="2024-02-21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599"/>
    <m/>
    <m/>
    <s v="注文履歴"/>
    <s v="配送履歴"/>
    <s v="廣瀬夕夏"/>
    <s v="ひろせゆうか"/>
    <n v="8032423206"/>
    <s v="syari098@gmail.com"/>
    <s v="https://mdpink.maildealer.jp/wapi.php"/>
    <m/>
    <s v="612-8493"/>
    <s v="京都府"/>
    <s v="京都市伏見区久我御旅町"/>
    <s v="10-125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567"/>
    <m/>
    <m/>
    <s v="注文履歴"/>
    <s v="配送履歴"/>
    <s v="大掛彰寛"/>
    <s v="おおがけあきひろ"/>
    <n v="764516914"/>
    <s v="snsktdln6@gmail.com"/>
    <s v="https://mdpink.maildealer.jp/wapi.php"/>
    <m/>
    <s v="931-8433"/>
    <s v="富山県"/>
    <s v="富山市"/>
    <s v="針原中町290-1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486"/>
    <m/>
    <m/>
    <s v="注文履歴"/>
    <s v="配送履歴"/>
    <s v="伊藤大貴"/>
    <s v="いとうだいき"/>
    <n v="8012388469"/>
    <s v="blair.waldorf.meester9@gmail.com"/>
    <s v="https://mdpink.maildealer.jp/wapi.php"/>
    <m/>
    <s v="371-0822"/>
    <s v="群馬県"/>
    <s v="前橋市下新田町"/>
    <s v="460-25"/>
    <m/>
    <s v="res_youtube_mrk"/>
    <d v="2024-02-2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83"/>
    <m/>
    <m/>
    <s v="注文履歴"/>
    <s v="配送履歴"/>
    <s v="新川一美"/>
    <s v="にいかわかずみ"/>
    <n v="9060176717"/>
    <s v="khsk1228@gmail.com"/>
    <s v="https://mdpink.maildealer.jp/wapi.php"/>
    <m/>
    <s v="194-0043"/>
    <s v="東京都"/>
    <s v="町田市成瀬台"/>
    <s v="2-40-4"/>
    <m/>
    <s v="res_youtube_mrk"/>
    <d v="2024-02-2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82"/>
    <m/>
    <m/>
    <s v="注文履歴"/>
    <s v="配送履歴"/>
    <s v="後藤孝啓"/>
    <s v="ごとうたかひろ"/>
    <n v="9018681321"/>
    <s v="mr.gocci@gmail.com"/>
    <s v="https://mdpink.maildealer.jp/wapi.php"/>
    <m/>
    <s v="395-0066"/>
    <s v="長野県"/>
    <s v="飯田市羽場赤坂"/>
    <s v="2062-6スカイハイツ赤坂A10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81"/>
    <m/>
    <m/>
    <s v="注文履歴"/>
    <s v="配送履歴"/>
    <s v="池中倫代"/>
    <s v="いけなかみちよ"/>
    <n v="9018183729"/>
    <s v="min2.no.green@gmail.com"/>
    <s v="https://mdpink.maildealer.jp/wapi.php"/>
    <m/>
    <s v="564-0052"/>
    <s v="大阪府"/>
    <s v="吹田市広芝町"/>
    <s v="4-18-407"/>
    <m/>
    <s v="jim_opt"/>
    <d v="2024-02-23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80"/>
    <m/>
    <m/>
    <s v="注文履歴"/>
    <s v="配送履歴"/>
    <s v="袴田悠介"/>
    <s v="はかまたゆうすけ"/>
    <n v="9026839733"/>
    <s v="kb24.lom@gmail.com"/>
    <s v="https://mdpink.maildealer.jp/wapi.php"/>
    <m/>
    <s v="432-8005"/>
    <s v="静岡県"/>
    <s v="浜松市中央区神ケ谷町"/>
    <d v="1952-04-01T00:00:00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78"/>
    <m/>
    <m/>
    <s v="注文履歴"/>
    <s v="配送履歴"/>
    <s v="手塚雅登"/>
    <s v="てづかまさと"/>
    <n v="8010373018"/>
    <s v="botamoti2koiri@hotmail.com"/>
    <s v="https://mdpink.maildealer.jp/wapi.php"/>
    <m/>
    <s v="386-1106"/>
    <s v="長野県"/>
    <s v="上田市"/>
    <s v="小泉1062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77"/>
    <m/>
    <m/>
    <s v="注文履歴"/>
    <s v="配送履歴"/>
    <s v="成田基良"/>
    <s v="なりたもとよし"/>
    <n v="9071064930"/>
    <s v="naritamotomoto1980@gmail.com"/>
    <s v="https://mdpink.maildealer.jp/wapi.php"/>
    <m/>
    <s v="565-0824"/>
    <s v="大阪府"/>
    <s v="吹田市山田西"/>
    <s v="3-39-1"/>
    <m/>
    <s v="res_youtube_mrk"/>
    <d v="2024-02-23T00:00:00"/>
    <x v="4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75"/>
    <m/>
    <m/>
    <s v="注文履歴"/>
    <s v="配送履歴"/>
    <s v="兒島邦幸"/>
    <s v="こじまくにゆき"/>
    <n v="9090792393"/>
    <s v="gtr6475@gmail.com"/>
    <s v="https://mdpink.maildealer.jp/wapi.php"/>
    <m/>
    <s v="892-0802"/>
    <s v="鹿児島県"/>
    <s v="鹿児島市清水町"/>
    <s v="29-36-503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71"/>
    <m/>
    <m/>
    <s v="注文履歴"/>
    <s v="配送履歴"/>
    <s v="舟木伸吾"/>
    <s v="ふなきしんご"/>
    <n v="9096852171"/>
    <s v="skdrive@hotmail.co.jp"/>
    <s v="https://mdpink.maildealer.jp/wapi.php"/>
    <m/>
    <s v="152-0002"/>
    <s v="東京都"/>
    <s v="目黒区目黒本町"/>
    <s v="5-30-19"/>
    <m/>
    <s v="res_youtube_mrk"/>
    <d v="2024-02-23T00:00:00"/>
    <x v="3"/>
    <d v="2025-02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64"/>
    <m/>
    <m/>
    <s v="注文履歴"/>
    <s v="配送履歴"/>
    <s v="橋場公保"/>
    <s v="はしばきみやす"/>
    <n v="8082056241"/>
    <s v="astraealibra.13@gmail.com"/>
    <s v="https://mdpink.maildealer.jp/wapi.php"/>
    <m/>
    <s v="021-0902"/>
    <s v="岩手県"/>
    <s v="一関市萩荘字江川３4ー１０"/>
    <s v="パシフィックタウンAーD棟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63"/>
    <m/>
    <m/>
    <s v="注文履歴"/>
    <s v="配送履歴"/>
    <s v="小野智弘"/>
    <s v="おのともひろ"/>
    <n v="9063262133"/>
    <s v="tomohiro.ono.prv@gmail.com"/>
    <s v="https://mdpink.maildealer.jp/wapi.php"/>
    <m/>
    <s v="465-0083"/>
    <s v="愛知県"/>
    <s v="名古屋市名東区神丘町"/>
    <s v="2-21-1パークシティ星ヶ丘2713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55"/>
    <m/>
    <m/>
    <s v="注文履歴"/>
    <s v="配送履歴"/>
    <s v="宮原健"/>
    <s v="みやはらたけし"/>
    <n v="9064049620"/>
    <s v="zyakenn46@gmail.com"/>
    <s v="https://mdpink.maildealer.jp/wapi.php"/>
    <m/>
    <s v="733-0815"/>
    <s v="広島県"/>
    <s v="広島市西区己斐上4丁目33-24"/>
    <s v="カミーリアA棟20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51"/>
    <m/>
    <m/>
    <s v="注文履歴"/>
    <s v="配送履歴"/>
    <s v="花島真由美"/>
    <s v="はなしままゆみ"/>
    <n v="432575791"/>
    <s v="mayumi171727ab@softbank.ne.jp"/>
    <s v="https://mdpink.maildealer.jp/wapi.php"/>
    <m/>
    <s v="262-0014"/>
    <s v="千葉県"/>
    <s v="千葉市花見川区さつきが丘"/>
    <s v="1-14-7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49"/>
    <m/>
    <m/>
    <s v="注文履歴"/>
    <s v="配送履歴"/>
    <s v="菅原毅"/>
    <s v="すがわらつよし"/>
    <n v="9096202269"/>
    <s v="sugaport@gmail.com"/>
    <s v="https://mdpink.maildealer.jp/wapi.php"/>
    <m/>
    <s v="565-0874"/>
    <s v="大阪府"/>
    <s v="吹田市古江台"/>
    <s v="3-7-22-50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46"/>
    <m/>
    <m/>
    <s v="注文履歴"/>
    <s v="配送履歴"/>
    <s v="金子純一郎"/>
    <s v="かねこじゅんいちろう"/>
    <n v="9021567530"/>
    <s v="jiritzu30@yahoo.co.jp"/>
    <s v="https://mdpink.maildealer.jp/wapi.php"/>
    <m/>
    <s v="350-2201"/>
    <s v="埼玉県"/>
    <s v="鶴ヶ島市富士見"/>
    <s v="1-18-13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44"/>
    <m/>
    <m/>
    <s v="注文履歴"/>
    <s v="配送履歴"/>
    <s v="森下政史"/>
    <s v="もりしたまさし"/>
    <n v="9025325418"/>
    <s v="mini3633.mm@gmail.com"/>
    <s v="https://mdpink.maildealer.jp/wapi.php"/>
    <m/>
    <s v="949-6211"/>
    <s v="新潟県"/>
    <s v="湯沢町"/>
    <s v="1075-2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41"/>
    <m/>
    <m/>
    <s v="注文履歴"/>
    <s v="配送履歴"/>
    <s v="西野正孝"/>
    <s v="にしのまさたか"/>
    <n v="9023292168"/>
    <s v="nishino.vov.masataka@gmail.com"/>
    <s v="https://mdpink.maildealer.jp/wapi.php"/>
    <m/>
    <s v="321-0904"/>
    <s v="栃木県"/>
    <s v="宇都宮市陽東７丁目１０－３７"/>
    <s v="ディアコート陽東206号室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39"/>
    <m/>
    <m/>
    <s v="注文履歴"/>
    <s v="配送履歴"/>
    <s v="須山恵明"/>
    <s v="すやましげあき"/>
    <n v="9013357507"/>
    <s v="symg14@gmail.com"/>
    <s v="https://mdpink.maildealer.jp/wapi.php"/>
    <m/>
    <s v="194-0003"/>
    <s v="東京都"/>
    <s v="町田市小川"/>
    <s v="6-21-1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36"/>
    <m/>
    <m/>
    <s v="注文履歴"/>
    <s v="配送履歴"/>
    <s v="内山昌子"/>
    <s v="うちやままさこ"/>
    <n v="9080330045"/>
    <s v="ttrex0073-kabu@yahoo.co.jp"/>
    <s v="https://mdpink.maildealer.jp/wapi.php"/>
    <m/>
    <s v="169-0073"/>
    <s v="東京都"/>
    <s v="新宿区百人町"/>
    <s v="4-4-17-705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34"/>
    <m/>
    <m/>
    <s v="注文履歴"/>
    <s v="配送履歴"/>
    <s v="熊沢勝明"/>
    <s v="くまざわかつあき"/>
    <n v="9098018183"/>
    <s v="winner200706@gmail.com"/>
    <s v="https://mdpink.maildealer.jp/wapi.php"/>
    <m/>
    <s v="113-0033"/>
    <s v="東京都"/>
    <s v="文京区本郷"/>
    <s v="1-25-25-80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32"/>
    <m/>
    <m/>
    <s v="注文履歴"/>
    <s v="配送履歴"/>
    <s v="大平裕也"/>
    <s v="おおひらゆうや"/>
    <n v="8039289845"/>
    <s v="brave.man0021@gmail.com"/>
    <s v="https://mdpink.maildealer.jp/wapi.php"/>
    <m/>
    <s v="763-0065"/>
    <s v="香川県"/>
    <s v="丸亀市塩屋町"/>
    <s v="2丁目15-4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30"/>
    <m/>
    <m/>
    <s v="注文履歴"/>
    <s v="配送履歴"/>
    <s v="齋藤雅和"/>
    <s v="さいとうまさかず"/>
    <n v="9090167839"/>
    <s v="masakazusaito94@gmail.com"/>
    <s v="https://mdpink.maildealer.jp/wapi.php"/>
    <m/>
    <s v="108-0073"/>
    <s v="東京都"/>
    <s v="港区"/>
    <s v="三田5-13-4-70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27"/>
    <m/>
    <m/>
    <s v="注文履歴"/>
    <s v="配送履歴"/>
    <s v="山白祐平"/>
    <s v="やまはくゆうへい"/>
    <n v="9079705446"/>
    <s v="yuheisekigane@gmail.com"/>
    <s v="https://mdpink.maildealer.jp/wapi.php"/>
    <m/>
    <s v="682-0023"/>
    <s v="鳥取県"/>
    <s v="倉吉市山根415-1"/>
    <s v="米田アパート2号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26"/>
    <m/>
    <m/>
    <s v="注文履歴"/>
    <s v="配送履歴"/>
    <s v="工藤敏子"/>
    <s v="くどうとしこ"/>
    <n v="8012075127"/>
    <s v="piano_kudo@yahoo.co.jp"/>
    <s v="https://mdpink.maildealer.jp/wapi.php"/>
    <m/>
    <s v="177-0045"/>
    <s v="東京都"/>
    <s v="練馬区石神井台"/>
    <s v="6-1-36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25"/>
    <m/>
    <m/>
    <s v="注文履歴"/>
    <s v="配送履歴"/>
    <s v="中野俊吾"/>
    <s v="なかのしゅんご"/>
    <n v="8029618376"/>
    <s v="musselwatch@icloud.com"/>
    <s v="https://mdpink.maildealer.jp/wapi.php"/>
    <m/>
    <s v="830-0073"/>
    <s v="福岡県"/>
    <s v="久留米市大善寺町宮本"/>
    <s v="2121 プリオーレ205号室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22"/>
    <m/>
    <m/>
    <s v="注文履歴"/>
    <s v="配送履歴"/>
    <s v="三浦大輝"/>
    <s v="みうらたいき"/>
    <n v="8020695663"/>
    <s v="tamisuke1130@gmail.com"/>
    <s v="https://mdpink.maildealer.jp/wapi.php"/>
    <m/>
    <s v="321-0165"/>
    <s v="栃木県"/>
    <s v="宇都宮市"/>
    <s v="緑2-18-14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18"/>
    <m/>
    <m/>
    <s v="注文履歴"/>
    <s v="配送履歴"/>
    <s v="坂本淳"/>
    <s v="さかもとあつし"/>
    <n v="9071035084"/>
    <s v="cpcyv202@hct.zaq.ne.jp"/>
    <s v="https://mdpink.maildealer.jp/wapi.php"/>
    <m/>
    <s v="590-0505"/>
    <s v="大阪府"/>
    <s v="泉南市信達大苗代６２"/>
    <s v="泉南一丘団地38棟107号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17"/>
    <m/>
    <m/>
    <s v="注文履歴"/>
    <s v="配送履歴"/>
    <s v="橋本伸宏"/>
    <s v="はしもとのぶひろ"/>
    <n v="9070091135"/>
    <s v="n-hashimoto@gokoh.co.jp"/>
    <s v="https://mdpink.maildealer.jp/wapi.php"/>
    <m/>
    <s v="224-0006"/>
    <s v="神奈川県"/>
    <s v="横浜市都築区荏田東"/>
    <s v="4-42-1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16"/>
    <m/>
    <m/>
    <s v="注文履歴"/>
    <s v="配送履歴"/>
    <s v="櫻庭幹彦"/>
    <s v="さくらばみきひこ"/>
    <n v="9042459887"/>
    <s v="woodyshell2fm@yahoo.ne.jp"/>
    <s v="https://mdpink.maildealer.jp/wapi.php"/>
    <m/>
    <s v="242-0003"/>
    <s v="神奈川県"/>
    <s v="大和市林間"/>
    <s v="1丁目15-31-204"/>
    <m/>
    <s v="res_youtube_mrk"/>
    <d v="2024-02-23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14"/>
    <m/>
    <m/>
    <s v="注文履歴"/>
    <s v="配送履歴"/>
    <s v="羽田尊子"/>
    <s v="はねだたかこ"/>
    <n v="7084503464"/>
    <s v="takako0304ab@gmail.com"/>
    <s v="https://mdpink.maildealer.jp/wapi.php"/>
    <m/>
    <s v="573-1121"/>
    <s v="大阪府"/>
    <s v="枚方市"/>
    <s v="楠葉花園町11-3-1210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12"/>
    <m/>
    <m/>
    <s v="注文履歴"/>
    <s v="配送履歴"/>
    <s v="中野真良"/>
    <s v="なかのまさよし"/>
    <n v="9021382130"/>
    <s v="cranky.condorer@gmail.com"/>
    <s v="https://mdpink.maildealer.jp/wapi.php"/>
    <m/>
    <s v="511-0912"/>
    <s v="三重県"/>
    <s v="桑名市星見ヶ丘"/>
    <s v="5丁目102-2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11"/>
    <m/>
    <m/>
    <s v="注文履歴"/>
    <s v="配送履歴"/>
    <s v="新田晃久"/>
    <s v="にったあきひさ"/>
    <n v="8051940339"/>
    <s v="nitta1123a@gmail.com"/>
    <s v="https://mdpink.maildealer.jp/wapi.php"/>
    <m/>
    <s v="177-0042"/>
    <s v="東京都"/>
    <s v="練馬区下石神井"/>
    <s v="5-13-6ライオンズ上井草レジデンス203"/>
    <m/>
    <s v="res_youtube_mrk"/>
    <d v="2024-02-23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05"/>
    <m/>
    <m/>
    <s v="注文履歴"/>
    <s v="配送履歴"/>
    <s v="佐藤雅紀"/>
    <s v="さとうまさのり"/>
    <n v="8054721768"/>
    <s v="millionddog@gmail.com"/>
    <s v="https://mdpink.maildealer.jp/wapi.php"/>
    <m/>
    <s v="990-0812"/>
    <s v="山形県"/>
    <s v="山形市千歳２－１５－３２"/>
    <s v="2-15-32シャングリラ千歳305"/>
    <m/>
    <s v="res_youtube_mrk"/>
    <d v="2024-02-23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302"/>
    <m/>
    <m/>
    <s v="注文履歴"/>
    <s v="配送履歴"/>
    <s v="柏﨑裕貴"/>
    <s v="かしわざきひろき"/>
    <n v="8019301610"/>
    <s v="ryuga572@yahoo.co.jp"/>
    <s v="https://mdpink.maildealer.jp/wapi.php"/>
    <m/>
    <s v="711-0911"/>
    <s v="岡山県"/>
    <s v="倉敷市"/>
    <s v="児島小川4-8-1-55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95"/>
    <m/>
    <m/>
    <s v="注文履歴"/>
    <s v="配送履歴"/>
    <s v="石黒修"/>
    <s v="いしぐろおさむ"/>
    <n v="8058886112"/>
    <s v="o.i.stone96@gmail.com"/>
    <s v="https://mdpink.maildealer.jp/wapi.php"/>
    <m/>
    <s v="231-0852"/>
    <s v="神奈川県"/>
    <s v="横浜市中区西竹之丸"/>
    <n v="74"/>
    <m/>
    <s v="res_youtube_mrk"/>
    <d v="2024-02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85"/>
    <m/>
    <m/>
    <s v="注文履歴"/>
    <s v="配送履歴"/>
    <s v="小林敬子"/>
    <s v="こばやしけいこ"/>
    <n v="8032784237"/>
    <s v="hkkbys@gmail.com"/>
    <s v="https://mdpink.maildealer.jp/wapi.php"/>
    <m/>
    <s v="213-0015"/>
    <s v="神奈川県"/>
    <s v="川崎市高津区梶ヶ谷"/>
    <s v="3-14-15-106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9"/>
    <m/>
    <m/>
    <s v="注文履歴"/>
    <s v="配送履歴"/>
    <s v="丸毛健資"/>
    <s v="まるもきよし"/>
    <n v="9019167943"/>
    <s v="marutyan@zeus.eonet.ne.jp"/>
    <s v="https://mdpink.maildealer.jp/wapi.php"/>
    <m/>
    <s v="651-2242"/>
    <s v="兵庫県"/>
    <s v="神戸市西区井吹台東町３丁目"/>
    <s v="26-19"/>
    <m/>
    <s v="res_youtube_mrk"/>
    <d v="2024-02-23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7"/>
    <m/>
    <m/>
    <s v="注文履歴"/>
    <s v="配送履歴"/>
    <s v="内田海斗"/>
    <s v="うちだかいと"/>
    <n v="8088908819"/>
    <s v="11uchiuchi22@gmail.com"/>
    <s v="https://mdpink.maildealer.jp/wapi.php"/>
    <m/>
    <s v="191-0053"/>
    <s v="東京都"/>
    <s v="日野市豊田"/>
    <d v="2003-05-23T00:00:00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5"/>
    <m/>
    <m/>
    <s v="注文履歴"/>
    <s v="配送履歴"/>
    <s v="服部明彦"/>
    <s v="はっとりあきひこ"/>
    <n v="9085729638"/>
    <s v="xpart77@gmail.com"/>
    <s v="https://mdpink.maildealer.jp/wapi.php"/>
    <m/>
    <s v="614-8353"/>
    <s v="京都府"/>
    <s v="八幡市"/>
    <s v="西山丸尾5-4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4"/>
    <m/>
    <m/>
    <s v="注文履歴"/>
    <s v="配送履歴"/>
    <s v="松川剛"/>
    <s v="まつかわつよし"/>
    <n v="9065848908"/>
    <s v="pondupon2@yahoo.co.jp"/>
    <s v="https://mdpink.maildealer.jp/wapi.php"/>
    <m/>
    <s v="191-0012"/>
    <s v="東京都"/>
    <s v="日野市日野"/>
    <s v="820 グレースコート205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3"/>
    <m/>
    <m/>
    <s v="注文履歴"/>
    <s v="配送履歴"/>
    <s v="一ノ瀬利彦"/>
    <s v="いちのせとしひこ"/>
    <n v="9013619170"/>
    <s v="tiichinose@gmail.com"/>
    <s v="https://mdpink.maildealer.jp/wapi.php"/>
    <m/>
    <s v="859-3701"/>
    <s v="長崎県"/>
    <s v="東彼杵郡波佐見町湯無田郷"/>
    <s v="1027-2 302号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2"/>
    <m/>
    <m/>
    <s v="注文履歴"/>
    <s v="配送履歴"/>
    <s v="高橋裕幸"/>
    <s v="たかはしひろゆき"/>
    <n v="9056846272"/>
    <s v="heart_beats_831@yahoo.co.jp"/>
    <s v="https://mdpink.maildealer.jp/wapi.php"/>
    <m/>
    <s v="937-0068"/>
    <s v="富山県"/>
    <s v="魚津市本新"/>
    <s v="751-1 ブリリアントハウス魚津B203"/>
    <m/>
    <s v="res_youtube_mrk"/>
    <d v="2024-02-23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71"/>
    <m/>
    <m/>
    <s v="注文履歴"/>
    <s v="配送履歴"/>
    <s v="杉浦正剛"/>
    <s v="すぎうらまさよし"/>
    <n v="8037099585"/>
    <s v="suma0403@icloud.com"/>
    <s v="https://mdpink.maildealer.jp/wapi.php"/>
    <m/>
    <s v="446-0034"/>
    <s v="愛知県"/>
    <s v="安城市"/>
    <s v="南町10-21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64"/>
    <m/>
    <m/>
    <s v="注文履歴"/>
    <s v="配送履歴"/>
    <s v="中山瑞恵"/>
    <s v="なかやまみずえ"/>
    <n v="9073696129"/>
    <s v="mizue.222426@gmail.com"/>
    <s v="https://mdpink.maildealer.jp/wapi.php"/>
    <m/>
    <s v="664-0858"/>
    <s v="兵庫県"/>
    <s v="伊丹市西台1丁目7-10"/>
    <s v="伊丹アイビーコート504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63"/>
    <m/>
    <m/>
    <s v="注文履歴"/>
    <s v="配送履歴"/>
    <s v="岡田浩一"/>
    <s v="おかだひろいち"/>
    <n v="9086888982"/>
    <s v="hiroichi_23-hiroichi_23@docomo.ne.jp"/>
    <s v="https://mdpink.maildealer.jp/wapi.php"/>
    <m/>
    <s v="310-0847"/>
    <s v="茨城県"/>
    <s v="水戸市米沢町"/>
    <s v="585-6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60"/>
    <m/>
    <m/>
    <s v="注文履歴"/>
    <s v="配送履歴"/>
    <s v="押田徹"/>
    <s v="おしだとおる"/>
    <n v="9024179590"/>
    <s v="to117yu1114@gmail.com"/>
    <s v="https://mdpink.maildealer.jp/wapi.php"/>
    <m/>
    <s v="289-1326"/>
    <s v="千葉県"/>
    <s v="山武市成東"/>
    <d v="1988-01-01T00:00:00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49"/>
    <m/>
    <m/>
    <s v="注文履歴"/>
    <s v="配送履歴"/>
    <s v="田中亮"/>
    <s v="たなかりょう"/>
    <n v="9059644273"/>
    <s v="tryo19881106@gmail.com"/>
    <s v="https://mdpink.maildealer.jp/wapi.php"/>
    <m/>
    <s v="557-0034"/>
    <s v="大阪府"/>
    <s v="大阪市西成区松"/>
    <s v="1-6-33"/>
    <m/>
    <s v="res_youtube_mrk"/>
    <d v="2024-0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45"/>
    <m/>
    <m/>
    <s v="注文履歴"/>
    <s v="配送履歴"/>
    <s v="堀田康史郎"/>
    <s v="ほったこうしろう"/>
    <n v="8011114710"/>
    <s v="khotter817@gmail.com"/>
    <s v="https://mdpink.maildealer.jp/wapi.php"/>
    <m/>
    <s v="173-0037"/>
    <s v="東京都"/>
    <s v="板橋区"/>
    <d v="2003-06-03T00:00:00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41"/>
    <m/>
    <m/>
    <s v="注文履歴"/>
    <s v="配送履歴"/>
    <s v="柴田悠祐"/>
    <s v="しばたゆうすけ"/>
    <n v="8053346623"/>
    <s v="suteys2018@gmail.com"/>
    <s v="https://mdpink.maildealer.jp/wapi.php"/>
    <m/>
    <s v="448-0852"/>
    <s v="愛知県"/>
    <s v="刈谷市住吉町"/>
    <s v="1-11-1-305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28"/>
    <m/>
    <m/>
    <s v="注文履歴"/>
    <s v="配送履歴"/>
    <s v="原早苗"/>
    <s v="はらさなえ"/>
    <n v="116672256"/>
    <s v="pxk06015@nifty.com"/>
    <s v="https://mdpink.maildealer.jp/wapi.php"/>
    <m/>
    <s v="063-0061"/>
    <s v="北海道"/>
    <s v="札幌市西区西町"/>
    <s v="北15-2-1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18"/>
    <m/>
    <m/>
    <s v="注文履歴"/>
    <s v="配送履歴"/>
    <s v="柴田優香"/>
    <s v="しばたゆか"/>
    <n v="9011969193"/>
    <s v="ys19877235@gmail.com"/>
    <s v="https://mdpink.maildealer.jp/wapi.php"/>
    <m/>
    <s v="813-0041"/>
    <s v="福岡県"/>
    <s v="福岡市東区"/>
    <s v="水谷3丁目1-17-2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16"/>
    <m/>
    <m/>
    <s v="注文履歴"/>
    <s v="配送履歴"/>
    <s v="喜田巧"/>
    <s v="きだたくみ"/>
    <n v="7013078745"/>
    <s v="uujitan.moja22@gmail.com"/>
    <s v="https://mdpink.maildealer.jp/wapi.php"/>
    <m/>
    <s v="232-0033"/>
    <s v="神奈川県"/>
    <s v="横浜市南区中村町１丁目"/>
    <s v="66-23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14"/>
    <m/>
    <m/>
    <s v="注文履歴"/>
    <s v="配送履歴"/>
    <s v="木本岳史"/>
    <s v="きもとたけし"/>
    <n v="9098181476"/>
    <s v="takezaemon@gmail.com"/>
    <s v="https://mdpink.maildealer.jp/wapi.php"/>
    <m/>
    <s v="330-0074"/>
    <s v="埼玉県"/>
    <s v="さいたま市浦和区北浦和"/>
    <s v="3丁目 12-6ー203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13"/>
    <m/>
    <m/>
    <s v="注文履歴"/>
    <s v="配送履歴"/>
    <s v="富永信吾"/>
    <s v="とみながしんご"/>
    <n v="9031342755"/>
    <s v="dodge45durango@gmail.com"/>
    <s v="https://mdpink.maildealer.jp/wapi.php"/>
    <m/>
    <s v="362-0075"/>
    <s v="埼玉県"/>
    <s v="上尾市"/>
    <s v="柏座1-2-3アゼリアシティ上尾3-703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10"/>
    <m/>
    <m/>
    <s v="注文履歴"/>
    <s v="配送履歴"/>
    <s v="久保田直子"/>
    <s v="くぼたなおこ"/>
    <n v="8010855603"/>
    <s v="racco0830@gmail.com"/>
    <s v="https://mdpink.maildealer.jp/wapi.php"/>
    <m/>
    <s v="186-0004"/>
    <s v="東京都"/>
    <s v="国立市"/>
    <s v="中1-10-23 ファミール国立1002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08"/>
    <m/>
    <m/>
    <s v="注文履歴"/>
    <s v="配送履歴"/>
    <s v="浜本純郎"/>
    <s v="はまもとすみお"/>
    <n v="8062704200"/>
    <s v="s02@hamaden.org"/>
    <s v="https://mdpink.maildealer.jp/wapi.php"/>
    <m/>
    <s v="722-0062"/>
    <s v="広島県"/>
    <s v="広島県尾道市向東町"/>
    <d v="1980-02-01T00:00:00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201"/>
    <m/>
    <m/>
    <s v="注文履歴"/>
    <s v="配送履歴"/>
    <s v="田澤一則"/>
    <s v="たざわかずのり"/>
    <n v="7026857385"/>
    <s v="kazu.1116.ain@gmail.com"/>
    <s v="https://mdpink.maildealer.jp/wapi.php"/>
    <m/>
    <s v="002-8074"/>
    <s v="北海道"/>
    <s v="札幌市北区あいの里４条6丁目12-10"/>
    <s v="一戸建"/>
    <m/>
    <s v="res_youtube_mrk"/>
    <d v="2024-02-22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99"/>
    <m/>
    <m/>
    <s v="注文履歴"/>
    <s v="配送履歴"/>
    <s v="田島卓宗"/>
    <s v="たじまたかむね"/>
    <n v="9088640837"/>
    <s v="yueliang_lunasea-bull@yahoo.co.jp"/>
    <s v="https://mdpink.maildealer.jp/wapi.php"/>
    <m/>
    <s v="474-0073"/>
    <s v="愛知県"/>
    <s v="大府市東新町２－２２２"/>
    <s v="ユートピア東新601号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97"/>
    <m/>
    <m/>
    <s v="注文履歴"/>
    <s v="配送履歴"/>
    <s v="中原宏高"/>
    <s v="なかはらひろたか"/>
    <n v="9045679831"/>
    <s v="bndwt249@yahoo.co.jp"/>
    <s v="https://mdpink.maildealer.jp/wapi.php"/>
    <m/>
    <s v="739-2615"/>
    <s v="広島県"/>
    <s v="東広島市黒瀬春日野"/>
    <d v="2002-08-18T00:00:00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90"/>
    <m/>
    <m/>
    <s v="注文履歴"/>
    <s v="配送履歴"/>
    <s v="城間秀之"/>
    <s v="しろまひでゆき"/>
    <n v="9037903320"/>
    <s v="viajero306@gmail.com"/>
    <s v="https://mdpink.maildealer.jp/wapi.php"/>
    <m/>
    <s v="905-0018"/>
    <s v="沖縄県"/>
    <s v="名護市"/>
    <s v="大西四丁目6-20 204号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9"/>
    <m/>
    <m/>
    <s v="注文履歴"/>
    <s v="配送履歴"/>
    <s v="薮内和也"/>
    <s v="やぶうちかずや"/>
    <n v="9089558431"/>
    <s v="btyjw161@yahoo.co.jp"/>
    <s v="https://mdpink.maildealer.jp/wapi.php"/>
    <m/>
    <s v="455-0078"/>
    <s v="愛知県"/>
    <s v="名古屋市港区丸池町"/>
    <s v="1-1-1 丸池荘4-404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8"/>
    <m/>
    <m/>
    <s v="注文履歴"/>
    <s v="配送履歴"/>
    <s v="秋場優子"/>
    <s v="あきばゆうこ"/>
    <n v="9071884280"/>
    <s v="choppaxa@yahoo.co.jp"/>
    <s v="https://mdpink.maildealer.jp/wapi.php"/>
    <m/>
    <s v="193-0944"/>
    <s v="東京都"/>
    <s v="八王子市館町"/>
    <s v="184-2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5"/>
    <m/>
    <m/>
    <s v="注文履歴"/>
    <s v="配送履歴"/>
    <s v="小島透"/>
    <s v="こじまとおる"/>
    <n v="7015402443"/>
    <s v="kg_itiban@hotmail.com"/>
    <s v="https://mdpink.maildealer.jp/wapi.php"/>
    <m/>
    <s v="663-8032"/>
    <s v="兵庫県"/>
    <s v="西宮市高木西町"/>
    <s v="14-8-301 ボヌールウエスト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4"/>
    <m/>
    <m/>
    <s v="注文履歴"/>
    <s v="配送履歴"/>
    <s v="青木友作"/>
    <s v="あおきゆうさく"/>
    <n v="8014391455"/>
    <s v="syakuretoniwatori@gmail.com"/>
    <s v="https://mdpink.maildealer.jp/wapi.php"/>
    <m/>
    <s v="377-0004"/>
    <s v="群馬県"/>
    <s v="渋川市半田"/>
    <s v="580-3デプレB104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2"/>
    <m/>
    <m/>
    <s v="注文履歴"/>
    <s v="配送履歴"/>
    <s v="西村康子"/>
    <s v="にしむらやすこ"/>
    <n v="9028880478"/>
    <s v="earl-grey@kxf.biglobe.ne.jp"/>
    <s v="https://mdpink.maildealer.jp/wapi.php"/>
    <m/>
    <s v="010-0341"/>
    <s v="秋田県"/>
    <s v="男鹿市船越字本町"/>
    <s v="14番地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1"/>
    <m/>
    <m/>
    <s v="注文履歴"/>
    <s v="配送履歴"/>
    <s v="金田繁"/>
    <s v="かねだしげる"/>
    <n v="236827273"/>
    <s v="sss@myboom.jp"/>
    <s v="https://mdpink.maildealer.jp/wapi.php"/>
    <m/>
    <s v="990-0862"/>
    <s v="山形県"/>
    <s v="山形市西江俣"/>
    <d v="2025-04-26T00:00:00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80"/>
    <m/>
    <m/>
    <s v="注文履歴"/>
    <s v="配送履歴"/>
    <s v="山本成司"/>
    <s v="やまもとせいじ"/>
    <n v="9062150847"/>
    <s v="sy0216maru@ezweb.ne.jp"/>
    <s v="https://mdpink.maildealer.jp/wapi.php"/>
    <m/>
    <s v="059-1306"/>
    <s v="北海道"/>
    <s v="苫小牧市ウトナイ北6丁目"/>
    <s v="11番地7号"/>
    <m/>
    <s v="res_youtube_mrk"/>
    <d v="2024-02-22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79"/>
    <m/>
    <m/>
    <s v="注文履歴"/>
    <s v="配送履歴"/>
    <s v="山口悦子"/>
    <s v="やまぐちえつこ"/>
    <n v="9023385815"/>
    <s v="bicky0805@gmail.com"/>
    <s v="https://mdpink.maildealer.jp/wapi.php"/>
    <m/>
    <s v="321-0946"/>
    <s v="栃木県"/>
    <s v="宇都宮市東峰"/>
    <s v="1-20-30"/>
    <m/>
    <s v="res_youtube_mrk"/>
    <d v="2024-02-2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77"/>
    <m/>
    <m/>
    <s v="注文履歴"/>
    <s v="配送履歴"/>
    <s v="土橋茂美"/>
    <s v="つちはししげみ"/>
    <n v="9052739071"/>
    <s v="tomotaku220611@gmail.com"/>
    <s v="https://mdpink.maildealer.jp/wapi.php"/>
    <m/>
    <s v="770-0942"/>
    <s v="徳島県"/>
    <s v="徳島市昭和町"/>
    <s v="6-74-1 サーパス昭和町301"/>
    <m/>
    <s v="res_youtube_mrk"/>
    <d v="2024-02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64"/>
    <m/>
    <m/>
    <s v="注文履歴"/>
    <s v="配送履歴"/>
    <s v="伊藤隆啓"/>
    <s v="いとうたかひろ"/>
    <n v="9025725126"/>
    <s v="takahiro31@me.com"/>
    <s v="https://mdpink.maildealer.jp/wapi.php"/>
    <m/>
    <s v="480-1174"/>
    <s v="愛知県"/>
    <s v="長久手市"/>
    <s v="東浦511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s v="月額会員（14,500円）(退会済）"/>
    <d v="2024-12-20T00:00:00"/>
    <m/>
    <m/>
    <m/>
    <m/>
    <m/>
    <m/>
    <m/>
    <m/>
    <m/>
    <m/>
    <m/>
    <m/>
    <m/>
    <m/>
    <m/>
    <m/>
    <m/>
    <m/>
    <m/>
    <m/>
  </r>
  <r>
    <s v="C-00068160"/>
    <m/>
    <m/>
    <s v="注文履歴"/>
    <s v="配送履歴"/>
    <s v="岡田結樹子"/>
    <s v="おかだゆきこ"/>
    <n v="9025229797"/>
    <s v="yukko.okd18@outlook.jp"/>
    <s v="https://mdpink.maildealer.jp/wapi.php"/>
    <m/>
    <s v="350-1151"/>
    <s v="埼玉県"/>
    <s v="川越市今福"/>
    <s v="1111-10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56"/>
    <m/>
    <m/>
    <s v="注文履歴"/>
    <s v="配送履歴"/>
    <s v="浅見浩平"/>
    <s v="あさみこうへい"/>
    <n v="9093267640"/>
    <s v="asami111227@gmail.com"/>
    <s v="https://mdpink.maildealer.jp/wapi.php"/>
    <m/>
    <s v="151-0062"/>
    <s v="東京都"/>
    <s v="渋谷区"/>
    <n v="1"/>
    <m/>
    <s v="res_youtube_mrk"/>
    <d v="2024-02-21T00:00:00"/>
    <x v="3"/>
    <d v="2025-0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55"/>
    <m/>
    <m/>
    <s v="注文履歴"/>
    <s v="配送履歴"/>
    <s v="高田孝太"/>
    <s v="たかだこうた"/>
    <n v="8047106366"/>
    <s v="mail8253ac@gmail.com"/>
    <s v="https://mdpink.maildealer.jp/wapi.php"/>
    <m/>
    <s v="456-0053"/>
    <s v="愛知県"/>
    <s v="名古屋市熱田区一番一丁目"/>
    <s v="一丁目17-5アーバンドエル白鳥公園301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49"/>
    <m/>
    <m/>
    <s v="注文履歴"/>
    <s v="配送履歴"/>
    <s v="亀井雄介"/>
    <s v="かめいゆうすけ"/>
    <n v="9050732141"/>
    <s v="yusuke06102255@icloud.com"/>
    <s v="https://mdpink.maildealer.jp/wapi.php"/>
    <m/>
    <s v="062-0055"/>
    <s v="北海道"/>
    <s v="札幌市豊平区月寒東"/>
    <s v="5条16丁目4-16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47"/>
    <m/>
    <m/>
    <s v="注文履歴"/>
    <s v="配送履歴"/>
    <s v="鈴木浩"/>
    <s v="すずきひろし"/>
    <n v="8067847722"/>
    <s v="hiroshi.suzuki4243@jcom.zaq.ne.jp"/>
    <s v="https://mdpink.maildealer.jp/wapi.php"/>
    <m/>
    <s v="180-0013"/>
    <s v="東京都"/>
    <s v="武蔵野市西久保"/>
    <s v="3-24-14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43"/>
    <m/>
    <m/>
    <s v="注文履歴"/>
    <s v="配送履歴"/>
    <s v="飯島知也"/>
    <s v="いいじまともや"/>
    <n v="7083843479"/>
    <s v="nsppzufx@gmail.com"/>
    <s v="https://mdpink.maildealer.jp/wapi.php"/>
    <m/>
    <s v="193-0823"/>
    <s v="東京都"/>
    <s v="八王子市"/>
    <s v="横川町636-13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37"/>
    <m/>
    <m/>
    <s v="注文履歴"/>
    <s v="配送履歴"/>
    <s v="西尾秀樹"/>
    <s v="にしおひでき"/>
    <n v="9034571603"/>
    <s v="nishio.private@gmail.com"/>
    <s v="https://mdpink.maildealer.jp/wapi.php"/>
    <m/>
    <s v="465-0025"/>
    <s v="愛知県"/>
    <s v="名古屋市名東区上社"/>
    <s v="2-74-1 大裕本郷ビル302"/>
    <m/>
    <s v="res_youtube_mrk"/>
    <d v="2024-02-21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31"/>
    <m/>
    <m/>
    <s v="注文履歴"/>
    <s v="配送履歴"/>
    <s v="坂本秀樹"/>
    <s v="さかもとひでき"/>
    <n v="9077466286"/>
    <s v="sakahide2123@gmail.com"/>
    <s v="https://mdpink.maildealer.jp/wapi.php"/>
    <m/>
    <s v="921-8044"/>
    <s v="石川県"/>
    <s v="金沢市米泉町"/>
    <s v="10丁目1-60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29"/>
    <m/>
    <m/>
    <s v="注文履歴"/>
    <s v="配送履歴"/>
    <s v="大橋麻衣"/>
    <s v="おおはしまい"/>
    <n v="9039231196"/>
    <s v="0084mai0620@gmail.com"/>
    <s v="https://mdpink.maildealer.jp/wapi.php"/>
    <m/>
    <s v="144-0055"/>
    <s v="東京都"/>
    <s v="大田区仲六郷"/>
    <s v="4丁目31-8タートル仲六郷505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28"/>
    <m/>
    <m/>
    <s v="注文履歴"/>
    <s v="配送履歴"/>
    <s v="熊倉嘉貴"/>
    <s v="くまくらよしたか"/>
    <n v="9044238793"/>
    <s v="yoshi.kumakura@gmail.com"/>
    <s v="https://mdpink.maildealer.jp/wapi.php"/>
    <m/>
    <s v="110-0014"/>
    <s v="東京都"/>
    <s v="台東区北上野2-20-14"/>
    <s v="ドラゴンマンション上野壱番館 1301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27"/>
    <m/>
    <m/>
    <s v="注文履歴"/>
    <s v="配送履歴"/>
    <s v="佐藤伸彦"/>
    <s v="さとうのぶひこ"/>
    <n v="9041227316"/>
    <s v="nobu-is-dora@docomo.ne.jp"/>
    <s v="https://mdpink.maildealer.jp/wapi.php"/>
    <m/>
    <s v="220-0011"/>
    <s v="神奈川県"/>
    <s v="横浜市西区高島"/>
    <s v="2-10-31グリフィン横浜東口弐番館505号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19"/>
    <m/>
    <m/>
    <s v="注文履歴"/>
    <s v="配送履歴"/>
    <s v="石橋幸雄"/>
    <s v="いしばしゆきお"/>
    <n v="9084898960"/>
    <s v="yukio1958123@yahoo.ne.jp"/>
    <s v="https://mdpink.maildealer.jp/wapi.php"/>
    <m/>
    <s v="314-0341"/>
    <s v="茨城県"/>
    <s v="神栖市矢田部"/>
    <s v="7795-30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17"/>
    <m/>
    <m/>
    <s v="注文履歴"/>
    <s v="配送履歴"/>
    <s v="深町公子"/>
    <s v="ふかまちきみこ"/>
    <n v="9057266304"/>
    <s v="kikko.3304.fk@gmail.com"/>
    <s v="https://mdpink.maildealer.jp/wapi.php"/>
    <m/>
    <s v="816-0952"/>
    <s v="福岡県"/>
    <s v="大野城市下大利"/>
    <s v="1丁目17-18-803"/>
    <m/>
    <s v="res_youtube_mrk"/>
    <d v="2024-02-21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14"/>
    <m/>
    <m/>
    <s v="注文履歴"/>
    <s v="配送履歴"/>
    <s v="吉岡裕美"/>
    <s v="よしおかひろみ"/>
    <n v="482220897"/>
    <s v="y9626285@gmail.com"/>
    <s v="https://mdpink.maildealer.jp/wapi.php"/>
    <m/>
    <s v="332-0015"/>
    <s v="埼玉県"/>
    <s v="川口市川口"/>
    <s v="1-3-1-305ライオンズマンション川口第5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04"/>
    <m/>
    <m/>
    <s v="注文履歴"/>
    <s v="配送履歴"/>
    <s v="小笠原剛彦"/>
    <s v="おがさわらたけひこ"/>
    <n v="9090814616"/>
    <s v="take_oga@hotmail.com"/>
    <s v="https://mdpink.maildealer.jp/wapi.php"/>
    <m/>
    <s v="124-0024"/>
    <s v="東京都"/>
    <s v="葛飾区"/>
    <s v="新小岩4丁目5-12 ヴィラージュキヨミ 102号室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01"/>
    <m/>
    <m/>
    <s v="注文履歴"/>
    <s v="配送履歴"/>
    <s v="舟洞久人"/>
    <s v="ふなぼらひさと"/>
    <n v="9050053281"/>
    <s v="nisanichi8@gmail.com"/>
    <s v="https://mdpink.maildealer.jp/wapi.php"/>
    <m/>
    <s v="910-1137"/>
    <s v="福井県"/>
    <s v="吉田郡永平寺町松岡観音"/>
    <s v="3-107アイリスα203号"/>
    <m/>
    <s v="res_youtube_mrk"/>
    <d v="2024-02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100"/>
    <m/>
    <m/>
    <s v="注文履歴"/>
    <s v="配送履歴"/>
    <s v="花田浩二"/>
    <s v="はなだこうじ"/>
    <n v="9021983895"/>
    <s v="truecomu@yahoo.co.jp"/>
    <s v="https://mdpink.maildealer.jp/wapi.php"/>
    <m/>
    <s v="565-0812"/>
    <s v="大阪府"/>
    <s v="吹田市千里丘中"/>
    <d v="1955-05-03T00:00:00"/>
    <m/>
    <s v="res_youtube_mrk"/>
    <d v="2024-02-20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96"/>
    <m/>
    <m/>
    <s v="注文履歴"/>
    <s v="配送履歴"/>
    <s v="堀江正純"/>
    <s v="ほりえまさずみ"/>
    <n v="9051360641"/>
    <s v="masa.holly.masa@gmail.com"/>
    <s v="https://mdpink.maildealer.jp/wapi.php"/>
    <m/>
    <s v="650-0022"/>
    <s v="兵庫県"/>
    <s v="神戸市中央区元町通り"/>
    <s v="5-4-3 元町アーバンライフ 519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92"/>
    <m/>
    <m/>
    <s v="注文履歴"/>
    <s v="配送履歴"/>
    <s v="吉本正義"/>
    <s v="よしもとせいぎ"/>
    <n v="7085292626"/>
    <s v="live.camera00@gmail.com"/>
    <s v="https://mdpink.maildealer.jp/wapi.php"/>
    <m/>
    <s v="420-0865"/>
    <s v="静岡県"/>
    <s v="静岡市葵区東草深町"/>
    <s v="12番2号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91"/>
    <m/>
    <m/>
    <s v="注文履歴"/>
    <s v="配送履歴"/>
    <s v="齋藤雅実"/>
    <s v="さいとうまさみ"/>
    <n v="8070086720"/>
    <s v="mabisan@gmail.com"/>
    <s v="https://mdpink.maildealer.jp/wapi.php"/>
    <m/>
    <s v="248-0014"/>
    <s v="神奈川県"/>
    <s v="鎌倉市由比ガ浜"/>
    <s v="2-11-2-403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87"/>
    <m/>
    <m/>
    <s v="注文履歴"/>
    <s v="配送履歴"/>
    <s v="道脇麻里"/>
    <s v="みちわきまり"/>
    <n v="9030133573"/>
    <s v="kuroneko-lala@outlook.jp"/>
    <s v="https://mdpink.maildealer.jp/wapi.php"/>
    <m/>
    <s v="811-3112"/>
    <s v="福岡県"/>
    <s v="古賀市花見東2-1-23"/>
    <s v="パースペクティブ古賀マテリア202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85"/>
    <m/>
    <m/>
    <s v="注文履歴"/>
    <s v="配送履歴"/>
    <s v="竹崎義清"/>
    <s v="たけざきよしきよ"/>
    <n v="9076215713"/>
    <s v="y.madarame@gmail.com"/>
    <s v="https://mdpink.maildealer.jp/wapi.php"/>
    <m/>
    <s v="780-0928"/>
    <s v="高知県"/>
    <s v="高知市越前町"/>
    <s v="1丁目6番24号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81"/>
    <m/>
    <m/>
    <s v="注文履歴"/>
    <s v="配送履歴"/>
    <s v="里見優"/>
    <s v="さとみゆう"/>
    <n v="8051286020"/>
    <s v="yuu3103mj73@gmail.com"/>
    <s v="https://mdpink.maildealer.jp/wapi.php"/>
    <m/>
    <s v="510-0834"/>
    <s v="三重県"/>
    <s v="四日市市ときわ5丁目"/>
    <s v="4-42"/>
    <m/>
    <s v="res_youtube_mrk"/>
    <d v="2024-02-2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79"/>
    <m/>
    <m/>
    <s v="注文履歴"/>
    <s v="配送履歴"/>
    <s v="松本晶平"/>
    <s v="まつもとしょうへい"/>
    <n v="9024167609"/>
    <s v="shohei@kk.iij4u.or.jp"/>
    <s v="https://mdpink.maildealer.jp/wapi.php"/>
    <m/>
    <s v="370-0511"/>
    <s v="群馬県"/>
    <s v="邑楽郡大泉町北小泉"/>
    <d v="2003-11-06T00:00:00"/>
    <m/>
    <s v="res_youtube_mrk"/>
    <d v="2024-02-20T00:00:00"/>
    <x v="0"/>
    <d v="2025-07-20T00:00:00"/>
    <n v="114300"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72"/>
    <m/>
    <m/>
    <s v="注文履歴"/>
    <s v="配送履歴"/>
    <s v="野口英明"/>
    <s v="のぐちひであき"/>
    <n v="9064504207"/>
    <s v="haiji7234a@gmail.com"/>
    <s v="https://mdpink.maildealer.jp/wapi.php"/>
    <m/>
    <s v="989-2441"/>
    <s v="宮城県"/>
    <s v="岩沼"/>
    <s v="館下1-5-26-506"/>
    <m/>
    <s v="res_youtube_mrk"/>
    <d v="2024-02-20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70"/>
    <m/>
    <m/>
    <s v="注文履歴"/>
    <s v="配送履歴"/>
    <s v="村林敬将"/>
    <s v="むらばやしたかまさ"/>
    <n v="9053605434"/>
    <s v="muraba8624@yahoo.co.jp"/>
    <s v="https://mdpink.maildealer.jp/wapi.php"/>
    <m/>
    <s v="536-0008"/>
    <s v="大阪府"/>
    <s v="大阪市"/>
    <s v="城東区関目1-9-7"/>
    <m/>
    <s v="res_youtube_mrk"/>
    <d v="2024-02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57"/>
    <m/>
    <m/>
    <s v="注文履歴"/>
    <s v="配送履歴"/>
    <s v="川邊誠一郎"/>
    <s v="かわべせいいちろう"/>
    <n v="9054669665"/>
    <s v="mb27wu73ml@kcn.jp"/>
    <s v="https://mdpink.maildealer.jp/wapi.php"/>
    <m/>
    <s v="635-0036"/>
    <s v="奈良県"/>
    <s v="大和高田市旭北町"/>
    <s v="8-35ピュアリーフ101号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53"/>
    <m/>
    <m/>
    <s v="注文履歴"/>
    <s v="配送履歴"/>
    <s v="松浦直子"/>
    <s v="まつうらなおこ"/>
    <n v="9069470609"/>
    <s v="naoko09210609@gmail.com"/>
    <s v="https://mdpink.maildealer.jp/wapi.php"/>
    <m/>
    <s v="350-1114"/>
    <s v="埼玉県"/>
    <s v="東田町"/>
    <s v="11-27-107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49"/>
    <m/>
    <m/>
    <s v="注文履歴"/>
    <s v="配送履歴"/>
    <s v="竹内雄大"/>
    <s v="たけうちゆうだい"/>
    <n v="9080301614"/>
    <s v="yudaitakeuchi731@gmail.com"/>
    <s v="https://mdpink.maildealer.jp/wapi.php"/>
    <m/>
    <s v="365-0038"/>
    <s v="埼玉県"/>
    <s v="鴻巣市"/>
    <s v="本町1丁目7番地1-712号, ポレスター鴻巣駅前ガーデンズ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47"/>
    <m/>
    <m/>
    <s v="注文履歴"/>
    <s v="配送履歴"/>
    <s v="河村靖"/>
    <s v="かわむらおさむ"/>
    <n v="9021502907"/>
    <s v="kasao.vvv.ason@lime.ocn.ne.jp"/>
    <s v="https://mdpink.maildealer.jp/wapi.php"/>
    <m/>
    <s v="197-0003"/>
    <s v="東京都"/>
    <s v="福生市熊川354-1"/>
    <s v="フェリーチェ101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46"/>
    <m/>
    <m/>
    <s v="注文履歴"/>
    <s v="配送履歴"/>
    <s v="落合順子"/>
    <s v="おちあいじゅんこ"/>
    <n v="9073760160"/>
    <s v="mi616yu2003@gmail.com"/>
    <s v="https://mdpink.maildealer.jp/wapi.php"/>
    <m/>
    <s v="732-0804"/>
    <s v="広島県"/>
    <s v="広島市南区西蟹屋"/>
    <s v="3ー12ー29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40"/>
    <m/>
    <m/>
    <s v="注文履歴"/>
    <s v="配送履歴"/>
    <s v="齋藤久之"/>
    <s v="さいとうひさゆき"/>
    <n v="9087860468"/>
    <s v="saisaisa235@gmail.com"/>
    <s v="https://mdpink.maildealer.jp/wapi.php"/>
    <m/>
    <s v="359-1125"/>
    <s v="埼玉県"/>
    <s v="所沢市南住吉"/>
    <s v="22-18 ワコーレ所沢615号室"/>
    <m/>
    <s v="res_youtube_mrk"/>
    <d v="2024-02-19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38"/>
    <m/>
    <m/>
    <s v="注文履歴"/>
    <s v="配送履歴"/>
    <s v="澤村高至"/>
    <s v="さわむらたかし"/>
    <n v="9019495932"/>
    <s v="takasis@gmail.com"/>
    <s v="https://mdpink.maildealer.jp/wapi.php"/>
    <m/>
    <s v="860-0085"/>
    <s v="熊本県"/>
    <s v="熊本市北区高平2丁目"/>
    <s v="9-11, エトワール渡辺2  101号"/>
    <m/>
    <s v="res_youtube_mrk"/>
    <d v="2024-02-19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34"/>
    <m/>
    <m/>
    <s v="注文履歴"/>
    <s v="配送履歴"/>
    <s v="及川太一"/>
    <s v="おいかわたいち"/>
    <n v="8030838239"/>
    <s v="0088mtec@gmail.com"/>
    <s v="https://mdpink.maildealer.jp/wapi.php"/>
    <m/>
    <s v="182-0033"/>
    <s v="東京都"/>
    <s v="調布市富士見町"/>
    <s v="4-11-39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31"/>
    <m/>
    <m/>
    <s v="注文履歴"/>
    <s v="配送履歴"/>
    <s v="川原俊彦"/>
    <s v="かわはらとしひこ"/>
    <n v="9047357307"/>
    <s v="fwtdn758@yahoo.co.jp"/>
    <s v="https://mdpink.maildealer.jp/wapi.php"/>
    <m/>
    <s v="252-0176"/>
    <s v="神奈川県"/>
    <s v="相模原市緑区寸沢嵐"/>
    <s v="923-1"/>
    <m/>
    <s v="res_youtube_mrk"/>
    <d v="2024-02-19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29"/>
    <m/>
    <m/>
    <s v="注文履歴"/>
    <s v="配送履歴"/>
    <s v="加藤弘晃"/>
    <s v="かとうひろあき"/>
    <n v="9095276729"/>
    <s v="hiiro8342@gmail.com"/>
    <s v="https://mdpink.maildealer.jp/wapi.php"/>
    <m/>
    <s v="409-3803"/>
    <s v="山梨県"/>
    <s v="中央市若宮１－３"/>
    <s v="ルークオーサ201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26"/>
    <m/>
    <m/>
    <s v="注文履歴"/>
    <s v="配送履歴"/>
    <s v="阿部秀一"/>
    <s v="あべしゅういち"/>
    <n v="9011113252"/>
    <s v="ebas19670609@gmail.com"/>
    <s v="https://mdpink.maildealer.jp/wapi.php"/>
    <m/>
    <s v="214-0034"/>
    <s v="神奈川県"/>
    <s v="川崎市多摩区三田"/>
    <s v="2-6-1-405"/>
    <m/>
    <s v="res_youtube_mrk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24"/>
    <m/>
    <m/>
    <s v="注文履歴"/>
    <s v="配送履歴"/>
    <s v="桃瀬義久"/>
    <s v="ももせよしひさ"/>
    <n v="9081242016"/>
    <s v="chinchilla0302@yahoo.co.jp"/>
    <s v="https://mdpink.maildealer.jp/wapi.php"/>
    <m/>
    <s v="503-0973"/>
    <s v="岐阜県"/>
    <s v="大垣市木戸町"/>
    <s v="223-6"/>
    <m/>
    <s v="res_youtube_mrk"/>
    <d v="2024-02-19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8015"/>
    <m/>
    <m/>
    <s v="注文履歴"/>
    <s v="配送履歴"/>
    <s v="稲田裕司"/>
    <s v="いなだゆうじ"/>
    <n v="9031884869"/>
    <s v="joeyuji@yahoo.co.jp"/>
    <s v="https://mdpink.maildealer.jp/wapi.php"/>
    <m/>
    <s v="760-0080"/>
    <s v="香川県"/>
    <s v="高松市木太町2503番地"/>
    <s v="サーパス木太第6、307"/>
    <m/>
    <s v="jim_opt"/>
    <d v="2024-02-1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927"/>
    <m/>
    <m/>
    <s v="注文履歴"/>
    <s v="配送履歴"/>
    <s v="伊藤信一"/>
    <s v="いとうしんいち"/>
    <n v="8043419792"/>
    <s v="aquapendente7149@dc4.so-net.ne.jp"/>
    <s v="https://mdpink.maildealer.jp/wapi.php"/>
    <m/>
    <s v="245-0061"/>
    <s v="神奈川県"/>
    <s v="横浜市戸塚区汲沢"/>
    <s v="3-22-14"/>
    <m/>
    <s v="res_youtube"/>
    <d v="2024-02-1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836"/>
    <m/>
    <m/>
    <s v="注文履歴"/>
    <s v="配送履歴"/>
    <s v="荒井泰博"/>
    <s v="あらいやすひろ"/>
    <n v="9074266522"/>
    <s v="x-net@y01.jp"/>
    <s v="https://mdpink.maildealer.jp/wapi.php"/>
    <m/>
    <n v="167"/>
    <s v="東京都"/>
    <s v="杉並区下井草"/>
    <s v="5-19-22"/>
    <m/>
    <s v="res_youtube"/>
    <d v="2024-02-1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833"/>
    <m/>
    <m/>
    <s v="注文履歴"/>
    <s v="配送履歴"/>
    <s v="宮本富郷"/>
    <s v="みやもとふきょう"/>
    <n v="728455598"/>
    <s v="kariso4811@gmail.com"/>
    <s v="https://mdpink.maildealer.jp/wapi.php"/>
    <m/>
    <s v="573-1112"/>
    <s v="大阪府"/>
    <s v="枚方市"/>
    <s v="楠葉美咲3-3-1"/>
    <m/>
    <s v="res_youtube"/>
    <d v="2024-02-1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810"/>
    <m/>
    <m/>
    <s v="注文履歴"/>
    <s v="配送履歴"/>
    <s v="中倉英喜"/>
    <s v="なかくらひでき"/>
    <n v="8056260358"/>
    <s v="hideki.nakakura1228@gmail.com"/>
    <s v="https://mdpink.maildealer.jp/wapi.php"/>
    <m/>
    <s v="168-0073"/>
    <s v="東京都"/>
    <s v="杉並区下高井戸"/>
    <s v="1-33-3"/>
    <m/>
    <s v="res_youtube"/>
    <d v="2024-02-1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798"/>
    <m/>
    <m/>
    <s v="注文履歴"/>
    <s v="配送履歴"/>
    <s v="舘野幸佑"/>
    <s v="たてのこうすけ"/>
    <n v="8051397713"/>
    <s v="ko.tateno@yot-inc.com"/>
    <s v="https://mdpink.maildealer.jp/wapi.php"/>
    <m/>
    <s v="270-0119"/>
    <s v="千葉県"/>
    <s v="流山市おおたかの森北"/>
    <s v="1-11-1 パークホームズ流山B604"/>
    <m/>
    <s v="res_youtube_mrk"/>
    <d v="2024-02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773"/>
    <m/>
    <m/>
    <s v="注文履歴"/>
    <s v="配送履歴"/>
    <s v="栗原真実"/>
    <s v="くりはらまみ"/>
    <n v="9052199560"/>
    <s v="rutsuhuit3750@gmail.com"/>
    <s v="https://mdpink.maildealer.jp/wapi.php"/>
    <m/>
    <s v="167-0075"/>
    <s v="東京都"/>
    <s v="杉並区今川"/>
    <s v="4-21-17"/>
    <m/>
    <s v="res_youtube"/>
    <d v="2024-02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7243"/>
    <m/>
    <m/>
    <s v="注文履歴"/>
    <s v="配送履歴"/>
    <s v="藤本一志"/>
    <s v="ふじもとかずし"/>
    <n v="8065449173"/>
    <s v="kaz.fujimoto18@gmail.com"/>
    <s v="https://mdpink.maildealer.jp/wapi.php"/>
    <m/>
    <s v="272-0111"/>
    <s v="千葉県"/>
    <s v="市川市妙典"/>
    <s v="3-20-6-202"/>
    <m/>
    <s v="res_youtube_hamamoto"/>
    <d v="2024-02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6789"/>
    <m/>
    <m/>
    <s v="注文履歴"/>
    <s v="配送履歴"/>
    <s v="豊見本泰志"/>
    <s v="とみもとやすゆき"/>
    <n v="7041540126"/>
    <s v="yasuki9will@gmail.com"/>
    <s v="https://mdpink.maildealer.jp/wapi.php"/>
    <m/>
    <s v="904-2231"/>
    <s v="沖縄県"/>
    <s v="うるま市"/>
    <s v="塩屋242"/>
    <m/>
    <s v="res_youtube_hamamoto"/>
    <d v="2024-02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6743"/>
    <m/>
    <m/>
    <s v="注文履歴"/>
    <s v="配送履歴"/>
    <s v="玉城浩巳"/>
    <s v="たまきひろみ"/>
    <n v="9019121095"/>
    <s v="ptamaki6@gmail.com"/>
    <s v="https://mdpink.maildealer.jp/wapi.php"/>
    <m/>
    <s v="536-0015"/>
    <s v="大阪府"/>
    <s v="大阪市城東区新喜多"/>
    <d v="2001-08-10T00:00:00"/>
    <m/>
    <s v="res_youtube_hamamoto"/>
    <d v="2024-02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6116"/>
    <m/>
    <m/>
    <s v="注文履歴"/>
    <s v="配送履歴"/>
    <s v="佐藤篤史"/>
    <s v="さとうあつし"/>
    <n v="9061624448"/>
    <s v="ajarsenals@gmail.com"/>
    <s v="https://mdpink.maildealer.jp/wapi.php"/>
    <m/>
    <s v="191-0024"/>
    <s v="東京都"/>
    <s v="日野市"/>
    <s v="3-28-6 ロイヤルコートKay A107"/>
    <m/>
    <s v="milliaka_youtube"/>
    <d v="2024-02-1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6077"/>
    <m/>
    <m/>
    <s v="注文履歴"/>
    <s v="配送履歴"/>
    <s v="梶原英貴"/>
    <s v="かじわらひでたか"/>
    <n v="8052607151"/>
    <s v="hoh.12.kok.08@gmail.com"/>
    <s v="https://mdpink.maildealer.jp/wapi.php"/>
    <m/>
    <s v="751-0806"/>
    <s v="山口県"/>
    <s v="下関市一の宮町2丁目"/>
    <s v="1-18 セントレーヴ新下関201号"/>
    <m/>
    <s v="res_youtube"/>
    <d v="2024-02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5938"/>
    <m/>
    <m/>
    <s v="注文履歴"/>
    <s v="配送履歴"/>
    <s v="千葉雅史"/>
    <s v="ちばまさし"/>
    <n v="8033984100"/>
    <s v="masa0410g@gmail.com"/>
    <s v="https://mdpink.maildealer.jp/wapi.php"/>
    <m/>
    <s v="173-0003"/>
    <s v="東京都"/>
    <s v="板橋区加賀"/>
    <s v="2-16-1ー502"/>
    <m/>
    <s v="res_youtube"/>
    <d v="2024-02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5608"/>
    <m/>
    <m/>
    <s v="注文履歴"/>
    <s v="配送履歴"/>
    <s v="松森菜穂子"/>
    <s v="まつもりなほこ"/>
    <n v="9045475050"/>
    <s v="nahoko.matsumori@gmail.com"/>
    <s v="https://mdpink.maildealer.jp/wapi.php"/>
    <m/>
    <s v="192-0916"/>
    <s v="東京都"/>
    <s v="八王子市みなみ野"/>
    <s v="3-6-5ノーブル八王子ミナミ野209"/>
    <m/>
    <s v="milliaka_youtube"/>
    <d v="2024-01-28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5140"/>
    <m/>
    <m/>
    <s v="注文履歴"/>
    <s v="配送履歴"/>
    <s v="木村哲也"/>
    <s v="きむらてつや"/>
    <n v="9041896728"/>
    <s v="dabasama@yahoo.co.jp"/>
    <s v="https://mdpink.maildealer.jp/wapi.php"/>
    <m/>
    <s v="167-0051"/>
    <s v="東京都"/>
    <s v="杉並区荻窪"/>
    <s v="3-45-11"/>
    <m/>
    <s v="res_youtube"/>
    <d v="2024-01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4514"/>
    <m/>
    <m/>
    <s v="注文履歴"/>
    <s v="配送履歴"/>
    <s v="峯岸香代子"/>
    <s v="みねぎしかよこ"/>
    <n v="9017970948"/>
    <s v="mikayofeliz@i.softbank.jp"/>
    <s v="https://mdpink.maildealer.jp/wapi.php"/>
    <m/>
    <s v="182-0036"/>
    <s v="東京都"/>
    <s v="調布市飛田給"/>
    <s v="1-49-6タウンハイツ調布301"/>
    <m/>
    <s v="res_youtube_mrk"/>
    <d v="2024-01-1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4485"/>
    <m/>
    <m/>
    <s v="注文履歴"/>
    <s v="配送履歴"/>
    <s v="平石成一"/>
    <s v="ひらいししげかず"/>
    <n v="9025923270"/>
    <s v="gocuuuuuu@gmail.com"/>
    <s v="https://mdpink.maildealer.jp/wapi.php"/>
    <m/>
    <s v="665-0072"/>
    <s v="兵庫県"/>
    <s v="宝塚市千種"/>
    <d v="2001-08-27T00:00:00"/>
    <m/>
    <s v="res_youtube_mrk"/>
    <d v="2024-01-18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3837"/>
    <m/>
    <m/>
    <s v="注文履歴"/>
    <s v="配送履歴"/>
    <s v="前川真二"/>
    <s v="まえかわしんじ"/>
    <n v="9043741217"/>
    <s v="shin.g1200t.bm@gmail.com"/>
    <s v="https://mdpink.maildealer.jp/wapi.php"/>
    <m/>
    <s v="277-0803"/>
    <s v="千葉県"/>
    <s v="柏市小青田3-1-6"/>
    <s v="シャリエ柏タナカ602"/>
    <m/>
    <s v="trnd_youtube"/>
    <d v="2024-01-17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3532"/>
    <m/>
    <m/>
    <s v="注文履歴"/>
    <s v="配送履歴"/>
    <s v="楢本雄一郎"/>
    <s v="ならもとゆういちろう"/>
    <n v="9088351909"/>
    <s v="naramoto007@yahoo.co.jp"/>
    <s v="https://mdpink.maildealer.jp/wapi.php"/>
    <m/>
    <s v="812-0054"/>
    <s v="福岡県"/>
    <s v="福岡市東区馬出1丁目"/>
    <s v="10番3号 リッチフィールド梓602号"/>
    <m/>
    <s v="hamamoto_book_ydn"/>
    <d v="2024-01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2930"/>
    <m/>
    <m/>
    <s v="注文履歴"/>
    <s v="配送履歴"/>
    <s v="小西毅"/>
    <s v="こにしたけし"/>
    <n v="9082317928"/>
    <s v="r-t.11-24.reliance@ezweb.ne.jp"/>
    <s v="https://mdpink.maildealer.jp/wapi.php"/>
    <m/>
    <s v="671-1156"/>
    <s v="兵庫県"/>
    <s v="姫路市"/>
    <s v="広畑区小坂139-9"/>
    <m/>
    <s v="res_youtube_aiba"/>
    <d v="2024-01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2193"/>
    <m/>
    <m/>
    <s v="注文履歴"/>
    <s v="配送履歴"/>
    <s v="羽原千晴"/>
    <s v="はばらちはる"/>
    <n v="8019181843"/>
    <s v="chappy4680@yahoo.co.jp"/>
    <s v="https://mdpink.maildealer.jp/wapi.php"/>
    <m/>
    <s v="721-0907"/>
    <s v="広島県"/>
    <s v="福山市"/>
    <s v="春日町7-1-30ヴェルディ・ソレイユ春日403"/>
    <m/>
    <s v="res_youtube_aiba"/>
    <d v="2024-01-11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2157"/>
    <m/>
    <m/>
    <s v="注文履歴"/>
    <s v="配送履歴"/>
    <s v="杉田祐二"/>
    <s v="すぎたゆうじ"/>
    <n v="9012321289"/>
    <s v="yubon-bon-bon.385170y@ezweb.ne.jp"/>
    <s v="https://mdpink.maildealer.jp/wapi.php"/>
    <m/>
    <s v="438-0077"/>
    <s v="静岡県"/>
    <s v="磐田市国府台"/>
    <s v="110番地10"/>
    <m/>
    <s v="res_youtube_aiba_line"/>
    <d v="2024-01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945"/>
    <m/>
    <m/>
    <s v="注文履歴"/>
    <s v="配送履歴"/>
    <s v="中岡由枝"/>
    <s v="なかおかよしえ"/>
    <n v="9083751261"/>
    <s v="nakaoka_yoshie@icloud.com"/>
    <s v="https://mdpink.maildealer.jp/wapi.php"/>
    <s v="yoshi10311@outlook.jp"/>
    <s v="671-1104"/>
    <s v="兵庫県"/>
    <s v="姫路市広畑区才"/>
    <s v="519-4"/>
    <m/>
    <s v="res_youtube"/>
    <d v="2023-12-2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924"/>
    <m/>
    <m/>
    <s v="注文履歴"/>
    <s v="配送履歴"/>
    <s v="安部慎也"/>
    <s v="あべしんや"/>
    <n v="9073737811"/>
    <s v="cycedelica@gmail.com"/>
    <s v="https://mdpink.maildealer.jp/wapi.php"/>
    <m/>
    <s v="692-0014"/>
    <s v="島根県"/>
    <s v="安来市飯島町1772-1"/>
    <s v="A-101"/>
    <m/>
    <s v="milliaka_youtube"/>
    <d v="2023-12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733"/>
    <m/>
    <m/>
    <s v="注文履歴"/>
    <s v="配送履歴"/>
    <s v="近藤洋平"/>
    <s v="こんどうようへい"/>
    <n v="9065318041"/>
    <s v="yohei.kondo.biz@gmail.com"/>
    <s v="https://mdpink.maildealer.jp/wapi.php"/>
    <m/>
    <s v="130-0011"/>
    <s v="東京都"/>
    <s v="東京都墨田区石原"/>
    <s v="3-7-6-603"/>
    <m/>
    <m/>
    <d v="2023-12-1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320"/>
    <m/>
    <m/>
    <s v="注文履歴"/>
    <s v="配送履歴"/>
    <s v="中尾学"/>
    <s v="なかおまなぶ"/>
    <n v="9066436230"/>
    <s v="rin53kanichi5@yahoo.co.jp"/>
    <s v="https://mdpink.maildealer.jp/wapi.php"/>
    <m/>
    <s v="426-0066"/>
    <s v="静岡県"/>
    <s v="藤枝市青葉町"/>
    <s v="4-4-14ドリームハイツA102"/>
    <m/>
    <s v="res_youtube_mrk"/>
    <d v="2023-12-1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69"/>
    <m/>
    <m/>
    <s v="注文履歴"/>
    <s v="配送履歴"/>
    <s v="福田光宏"/>
    <s v="ふくたみつひろ"/>
    <n v="9071373204"/>
    <s v="m.f.0913_777@docomo.ne.jp"/>
    <s v="https://mdpink.maildealer.jp/wapi.php"/>
    <m/>
    <s v="680-0526"/>
    <s v="鳥取県"/>
    <s v="八頭郡八頭町日下部"/>
    <n v="139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68"/>
    <m/>
    <m/>
    <s v="注文履歴"/>
    <s v="配送履歴"/>
    <s v="望月篤"/>
    <s v="もちづきあつし"/>
    <n v="9040859700"/>
    <s v="a2ce3105e@gmail.com"/>
    <s v="https://mdpink.maildealer.jp/wapi.php"/>
    <m/>
    <s v="417-0001"/>
    <s v="静岡県"/>
    <s v="富士市今泉"/>
    <d v="1948-01-01T00:00:00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54"/>
    <m/>
    <m/>
    <s v="注文履歴"/>
    <s v="配送履歴"/>
    <s v="田辺伸崇"/>
    <s v="たなべのぶたか"/>
    <n v="8034266715"/>
    <s v="happy.yumpaka@gmail.com"/>
    <s v="https://mdpink.maildealer.jp/wapi.php"/>
    <m/>
    <s v="657-0826"/>
    <s v="兵庫県"/>
    <s v="神戸市灘区倉石通"/>
    <s v="5-1-5-702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52"/>
    <m/>
    <m/>
    <s v="注文履歴"/>
    <s v="配送履歴"/>
    <s v="齋藤映介"/>
    <s v="さいとうえいすけ"/>
    <n v="9086217600"/>
    <s v="b_rain8@hotmail.com"/>
    <s v="https://mdpink.maildealer.jp/wapi.php"/>
    <m/>
    <s v="700-0080"/>
    <s v="岡山県"/>
    <s v="岡山市北区"/>
    <s v="津島福居1-2-6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44"/>
    <m/>
    <m/>
    <s v="注文履歴"/>
    <s v="配送履歴"/>
    <s v="坂口景子"/>
    <s v="さかぐちけいこ"/>
    <n v="488841636"/>
    <s v="k_sakaguchi2000jp@yahoo.co.jp"/>
    <s v="https://mdpink.maildealer.jp/wapi.php"/>
    <m/>
    <s v="330-0043"/>
    <s v="埼玉県"/>
    <s v="さいたま市浦和区大丁目丁目"/>
    <s v="35番地9号"/>
    <m/>
    <s v="jim_opt"/>
    <d v="2023-12-10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40"/>
    <m/>
    <m/>
    <s v="注文履歴"/>
    <s v="配送履歴"/>
    <s v="山本美武"/>
    <s v="やまもとよしたけ"/>
    <n v="9014829134"/>
    <s v="yote@gaia.eonet.ne.jp"/>
    <s v="https://mdpink.maildealer.jp/wapi.php"/>
    <m/>
    <s v="655-0894"/>
    <s v="兵庫県"/>
    <s v="神戸市垂水区川原"/>
    <s v="2丁目2番5号"/>
    <m/>
    <s v="jim_opt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29"/>
    <m/>
    <m/>
    <s v="注文履歴"/>
    <s v="配送履歴"/>
    <s v="山川貴行"/>
    <s v="やまかわたかゆき"/>
    <n v="9049501712"/>
    <s v="perceivex1@gmail.com"/>
    <s v="https://mdpink.maildealer.jp/wapi.php"/>
    <m/>
    <s v="196-0004"/>
    <s v="東京都"/>
    <s v="昭島市緑町3丁目"/>
    <s v="14-21"/>
    <m/>
    <m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26"/>
    <m/>
    <m/>
    <s v="注文履歴"/>
    <s v="配送履歴"/>
    <s v="服部浩史"/>
    <s v="はっとりひろふみ"/>
    <n v="9027765964"/>
    <s v="hirofumi.nagoya@gmail.com"/>
    <s v="https://mdpink.maildealer.jp/wapi.php"/>
    <m/>
    <s v="465-0077"/>
    <s v="愛知県"/>
    <s v="名古屋市港区入場1丁目"/>
    <s v="306番地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24"/>
    <m/>
    <m/>
    <s v="注文履歴"/>
    <s v="配送履歴"/>
    <s v="柴垣龍之介"/>
    <s v="しばがきりゅうのすけ"/>
    <n v="9015733718"/>
    <s v="kykyky3r@gmail.com"/>
    <s v="https://mdpink.maildealer.jp/wapi.php"/>
    <m/>
    <s v="560-0054"/>
    <s v="大阪府"/>
    <s v="豊中市桜の町"/>
    <s v="7-9-1-405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23"/>
    <m/>
    <m/>
    <s v="注文履歴"/>
    <s v="配送履歴"/>
    <s v="井上城太郎"/>
    <s v="いのうえじょうたろう"/>
    <n v="9043296886"/>
    <s v="kingjo85ym@yahoo.ne.jp"/>
    <s v="https://mdpink.maildealer.jp/wapi.php"/>
    <m/>
    <s v="919-0223"/>
    <s v="福井県"/>
    <s v="南条郡南越前町"/>
    <s v="東大道34-6"/>
    <m/>
    <s v="res_youtube_mrk"/>
    <d v="2023-12-10T00:00:00"/>
    <x v="0"/>
    <d v="2025-08-20T00:00:00"/>
    <n v="114300"/>
    <m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17"/>
    <m/>
    <m/>
    <s v="注文履歴"/>
    <s v="配送履歴"/>
    <s v="合田幸司"/>
    <s v="ごうだこうじ"/>
    <n v="9089077554"/>
    <s v="seminamrk350@gmail.com"/>
    <s v="https://mdpink.maildealer.jp/wapi.php"/>
    <m/>
    <s v="062-0031"/>
    <s v="北海道"/>
    <s v="札幌市豊平区"/>
    <s v="西岡一条5-6-5"/>
    <m/>
    <s v="res_youtube_mrk"/>
    <d v="2023-12-10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07"/>
    <m/>
    <m/>
    <s v="注文履歴"/>
    <s v="配送履歴"/>
    <s v="濱名慶政"/>
    <s v="はまなよしまさ"/>
    <n v="9072156049"/>
    <s v="yoshi0609216@gmail.com"/>
    <s v="https://mdpink.maildealer.jp/wapi.php"/>
    <m/>
    <s v="300-0013"/>
    <s v="茨城県"/>
    <s v="土浦市神立町"/>
    <d v="2025-09-19T00:00:00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202"/>
    <m/>
    <m/>
    <s v="注文履歴"/>
    <s v="配送履歴"/>
    <s v="福田敏一"/>
    <s v="ふくだとしかず"/>
    <n v="9030068954"/>
    <s v="f.toshikazu@gmail.com"/>
    <s v="https://mdpink.maildealer.jp/wapi.php"/>
    <m/>
    <s v="120-0001"/>
    <s v="東京都"/>
    <s v="足立区大谷田"/>
    <d v="2005-12-05T00:00:00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199"/>
    <m/>
    <m/>
    <s v="注文履歴"/>
    <s v="配送履歴"/>
    <s v="永井裕也"/>
    <s v="ながいゆうや"/>
    <n v="8053065856"/>
    <s v="yuya.nagai@gmail.com"/>
    <s v="https://mdpink.maildealer.jp/wapi.php"/>
    <m/>
    <s v="575-0055"/>
    <s v="大阪府"/>
    <s v="四條畷市"/>
    <d v="2003-03-08T00:00:00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196"/>
    <m/>
    <m/>
    <s v="注文履歴"/>
    <s v="配送履歴"/>
    <s v="岩城万智"/>
    <s v="いわきまち"/>
    <n v="9020968044"/>
    <s v="cozyplace.a.m@gmail.com"/>
    <s v="https://mdpink.maildealer.jp/wapi.php"/>
    <m/>
    <s v="814-0003"/>
    <s v="福岡県"/>
    <s v="福岡市早良区城西"/>
    <d v="2002-07-12T00:00:00"/>
    <m/>
    <s v="res_youtube_mrk"/>
    <d v="2023-12-1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189"/>
    <m/>
    <m/>
    <s v="注文履歴"/>
    <s v="配送履歴"/>
    <s v="渡辺賢二"/>
    <s v="わたなべけんじ"/>
    <n v="9021781569"/>
    <s v="kjoden327@gmail.com"/>
    <s v="https://mdpink.maildealer.jp/wapi.php"/>
    <m/>
    <s v="154-0017"/>
    <s v="東京都"/>
    <s v="世田谷区世田谷"/>
    <s v="1-17-18-102"/>
    <m/>
    <s v="res_youtube_mrk"/>
    <d v="2023-12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187"/>
    <m/>
    <m/>
    <s v="注文履歴"/>
    <s v="配送履歴"/>
    <s v="石原浩之"/>
    <s v="いしはらひろゆき"/>
    <n v="9076845095"/>
    <s v="numberboygirl@gmail.com"/>
    <s v="https://mdpink.maildealer.jp/wapi.php"/>
    <m/>
    <s v="491-0814"/>
    <s v="愛知県"/>
    <s v="一宮市千秋町小山"/>
    <s v="字一町畑17"/>
    <m/>
    <s v="res_youtube_mrk"/>
    <d v="2023-12-1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60095"/>
    <m/>
    <m/>
    <s v="注文履歴"/>
    <s v="配送履歴"/>
    <s v="貞松浩司"/>
    <s v="さだまつこうじ"/>
    <n v="9072965477"/>
    <s v="kojispa26@gmail.com"/>
    <s v="https://mdpink.maildealer.jp/wapi.php"/>
    <m/>
    <s v="851-3101"/>
    <s v="長崎県"/>
    <s v="長崎市西海町"/>
    <s v="1691-12"/>
    <m/>
    <s v="res_youtube_mrk"/>
    <d v="2023-12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9784"/>
    <m/>
    <m/>
    <s v="注文履歴"/>
    <s v="配送履歴"/>
    <s v="蒲生秀俊"/>
    <s v="がもうひでとし"/>
    <n v="9017125108"/>
    <s v="hgamo9500162@gmail.com"/>
    <s v="https://mdpink.maildealer.jp/wapi.php"/>
    <m/>
    <s v="665-0024"/>
    <s v="兵庫県"/>
    <s v="宝塚市"/>
    <s v="逆瀬台4-2-12"/>
    <m/>
    <s v="res_youtube_mrk"/>
    <d v="2023-12-0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9767"/>
    <m/>
    <m/>
    <s v="注文履歴"/>
    <s v="配送履歴"/>
    <s v="秋本靖仁"/>
    <s v="あきもとやすひと"/>
    <n v="9071170202"/>
    <s v="pippikup_227@yahoo.co.jp"/>
    <s v="https://mdpink.maildealer.jp/wapi.php"/>
    <m/>
    <s v="590-0027"/>
    <s v="大阪府"/>
    <s v="堺市堺区榎元町"/>
    <s v="1-6-7-2"/>
    <m/>
    <s v="res_youtube_mrk"/>
    <d v="2023-12-0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9717"/>
    <m/>
    <m/>
    <s v="注文履歴"/>
    <s v="配送履歴"/>
    <s v="坂口伸子"/>
    <s v="さかぐちのぶこ"/>
    <n v="9098368300"/>
    <s v="nobumu-0325@outlook.jp"/>
    <s v="https://mdpink.maildealer.jp/wapi.php"/>
    <m/>
    <s v="207-0002"/>
    <s v="東京都"/>
    <s v="東大和市湖畔"/>
    <s v="3-931-28"/>
    <m/>
    <s v="res_youtube"/>
    <d v="2023-12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9602"/>
    <m/>
    <m/>
    <s v="注文履歴"/>
    <s v="配送履歴"/>
    <s v="下垣佳子"/>
    <s v="しもがきよしこ"/>
    <n v="8052262907"/>
    <s v="yoshiten729@gmail.com"/>
    <s v="https://mdpink.maildealer.jp/wapi.php"/>
    <m/>
    <s v="160-0008"/>
    <s v="東京都"/>
    <s v="新宿区四谷三栄町"/>
    <s v="3-13 ライトビル501"/>
    <m/>
    <s v="res_youtube"/>
    <d v="2023-11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8278"/>
    <m/>
    <m/>
    <s v="注文履歴"/>
    <s v="配送履歴"/>
    <s v="井上吉弘"/>
    <s v="いのうえよしひろ"/>
    <n v="9078944317"/>
    <s v="yoshi-78@kyj.biglobe.ne.jp"/>
    <s v="https://mdpink.maildealer.jp/wapi.php"/>
    <m/>
    <s v="720-0815"/>
    <s v="広島県"/>
    <s v="福山市野上町"/>
    <s v="3-2-4-704"/>
    <m/>
    <s v="hamamoto_book_ydn"/>
    <d v="2023-11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8036"/>
    <m/>
    <m/>
    <s v="注文履歴"/>
    <s v="配送履歴"/>
    <s v="山口欣子"/>
    <s v="やまぐちよしこ"/>
    <n v="9057035561"/>
    <s v="dfwhy595@yahoo.co.jp"/>
    <s v="https://mdpink.maildealer.jp/wapi.php"/>
    <m/>
    <s v="855-0802"/>
    <s v="長崎県"/>
    <s v="島原市弁天町"/>
    <s v="1-7418-203"/>
    <m/>
    <s v="res_youtube"/>
    <d v="2023-11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666"/>
    <m/>
    <m/>
    <s v="注文履歴"/>
    <s v="配送履歴"/>
    <s v="井上昌樹"/>
    <s v="いのうえまさき"/>
    <n v="9090616951"/>
    <s v="maino124614@gmail.com"/>
    <s v="https://mdpink.maildealer.jp/wapi.php"/>
    <m/>
    <s v="699-0624"/>
    <s v="島根県"/>
    <s v="出雲市斐川町上直江"/>
    <n v="3379"/>
    <m/>
    <s v="res_youtube"/>
    <d v="2023-10-28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616"/>
    <m/>
    <m/>
    <s v="注文履歴"/>
    <s v="配送履歴"/>
    <s v="古川智之"/>
    <s v="ふるかわともゆき"/>
    <n v="9088772768"/>
    <s v="explorer4455@gmail.com"/>
    <s v="https://mdpink.maildealer.jp/wapi.php"/>
    <m/>
    <s v="361-0062"/>
    <s v="埼玉県"/>
    <s v="行田市"/>
    <s v="谷郷3-5 6-502"/>
    <m/>
    <s v="res_youtube"/>
    <d v="2023-10-2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534"/>
    <m/>
    <m/>
    <s v="注文履歴"/>
    <s v="配送履歴"/>
    <s v="鈴木康之"/>
    <s v="すずきやすゆき"/>
    <n v="9052035536"/>
    <s v="yasuyasu335@yahoo.co.jp"/>
    <s v="https://mdpink.maildealer.jp/wapi.php"/>
    <m/>
    <s v="260-0021"/>
    <s v="千葉県"/>
    <s v="千葉市中央区新宿"/>
    <s v="2-6-14-1106"/>
    <m/>
    <s v="res_youtube"/>
    <d v="2023-10-26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224"/>
    <m/>
    <m/>
    <s v="注文履歴"/>
    <s v="配送履歴"/>
    <s v="大吉純子"/>
    <s v="おおよしじゅんこ"/>
    <n v="8043351962"/>
    <s v="wkyj.fulfill.hope@gmail.com"/>
    <s v="https://mdpink.maildealer.jp/wapi.php"/>
    <m/>
    <s v="336-0023"/>
    <s v="埼玉県"/>
    <s v="さいたま市南区神明"/>
    <d v="2001-03-03T00:00:00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132"/>
    <m/>
    <m/>
    <s v="注文履歴"/>
    <s v="配送履歴"/>
    <s v="松本航"/>
    <s v="まつもとわたる"/>
    <n v="8079831239"/>
    <s v="wtrm_shorinji@yahoo.co.jp"/>
    <s v="https://mdpink.maildealer.jp/wapi.php"/>
    <m/>
    <s v="899-5231"/>
    <s v="鹿児島県"/>
    <s v="姶良市加治木町反土"/>
    <s v="2660-6スクエアK301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129"/>
    <m/>
    <m/>
    <s v="注文履歴"/>
    <s v="配送履歴"/>
    <s v="伏野耕平"/>
    <s v="ふしのこうへい"/>
    <n v="9039243969"/>
    <s v="kohei00032@gmail.com"/>
    <s v="https://mdpink.maildealer.jp/wapi.php"/>
    <m/>
    <s v="652-0035"/>
    <s v="兵庫県"/>
    <s v="神戸市兵庫区"/>
    <s v="西多聞通1-1-4 ブエナビスタ神戸駅前1301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124"/>
    <m/>
    <m/>
    <s v="注文履歴"/>
    <s v="配送履歴"/>
    <s v="松井剛志"/>
    <s v="まついたけし"/>
    <n v="299939960"/>
    <s v="konto555@khh.biglobe.ne.jp"/>
    <s v="https://mdpink.maildealer.jp/wapi.php"/>
    <m/>
    <s v="314-0146"/>
    <s v="茨城県"/>
    <s v="神栖市"/>
    <s v="平泉2786-2 メゾン第一 E201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107"/>
    <m/>
    <m/>
    <s v="注文履歴"/>
    <s v="配送履歴"/>
    <s v="段吉雅浩"/>
    <s v="だんよしまさひろ"/>
    <n v="9036310234"/>
    <s v="dandan.ukiuki@gmail.com"/>
    <s v="https://mdpink.maildealer.jp/wapi.php"/>
    <m/>
    <s v="720-0083"/>
    <s v="広島県"/>
    <s v="福山市久松台一丁目"/>
    <s v="19番24号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094"/>
    <m/>
    <m/>
    <s v="注文履歴"/>
    <s v="配送履歴"/>
    <s v="棚木紀雄"/>
    <s v="たなきのりお"/>
    <n v="8012762035"/>
    <s v="noritanaki34ab@outlook.jp"/>
    <s v="https://mdpink.maildealer.jp/wapi.php"/>
    <m/>
    <s v="105-0001"/>
    <s v="東京都"/>
    <s v="港区虎ノ門"/>
    <s v="3-19-10-505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089"/>
    <m/>
    <m/>
    <s v="注文履歴"/>
    <s v="配送履歴"/>
    <s v="石田勝裕"/>
    <s v="いしだかつひろ"/>
    <n v="9080119812"/>
    <s v="mikkabimikan2005ko@yahoo.co.jp"/>
    <s v="https://mdpink.maildealer.jp/wapi.php"/>
    <m/>
    <s v="480-1151"/>
    <s v="愛知県"/>
    <s v="長久手市"/>
    <s v="久保山2106"/>
    <m/>
    <s v="res_youtube_mrk"/>
    <d v="2023-10-09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068"/>
    <m/>
    <m/>
    <s v="注文履歴"/>
    <s v="配送履歴"/>
    <s v="古谷進"/>
    <s v="ふるやすすむ"/>
    <n v="9029951535"/>
    <s v="furukameda@icloud.com"/>
    <s v="https://mdpink.maildealer.jp/wapi.php"/>
    <m/>
    <s v="019-0701"/>
    <s v="秋田県"/>
    <s v="横手市増田町"/>
    <s v="増田字館花64-5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7017"/>
    <m/>
    <m/>
    <s v="注文履歴"/>
    <s v="配送履歴"/>
    <s v="池内尚美"/>
    <s v="いけうちなおみ"/>
    <n v="7044551431"/>
    <s v="naomi5778.ikeuchi@gmail.com"/>
    <s v="https://mdpink.maildealer.jp/wapi.php"/>
    <m/>
    <s v="659-0087"/>
    <s v="兵庫県"/>
    <s v="芦屋市三条町"/>
    <s v="18-25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985"/>
    <m/>
    <m/>
    <s v="注文履歴"/>
    <s v="配送履歴"/>
    <s v="加藤昌治"/>
    <s v="かとうまさはる"/>
    <n v="7036640886"/>
    <s v="mshrkt55@gmail.com"/>
    <s v="https://mdpink.maildealer.jp/wapi.php"/>
    <m/>
    <s v="277-0827"/>
    <s v="千葉県"/>
    <s v="柏市松葉町"/>
    <s v="4-7-6-301"/>
    <m/>
    <s v="res_youtube_mrk"/>
    <d v="2023-10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950"/>
    <m/>
    <m/>
    <s v="注文履歴"/>
    <s v="配送履歴"/>
    <s v="山本泰規"/>
    <s v="やまもとやすのり"/>
    <n v="9011276220"/>
    <s v="cadv7081@yahoo.co.jp"/>
    <s v="https://mdpink.maildealer.jp/wapi.php"/>
    <m/>
    <s v="254-0075"/>
    <s v="神奈川県"/>
    <s v="平塚市"/>
    <s v="中原2-15-9"/>
    <m/>
    <s v="res_youtube_mrk"/>
    <d v="2023-10-1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719"/>
    <m/>
    <m/>
    <s v="注文履歴"/>
    <s v="配送履歴"/>
    <s v="伊藤祐也"/>
    <s v="いとうゆうや"/>
    <n v="9052668353"/>
    <s v="0345.y.i@gmail.com"/>
    <s v="https://mdpink.maildealer.jp/wapi.php"/>
    <m/>
    <s v="338-0002"/>
    <s v="埼玉県"/>
    <s v="さいたま市中央区"/>
    <s v="大字下落合1067-7-801"/>
    <m/>
    <s v="res_youtube_mrk"/>
    <d v="2023-10-10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711"/>
    <m/>
    <m/>
    <s v="注文履歴"/>
    <s v="配送履歴"/>
    <s v="谷岡典子"/>
    <s v="たにおかのりこ"/>
    <n v="9089817339"/>
    <s v="miracle.non424@gmail.com"/>
    <s v="https://mdpink.maildealer.jp/wapi.php"/>
    <m/>
    <s v="570-0096"/>
    <s v="大阪府"/>
    <s v="守口市外島町"/>
    <s v="2-6-502"/>
    <m/>
    <s v="res_youtube_mrk"/>
    <d v="2023-10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668"/>
    <m/>
    <m/>
    <s v="注文履歴"/>
    <s v="配送履歴"/>
    <s v="小原啓志"/>
    <s v="こはらけいじ"/>
    <n v="9019262009"/>
    <s v="jikerahako@gmail.com"/>
    <s v="https://mdpink.maildealer.jp/wapi.php"/>
    <m/>
    <s v="854-0068"/>
    <s v="長崎県"/>
    <s v="諫早市青葉台"/>
    <n v="133"/>
    <m/>
    <s v="res_youtube_mrk"/>
    <d v="2023-10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561"/>
    <m/>
    <m/>
    <s v="注文履歴"/>
    <s v="配送履歴"/>
    <s v="松原伸三"/>
    <s v="まつばらしんぞう"/>
    <n v="425456408"/>
    <s v="shinzo.matsubara@gmail.com"/>
    <s v="https://mdpink.maildealer.jp/wapi.php"/>
    <m/>
    <s v="196-0003"/>
    <s v="東京都"/>
    <s v="昭島市"/>
    <s v="松原町1-1-1-808"/>
    <m/>
    <s v="res_youtube_mrk"/>
    <d v="2023-10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549"/>
    <m/>
    <m/>
    <s v="注文履歴"/>
    <s v="配送履歴"/>
    <s v="佐々木仁美"/>
    <s v="ささきひとみ"/>
    <n v="8088082615"/>
    <s v="gracesh3895@gmail.com"/>
    <s v="https://mdpink.maildealer.jp/wapi.php"/>
    <m/>
    <s v="063-0031"/>
    <s v="北海道"/>
    <s v="札幌市西区"/>
    <s v="西野1条3丁目4-1-402"/>
    <m/>
    <s v="res_youtube_mrk"/>
    <d v="2023-10-11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344"/>
    <m/>
    <m/>
    <s v="注文履歴"/>
    <s v="配送履歴"/>
    <s v="綿谷和紀"/>
    <s v="わたやかずき"/>
    <n v="8050903012"/>
    <s v="otomodachi64@yahoo.co.jp"/>
    <s v="https://mdpink.maildealer.jp/wapi.php"/>
    <m/>
    <s v="338-0823"/>
    <s v="埼玉県"/>
    <s v="さいたま市桜区栄和"/>
    <d v="2006-04-19T00:00:00"/>
    <m/>
    <s v="res_youtube_mrk"/>
    <d v="2023-10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317"/>
    <m/>
    <m/>
    <s v="注文履歴"/>
    <s v="配送履歴"/>
    <s v="稲垣京祐"/>
    <s v="いながきけいすけ"/>
    <n v="8014756168"/>
    <s v="takemu.0056@gmail.com"/>
    <s v="https://mdpink.maildealer.jp/wapi.php"/>
    <m/>
    <s v="432-8038"/>
    <s v="静岡県"/>
    <s v="浜松市中央区西伊場町"/>
    <d v="2025-05-29T00:00:00"/>
    <m/>
    <s v="res_youtube_mrk"/>
    <d v="2023-10-14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175"/>
    <m/>
    <m/>
    <s v="注文履歴"/>
    <s v="配送履歴"/>
    <s v="深井英夫"/>
    <s v="ふかいひでお"/>
    <n v="9018895271"/>
    <s v="hideo.fukai@gmail.com"/>
    <s v="https://mdpink.maildealer.jp/wapi.php"/>
    <m/>
    <s v="145-0063"/>
    <s v="東京都"/>
    <s v="大田区"/>
    <d v="2002-07-09T00:00:00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155"/>
    <m/>
    <m/>
    <s v="注文履歴"/>
    <s v="配送履歴"/>
    <s v="小島雅之"/>
    <s v="こじままさゆき"/>
    <n v="9047502479"/>
    <s v="msyk_77@yahoo.co.jp"/>
    <s v="https://mdpink.maildealer.jp/wapi.php"/>
    <m/>
    <s v="227-0046"/>
    <s v="神奈川県"/>
    <s v="横浜市青葉区"/>
    <s v="タチバナ台1-6-23-104"/>
    <m/>
    <s v="res_youtube_mrk"/>
    <d v="2023-10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152"/>
    <m/>
    <m/>
    <s v="注文履歴"/>
    <s v="配送履歴"/>
    <s v="石井泰司"/>
    <s v="いしいやすし"/>
    <n v="9030324581"/>
    <s v="wwwpoiwww@gmail.com"/>
    <s v="https://mdpink.maildealer.jp/wapi.php"/>
    <m/>
    <s v="553-0005"/>
    <s v="大阪府"/>
    <s v="大阪市福島区野田"/>
    <s v="4-1-40"/>
    <m/>
    <s v="res_youtube_mrk"/>
    <d v="2023-10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127"/>
    <m/>
    <m/>
    <s v="注文履歴"/>
    <s v="配送履歴"/>
    <s v="米谷伸幸"/>
    <s v="よねたにのぶゆき"/>
    <n v="9057036161"/>
    <s v="jichikaikyouiku@gmail.com"/>
    <s v="https://mdpink.maildealer.jp/wapi.php"/>
    <m/>
    <s v="736-0014"/>
    <s v="広島県"/>
    <s v="安芸郡海田町三迫一丁目"/>
    <s v="15番3号"/>
    <m/>
    <s v="res_youtube_mrk"/>
    <d v="2023-10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069"/>
    <m/>
    <m/>
    <s v="注文履歴"/>
    <s v="配送履歴"/>
    <s v="羽場俊一郎"/>
    <s v="はばしゅんいちろう"/>
    <n v="8036535494"/>
    <s v="haba051603181214@gmail.com"/>
    <s v="https://mdpink.maildealer.jp/wapi.php"/>
    <m/>
    <s v="272-0837"/>
    <s v="千葉県"/>
    <s v="市川市"/>
    <s v="堀之内4-6-7サンライトスクウェア壱番館101"/>
    <m/>
    <s v="res_youtube_mrk"/>
    <d v="2023-10-10T00:00:00"/>
    <x v="6"/>
    <d v="2025-06-20T00:00:00"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6036"/>
    <m/>
    <m/>
    <s v="注文履歴"/>
    <s v="配送履歴"/>
    <s v="日比野高之"/>
    <s v="ひびのたかゆき"/>
    <n v="8070148370"/>
    <s v="takayukyey@gmail.com"/>
    <s v="https://mdpink.maildealer.jp/wapi.php"/>
    <m/>
    <s v="467-0873"/>
    <s v="愛知県"/>
    <s v="名古屋市瑞穂区竹田町"/>
    <d v="2003-01-04T00:00:00"/>
    <m/>
    <s v="res_youtube_mrk"/>
    <d v="2023-10-10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972"/>
    <m/>
    <m/>
    <s v="注文履歴"/>
    <s v="配送履歴"/>
    <s v="山本直也"/>
    <s v="やまもとなおや"/>
    <n v="8054884515"/>
    <s v="kawanishi-george21@ezweb.ne.jp"/>
    <s v="https://mdpink.maildealer.jp/wapi.php"/>
    <m/>
    <s v="500-8233"/>
    <s v="岐阜県"/>
    <s v="岐阜市蔵前"/>
    <s v="2丁目8-8 岡部ビレッジ602"/>
    <m/>
    <s v="res_youtube_mrk"/>
    <d v="2023-10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891"/>
    <m/>
    <m/>
    <s v="注文履歴"/>
    <s v="配送履歴"/>
    <s v="川瀬邦裕"/>
    <s v="かわせくにひろ"/>
    <n v="9037025838"/>
    <s v="kunihiro_kawase@kplas.co.jp"/>
    <s v="https://mdpink.maildealer.jp/wapi.php"/>
    <m/>
    <s v="530-0038"/>
    <s v="大阪府"/>
    <s v="大阪市北区紅梅町"/>
    <s v="1-22-203"/>
    <m/>
    <s v="res_youtube_mrk"/>
    <d v="2023-10-1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807"/>
    <m/>
    <m/>
    <s v="注文履歴"/>
    <s v="配送履歴"/>
    <s v="後藤功"/>
    <s v="ごとういさお"/>
    <n v="9081809252"/>
    <s v="isa.gogogolf10@gmail.com"/>
    <s v="https://mdpink.maildealer.jp/wapi.php"/>
    <m/>
    <s v="511-0902"/>
    <s v="三重県"/>
    <s v="桑名市松ノ木"/>
    <s v="8-7-37"/>
    <m/>
    <s v="res_youtube_mrk"/>
    <d v="2023-10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672"/>
    <m/>
    <m/>
    <s v="注文履歴"/>
    <s v="配送履歴"/>
    <s v="日比野将和"/>
    <s v="ひびのまさかず"/>
    <n v="8051377671"/>
    <s v="hibinomasakazu1991@gmail.com"/>
    <s v="https://mdpink.maildealer.jp/wapi.php"/>
    <m/>
    <s v="416-0945"/>
    <s v="静岡県"/>
    <s v="富士市中丸"/>
    <s v="120-17"/>
    <m/>
    <s v="res_youtube_mrk"/>
    <d v="2023-10-1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529"/>
    <m/>
    <m/>
    <s v="注文履歴"/>
    <s v="配送履歴"/>
    <s v="渡辺貴之"/>
    <s v="わたなべたかゆき"/>
    <n v="9046763091"/>
    <s v="forged660@gmail.com"/>
    <s v="https://mdpink.maildealer.jp/wapi.php"/>
    <m/>
    <s v="125-0035"/>
    <s v="東京都"/>
    <s v="葛飾区南水元"/>
    <d v="2001-03-07T00:00:00"/>
    <m/>
    <s v="res_youtube_mrk"/>
    <d v="2023-10-1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454"/>
    <m/>
    <m/>
    <s v="注文履歴"/>
    <s v="配送履歴"/>
    <s v="林賢太朗"/>
    <s v="はやしけんたろう"/>
    <n v="9062718115"/>
    <s v="boraborabora0209@gmail.com"/>
    <s v="https://mdpink.maildealer.jp/wapi.php"/>
    <m/>
    <s v="910-0246"/>
    <s v="福井県"/>
    <s v="坂井市丸岡町"/>
    <s v="西瓜屋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441"/>
    <m/>
    <m/>
    <s v="注文履歴"/>
    <s v="配送履歴"/>
    <s v="小原信恒"/>
    <s v="おばらのぶつね"/>
    <n v="8098887072"/>
    <s v="gutentag1234@yahoo.ne.jp"/>
    <s v="https://mdpink.maildealer.jp/wapi.php"/>
    <m/>
    <s v="143-0024"/>
    <s v="東京都"/>
    <s v="大田区中央"/>
    <d v="2003-01-07T00:00:00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04-03T00:00:00"/>
    <m/>
    <m/>
    <m/>
    <m/>
  </r>
  <r>
    <s v="C-00055437"/>
    <m/>
    <m/>
    <s v="注文履歴"/>
    <s v="配送履歴"/>
    <s v="宮沢隆志"/>
    <s v="みやざわたかし"/>
    <n v="9044614998"/>
    <s v="mtaka0114@gmail.com"/>
    <s v="https://mdpink.maildealer.jp/wapi.php"/>
    <m/>
    <s v="386-0003"/>
    <s v="長野県"/>
    <s v="上田市"/>
    <s v="上野334-8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426"/>
    <m/>
    <m/>
    <s v="注文履歴"/>
    <s v="配送履歴"/>
    <s v="田中真理"/>
    <s v="たなかまり"/>
    <n v="9057498293"/>
    <s v="sanwatanaka3@gmail.com"/>
    <s v="https://mdpink.maildealer.jp/wapi.php"/>
    <m/>
    <s v="832-0813"/>
    <s v="福岡県"/>
    <s v="柳川市三橋町棚町"/>
    <s v="697-3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413"/>
    <m/>
    <m/>
    <s v="注文履歴"/>
    <s v="配送履歴"/>
    <s v="平中健太"/>
    <s v="ひらなかけんた"/>
    <n v="8063118512"/>
    <s v="kekeke.h@icloud.com"/>
    <s v="https://mdpink.maildealer.jp/wapi.php"/>
    <m/>
    <s v="745-0805"/>
    <s v="山口県"/>
    <s v="周南市櫛ヶ浜"/>
    <s v="519-2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398"/>
    <m/>
    <m/>
    <s v="注文履歴"/>
    <s v="配送履歴"/>
    <s v="黒岩和輝"/>
    <s v="くろいわかずき"/>
    <n v="9085897387"/>
    <s v="kazukikuroiwa@gmail.com"/>
    <s v="https://mdpink.maildealer.jp/wapi.php"/>
    <m/>
    <s v="222-0003"/>
    <s v="神奈川県"/>
    <s v="横浜市港北区大曽根"/>
    <s v="2-28-11ラマージュ大倉山307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345"/>
    <m/>
    <m/>
    <s v="注文履歴"/>
    <s v="配送履歴"/>
    <s v="伊藤大輔"/>
    <s v="いとうだいすけ"/>
    <n v="9096774920"/>
    <s v="monstera.a4@gmail.com"/>
    <s v="https://mdpink.maildealer.jp/wapi.php"/>
    <m/>
    <s v="038-3144"/>
    <s v="青森県"/>
    <s v="つがる市"/>
    <s v="木造曙53-3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312"/>
    <m/>
    <m/>
    <s v="注文履歴"/>
    <s v="配送履歴"/>
    <s v="中島脩翔"/>
    <s v="なかしまゆうと"/>
    <n v="9059365027"/>
    <s v="yuto.withnaru@gmail.com"/>
    <s v="https://mdpink.maildealer.jp/wapi.php"/>
    <m/>
    <s v="463-0079"/>
    <s v="愛知県"/>
    <s v="名古屋市守山区幸心"/>
    <s v="1-806 ボヌール幸心101"/>
    <m/>
    <s v="res_youtube_mrk"/>
    <d v="2023-10-1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309"/>
    <m/>
    <m/>
    <s v="注文履歴"/>
    <s v="配送履歴"/>
    <s v="碓井隆司"/>
    <s v="うすいりゅうじ"/>
    <n v="8054086854"/>
    <s v="stella21r@gmail.com"/>
    <s v="https://mdpink.maildealer.jp/wapi.php"/>
    <m/>
    <s v="249-0008"/>
    <s v="神奈川県"/>
    <s v="逗子市小坪"/>
    <s v="5-17-3-504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303"/>
    <m/>
    <m/>
    <s v="注文履歴"/>
    <s v="配送履歴"/>
    <s v="谷口俊一"/>
    <s v="たにぐちしゅんいち"/>
    <n v="9054074477"/>
    <s v="monkeyjanjan@yahoo.co.jp"/>
    <s v="https://mdpink.maildealer.jp/wapi.php"/>
    <m/>
    <s v="134-0085"/>
    <s v="東京都"/>
    <s v="江戸川区"/>
    <s v="南葛西5-17-4-607"/>
    <m/>
    <s v="res_youtube_mrk"/>
    <d v="2023-10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293"/>
    <m/>
    <m/>
    <s v="注文履歴"/>
    <s v="配送履歴"/>
    <s v="森岡由加利"/>
    <s v="もりおかゆかり"/>
    <n v="9070962142"/>
    <s v="zakuro.m.0396@gmail.com"/>
    <s v="https://mdpink.maildealer.jp/wapi.php"/>
    <m/>
    <s v="640-8273"/>
    <s v="和歌山県"/>
    <s v="和歌山市葵町"/>
    <d v="2025-05-23T00:00:00"/>
    <m/>
    <s v="res_youtube_mrk"/>
    <d v="2023-10-1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283"/>
    <m/>
    <m/>
    <s v="注文履歴"/>
    <s v="配送履歴"/>
    <s v="高木秀子"/>
    <s v="たかぎひでこ"/>
    <n v="9073652718"/>
    <s v="kirakira.life222@gmail.com"/>
    <s v="https://mdpink.maildealer.jp/wapi.php"/>
    <m/>
    <s v="654-0101"/>
    <s v="兵庫県"/>
    <s v="神戸市須磨区白川字不計"/>
    <s v="1-6-211"/>
    <m/>
    <s v="res_youtube_mrk"/>
    <d v="2023-10-1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260"/>
    <m/>
    <m/>
    <s v="注文履歴"/>
    <s v="配送履歴"/>
    <s v="遠藤忍"/>
    <s v="えんどうしのぶ"/>
    <n v="9093863065"/>
    <s v="t7s10m11s18r11k3y21m@softbank.ne.jp"/>
    <s v="https://mdpink.maildealer.jp/wapi.php"/>
    <m/>
    <s v="350-1335"/>
    <s v="埼玉県"/>
    <s v="狭山市柏原"/>
    <s v="3161-286狭山ニュータウン69-4"/>
    <m/>
    <s v="res_youtube_mrk"/>
    <d v="2023-10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223"/>
    <m/>
    <m/>
    <s v="注文履歴"/>
    <s v="配送履歴"/>
    <s v="岡田武将"/>
    <s v="おかだたけまさ"/>
    <n v="9096164924"/>
    <s v="taketeko@hotmail.co.jp"/>
    <s v="https://mdpink.maildealer.jp/wapi.php"/>
    <m/>
    <s v="520-3034"/>
    <s v="滋賀県"/>
    <s v="栗東市"/>
    <s v="小平井三丁目3-14"/>
    <m/>
    <s v="res_youtube_mrk"/>
    <d v="2023-10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209"/>
    <m/>
    <m/>
    <s v="注文履歴"/>
    <s v="配送履歴"/>
    <s v="樋上智之"/>
    <s v="ひのうえともゆき"/>
    <n v="7040051499"/>
    <s v="tomo216216@hotmail.com"/>
    <s v="https://mdpink.maildealer.jp/wapi.php"/>
    <m/>
    <s v="168-0081"/>
    <s v="東京都"/>
    <s v="杉並区"/>
    <s v="宮前4-15-4-2"/>
    <m/>
    <s v="res_youtube_mrk"/>
    <d v="2023-10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119"/>
    <m/>
    <m/>
    <s v="注文履歴"/>
    <s v="配送履歴"/>
    <s v="豊岡奈津美"/>
    <s v="とよおかなつみ"/>
    <n v="9050520462"/>
    <s v="nk.mona@gmail.com"/>
    <s v="https://mdpink.maildealer.jp/wapi.php"/>
    <m/>
    <s v="133-0061"/>
    <s v="東京都"/>
    <s v="江戸川区篠崎町"/>
    <d v="2005-09-21T00:00:00"/>
    <m/>
    <s v="res_youtube_mrk"/>
    <d v="2023-10-16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115"/>
    <m/>
    <m/>
    <s v="注文履歴"/>
    <s v="配送履歴"/>
    <s v="宇田川貴正"/>
    <s v="うだがわたかまさ"/>
    <n v="9046688014"/>
    <s v="ex.udagawa@gmail.com"/>
    <s v="https://mdpink.maildealer.jp/wapi.php"/>
    <m/>
    <s v="272-0025"/>
    <s v="千葉県"/>
    <s v="市川市大和田"/>
    <s v="5-15-24"/>
    <m/>
    <s v="res_youtube_mrk"/>
    <d v="2023-10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062"/>
    <m/>
    <m/>
    <s v="注文履歴"/>
    <s v="配送履歴"/>
    <s v="坂野唯"/>
    <s v="さかのゆい"/>
    <n v="8033000247"/>
    <s v="yui_mamechan@yahoo.co.jp"/>
    <s v="https://mdpink.maildealer.jp/wapi.php"/>
    <m/>
    <s v="411-0025"/>
    <s v="静岡県"/>
    <s v="三島市壱町田"/>
    <s v="195-14"/>
    <m/>
    <s v="trnd_youtube"/>
    <d v="2023-10-2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5053"/>
    <m/>
    <m/>
    <s v="注文履歴"/>
    <s v="配送履歴"/>
    <s v="濱中宣成"/>
    <s v="はまなかのぶなり"/>
    <n v="9077621996"/>
    <s v="nobunari@par.odn.ne.jp"/>
    <s v="https://mdpink.maildealer.jp/wapi.php"/>
    <m/>
    <s v="279-0002"/>
    <s v="千葉県"/>
    <s v="浦安市北栄2-9-3"/>
    <s v="ファレノプシス1-301"/>
    <m/>
    <s v="trnd_youtube"/>
    <d v="2023-10-2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972"/>
    <m/>
    <m/>
    <s v="注文履歴"/>
    <s v="配送履歴"/>
    <s v="神谷亮太"/>
    <s v="かみたにりょうた"/>
    <n v="9014374135"/>
    <s v="ka3ta2ryota@gmail.com"/>
    <s v="https://mdpink.maildealer.jp/wapi.php"/>
    <m/>
    <s v="143-0027"/>
    <s v="東京都"/>
    <s v="大田区"/>
    <s v="中馬込2-9-3-1008"/>
    <m/>
    <s v="trnd_youtube"/>
    <d v="2023-10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954"/>
    <m/>
    <m/>
    <s v="注文履歴"/>
    <s v="配送履歴"/>
    <s v="中村亮太"/>
    <s v="なかむらりょうた"/>
    <n v="9023860679"/>
    <s v="drgkmry11@gmail.com"/>
    <s v="https://mdpink.maildealer.jp/wapi.php"/>
    <m/>
    <s v="669-3651"/>
    <s v="兵庫県"/>
    <s v="丹波市氷上町氷上"/>
    <s v="681-12"/>
    <m/>
    <s v="trnd_youtube"/>
    <d v="2023-10-2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880"/>
    <m/>
    <m/>
    <s v="注文履歴"/>
    <s v="配送履歴"/>
    <s v="柿下浩幸"/>
    <s v="かきしたひろゆき"/>
    <n v="8032732159"/>
    <s v="hirosita707@gmail.com"/>
    <s v="https://mdpink.maildealer.jp/wapi.php"/>
    <m/>
    <s v="236-0052"/>
    <s v="神奈川県"/>
    <s v="横浜市金沢区富岡西"/>
    <d v="2001-04-03T00:00:00"/>
    <m/>
    <s v="trnd_youtube"/>
    <d v="2023-10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877"/>
    <m/>
    <m/>
    <s v="注文履歴"/>
    <s v="配送履歴"/>
    <s v="池口辰郎"/>
    <s v="いけぐちたつろう"/>
    <n v="9045880874"/>
    <s v="kerotan0314@yahoo.co.jp"/>
    <s v="https://mdpink.maildealer.jp/wapi.php"/>
    <m/>
    <s v="857-0022"/>
    <s v="長崎県"/>
    <s v="佐世保市山手町"/>
    <s v="21番24号"/>
    <m/>
    <s v="trnd_youtube"/>
    <d v="2023-10-23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867"/>
    <m/>
    <m/>
    <s v="注文履歴"/>
    <s v="配送履歴"/>
    <s v="辻功"/>
    <s v="つじいさお"/>
    <n v="9069029480"/>
    <s v="isaotsuji1@gmail.com"/>
    <s v="https://mdpink.maildealer.jp/wapi.php"/>
    <m/>
    <s v="335-0025"/>
    <s v="埼玉県"/>
    <s v="戸田市南町2-28"/>
    <s v="エトワール南603"/>
    <m/>
    <s v="res_youtube"/>
    <d v="2023-10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793"/>
    <m/>
    <m/>
    <s v="注文履歴"/>
    <s v="配送履歴"/>
    <s v="植村圭三"/>
    <s v="うえむらけいぞう"/>
    <n v="8084242870"/>
    <s v="kz3728yt@yahoo.co.jp"/>
    <s v="https://mdpink.maildealer.jp/wapi.php"/>
    <m/>
    <s v="243-0437"/>
    <s v="神奈川県"/>
    <s v="海老名市泉"/>
    <s v="2-3-1 セントガーデン海老名110"/>
    <m/>
    <s v="trnd_youtube"/>
    <d v="2023-10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653"/>
    <m/>
    <m/>
    <s v="注文履歴"/>
    <s v="配送履歴"/>
    <s v="木村元信"/>
    <s v="きむらもとのぶ"/>
    <n v="9073544486"/>
    <s v="mt.kim-7146@docomo.ne.jp"/>
    <s v="https://mdpink.maildealer.jp/wapi.php"/>
    <m/>
    <s v="531-0074"/>
    <s v="大阪府"/>
    <s v="大阪市北区本庄東"/>
    <d v="2002-12-10T00:00:00"/>
    <m/>
    <s v="res_youtube"/>
    <d v="2023-10-21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614"/>
    <m/>
    <m/>
    <s v="注文履歴"/>
    <s v="配送履歴"/>
    <s v="高木一輝"/>
    <s v="たかぎかずてる"/>
    <n v="9042127093"/>
    <s v="orobanche.minor.29@gmail.com"/>
    <s v="https://mdpink.maildealer.jp/wapi.php"/>
    <m/>
    <s v="812-0063"/>
    <s v="福岡県"/>
    <s v="久留米市西町"/>
    <s v="672-2EREGHA花畑201"/>
    <m/>
    <s v="trnd_youtube"/>
    <d v="2023-10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481"/>
    <m/>
    <m/>
    <s v="注文履歴"/>
    <s v="配送履歴"/>
    <s v="浅田晃嗣"/>
    <s v="あさだてるつぐ"/>
    <n v="8096558064"/>
    <s v="asadaterry@yahoo.co.jp"/>
    <s v="https://mdpink.maildealer.jp/wapi.php"/>
    <m/>
    <s v="166-0015"/>
    <s v="東京都"/>
    <s v="杉並区成田東"/>
    <s v="4-3-2プラウドシティ阿佐ヶ谷フォレストB3-430"/>
    <m/>
    <s v="trnd_youtube"/>
    <d v="2023-10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74"/>
    <m/>
    <m/>
    <s v="注文履歴"/>
    <s v="配送履歴"/>
    <s v="中川富士子"/>
    <s v="なかがわふじこ"/>
    <n v="8056959548"/>
    <s v="liar.aa1490@ezweb.ne.jp"/>
    <s v="https://mdpink.maildealer.jp/wapi.php"/>
    <m/>
    <s v="256-0816"/>
    <s v="神奈川県"/>
    <s v="小田原市酒匂"/>
    <s v="1-25-40 DP西湘南第2 113号室"/>
    <m/>
    <s v="res_youtube_mrk"/>
    <d v="2023-10-18T00:00:00"/>
    <x v="2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57"/>
    <m/>
    <m/>
    <s v="注文履歴"/>
    <s v="配送履歴"/>
    <s v="内垣裕"/>
    <s v="うちがきゆう"/>
    <n v="8057279364"/>
    <s v="yuuchigaki@gmail.com"/>
    <s v="https://mdpink.maildealer.jp/wapi.php"/>
    <m/>
    <s v="584-0073"/>
    <s v="大阪府"/>
    <s v="富田林市"/>
    <s v="寺池台1-17-22"/>
    <m/>
    <s v="res_youtube_mrk"/>
    <d v="2023-10-17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56"/>
    <m/>
    <m/>
    <s v="注文履歴"/>
    <s v="配送履歴"/>
    <s v="大里仁志"/>
    <s v="おおさとひとし"/>
    <n v="9012401066"/>
    <s v="jj1105b@gmail.com"/>
    <s v="https://mdpink.maildealer.jp/wapi.php"/>
    <m/>
    <s v="567-0048"/>
    <s v="大阪府"/>
    <s v="茨木市"/>
    <s v="北春日丘4-9-37"/>
    <m/>
    <s v="res_youtube_mrk"/>
    <d v="2023-10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55"/>
    <m/>
    <m/>
    <s v="注文履歴"/>
    <s v="配送履歴"/>
    <s v="金子幹也"/>
    <s v="かねこみきや"/>
    <n v="9024181961"/>
    <s v="f1shoot@gmail.com"/>
    <s v="https://mdpink.maildealer.jp/wapi.php"/>
    <m/>
    <s v="337-0005"/>
    <s v="埼玉県"/>
    <s v="さいたま市見沼区"/>
    <s v="大字小深作163"/>
    <m/>
    <m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54"/>
    <m/>
    <m/>
    <s v="注文履歴"/>
    <s v="配送履歴"/>
    <s v="小木戸有香"/>
    <s v="こきどゆか"/>
    <n v="8017664152"/>
    <s v="yukashichida@gmail.com"/>
    <s v="https://mdpink.maildealer.jp/wapi.php"/>
    <m/>
    <s v="802-0018"/>
    <s v="福岡県"/>
    <s v="北九州市小倉北区"/>
    <s v="中津口2-1-10-202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50"/>
    <m/>
    <m/>
    <s v="注文履歴"/>
    <s v="配送履歴"/>
    <s v="宮坂泰三"/>
    <s v="みやさかたいぞう"/>
    <n v="9012195505"/>
    <s v="taizoumiyasaka@gmail.com"/>
    <s v="https://mdpink.maildealer.jp/wapi.php"/>
    <m/>
    <s v="299-1742"/>
    <s v="千葉県"/>
    <s v="富津市"/>
    <s v="豊岡306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47"/>
    <m/>
    <m/>
    <s v="注文履歴"/>
    <s v="配送履歴"/>
    <s v="辻本純子"/>
    <s v="つじもとじゅんこ"/>
    <n v="9073835670"/>
    <s v="junko0317dianne@i.softbank.jp"/>
    <s v="https://mdpink.maildealer.jp/wapi.php"/>
    <m/>
    <s v="565-0804"/>
    <s v="大阪府"/>
    <s v="吹田市新芦屋上"/>
    <d v="2025-02-05T00:00:00"/>
    <m/>
    <s v="res_youtube"/>
    <d v="2023-10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39"/>
    <m/>
    <m/>
    <s v="注文履歴"/>
    <s v="配送履歴"/>
    <s v="浮田佳秀"/>
    <s v="うきたよしひで"/>
    <n v="9017718668"/>
    <s v="lmn7899@yahoo.co.jp"/>
    <s v="https://mdpink.maildealer.jp/wapi.php"/>
    <m/>
    <s v="183-0043"/>
    <s v="東京都"/>
    <s v="府中市"/>
    <s v="東芝町1-64 エフユニバース218"/>
    <m/>
    <s v="res_youtube_mrk"/>
    <d v="2023-10-17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38"/>
    <m/>
    <m/>
    <s v="注文履歴"/>
    <s v="配送履歴"/>
    <s v="真崎徳満"/>
    <s v="まさきのりみつ"/>
    <n v="9095307763"/>
    <s v="masaki3646@icloud.com"/>
    <s v="https://mdpink.maildealer.jp/wapi.php"/>
    <m/>
    <s v="010-0803"/>
    <s v="秋田県"/>
    <s v="秋田市"/>
    <s v="外旭川八柳2-13-12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37"/>
    <m/>
    <m/>
    <s v="注文履歴"/>
    <s v="配送履歴"/>
    <s v="三好佳織"/>
    <s v="みよしかおり"/>
    <n v="8037370344"/>
    <s v="arl.lune.1230@gmail.com"/>
    <s v="https://mdpink.maildealer.jp/wapi.php"/>
    <m/>
    <s v="194-0014"/>
    <s v="東京都"/>
    <s v="町田市高ケ坂"/>
    <s v="6-19-19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30"/>
    <m/>
    <m/>
    <s v="注文履歴"/>
    <s v="配送履歴"/>
    <s v="根本涼子"/>
    <s v="ねもとりょうこ"/>
    <n v="8011848191"/>
    <s v="ryoko.nemo@gmail.com"/>
    <s v="https://mdpink.maildealer.jp/wapi.php"/>
    <m/>
    <s v="157-0072"/>
    <s v="東京都"/>
    <s v="世田谷区祖師谷"/>
    <s v="5ー32ー36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28"/>
    <m/>
    <m/>
    <s v="注文履歴"/>
    <s v="配送履歴"/>
    <s v="日高淳一"/>
    <s v="ひたかじゅんいち"/>
    <n v="9090733247"/>
    <s v="j.hitaka10@gmail.com"/>
    <s v="https://mdpink.maildealer.jp/wapi.php"/>
    <m/>
    <s v="761-8071"/>
    <s v="香川県"/>
    <s v="高松市伏石町"/>
    <s v="1085番地"/>
    <m/>
    <s v="res_youtube_mrk"/>
    <d v="2023-10-17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17"/>
    <m/>
    <m/>
    <s v="注文履歴"/>
    <s v="配送履歴"/>
    <s v="山口日出子"/>
    <s v="やまぐちひでこ"/>
    <n v="9028656502"/>
    <s v="hiiko3035@gmail.com"/>
    <s v="https://mdpink.maildealer.jp/wapi.php"/>
    <m/>
    <s v="732-0055"/>
    <s v="広島県"/>
    <s v="広島市東区東蟹屋町"/>
    <s v="16-39-1409"/>
    <m/>
    <s v="res_youtube_mrk"/>
    <d v="2023-10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14"/>
    <m/>
    <m/>
    <s v="注文履歴"/>
    <s v="配送履歴"/>
    <s v="佐野恒二"/>
    <s v="さのこうじ"/>
    <n v="9035031207"/>
    <s v="okok117117@yahoo.co.jp"/>
    <s v="https://mdpink.maildealer.jp/wapi.php"/>
    <m/>
    <s v="186-0001"/>
    <s v="東京都"/>
    <s v="国立市北"/>
    <s v="3-17-20"/>
    <m/>
    <s v="res_youtube_mrk"/>
    <d v="2023-10-17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12"/>
    <m/>
    <m/>
    <s v="注文履歴"/>
    <s v="配送履歴"/>
    <s v="青木博之"/>
    <s v="あおきひろゆき"/>
    <n v="7065611610"/>
    <s v="h.aokioffice@tenor.ocn.ne.jp"/>
    <s v="https://mdpink.maildealer.jp/wapi.php"/>
    <m/>
    <s v="221-0844"/>
    <s v="神奈川県"/>
    <s v="横浜市神奈川区沢渡"/>
    <s v="65-14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10"/>
    <m/>
    <m/>
    <s v="注文履歴"/>
    <s v="配送履歴"/>
    <s v="小川幹"/>
    <s v="おがわみき"/>
    <n v="9025556276"/>
    <s v="miki@triforce3.com"/>
    <s v="https://mdpink.maildealer.jp/wapi.php"/>
    <m/>
    <s v="154-0023"/>
    <s v="東京都"/>
    <s v="世田谷区若林３丁目"/>
    <s v="15-21"/>
    <m/>
    <s v="res_youtube_mrk"/>
    <d v="2023-10-17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09"/>
    <m/>
    <m/>
    <s v="注文履歴"/>
    <s v="配送履歴"/>
    <s v="村木高志"/>
    <s v="むらきたかし"/>
    <n v="8028348877"/>
    <s v="muraki@niigata-shiryo.co.jp"/>
    <s v="https://mdpink.maildealer.jp/wapi.php"/>
    <m/>
    <s v="216-0035"/>
    <s v="神奈川県"/>
    <s v="川崎市宮前区馬絹"/>
    <s v="6-9-35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06"/>
    <m/>
    <m/>
    <s v="注文履歴"/>
    <s v="配送履歴"/>
    <s v="仲栄真盛也"/>
    <s v="なかえませいや"/>
    <n v="9050435173"/>
    <s v="painapo718na00@gmail.com"/>
    <s v="https://mdpink.maildealer.jp/wapi.php"/>
    <m/>
    <s v="440-0012"/>
    <s v="愛知県"/>
    <s v="豊橋市"/>
    <s v="東小鷹野1-19-13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05"/>
    <m/>
    <m/>
    <s v="注文履歴"/>
    <s v="配送履歴"/>
    <s v="真柄恵理"/>
    <s v="まがらえり"/>
    <n v="9034993941"/>
    <s v="mail.magara@mac.com"/>
    <s v="https://mdpink.maildealer.jp/wapi.php"/>
    <m/>
    <s v="158-0082"/>
    <s v="東京都"/>
    <s v="世田谷区等々力"/>
    <s v="1-15-12-402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100"/>
    <m/>
    <m/>
    <s v="注文履歴"/>
    <s v="配送履歴"/>
    <s v="八川広実"/>
    <s v="やかわひろみ"/>
    <n v="7028345621"/>
    <s v="riohiro@nifty.com"/>
    <s v="https://mdpink.maildealer.jp/wapi.php"/>
    <m/>
    <s v="543-0037"/>
    <s v="大阪府"/>
    <s v="大阪市天王寺区上之宮町４－４０"/>
    <s v="上之宮台ハイツ602号"/>
    <m/>
    <m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97"/>
    <m/>
    <m/>
    <s v="注文履歴"/>
    <s v="配送履歴"/>
    <s v="佐々木友子"/>
    <s v="ささきともこ"/>
    <n v="9032179051"/>
    <s v="first1991.st@gmail.com"/>
    <s v="https://mdpink.maildealer.jp/wapi.php"/>
    <m/>
    <s v="272-0034"/>
    <s v="千葉県"/>
    <s v="市川市"/>
    <s v="市川1-26-1-501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92"/>
    <m/>
    <m/>
    <s v="注文履歴"/>
    <s v="配送履歴"/>
    <s v="真田貴子"/>
    <s v="さなだたかこ"/>
    <n v="9036610474"/>
    <s v="sanadatta7620@gmail.com"/>
    <s v="https://mdpink.maildealer.jp/wapi.php"/>
    <m/>
    <s v="819-0036"/>
    <s v="福岡県"/>
    <s v="福岡市西区吉武"/>
    <s v="831-9"/>
    <m/>
    <s v="res_youtube_mrk"/>
    <d v="2023-10-17T00:00:00"/>
    <x v="0"/>
    <d v="2025-07-20T00:00:00"/>
    <n v="114300"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91"/>
    <m/>
    <m/>
    <s v="注文履歴"/>
    <s v="配送履歴"/>
    <s v="宮田博文"/>
    <s v="みやたひろふみ"/>
    <n v="455480677"/>
    <s v="hirofumi_miyata@outlook.jp"/>
    <s v="https://mdpink.maildealer.jp/wapi.php"/>
    <m/>
    <s v="222-0037"/>
    <s v="神奈川県"/>
    <s v="横浜市港北区大倉山"/>
    <s v="7-26-37"/>
    <m/>
    <m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90"/>
    <m/>
    <m/>
    <s v="注文履歴"/>
    <s v="配送履歴"/>
    <s v="三池雄大"/>
    <s v="みいけかずひろ"/>
    <n v="9043291338"/>
    <s v="tripuyurikabu20191015@yahoo.ne.jp"/>
    <s v="https://mdpink.maildealer.jp/wapi.php"/>
    <m/>
    <s v="929-0345"/>
    <s v="石川県"/>
    <s v="河北郡津幡町"/>
    <s v="太田ロ 41-5"/>
    <m/>
    <s v="res_youtube_mrk"/>
    <d v="2023-10-17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78"/>
    <m/>
    <m/>
    <s v="注文履歴"/>
    <s v="配送履歴"/>
    <s v="大久保陽子"/>
    <s v="おおくぼようこ"/>
    <n v="9045903234"/>
    <s v="yoko178121@gmail.com"/>
    <s v="https://mdpink.maildealer.jp/wapi.php"/>
    <m/>
    <s v="157-0066"/>
    <s v="東京都"/>
    <s v="世田谷区"/>
    <s v="成城3丁目4-3 パークコート成城309"/>
    <m/>
    <s v="res_youtube_mrk"/>
    <d v="2023-10-17T00:00:00"/>
    <x v="3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76"/>
    <m/>
    <m/>
    <s v="注文履歴"/>
    <s v="配送履歴"/>
    <s v="永島靖大"/>
    <s v="ながしまやすひろ"/>
    <n v="9039692040"/>
    <s v="ngmaster29@gmail.com"/>
    <s v="https://mdpink.maildealer.jp/wapi.php"/>
    <m/>
    <s v="532-0003"/>
    <s v="大阪府"/>
    <s v="大阪市淀川区宮原1丁目"/>
    <s v="16-28パルムハウス新大阪904"/>
    <m/>
    <s v="res_youtube_mrk"/>
    <d v="2023-10-1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72"/>
    <m/>
    <m/>
    <s v="注文履歴"/>
    <s v="配送履歴"/>
    <s v="古川貴裕"/>
    <s v="ふるかわたかひろ"/>
    <n v="8029758031"/>
    <s v="syuzokutidoryokuti@yahoo.co.jp"/>
    <s v="https://mdpink.maildealer.jp/wapi.php"/>
    <m/>
    <s v="761-8045"/>
    <s v="香川県"/>
    <s v="高松市西山崎町"/>
    <n v="373"/>
    <m/>
    <s v="res_youtube_mrk"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60"/>
    <m/>
    <m/>
    <s v="注文履歴"/>
    <s v="配送履歴"/>
    <s v="朝日晃大"/>
    <s v="あさひあきひろ"/>
    <n v="8019627811"/>
    <s v="akiosunnday12742@gmail.com"/>
    <s v="https://mdpink.maildealer.jp/wapi.php"/>
    <m/>
    <s v="923-0972"/>
    <s v="石川県"/>
    <s v="小松市月津町"/>
    <s v="ナ51ー7"/>
    <m/>
    <s v="res_youtube_mrk"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44"/>
    <m/>
    <m/>
    <s v="注文履歴"/>
    <s v="配送履歴"/>
    <s v="森田哲哉"/>
    <s v="もりたてつや"/>
    <n v="9020679630"/>
    <s v="trade@morinta.com"/>
    <s v="https://mdpink.maildealer.jp/wapi.php"/>
    <m/>
    <s v="573-0052"/>
    <s v="大阪府"/>
    <s v="枚方市枚方元町"/>
    <s v="6-20-718"/>
    <m/>
    <s v="res_youtube_mrk"/>
    <d v="2023-10-16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41"/>
    <m/>
    <m/>
    <s v="注文履歴"/>
    <s v="配送履歴"/>
    <s v="草原秀一郎"/>
    <s v="くさはらしゅういちろう"/>
    <n v="8053661314"/>
    <s v="ziguzagu-dekobok.357@ezweb.ne.jp"/>
    <s v="https://mdpink.maildealer.jp/wapi.php"/>
    <m/>
    <s v="536-0008"/>
    <s v="大阪府"/>
    <s v="大阪市城東区"/>
    <s v="関目3-2-18プライマリーライフ関目302号"/>
    <m/>
    <s v="res_youtube_mrk"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4036"/>
    <m/>
    <m/>
    <s v="注文履歴"/>
    <s v="配送履歴"/>
    <s v="西郡英利"/>
    <s v="にしごおりひでとし"/>
    <n v="9016445173"/>
    <s v="hide2456@gmail.com"/>
    <s v="https://mdpink.maildealer.jp/wapi.php"/>
    <m/>
    <s v="003-0022"/>
    <s v="北海道"/>
    <s v="札幌市白石区南郷通19丁目南2-28"/>
    <s v="クリオレジダンス南郷緑邸イースト102"/>
    <m/>
    <s v="res_youtube_mrk"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960"/>
    <m/>
    <m/>
    <s v="注文履歴"/>
    <s v="配送履歴"/>
    <s v="瀬古博之"/>
    <s v="せこひろゆき"/>
    <n v="593318123"/>
    <s v="egao11toushi@gmail.com"/>
    <s v="https://mdpink.maildealer.jp/wapi.php"/>
    <m/>
    <s v="510-0018"/>
    <s v="三重県"/>
    <s v="四日市市白須賀"/>
    <d v="2001-11-26T00:00:00"/>
    <m/>
    <m/>
    <d v="2023-10-16T00:00:00"/>
    <x v="2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903"/>
    <m/>
    <m/>
    <s v="注文履歴"/>
    <s v="配送履歴"/>
    <s v="櫻井一輝"/>
    <s v="さくらいかずき"/>
    <n v="8084339436"/>
    <s v="xxxg01w1115@gmail.com"/>
    <s v="https://mdpink.maildealer.jp/wapi.php"/>
    <m/>
    <s v="961-8061"/>
    <s v="福島県"/>
    <s v="西白河郡西郷村小田倉前山"/>
    <s v="125-56アストハイツA203"/>
    <m/>
    <m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94"/>
    <m/>
    <m/>
    <s v="注文履歴"/>
    <s v="配送履歴"/>
    <s v="平良勝彦"/>
    <s v="たいらかつひこ"/>
    <n v="8031775121"/>
    <s v="ktaira2023@gmail.com"/>
    <s v="https://mdpink.maildealer.jp/wapi.php"/>
    <m/>
    <s v="214-0023"/>
    <s v="神奈川県"/>
    <s v="川崎市多摩区長尾"/>
    <s v="7-30-10"/>
    <m/>
    <s v="res_youtube_mrk"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87"/>
    <m/>
    <m/>
    <s v="注文履歴"/>
    <s v="配送履歴"/>
    <s v="草野典生"/>
    <s v="くさののりお"/>
    <n v="9032691196"/>
    <s v="ididit348@gmail.com"/>
    <s v="https://mdpink.maildealer.jp/wapi.php"/>
    <m/>
    <s v="651-2102"/>
    <s v="兵庫県"/>
    <s v="神戸市西区学園東町２丁目"/>
    <s v="5-42"/>
    <m/>
    <s v="res_youtube_mrk"/>
    <d v="2023-10-16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80"/>
    <m/>
    <m/>
    <s v="注文履歴"/>
    <s v="配送履歴"/>
    <s v="吉田秀子"/>
    <s v="よしだひでこ"/>
    <n v="8077368812"/>
    <s v="tomorrow1@kyi.biglobe.ne.jp"/>
    <s v="https://mdpink.maildealer.jp/wapi.php"/>
    <m/>
    <s v="170-0013"/>
    <s v="東京都"/>
    <s v="豊島区東池袋"/>
    <s v="3-21-21-3005"/>
    <m/>
    <s v="res_youtube_mrk"/>
    <d v="2023-10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77"/>
    <m/>
    <m/>
    <s v="注文履歴"/>
    <s v="配送履歴"/>
    <s v="廣川雄大"/>
    <s v="ひろかわゆうだい"/>
    <n v="8058375772"/>
    <s v="yudai.20000222@gmail.com"/>
    <s v="https://mdpink.maildealer.jp/wapi.php"/>
    <m/>
    <s v="003-0021"/>
    <s v="北海道"/>
    <s v="札幌市白石区"/>
    <s v="栄通1丁目6番19-107号"/>
    <m/>
    <s v="res_youtube_mrk"/>
    <d v="2023-10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70"/>
    <m/>
    <m/>
    <s v="注文履歴"/>
    <s v="配送履歴"/>
    <s v="岩屋こずえ"/>
    <s v="いわやこずえ"/>
    <n v="9069611093"/>
    <s v="sansankokko934@gmail.com"/>
    <s v="https://mdpink.maildealer.jp/wapi.php"/>
    <m/>
    <s v="662-0825"/>
    <s v="兵庫県"/>
    <s v="西宮市門戸荘"/>
    <s v="14-10-1F"/>
    <m/>
    <s v="res_youtube_mrk"/>
    <d v="2023-10-16T00:00:00"/>
    <x v="2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60"/>
    <m/>
    <m/>
    <s v="注文履歴"/>
    <s v="配送履歴"/>
    <s v="吉村由香"/>
    <s v="よしむらゆか"/>
    <n v="9073061974"/>
    <s v="yk12042177@gmail.com"/>
    <s v="https://mdpink.maildealer.jp/wapi.php"/>
    <m/>
    <s v="515-0063"/>
    <s v="三重県"/>
    <s v="松阪市大黒田町"/>
    <s v="413-16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55"/>
    <m/>
    <m/>
    <s v="注文履歴"/>
    <s v="配送履歴"/>
    <s v="亀山麻衣"/>
    <s v="かめやままい"/>
    <n v="9050272622"/>
    <s v="waterfall3nd@gmail.com"/>
    <s v="https://mdpink.maildealer.jp/wapi.php"/>
    <m/>
    <s v="586-0017"/>
    <s v="大阪府"/>
    <s v="河内長野市"/>
    <s v="古野町5-41-105"/>
    <m/>
    <m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45"/>
    <m/>
    <m/>
    <s v="注文履歴"/>
    <s v="配送履歴"/>
    <s v="増田英司"/>
    <s v="ますだえいじ"/>
    <n v="9088275479"/>
    <s v="eiji.masuda1701@gmail.com"/>
    <s v="https://mdpink.maildealer.jp/wapi.php"/>
    <m/>
    <s v="599-8123"/>
    <s v="大阪府"/>
    <s v="堺市東区北野田"/>
    <s v="1000-108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44"/>
    <m/>
    <m/>
    <s v="注文履歴"/>
    <s v="配送履歴"/>
    <s v="上田昇"/>
    <s v="うえだのぼる"/>
    <n v="8035978635"/>
    <s v="shyachiccu@gmail.com"/>
    <s v="https://mdpink.maildealer.jp/wapi.php"/>
    <m/>
    <s v="418-0022"/>
    <s v="静岡県"/>
    <s v="富士宮市小泉"/>
    <s v="1485-21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43"/>
    <m/>
    <m/>
    <s v="注文履歴"/>
    <s v="配送履歴"/>
    <s v="朱宮陽一"/>
    <s v="しゅみやよういち"/>
    <n v="586587199"/>
    <s v="yzhugu37@gmail.com"/>
    <s v="https://mdpink.maildealer.jp/wapi.php"/>
    <m/>
    <s v="491-0912"/>
    <s v="愛知県"/>
    <s v="一宮市"/>
    <s v="新生3丁目10番21-302 サンリット一番館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37"/>
    <m/>
    <m/>
    <s v="注文履歴"/>
    <s v="配送履歴"/>
    <s v="澤谷和広"/>
    <s v="さわやかずひろ"/>
    <n v="9011514660"/>
    <s v="kazupon_akipon_sawaya@yahoo.co.jp"/>
    <s v="https://mdpink.maildealer.jp/wapi.php"/>
    <m/>
    <s v="592-8344"/>
    <s v="大阪府"/>
    <s v="堺市西区浜寺南町"/>
    <s v="1-40-10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36"/>
    <m/>
    <m/>
    <s v="注文履歴"/>
    <s v="配送履歴"/>
    <s v="中川淳"/>
    <s v="なかがわあつし"/>
    <n v="8014078876"/>
    <s v="nakagawa189@gmail.com"/>
    <s v="https://mdpink.maildealer.jp/wapi.php"/>
    <m/>
    <n v="252"/>
    <s v="神奈川県"/>
    <s v="相模原市中央区共和"/>
    <s v="1-3-33-102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31"/>
    <m/>
    <m/>
    <s v="注文履歴"/>
    <s v="配送履歴"/>
    <s v="渋谷圭子"/>
    <s v="しぶやけいこ"/>
    <n v="7043198431"/>
    <s v="kobuty0212@gmail.com"/>
    <s v="https://mdpink.maildealer.jp/wapi.php"/>
    <m/>
    <s v="143-0026"/>
    <s v="東京都"/>
    <s v="大田区西馬込"/>
    <s v="1-2-15-405"/>
    <m/>
    <s v="res_youtube_mrk"/>
    <d v="2023-10-15T00:00:00"/>
    <x v="2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30"/>
    <m/>
    <m/>
    <s v="注文履歴"/>
    <s v="配送履歴"/>
    <s v="片岡昌子"/>
    <s v="かたおかまさこ"/>
    <n v="9014975523"/>
    <s v="makoga717@gmail.com"/>
    <s v="https://mdpink.maildealer.jp/wapi.php"/>
    <m/>
    <s v="612-8307"/>
    <s v="京都府"/>
    <s v="京都市伏見区景勝町"/>
    <s v="31-5イニシア伏見706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28"/>
    <m/>
    <m/>
    <s v="注文履歴"/>
    <s v="配送履歴"/>
    <s v="別役淑美"/>
    <s v="べっちゃくとしみ"/>
    <n v="8031272989"/>
    <s v="cocoromi424@gmail.com"/>
    <s v="https://mdpink.maildealer.jp/wapi.php"/>
    <m/>
    <s v="340-0006"/>
    <s v="埼玉県"/>
    <s v="草加市八幡町"/>
    <d v="1963-02-01T00:00:00"/>
    <m/>
    <m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19"/>
    <m/>
    <m/>
    <s v="注文履歴"/>
    <s v="配送履歴"/>
    <s v="松浦文彦"/>
    <s v="まつうらふみひこ"/>
    <n v="9058570494"/>
    <s v="fmmatsuu305@gmail.com"/>
    <s v="https://mdpink.maildealer.jp/wapi.php"/>
    <m/>
    <s v="461-0002"/>
    <s v="愛知県"/>
    <s v="名古屋市東区代官町"/>
    <s v="29-23 ラトゥール代官町10B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17"/>
    <m/>
    <m/>
    <s v="注文履歴"/>
    <s v="配送履歴"/>
    <s v="石渡康之"/>
    <s v="いしわたりやすゆき"/>
    <n v="9051767658"/>
    <s v="umizaru55@gmail.com"/>
    <s v="https://mdpink.maildealer.jp/wapi.php"/>
    <m/>
    <s v="104-0051"/>
    <s v="東京都"/>
    <s v="中央区佃"/>
    <s v="2-1-2-2108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14"/>
    <m/>
    <m/>
    <s v="注文履歴"/>
    <s v="配送履歴"/>
    <s v="山崎善映"/>
    <s v="やまざきよしあき"/>
    <n v="9016102713"/>
    <s v="clv.foe@gmail.com"/>
    <s v="https://mdpink.maildealer.jp/wapi.php"/>
    <m/>
    <s v="173-0004"/>
    <s v="東京都"/>
    <s v="板橋区板橋"/>
    <s v="2-41-9-504"/>
    <m/>
    <s v="res_youtube_mrk"/>
    <d v="2023-10-15T00:00:00"/>
    <x v="0"/>
    <d v="2025-07-20T00:00:00"/>
    <n v="114300"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10"/>
    <m/>
    <m/>
    <s v="注文履歴"/>
    <s v="配送履歴"/>
    <s v="浜田猛志"/>
    <s v="はまだたけし"/>
    <n v="9056311335"/>
    <s v="thamada5221@gmail.com"/>
    <s v="https://mdpink.maildealer.jp/wapi.php"/>
    <m/>
    <s v="457-0007"/>
    <s v="愛知県"/>
    <s v="名古屋市南区駈上"/>
    <d v="2001-09-06T00:00:00"/>
    <m/>
    <m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03"/>
    <m/>
    <m/>
    <s v="注文履歴"/>
    <s v="配送履歴"/>
    <s v="日下部千尋"/>
    <s v="くさかべちひろ"/>
    <n v="9023461932"/>
    <s v="chihiro1116med@yahoo.co.jp"/>
    <s v="https://mdpink.maildealer.jp/wapi.php"/>
    <m/>
    <s v="503-0936"/>
    <s v="岐阜県"/>
    <s v="大垣市内原"/>
    <s v="3-130-1"/>
    <m/>
    <s v="res_youtube_mrk"/>
    <d v="2023-10-15T00:00:00"/>
    <x v="6"/>
    <d v="2025-04-20T00:00:00"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802"/>
    <m/>
    <m/>
    <s v="注文履歴"/>
    <s v="配送履歴"/>
    <s v="加納弥紗"/>
    <s v="かのうみさ"/>
    <n v="9019155124"/>
    <s v="misakano805@gmail.com"/>
    <s v="https://mdpink.maildealer.jp/wapi.php"/>
    <m/>
    <s v="509-5133"/>
    <s v="岐阜県"/>
    <s v="土岐市泉神栄町"/>
    <s v="2-48-803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96"/>
    <m/>
    <m/>
    <s v="注文履歴"/>
    <s v="配送履歴"/>
    <s v="吉田信浩"/>
    <s v="よしだのぶひろ"/>
    <n v="9086484696"/>
    <s v="noppu01@gmail.com"/>
    <s v="https://mdpink.maildealer.jp/wapi.php"/>
    <m/>
    <s v="359-1103"/>
    <s v="埼玉県"/>
    <s v="所沢市向陽町"/>
    <s v="2174A-403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90"/>
    <m/>
    <m/>
    <s v="注文履歴"/>
    <s v="配送履歴"/>
    <s v="五島泰信"/>
    <s v="ごとうやすのぶ"/>
    <n v="9023114004"/>
    <s v="jasssoul@yahoo.co.jp"/>
    <s v="https://mdpink.maildealer.jp/wapi.php"/>
    <m/>
    <s v="813-0017"/>
    <s v="福岡県"/>
    <s v="福岡市東区香椎照葉"/>
    <d v="2001-01-06T00:00:00"/>
    <m/>
    <s v="res_youtube_mrk"/>
    <d v="2023-10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85"/>
    <m/>
    <m/>
    <s v="注文履歴"/>
    <s v="配送履歴"/>
    <s v="永田壮二"/>
    <s v="ながたそうじ"/>
    <n v="9090557293"/>
    <s v="soji.nagata@gmail.com"/>
    <s v="https://mdpink.maildealer.jp/wapi.php"/>
    <m/>
    <s v="615-8036"/>
    <s v="京都府"/>
    <s v="京都市西京区下津林南大般若町"/>
    <n v="105"/>
    <m/>
    <s v="res_youtube_mrk"/>
    <d v="2023-10-15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83"/>
    <m/>
    <m/>
    <s v="注文履歴"/>
    <s v="配送履歴"/>
    <s v="長岐裕好"/>
    <s v="ながきゆうこう"/>
    <n v="9022341785"/>
    <s v="yuimojiyuki@gmail.com"/>
    <s v="https://mdpink.maildealer.jp/wapi.php"/>
    <m/>
    <s v="332-0002"/>
    <s v="埼玉県"/>
    <s v="川口市弥平"/>
    <s v="1-15-12"/>
    <m/>
    <s v="res_youtube_mrk"/>
    <d v="2023-10-1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76"/>
    <m/>
    <m/>
    <s v="注文履歴"/>
    <s v="配送履歴"/>
    <s v="大城由香"/>
    <s v="おおしろゆか"/>
    <n v="9019454278"/>
    <s v="ariten0358@gmail.com"/>
    <s v="https://mdpink.maildealer.jp/wapi.php"/>
    <m/>
    <s v="904-2214"/>
    <s v="沖縄県"/>
    <s v="うるま市"/>
    <s v="安慶名3-30-21"/>
    <m/>
    <s v="res_youtube_mrk"/>
    <d v="2023-10-14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67"/>
    <m/>
    <m/>
    <s v="注文履歴"/>
    <s v="配送履歴"/>
    <s v="相澤洋太"/>
    <s v="あいざわようた"/>
    <n v="9054235321"/>
    <s v="dng10004@gmail.com"/>
    <s v="https://mdpink.maildealer.jp/wapi.php"/>
    <m/>
    <s v="248-0024"/>
    <s v="神奈川県"/>
    <s v="鎌倉市稲村ヶ崎"/>
    <d v="2004-08-11T00:00:00"/>
    <m/>
    <m/>
    <d v="2023-10-1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63"/>
    <m/>
    <m/>
    <s v="注文履歴"/>
    <s v="配送履歴"/>
    <s v="平岡直記"/>
    <s v="ひらおかなおき"/>
    <n v="9024099110"/>
    <s v="nao55-hiraoka@docomo.ne.jp"/>
    <s v="https://mdpink.maildealer.jp/wapi.php"/>
    <m/>
    <s v="171-0022"/>
    <s v="東京都"/>
    <s v="豊島区南池袋"/>
    <s v="2-45-2ブリリアタワー池袋1614号室"/>
    <m/>
    <s v="res_youtube_mrk"/>
    <d v="2023-10-1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62"/>
    <m/>
    <m/>
    <s v="注文履歴"/>
    <s v="配送履歴"/>
    <s v="岩楯仁一"/>
    <s v="いわだてまさかず"/>
    <n v="9031052819"/>
    <s v="marbo@hh.iij4u.or.jp"/>
    <s v="https://mdpink.maildealer.jp/wapi.php"/>
    <m/>
    <s v="133-0065"/>
    <s v="東京都"/>
    <s v="江戸川区南篠崎町"/>
    <s v="3-17-7"/>
    <m/>
    <s v="res_youtube_mrk"/>
    <d v="2023-10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60"/>
    <m/>
    <m/>
    <s v="注文履歴"/>
    <s v="配送履歴"/>
    <s v="寺川真理"/>
    <s v="てらかわしんり"/>
    <n v="8050804435"/>
    <s v="shinri.terakawa@gmail.com"/>
    <s v="https://mdpink.maildealer.jp/wapi.php"/>
    <m/>
    <s v="604-0011"/>
    <s v="京都府"/>
    <s v="京都市中京区冷泉町"/>
    <s v="58 サンマンションドゥーシェ室町冷泉町601"/>
    <m/>
    <s v="res_youtube_mrk"/>
    <d v="2023-10-1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39"/>
    <m/>
    <m/>
    <s v="注文履歴"/>
    <s v="配送履歴"/>
    <s v="小林広海"/>
    <s v="こばやしひろみ"/>
    <n v="9036533829"/>
    <s v="hiromihanamizukivivi@gmail.com"/>
    <s v="https://mdpink.maildealer.jp/wapi.php"/>
    <m/>
    <s v="664-0861"/>
    <s v="兵庫県"/>
    <s v="伊丹市稲野町2丁目"/>
    <d v="2025-06-06T00:00:00"/>
    <m/>
    <s v="res_youtube"/>
    <d v="2023-10-14T00:00:00"/>
    <x v="3"/>
    <d v="2025-02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705"/>
    <m/>
    <m/>
    <s v="注文履歴"/>
    <s v="配送履歴"/>
    <s v="菊竹裕之"/>
    <s v="きくたけひろゆき"/>
    <n v="9059303813"/>
    <s v="bumpof2007@yahoo.co.jp"/>
    <s v="https://mdpink.maildealer.jp/wapi.php"/>
    <m/>
    <s v="849-0917"/>
    <s v="佐賀県"/>
    <s v="佐賀市高木瀬町長瀬"/>
    <s v="1422-1"/>
    <m/>
    <s v="res_youtube"/>
    <d v="2023-10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664"/>
    <m/>
    <m/>
    <s v="注文履歴"/>
    <s v="配送履歴"/>
    <s v="後藤直子"/>
    <s v="ごとうなおこ"/>
    <n v="9018766952"/>
    <s v="akaru4829@gmail.com"/>
    <s v="https://mdpink.maildealer.jp/wapi.php"/>
    <m/>
    <s v="880-0123"/>
    <s v="宮崎県"/>
    <s v="宮崎市芳士"/>
    <s v="216-3"/>
    <m/>
    <s v="res_youtube"/>
    <d v="2023-10-1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663"/>
    <m/>
    <m/>
    <s v="注文履歴"/>
    <s v="配送履歴"/>
    <s v="板谷繁"/>
    <s v="いたやしげる"/>
    <n v="8048247603"/>
    <s v="im-shige.itaya@ezweb.ne.jp"/>
    <s v="https://mdpink.maildealer.jp/wapi.php"/>
    <m/>
    <s v="102-0074"/>
    <s v="東京都"/>
    <s v="千代田区"/>
    <s v="九段南3-7-10 アーバンキューブ九段南402"/>
    <m/>
    <s v="seminar_free_231021hl"/>
    <d v="2023-10-1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562"/>
    <m/>
    <m/>
    <s v="注文履歴"/>
    <s v="配送履歴"/>
    <s v="岡田一弘"/>
    <s v="おかだかずひろ"/>
    <n v="9081259800"/>
    <s v="okacchi0816@gmail.com"/>
    <s v="https://mdpink.maildealer.jp/wapi.php"/>
    <m/>
    <s v="658-0063"/>
    <s v="兵庫県"/>
    <s v="神戸市東灘区住吉山手"/>
    <s v="4-9-2-3"/>
    <m/>
    <s v="milliaka_youtube"/>
    <d v="2023-06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3432"/>
    <m/>
    <m/>
    <s v="注文履歴"/>
    <s v="配送履歴"/>
    <s v="鈴木薫子"/>
    <s v="すずきくにこ"/>
    <n v="9012238820"/>
    <s v="kunko-eezz@ezweb.ne.jp"/>
    <s v="https://mdpink.maildealer.jp/wapi.php"/>
    <m/>
    <s v="526-0014"/>
    <s v="滋賀県"/>
    <s v="長浜市"/>
    <s v="口分田町446-20"/>
    <m/>
    <s v="milliaka_youtube"/>
    <d v="2023-07-2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2843"/>
    <m/>
    <m/>
    <s v="注文履歴"/>
    <s v="配送履歴"/>
    <s v="松田節子"/>
    <s v="まつだせつこ"/>
    <n v="9066356844"/>
    <s v="sekoma04@gmail.com"/>
    <s v="https://mdpink.maildealer.jp/wapi.php"/>
    <m/>
    <s v="814-0015"/>
    <s v="福岡県"/>
    <s v="福岡市"/>
    <s v="早良区室見1-4-5-1003"/>
    <m/>
    <s v="milliaka_youtube"/>
    <d v="2023-10-08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2448"/>
    <m/>
    <m/>
    <s v="注文履歴"/>
    <s v="配送履歴"/>
    <s v="野口和彦"/>
    <s v="のぐちかずひこ"/>
    <n v="9093189288"/>
    <s v="noguchi.k.aljl@gmail.com"/>
    <s v="https://mdpink.maildealer.jp/wapi.php"/>
    <m/>
    <s v="176-0025"/>
    <s v="東京都"/>
    <s v="練馬区中村南"/>
    <s v="1-22-8 恒陽鷺宮マンション703"/>
    <m/>
    <s v="res_youtube"/>
    <d v="2023-10-07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2324"/>
    <m/>
    <m/>
    <s v="注文履歴"/>
    <s v="配送履歴"/>
    <s v="伊達章"/>
    <s v="だてあきら"/>
    <n v="7033607890"/>
    <s v="akiradate60@gmail.com"/>
    <s v="https://mdpink.maildealer.jp/wapi.php"/>
    <m/>
    <s v="192-0375"/>
    <s v="東京都"/>
    <s v="八王子市鑓水２－８１－２"/>
    <s v="リンクソシエ南大沢513号"/>
    <m/>
    <s v="res_youtube"/>
    <d v="2023-10-0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2304"/>
    <m/>
    <m/>
    <s v="注文履歴"/>
    <s v="配送履歴"/>
    <s v="菊池裕二"/>
    <s v="きくちゆうじ"/>
    <n v="8092005569"/>
    <s v="marutyan7613@gmail.com"/>
    <s v="https://mdpink.maildealer.jp/wapi.php"/>
    <m/>
    <s v="337-0033"/>
    <s v="埼玉県"/>
    <s v="さいたま市見沼区御蔵"/>
    <s v="798-15"/>
    <m/>
    <s v="res_youtube"/>
    <d v="2023-10-04T00:00:00"/>
    <x v="0"/>
    <d v="2025-07-20T00:00:00"/>
    <n v="114300"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m/>
    <m/>
    <m/>
    <m/>
    <m/>
    <m/>
    <m/>
  </r>
  <r>
    <s v="C-00052181"/>
    <m/>
    <m/>
    <s v="注文履歴"/>
    <s v="配送履歴"/>
    <s v="山田正俊"/>
    <s v="やまだまさとし"/>
    <n v="9048136734"/>
    <s v="cyp00464@nifty.com"/>
    <s v="https://mdpink.maildealer.jp/wapi.php"/>
    <m/>
    <s v="166-0016"/>
    <s v="東京都"/>
    <s v="杉並区成田西"/>
    <s v="2-18-16"/>
    <m/>
    <s v="youtube_endo_book"/>
    <d v="2023-10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865"/>
    <m/>
    <m/>
    <s v="注文履歴"/>
    <s v="配送履歴"/>
    <s v="林克也"/>
    <s v="はやしかつや"/>
    <n v="8014843250"/>
    <s v="progressbar1104@gmail.com"/>
    <s v="https://mdpink.maildealer.jp/wapi.php"/>
    <m/>
    <s v="652-0043"/>
    <s v="兵庫県"/>
    <s v="神戸市兵庫区会下山町2丁目"/>
    <d v="2025-05-14T00:00:00"/>
    <m/>
    <s v="res_youtube"/>
    <d v="2023-09-23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748"/>
    <m/>
    <m/>
    <s v="注文履歴"/>
    <s v="配送履歴"/>
    <s v="杉田俊雄"/>
    <s v="すぎたとしお"/>
    <n v="8055242387"/>
    <s v="fumikamaru@yahoo.co.jp"/>
    <s v="https://mdpink.maildealer.jp/wapi.php"/>
    <m/>
    <s v="376-0013"/>
    <s v="群馬県"/>
    <s v="桐生市広沢町"/>
    <s v="6-949-8"/>
    <m/>
    <s v="youtube_endo_book"/>
    <d v="2023-09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403"/>
    <m/>
    <m/>
    <s v="注文履歴"/>
    <s v="配送履歴"/>
    <s v="服部誠一"/>
    <s v="はっとりせいいち"/>
    <n v="9021411230"/>
    <s v="hattori.seiichi@gmail.com"/>
    <s v="https://mdpink.maildealer.jp/wapi.php"/>
    <m/>
    <s v="166-0015"/>
    <s v="東京都"/>
    <s v="杉並区成田東"/>
    <s v="4-32-26"/>
    <m/>
    <s v="res_youtube"/>
    <d v="2023-09-1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345"/>
    <m/>
    <m/>
    <s v="注文履歴"/>
    <s v="配送履歴"/>
    <s v="市川雄一郎"/>
    <s v="いちかわゆういちろう"/>
    <n v="9090331936"/>
    <s v="yuichiroichikawa4444@gmail.com"/>
    <s v="https://mdpink.maildealer.jp/wapi.php"/>
    <m/>
    <s v="130-0003"/>
    <s v="東京都"/>
    <s v="墨田区"/>
    <s v="横川1-1-5-501"/>
    <m/>
    <s v="res_youtube"/>
    <d v="2023-09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304"/>
    <m/>
    <m/>
    <s v="注文履歴"/>
    <s v="配送履歴"/>
    <s v="野村あつみ"/>
    <s v="のむらあつみ"/>
    <n v="9021004395"/>
    <s v="yecunatsumi@gmail.com"/>
    <s v="https://mdpink.maildealer.jp/wapi.php"/>
    <m/>
    <s v="211-0004"/>
    <s v="神奈川県"/>
    <s v="川崎市中原区新丸子東"/>
    <s v="3-1100-12ミッドスカイタワー5411号室"/>
    <m/>
    <s v="res_youtube"/>
    <d v="2023-09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220"/>
    <m/>
    <m/>
    <s v="注文履歴"/>
    <s v="配送履歴"/>
    <s v="上野泰人"/>
    <s v="うえのやすひと"/>
    <n v="9089357414"/>
    <s v="ueno.yasuhito@gmail.com"/>
    <s v="https://mdpink.maildealer.jp/wapi.php"/>
    <m/>
    <s v="141-0022"/>
    <s v="東京都"/>
    <s v="品川区"/>
    <s v="東五反田1-10-11 パークハウスアーバンス東五反田1206"/>
    <m/>
    <s v="res_youtube"/>
    <d v="2023-09-0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026"/>
    <m/>
    <m/>
    <s v="注文履歴"/>
    <s v="配送履歴"/>
    <s v="左田野隆"/>
    <s v="さだのたかし"/>
    <n v="9076400463"/>
    <s v="spr2002ymgt@gmail.com"/>
    <s v="https://mdpink.maildealer.jp/wapi.php"/>
    <m/>
    <s v="596-0067"/>
    <s v="大阪府"/>
    <s v="岸和田市"/>
    <s v="南町2-20"/>
    <m/>
    <s v="res_youtube"/>
    <d v="2023-09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1025"/>
    <m/>
    <m/>
    <s v="注文履歴"/>
    <s v="配送履歴"/>
    <s v="樋口琢善"/>
    <s v="ひぐちたくよし"/>
    <n v="9087658771"/>
    <s v="spm92ek9@dolphin.ocn.ne.jp"/>
    <s v="https://mdpink.maildealer.jp/wapi.php"/>
    <m/>
    <s v="814-0103"/>
    <s v="福岡県"/>
    <s v="福岡市城南区鳥飼4-17-1"/>
    <s v="ブランナールドゥワコー301"/>
    <m/>
    <s v="res_youtube"/>
    <d v="2023-09-0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875"/>
    <m/>
    <m/>
    <s v="注文履歴"/>
    <s v="配送履歴"/>
    <s v="大島久幸"/>
    <s v="おおしまひさゆき"/>
    <n v="9095827193"/>
    <s v="qbechehi@gmail.com"/>
    <s v="https://mdpink.maildealer.jp/wapi.php"/>
    <m/>
    <s v="812-0014"/>
    <s v="福岡県"/>
    <s v="福岡市博多区比恵町"/>
    <s v="17-12 サンシティ博多 902号"/>
    <m/>
    <s v="res_youtube"/>
    <d v="2023-09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872"/>
    <m/>
    <m/>
    <s v="注文履歴"/>
    <s v="配送履歴"/>
    <s v="藤原久美子"/>
    <s v="ふじわらくみこ"/>
    <n v="9083068014"/>
    <s v="purinmama@ezweb.ne.jp"/>
    <s v="https://mdpink.maildealer.jp/wapi.php"/>
    <m/>
    <s v="331-0823"/>
    <s v="埼玉県"/>
    <s v="さいたま市北区日進町"/>
    <s v="1-450-1-510"/>
    <m/>
    <s v="res_youtube"/>
    <d v="2023-09-0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780"/>
    <m/>
    <m/>
    <s v="注文履歴"/>
    <s v="配送履歴"/>
    <s v="野村昌利"/>
    <s v="のむらまさとし"/>
    <n v="9099556542"/>
    <s v="nomura.masatoshi9943@gmail.com"/>
    <s v="https://mdpink.maildealer.jp/wapi.php"/>
    <m/>
    <s v="251-0015"/>
    <s v="神奈川県"/>
    <s v="藤沢市川名"/>
    <s v="181-18 セントラルウイングイースト607"/>
    <m/>
    <s v="res_youtube"/>
    <d v="2023-09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707"/>
    <m/>
    <m/>
    <s v="注文履歴"/>
    <s v="配送履歴"/>
    <s v="臼杵千絵"/>
    <s v="うすきちえ"/>
    <n v="9023141330"/>
    <s v="morochie1016@gmail.com"/>
    <s v="https://mdpink.maildealer.jp/wapi.php"/>
    <m/>
    <s v="164-0012"/>
    <s v="東京都"/>
    <s v="中野区本町6-9-5"/>
    <s v="Apartmentナカナカ103"/>
    <m/>
    <s v="res_youtube"/>
    <d v="2023-09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552"/>
    <m/>
    <m/>
    <s v="注文履歴"/>
    <s v="配送履歴"/>
    <s v="市川智美"/>
    <s v="いちかわともみ"/>
    <n v="9058797957"/>
    <s v="kymo0926@gmail.com"/>
    <s v="https://mdpink.maildealer.jp/wapi.php"/>
    <m/>
    <s v="465-0077"/>
    <s v="愛知県"/>
    <s v="名古屋市名東区植園町"/>
    <s v="2-1-2-302"/>
    <m/>
    <s v="res_youtube"/>
    <d v="2023-09-07T00:00:00"/>
    <x v="3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480"/>
    <m/>
    <m/>
    <s v="注文履歴"/>
    <s v="配送履歴"/>
    <s v="太田敬子"/>
    <s v="おおたけいこ"/>
    <n v="9054085982"/>
    <s v="keiohta@ka2.so-net.ne.jp"/>
    <s v="https://mdpink.maildealer.jp/wapi.php"/>
    <m/>
    <s v="234-0054"/>
    <s v="神奈川県"/>
    <s v="横浜市港南区港南台"/>
    <s v="7-23-7"/>
    <m/>
    <s v="res_youtube"/>
    <d v="2023-09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413"/>
    <m/>
    <m/>
    <s v="注文履歴"/>
    <s v="配送履歴"/>
    <s v="林耕佑"/>
    <s v="はやしこうすけ"/>
    <n v="8065860997"/>
    <s v="k.dignoizeee@gmail.com"/>
    <s v="https://mdpink.maildealer.jp/wapi.php"/>
    <m/>
    <s v="182-0023"/>
    <s v="東京都"/>
    <s v="調布市"/>
    <s v="2-33-10マイキャッスル調布緑地公園304"/>
    <m/>
    <s v="res_youtube"/>
    <d v="2023-09-06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387"/>
    <m/>
    <m/>
    <s v="注文履歴"/>
    <s v="配送履歴"/>
    <s v="伊藤秀俊"/>
    <s v="いとうひでとし"/>
    <n v="9095475691"/>
    <s v="itotuhi8@gmail.com"/>
    <s v="https://mdpink.maildealer.jp/wapi.php"/>
    <m/>
    <s v="567-0010"/>
    <s v="大阪府"/>
    <s v="茨木市"/>
    <s v="山手台新町3-4-10"/>
    <m/>
    <s v="res_youtube"/>
    <d v="2023-09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50141"/>
    <m/>
    <m/>
    <s v="注文履歴"/>
    <s v="配送履歴"/>
    <s v="長谷川芳春"/>
    <s v="はせがわよしはる"/>
    <n v="9017628708"/>
    <s v="dchyfamily@amail.plala.or.jp"/>
    <s v="https://mdpink.maildealer.jp/wapi.php"/>
    <m/>
    <s v="329-0528"/>
    <s v="栃木県"/>
    <s v="河内郡上三川町"/>
    <s v="ユウキガ丘76-15"/>
    <m/>
    <s v="res_youtube"/>
    <d v="2023-09-0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9977"/>
    <m/>
    <m/>
    <s v="注文履歴"/>
    <s v="配送履歴"/>
    <s v="竹野弘展"/>
    <s v="たけのひろのぶ"/>
    <n v="648023215"/>
    <s v="aikiumeda2000@yahoo.co.jp"/>
    <s v="https://mdpink.maildealer.jp/wapi.php"/>
    <m/>
    <s v="530-0014"/>
    <s v="大阪府"/>
    <s v="大阪市北区"/>
    <s v="鶴野町2ー30"/>
    <m/>
    <s v="res_youtube"/>
    <d v="2023-09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9571"/>
    <m/>
    <m/>
    <s v="注文履歴"/>
    <s v="配送履歴"/>
    <s v="飯村康正"/>
    <s v="いいむらやすまさ"/>
    <n v="9069375314"/>
    <s v="y-iimura@msi.biglobe.ne.jp"/>
    <s v="https://mdpink.maildealer.jp/wapi.php"/>
    <m/>
    <s v="213-0011"/>
    <s v="神奈川県"/>
    <s v="川崎市高津区"/>
    <s v="久本1-3-4ロイヤルシーズン溝ノ口CASA602"/>
    <m/>
    <s v="money_forward2308"/>
    <d v="2023-08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9394"/>
    <m/>
    <m/>
    <s v="注文履歴"/>
    <s v="配送履歴"/>
    <s v="西部健二"/>
    <s v="にしぶけんじ"/>
    <n v="8041109142"/>
    <s v="knishibu@gmail.com"/>
    <s v="https://mdpink.maildealer.jp/wapi.php"/>
    <m/>
    <s v="460-0007"/>
    <s v="愛知県"/>
    <s v="名古屋市中区新栄"/>
    <s v="2-11-25 エルミタージュ新栄401号"/>
    <m/>
    <s v="res_youtube"/>
    <d v="2023-09-0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9277"/>
    <m/>
    <m/>
    <s v="注文履歴"/>
    <s v="配送履歴"/>
    <s v="山上麻理"/>
    <s v="やまがみまり"/>
    <n v="9083221436"/>
    <s v="rosesherry81@gmail.com"/>
    <s v="https://mdpink.maildealer.jp/wapi.php"/>
    <m/>
    <s v="231-0852"/>
    <s v="神奈川県"/>
    <s v="横浜市中区西竹之丸"/>
    <s v="113-1-304"/>
    <m/>
    <s v="res_youtube"/>
    <d v="2023-09-0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9215"/>
    <m/>
    <m/>
    <s v="注文履歴"/>
    <s v="配送履歴"/>
    <s v="朴泰秀"/>
    <s v="ぱくてす"/>
    <n v="8058632130"/>
    <s v="pts6742@gmail.com"/>
    <s v="https://mdpink.maildealer.jp/wapi.php"/>
    <m/>
    <s v="472-0053"/>
    <s v="愛知県"/>
    <s v="知立地南新地1丁目"/>
    <s v="11-2 リバティ長篠202"/>
    <m/>
    <s v="res_youtube"/>
    <d v="2023-09-03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8983"/>
    <m/>
    <m/>
    <s v="注文履歴"/>
    <s v="配送履歴"/>
    <s v="吉岡廣志"/>
    <s v="よしおかひろし"/>
    <n v="8062103029"/>
    <s v="hysu1641@gmail.com"/>
    <s v="https://mdpink.maildealer.jp/wapi.php"/>
    <m/>
    <s v="520-0025"/>
    <s v="滋賀県"/>
    <s v="大津市皇子が丘"/>
    <s v="2-10-25 大津マリー705"/>
    <m/>
    <s v="res_youtube"/>
    <d v="2023-08-26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8142"/>
    <m/>
    <m/>
    <s v="注文履歴"/>
    <s v="配送履歴"/>
    <s v="石橋智子"/>
    <s v="いしばしともこ"/>
    <n v="9096702521"/>
    <s v="ishibashitomoko14@gmail.com"/>
    <s v="https://mdpink.maildealer.jp/wapi.php"/>
    <m/>
    <s v="166-0013"/>
    <s v="東京都"/>
    <s v="杉並区堀ノ内"/>
    <s v="1-5-1 ハウスパーシモン201"/>
    <m/>
    <s v="res_youtube"/>
    <d v="2023-08-0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7948"/>
    <m/>
    <m/>
    <s v="注文履歴"/>
    <s v="配送履歴"/>
    <s v="岡村仁美"/>
    <s v="おかむらひとみ"/>
    <n v="9051530616"/>
    <s v="wkohi@docomo.ne.jp"/>
    <s v="https://mdpink.maildealer.jp/wapi.php"/>
    <m/>
    <s v="631-0001"/>
    <s v="奈良県"/>
    <s v="奈良市北登美ヶ丘"/>
    <d v="2004-09-10T00:00:00"/>
    <m/>
    <s v="res_youtube"/>
    <d v="2023-07-3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7842"/>
    <m/>
    <m/>
    <s v="注文履歴"/>
    <s v="配送履歴"/>
    <s v="花園さやか"/>
    <s v="はなぞのさやか"/>
    <n v="9071148378"/>
    <s v="c082887@yahoo.co.jp"/>
    <s v="https://mdpink.maildealer.jp/wapi.php"/>
    <m/>
    <s v="164-0014"/>
    <s v="東京都"/>
    <s v="中野区南台"/>
    <s v="5-17-28ハイムローゼ402"/>
    <m/>
    <m/>
    <d v="2023-07-2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7559"/>
    <m/>
    <m/>
    <s v="注文履歴"/>
    <s v="配送履歴"/>
    <s v="前中浩典"/>
    <s v="まえなかひろのり"/>
    <n v="462326806"/>
    <s v="zensan9320@icloud.com"/>
    <s v="https://mdpink.maildealer.jp/wapi.php"/>
    <m/>
    <s v="243-0401"/>
    <s v="神奈川県"/>
    <s v="海老名市東柏ケ谷"/>
    <s v="6-23-20-631"/>
    <m/>
    <s v="youtube_hamamoto_book"/>
    <d v="2023-07-0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7514"/>
    <m/>
    <m/>
    <s v="注文履歴"/>
    <s v="配送履歴"/>
    <s v="真田ひろみ"/>
    <s v="さなだひろみ"/>
    <n v="9021273412"/>
    <s v="mmm.820ami.cutenainainai@gmail.com"/>
    <s v="https://mdpink.maildealer.jp/wapi.php"/>
    <m/>
    <s v="929-0124"/>
    <s v="石川県"/>
    <s v="能美市浜町"/>
    <s v="リ69番地2"/>
    <m/>
    <s v="youtube_hamamoto_book"/>
    <d v="2023-07-0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7315"/>
    <m/>
    <m/>
    <s v="注文履歴"/>
    <s v="配送履歴"/>
    <s v="越後和正"/>
    <s v="えちごかずまさ"/>
    <n v="9021262201"/>
    <s v="wech713@gmail.com"/>
    <s v="https://mdpink.maildealer.jp/wapi.php"/>
    <m/>
    <s v="920-0811"/>
    <s v="石川県"/>
    <s v="金沢市小坂町西49"/>
    <s v="第2パークハイム城北201"/>
    <m/>
    <s v="youtube_hamamoto_book"/>
    <d v="2023-07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7104"/>
    <m/>
    <m/>
    <s v="注文履歴"/>
    <s v="配送履歴"/>
    <s v="近藤年昭"/>
    <s v="こんどうとしあき"/>
    <n v="9064911214"/>
    <s v="wine_nomisugi@icloud.com"/>
    <s v="https://mdpink.maildealer.jp/wapi.php"/>
    <m/>
    <s v="152-0003"/>
    <s v="東京都"/>
    <s v="目黒区"/>
    <s v="碑文谷4-6-9-306"/>
    <m/>
    <s v="res_youtube"/>
    <d v="2023-07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6792"/>
    <m/>
    <m/>
    <s v="注文履歴"/>
    <s v="配送履歴"/>
    <s v="樋口博之"/>
    <s v="ひぐちひろゆき"/>
    <n v="9098135707"/>
    <s v="hirop.ip@gmail.com"/>
    <s v="https://mdpink.maildealer.jp/wapi.php"/>
    <m/>
    <s v="192-0375"/>
    <s v="東京都"/>
    <s v="八王子市鑓水2丁目"/>
    <s v="82-1-801"/>
    <m/>
    <s v="res_youtube"/>
    <d v="2023-07-18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6739"/>
    <m/>
    <m/>
    <s v="注文履歴"/>
    <s v="配送履歴"/>
    <s v="酒田三栄子"/>
    <s v="さかたみえこ"/>
    <n v="9048011324"/>
    <s v="mieko7511@gmail.com"/>
    <s v="https://mdpink.maildealer.jp/wapi.php"/>
    <m/>
    <s v="683-0804"/>
    <s v="鳥取県"/>
    <s v="米子市"/>
    <s v="米原2-9-9"/>
    <m/>
    <s v="res_youtube"/>
    <d v="2023-07-17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6580"/>
    <m/>
    <m/>
    <s v="注文履歴"/>
    <s v="配送履歴"/>
    <s v="加納宏行"/>
    <s v="かのうひろゆき"/>
    <n v="9089534350"/>
    <s v="possible750@yahoo.co.jp"/>
    <s v="https://mdpink.maildealer.jp/wapi.php"/>
    <m/>
    <s v="509-0252"/>
    <s v="岐阜県"/>
    <s v="可児市矢戸"/>
    <s v="1445-29"/>
    <m/>
    <s v="res_youtube"/>
    <d v="2023-07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6325"/>
    <m/>
    <m/>
    <s v="注文履歴"/>
    <s v="配送履歴"/>
    <s v="安達航平"/>
    <s v="あだちこうへい"/>
    <n v="9073945376"/>
    <s v="k.ka.0329@icloud.com"/>
    <s v="https://mdpink.maildealer.jp/wapi.php"/>
    <m/>
    <s v="812-0016"/>
    <s v="福岡県"/>
    <s v="福岡市博多区博多駅南"/>
    <s v="3丁目"/>
    <m/>
    <s v="res_youtube"/>
    <d v="2023-07-13T00:00:00"/>
    <x v="6"/>
    <d v="2025-04-20T00:00:00"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6230"/>
    <m/>
    <m/>
    <s v="注文履歴"/>
    <s v="配送履歴"/>
    <s v="小澤栄二"/>
    <s v="おざわえいじ"/>
    <n v="9016835256"/>
    <s v="haichan766@gmail.com"/>
    <s v="https://mdpink.maildealer.jp/wapi.php"/>
    <m/>
    <s v="692-0017"/>
    <s v="島根県"/>
    <s v="安来市"/>
    <s v="下坂田町61-17"/>
    <m/>
    <s v="res_youtube"/>
    <d v="2023-07-1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5916"/>
    <m/>
    <m/>
    <s v="注文履歴"/>
    <s v="配送履歴"/>
    <s v="簾内淑恵"/>
    <s v="すのうちよしえ"/>
    <n v="9081877120"/>
    <s v="yoshie.khbar@icloud.com"/>
    <s v="https://mdpink.maildealer.jp/wapi.php"/>
    <m/>
    <s v="354-0034"/>
    <s v="埼玉県"/>
    <s v="富士見上沢"/>
    <d v="2002-08-20T00:00:00"/>
    <m/>
    <s v="res_youtube"/>
    <d v="2023-07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5814"/>
    <m/>
    <m/>
    <s v="注文履歴"/>
    <s v="配送履歴"/>
    <s v="船本全信"/>
    <s v="ふなもとまさのぶ"/>
    <n v="9058960194"/>
    <s v="funamoto@funacli.or.jp"/>
    <s v="https://mdpink.maildealer.jp/wapi.php"/>
    <m/>
    <s v="663-8165"/>
    <s v="兵庫県"/>
    <s v="西宮市甲子園浦風町"/>
    <d v="2025-07-13T00:00:00"/>
    <m/>
    <s v="res_youtube"/>
    <d v="2023-07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5636"/>
    <m/>
    <m/>
    <s v="注文履歴"/>
    <s v="配送履歴"/>
    <s v="江上美好"/>
    <s v="えがみみよし"/>
    <n v="9042615844"/>
    <s v="egami1008@gmail.com"/>
    <s v="https://mdpink.maildealer.jp/wapi.php"/>
    <m/>
    <s v="490-1405"/>
    <s v="愛知県"/>
    <s v="弥富市神戸"/>
    <n v="54"/>
    <m/>
    <s v="res_youtube"/>
    <d v="2023-07-01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5537"/>
    <m/>
    <m/>
    <s v="注文履歴"/>
    <s v="配送履歴"/>
    <s v="槙平和騎"/>
    <s v="まきひらかずき"/>
    <n v="9020004802"/>
    <s v="maki.kazu2@gmail.com"/>
    <s v="https://mdpink.maildealer.jp/wapi.php"/>
    <m/>
    <s v="819-0006"/>
    <s v="福岡県"/>
    <s v="福岡市西区姪浜駅南"/>
    <s v="4-16-22 ラプラージュ姪浜504"/>
    <m/>
    <s v="res_youtube"/>
    <d v="2023-06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5088"/>
    <m/>
    <m/>
    <s v="注文履歴"/>
    <s v="配送履歴"/>
    <s v="山田晶美"/>
    <s v="やまだあきみ"/>
    <n v="9068093957"/>
    <s v="a-yellow.h-mint.0728-03@docomo.ne.jp"/>
    <s v="https://mdpink.maildealer.jp/wapi.php"/>
    <m/>
    <s v="426-0087"/>
    <s v="静岡県"/>
    <s v="藤枝市音羽町3丁目"/>
    <s v="23-13 リラフォート102号"/>
    <m/>
    <s v="res_youtube"/>
    <d v="2023-06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5078"/>
    <m/>
    <m/>
    <s v="注文履歴"/>
    <s v="配送履歴"/>
    <s v="河嶋弥栄子"/>
    <s v="かわしまやえこ"/>
    <n v="7013633535"/>
    <s v="yako_1127@yahoo.co.jp"/>
    <s v="https://mdpink.maildealer.jp/wapi.php"/>
    <m/>
    <s v="311-2423"/>
    <s v="茨城県"/>
    <s v="潮来市"/>
    <s v="日ノ出2-25-16"/>
    <m/>
    <s v="res_youtube"/>
    <d v="2023-06-2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4986"/>
    <m/>
    <m/>
    <s v="注文履歴"/>
    <s v="配送履歴"/>
    <s v="川瀬一広"/>
    <s v="かわせかずひろ"/>
    <n v="9061735048"/>
    <s v="Magome3zun@gmail.com"/>
    <s v="https://mdpink.maildealer.jp/wapi.php"/>
    <m/>
    <n v="9061735048"/>
    <s v="東京都"/>
    <s v="目黒区"/>
    <s v="下目黒1-1-10プリヴェール目黒行人坂304"/>
    <m/>
    <s v="res_youtube"/>
    <d v="2023-06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4384"/>
    <m/>
    <m/>
    <s v="注文履歴"/>
    <s v="配送履歴"/>
    <s v="富永敬子"/>
    <s v="とみながけいこ"/>
    <n v="8010566534"/>
    <s v="cozyscents01@gmail.com"/>
    <s v="https://mdpink.maildealer.jp/wapi.php"/>
    <m/>
    <s v="103-0027"/>
    <s v="東京都"/>
    <s v="中央区日本橋"/>
    <s v="1-18-9ガーラ日本橋1丁目801"/>
    <m/>
    <s v="youtube_hamamoto_book"/>
    <d v="2023-05-2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4315"/>
    <m/>
    <m/>
    <s v="注文履歴"/>
    <s v="配送履歴"/>
    <s v="内堀壽典"/>
    <s v="うちぼりひさのり"/>
    <n v="9071030135"/>
    <s v="hi_takatuki@yahoo.co.jp"/>
    <s v="https://mdpink.maildealer.jp/wapi.php"/>
    <m/>
    <s v="274-0818"/>
    <s v="千葉県"/>
    <s v="船橋市緑台"/>
    <s v="1-1-72"/>
    <m/>
    <s v="youtube_hamamoto_book"/>
    <d v="2023-05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4277"/>
    <m/>
    <m/>
    <s v="注文履歴"/>
    <s v="配送履歴"/>
    <s v="水谷猛"/>
    <s v="みずたにたけし"/>
    <n v="8035804384"/>
    <s v="clubmin3@gmail.com"/>
    <s v="https://mdpink.maildealer.jp/wapi.php"/>
    <m/>
    <s v="615-0922"/>
    <s v="京都府"/>
    <s v="京都市右京区梅津前田町"/>
    <s v="60-16"/>
    <m/>
    <s v="youtube_hamamoto_book"/>
    <d v="2023-05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4248"/>
    <m/>
    <m/>
    <s v="注文履歴"/>
    <s v="配送履歴"/>
    <s v="新海裕慎"/>
    <s v="しんかいやすのり"/>
    <n v="8036590425"/>
    <s v="tom.chan.ron.voka@gmail.com"/>
    <s v="https://mdpink.maildealer.jp/wapi.php"/>
    <m/>
    <s v="475-0828"/>
    <s v="愛知県"/>
    <s v="半田市瑞穂町"/>
    <d v="2008-05-26T00:00:00"/>
    <m/>
    <s v="youtube_hamamoto_book"/>
    <d v="2023-05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4133"/>
    <m/>
    <m/>
    <s v="注文履歴"/>
    <s v="配送履歴"/>
    <s v="八橋康則"/>
    <s v="やはしやすのり"/>
    <n v="9043672708"/>
    <s v="yassy210y@sk9.so-net.ne.jp"/>
    <s v="https://mdpink.maildealer.jp/wapi.php"/>
    <m/>
    <s v="272-0034"/>
    <s v="千葉県"/>
    <s v="市川市"/>
    <s v="市川1-15-18プラウド市川マークス1401"/>
    <m/>
    <s v="youtube_hamamoto_book"/>
    <d v="2023-05-3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3792"/>
    <m/>
    <m/>
    <s v="注文履歴"/>
    <s v="配送履歴"/>
    <s v="北原正彦"/>
    <s v="きたはらまさひこ"/>
    <n v="9088469982"/>
    <s v="ka877500@gmail.com"/>
    <s v="https://mdpink.maildealer.jp/wapi.php"/>
    <m/>
    <s v="949-5411"/>
    <s v="新潟県"/>
    <s v="長岡市来迎寺"/>
    <d v="1996-01-01T00:00:00"/>
    <m/>
    <s v="youtube_hamamoto_book"/>
    <d v="2023-06-0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3509"/>
    <m/>
    <m/>
    <s v="注文履歴"/>
    <s v="配送履歴"/>
    <s v="郡司文夫"/>
    <s v="ぐんじふみお"/>
    <n v="8054428492"/>
    <s v="giocodue@gmail.com"/>
    <s v="https://mdpink.maildealer.jp/wapi.php"/>
    <m/>
    <s v="285-0845"/>
    <s v="千葉県"/>
    <s v="佐倉市"/>
    <s v="西志津1-17ブライトアベニュー志津第一 5-205"/>
    <m/>
    <s v="k_book"/>
    <d v="2023-06-1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3307"/>
    <m/>
    <m/>
    <s v="注文履歴"/>
    <s v="配送履歴"/>
    <s v="小串真司"/>
    <s v="おぐししんじ"/>
    <n v="9050508307"/>
    <s v="dengluyongmerumaga@gmail.com"/>
    <s v="https://mdpink.maildealer.jp/wapi.php"/>
    <m/>
    <s v="529-1431"/>
    <s v="滋賀県"/>
    <s v="東近江市五個荘山本町"/>
    <n v="83"/>
    <m/>
    <s v="res_youtube_mrk"/>
    <d v="2023-06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3206"/>
    <m/>
    <m/>
    <s v="注文履歴"/>
    <s v="配送履歴"/>
    <s v="大村建介"/>
    <s v="おおむらけんすけ"/>
    <n v="9038318346"/>
    <s v="egaodelink@gmail.com"/>
    <s v="https://mdpink.maildealer.jp/wapi.php"/>
    <m/>
    <s v="444-0864"/>
    <s v="愛知県"/>
    <s v="岡崎市明大寺町"/>
    <s v="字義路45番地"/>
    <m/>
    <s v="res_youtube_mrk"/>
    <d v="2023-06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3097"/>
    <m/>
    <m/>
    <s v="注文履歴"/>
    <s v="配送履歴"/>
    <s v="定光紀明"/>
    <s v="さだみつのりあき"/>
    <n v="9051454846"/>
    <s v="n-sada@nifty.ne.jp"/>
    <s v="https://mdpink.maildealer.jp/wapi.php"/>
    <m/>
    <s v="792-0032"/>
    <s v="愛媛県"/>
    <s v="新居浜市政枝町"/>
    <s v="1-4-10-201"/>
    <m/>
    <s v="res_youtube_mrk"/>
    <d v="2023-06-07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3062"/>
    <m/>
    <m/>
    <s v="注文履歴"/>
    <s v="配送履歴"/>
    <s v="森本一希"/>
    <s v="もりもとかずき"/>
    <n v="9095098323"/>
    <s v="triple.trees.kazu@gmail.com"/>
    <s v="https://mdpink.maildealer.jp/wapi.php"/>
    <m/>
    <s v="630-0254"/>
    <s v="奈良県"/>
    <s v="生駒市東旭ヶ丘"/>
    <s v="1-9ー305"/>
    <m/>
    <s v="res_youtube_mrk"/>
    <d v="2023-06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892"/>
    <m/>
    <m/>
    <s v="注文履歴"/>
    <s v="配送履歴"/>
    <s v="陣内洋樹"/>
    <s v="じんのうちひろき"/>
    <n v="9041357434"/>
    <s v="jinnouchi516@gmail.com"/>
    <s v="https://mdpink.maildealer.jp/wapi.php"/>
    <m/>
    <s v="243-0005"/>
    <s v="神奈川県"/>
    <s v="厚木市"/>
    <s v="松枝1-4-2レックスハイツ本厚木307"/>
    <m/>
    <s v="res_youtube_mrk"/>
    <d v="2023-06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880"/>
    <m/>
    <m/>
    <s v="注文履歴"/>
    <s v="配送履歴"/>
    <s v="田中康之"/>
    <s v="たなかやすゆき"/>
    <n v="9030445700"/>
    <s v="yasu.t0511@gmail.com"/>
    <s v="https://mdpink.maildealer.jp/wapi.php"/>
    <m/>
    <s v="167-0042"/>
    <s v="東京都"/>
    <s v="杉並区西荻北"/>
    <s v="2-7-2-305"/>
    <m/>
    <s v="res_youtube_mrk"/>
    <d v="2023-06-0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862"/>
    <m/>
    <m/>
    <s v="注文履歴"/>
    <s v="配送履歴"/>
    <s v="前田啓之"/>
    <s v="まえだひろゆき"/>
    <n v="9098274158"/>
    <s v="darumataishi858-net@yahoo.co.jp"/>
    <s v="https://mdpink.maildealer.jp/wapi.php"/>
    <m/>
    <s v="178-0063"/>
    <s v="東京都"/>
    <s v="練馬区　東大泉5丁目"/>
    <d v="2025-05-18T00:00:00"/>
    <m/>
    <s v="res_youtube_mrk"/>
    <d v="2023-06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704"/>
    <m/>
    <m/>
    <s v="注文履歴"/>
    <s v="配送履歴"/>
    <s v="佐野かおる"/>
    <s v="さのかおる"/>
    <n v="9061811029"/>
    <s v="s_kaoru812@yahoo.co.jp"/>
    <s v="https://mdpink.maildealer.jp/wapi.php"/>
    <m/>
    <s v="236-0033"/>
    <s v="神奈川県"/>
    <s v="横浜市金沢区東朝比奈"/>
    <s v="2-2-35-602"/>
    <m/>
    <s v="res_youtube_mrk"/>
    <d v="2023-06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684"/>
    <m/>
    <m/>
    <s v="注文履歴"/>
    <s v="配送履歴"/>
    <s v="高橋宏明"/>
    <s v="たかはしひろあき"/>
    <n v="8028163745"/>
    <s v="cs.montmorillonite@gmail.com"/>
    <s v="https://mdpink.maildealer.jp/wapi.php"/>
    <m/>
    <s v="277-0871"/>
    <s v="千葉県"/>
    <s v="柏市"/>
    <s v="若柴276-1サウスマークタワー2802"/>
    <m/>
    <s v="res_youtube_mrk"/>
    <d v="2023-06-0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662"/>
    <m/>
    <m/>
    <s v="注文履歴"/>
    <s v="配送履歴"/>
    <s v="金子清貴"/>
    <s v="かねこきよたか"/>
    <n v="9060765027"/>
    <s v="kiyotaka25m@gmail.com"/>
    <s v="https://mdpink.maildealer.jp/wapi.php"/>
    <m/>
    <s v="710-0824"/>
    <s v="岡山県"/>
    <s v="倉敷市"/>
    <s v="白楽町300-13"/>
    <m/>
    <s v="res_youtube_mrk"/>
    <d v="2023-06-08T00:00:00"/>
    <x v="4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587"/>
    <m/>
    <m/>
    <s v="注文履歴"/>
    <s v="配送履歴"/>
    <s v="三村憲一"/>
    <s v="みむらけんいち"/>
    <n v="9094156019"/>
    <s v="saekimon@hotmail.com"/>
    <s v="https://mdpink.maildealer.jp/wapi.php"/>
    <m/>
    <s v="680-0831"/>
    <s v="鳥取県"/>
    <s v="鳥取市栄町"/>
    <s v="313-12 カサ・リコ栄町606"/>
    <m/>
    <s v="res_youtube_mrk"/>
    <d v="2023-06-08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446"/>
    <m/>
    <s v="ID重複用"/>
    <s v="注文履歴"/>
    <s v="配送履歴"/>
    <s v="佐藤信輔"/>
    <s v="さとうしんすけ"/>
    <n v="8030887198"/>
    <s v="sato@highvolume.co.jp"/>
    <s v="https://mdpink.maildealer.jp/wapi.php"/>
    <m/>
    <s v="151-0053"/>
    <s v="東京都"/>
    <s v="渋谷区"/>
    <s v="代々木1丁目21番16号 アジリア403"/>
    <m/>
    <s v="res_youtube_mrk"/>
    <d v="2023-06-0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408"/>
    <m/>
    <m/>
    <s v="注文履歴"/>
    <s v="配送履歴"/>
    <s v="濵地尊"/>
    <s v="はまぢたかし"/>
    <n v="9037049975"/>
    <s v="golfsuki72@gmail.com"/>
    <s v="https://mdpink.maildealer.jp/wapi.php"/>
    <m/>
    <s v="562-0001"/>
    <s v="大阪府"/>
    <s v="箕面市"/>
    <s v="箕面4-2-15"/>
    <m/>
    <s v="res_youtube_mrk"/>
    <d v="2023-06-0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364"/>
    <m/>
    <m/>
    <s v="注文履歴"/>
    <s v="配送履歴"/>
    <s v="吉田妙子"/>
    <s v="よしだたえこ"/>
    <n v="9083987728"/>
    <s v="himawari55577@gmail.com"/>
    <s v="https://mdpink.maildealer.jp/wapi.php"/>
    <m/>
    <s v="811-2303"/>
    <s v="福岡県"/>
    <s v="粕屋町"/>
    <s v="酒殿1-4-24"/>
    <m/>
    <s v="res_youtube_mrk"/>
    <d v="2023-06-09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362"/>
    <m/>
    <m/>
    <s v="注文履歴"/>
    <s v="配送履歴"/>
    <s v="山本純子"/>
    <s v="やまもとじゅんこ"/>
    <n v="9047924596"/>
    <s v="jukym2t218@gmail.com"/>
    <s v="https://mdpink.maildealer.jp/wapi.php"/>
    <m/>
    <s v="419-0123"/>
    <s v="静岡県"/>
    <s v="田方郡函南町間宮"/>
    <s v="865-10"/>
    <m/>
    <s v="res_youtube_mrk"/>
    <d v="2023-06-0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359"/>
    <m/>
    <m/>
    <s v="注文履歴"/>
    <s v="配送履歴"/>
    <s v="篠塚ともこ"/>
    <s v="しのづかともこ"/>
    <n v="9053293309"/>
    <s v="nezun1951@gmail.com"/>
    <s v="https://mdpink.maildealer.jp/wapi.php"/>
    <m/>
    <s v="182-0002"/>
    <s v="東京都"/>
    <s v="調布市仙川町"/>
    <s v="1-15-58 ネーズンビル4階"/>
    <m/>
    <s v="res_youtube_mrk"/>
    <d v="2023-06-0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340"/>
    <m/>
    <m/>
    <s v="注文履歴"/>
    <s v="配送履歴"/>
    <s v="林昌宏"/>
    <s v="はやしまさひろ"/>
    <n v="9055633125"/>
    <s v="mars.jupiter.fam@gmail.com"/>
    <s v="https://mdpink.maildealer.jp/wapi.php"/>
    <m/>
    <s v="275-0026"/>
    <s v="千葉県"/>
    <s v="習志野市谷津"/>
    <s v="1-15-22-4203"/>
    <m/>
    <s v="res_youtube_mrk"/>
    <d v="2023-06-0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238"/>
    <m/>
    <m/>
    <s v="注文履歴"/>
    <s v="配送履歴"/>
    <s v="小川直記"/>
    <s v="おがわなおき"/>
    <n v="9099462432"/>
    <s v="namihei1167@gmail.com"/>
    <s v="https://mdpink.maildealer.jp/wapi.php"/>
    <m/>
    <s v="501-0122"/>
    <s v="岐阜県"/>
    <s v="岐阜市江崎南"/>
    <d v="2025-09-11T00:00:00"/>
    <m/>
    <s v="res_youtube_mrk"/>
    <d v="2023-06-09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197"/>
    <m/>
    <m/>
    <s v="注文履歴"/>
    <s v="配送履歴"/>
    <s v="尾村泰裕"/>
    <s v="おむらやすひろ"/>
    <n v="9034634545"/>
    <s v="yattin77@icloud.com"/>
    <s v="https://mdpink.maildealer.jp/wapi.php"/>
    <m/>
    <s v="893-0061"/>
    <s v="鹿児島県"/>
    <s v="鹿屋市上谷町"/>
    <s v="13682-2"/>
    <m/>
    <s v="res_youtube_mrk"/>
    <d v="2023-06-1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185"/>
    <m/>
    <m/>
    <s v="注文履歴"/>
    <s v="配送履歴"/>
    <s v="濱崎雅子"/>
    <s v="はまざきまさこ"/>
    <n v="9057158431"/>
    <s v="nano873n@gmail.com"/>
    <s v="https://mdpink.maildealer.jp/wapi.php"/>
    <m/>
    <s v="273-0066"/>
    <s v="神奈川県"/>
    <s v="横須賀市湘南鷹取"/>
    <s v="5-45-53"/>
    <m/>
    <s v="res_youtube_mrk"/>
    <d v="2023-06-1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2005"/>
    <m/>
    <m/>
    <s v="注文履歴"/>
    <s v="配送履歴"/>
    <s v="橋本孝弘"/>
    <s v="はしもとたかひろ"/>
    <n v="9056517624"/>
    <s v="nankaitaka0117@gmail.com"/>
    <s v="https://mdpink.maildealer.jp/wapi.php"/>
    <m/>
    <s v="591-8025"/>
    <s v="大阪府"/>
    <s v="堺市北区長曽根町"/>
    <s v="609-7"/>
    <m/>
    <s v="res_youtube_mrk"/>
    <d v="2023-06-1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996"/>
    <m/>
    <m/>
    <s v="注文履歴"/>
    <s v="配送履歴"/>
    <s v="大城光二"/>
    <s v="おおきこうじ"/>
    <n v="8054848533"/>
    <s v="k.ohki1983@gmail.com"/>
    <s v="https://mdpink.maildealer.jp/wapi.php"/>
    <m/>
    <s v="220-0012"/>
    <s v="神奈川県"/>
    <s v="横浜市西区みなとみらい"/>
    <s v="4-9-2 D1512"/>
    <m/>
    <s v="res_youtube_mrk"/>
    <d v="2023-06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972"/>
    <m/>
    <m/>
    <s v="注文履歴"/>
    <s v="配送履歴"/>
    <s v="阿久津豊"/>
    <s v="あくつゆたか"/>
    <n v="9089458318"/>
    <s v="yutakakutsu@gmail.com"/>
    <s v="https://mdpink.maildealer.jp/wapi.php"/>
    <m/>
    <s v="211-0016"/>
    <s v="神奈川県"/>
    <s v="川崎市中原区市ノ坪"/>
    <s v="410-31パークスクエア武蔵小杉402"/>
    <m/>
    <s v="res_youtube_mrk"/>
    <d v="2023-06-1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922"/>
    <m/>
    <m/>
    <s v="注文履歴"/>
    <s v="配送履歴"/>
    <s v="森下和樹"/>
    <s v="もりしたかずき"/>
    <n v="9072324231"/>
    <s v="kazuki.m.1210@gmail.com"/>
    <s v="https://mdpink.maildealer.jp/wapi.php"/>
    <m/>
    <s v="216-0002"/>
    <s v="神奈川県"/>
    <s v="川崎市宮前区東有馬"/>
    <s v="4-21-14-4"/>
    <m/>
    <s v="res_youtube_mrk"/>
    <d v="2023-06-10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904"/>
    <m/>
    <m/>
    <s v="注文履歴"/>
    <s v="配送履歴"/>
    <s v="高槁純子"/>
    <s v="たかはしじゅんこ"/>
    <n v="9074175411"/>
    <s v="disneyjunco@gmail.com"/>
    <s v="https://mdpink.maildealer.jp/wapi.php"/>
    <m/>
    <s v="409-1502"/>
    <s v="山梨県"/>
    <s v="北杜市大泉町谷戸"/>
    <d v="1989-02-01T00:00:00"/>
    <m/>
    <s v="res_youtube_mrk"/>
    <d v="2023-06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671"/>
    <m/>
    <m/>
    <s v="注文履歴"/>
    <s v="配送履歴"/>
    <s v="藤崎比佐衣"/>
    <s v="ふじさきひさよ"/>
    <n v="487261360"/>
    <s v="bienemajagogo@yahoo.co.jp"/>
    <s v="https://mdpink.maildealer.jp/wapi.php"/>
    <m/>
    <s v="362-0047"/>
    <s v="埼玉県"/>
    <s v="上尾市今泉"/>
    <s v="352-11"/>
    <m/>
    <s v="res_youtube_mrk"/>
    <d v="2023-06-1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588"/>
    <m/>
    <m/>
    <s v="注文履歴"/>
    <s v="配送履歴"/>
    <s v="久田松祐子"/>
    <s v="くだまつゆうこ"/>
    <n v="9068980465"/>
    <s v="yuko.famik@icloud.com"/>
    <s v="https://mdpink.maildealer.jp/wapi.php"/>
    <m/>
    <s v="859-3715"/>
    <s v="長崎県"/>
    <s v="東彼杵郡波佐見町"/>
    <s v="宿郷3-1"/>
    <m/>
    <s v="res_youtube_mrk"/>
    <d v="2023-06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450"/>
    <m/>
    <m/>
    <s v="注文履歴"/>
    <s v="配送履歴"/>
    <s v="井田牧子"/>
    <s v="いだまきこ"/>
    <n v="8050211290"/>
    <s v="makiron-ida1226@outlook.jp"/>
    <s v="https://mdpink.maildealer.jp/wapi.php"/>
    <m/>
    <s v="271-0064"/>
    <s v="千葉県"/>
    <s v="松戸市上本郷"/>
    <s v="2246-10ディアハイム北松戸304"/>
    <m/>
    <s v="jim_opt"/>
    <d v="2023-06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432"/>
    <m/>
    <m/>
    <s v="注文履歴"/>
    <s v="配送履歴"/>
    <s v="宮沢暁"/>
    <s v="みやざわぎょう"/>
    <n v="9057506461"/>
    <s v="midnight117.1182@gmail.com"/>
    <s v="https://mdpink.maildealer.jp/wapi.php"/>
    <m/>
    <s v="520-2141"/>
    <s v="滋賀県"/>
    <s v="大津市"/>
    <s v="大江8丁目479-1 グレースコーポⅢ 201"/>
    <m/>
    <m/>
    <d v="2023-06-13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429"/>
    <m/>
    <m/>
    <s v="注文履歴"/>
    <s v="配送履歴"/>
    <s v="柏葉京子"/>
    <s v="かしわばけいこ"/>
    <n v="448886268"/>
    <s v="izako@aria.ocn.ne.jp"/>
    <s v="https://mdpink.maildealer.jp/wapi.php"/>
    <m/>
    <s v="216-0023"/>
    <s v="神奈川県"/>
    <s v="川崎市"/>
    <s v="宮前区ケヤキ平, 1-10-501"/>
    <m/>
    <s v="res_youtube_mrk"/>
    <d v="2023-06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389"/>
    <m/>
    <m/>
    <s v="注文履歴"/>
    <s v="配送履歴"/>
    <s v="尾田知之"/>
    <s v="おだともゆき"/>
    <n v="9052474180"/>
    <s v="tmykoda@yahoo.co.jp"/>
    <s v="https://mdpink.maildealer.jp/wapi.php"/>
    <m/>
    <s v="659-0013"/>
    <s v="兵庫県"/>
    <s v="芦屋市岩園町"/>
    <s v="23-37"/>
    <m/>
    <s v="res_youtube_mrk"/>
    <d v="2023-06-1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385"/>
    <m/>
    <m/>
    <s v="注文履歴"/>
    <s v="配送履歴"/>
    <s v="樋田栄一"/>
    <s v="ひだえいいち"/>
    <n v="9087300035"/>
    <s v="greenecho@nifty.com"/>
    <s v="https://mdpink.maildealer.jp/wapi.php"/>
    <m/>
    <s v="466-0812"/>
    <s v="愛知県"/>
    <s v="名古屋市昭和区八事富士見"/>
    <n v="916"/>
    <m/>
    <s v="res_youtube"/>
    <d v="2023-06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352"/>
    <m/>
    <m/>
    <s v="注文履歴"/>
    <s v="配送履歴"/>
    <s v="三好陽子"/>
    <s v="みよしようこ"/>
    <n v="9033753392"/>
    <s v="hochi@hotmail.co.jp"/>
    <s v="https://mdpink.maildealer.jp/wapi.php"/>
    <m/>
    <s v="730-0813"/>
    <s v="広島県"/>
    <s v="広島市中区住吉町"/>
    <s v="8-14-402"/>
    <m/>
    <s v="res_youtube_mrk"/>
    <d v="2023-06-1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302"/>
    <m/>
    <m/>
    <s v="注文履歴"/>
    <s v="配送履歴"/>
    <s v="成瀬温子"/>
    <s v="なるせあつこ"/>
    <n v="9091781734"/>
    <s v="a.ti.ko.0827@gmail.com"/>
    <s v="https://mdpink.maildealer.jp/wapi.php"/>
    <m/>
    <s v="444-0864"/>
    <s v="愛知県"/>
    <s v="岡崎市明大寺町"/>
    <s v="字池下60番地 ミッドシティイクシア東岡崎203号"/>
    <m/>
    <s v="jim_opt"/>
    <d v="2023-06-12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71"/>
    <m/>
    <m/>
    <s v="注文履歴"/>
    <s v="配送履歴"/>
    <s v="古賀若菜"/>
    <s v="こがわかな"/>
    <n v="9084169517"/>
    <s v="fujityaku830813@outlook.jp"/>
    <s v="https://mdpink.maildealer.jp/wapi.php"/>
    <m/>
    <s v="813-0043"/>
    <s v="福岡県"/>
    <s v="福岡市東区名島"/>
    <d v="2005-07-16T00:00:00"/>
    <m/>
    <m/>
    <d v="2023-06-11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64"/>
    <m/>
    <m/>
    <s v="注文履歴"/>
    <s v="配送履歴"/>
    <s v="末永真也"/>
    <s v="すえながしんや"/>
    <n v="9043183797"/>
    <s v="s.suenaga19703@gmail.com"/>
    <s v="https://mdpink.maildealer.jp/wapi.php"/>
    <m/>
    <s v="987-0511"/>
    <s v="宮城県"/>
    <s v="登米市迫町佐沼字鉄砲丁"/>
    <s v="47番地2"/>
    <m/>
    <s v="res_youtube_mrk"/>
    <d v="2023-06-11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55"/>
    <m/>
    <m/>
    <s v="注文履歴"/>
    <s v="配送履歴"/>
    <s v="前田ゆかり"/>
    <s v="まえだゆかり"/>
    <n v="9081423749"/>
    <s v="ringopaimy@gmail.com"/>
    <s v="https://mdpink.maildealer.jp/wapi.php"/>
    <m/>
    <s v="590-0443"/>
    <s v="大阪府"/>
    <s v="泉南郡熊取町つばさが丘西"/>
    <d v="2001-03-07T00:00:00"/>
    <m/>
    <s v="res_youtube_mrk"/>
    <d v="2023-06-11T00:00:00"/>
    <x v="0"/>
    <d v="2025-08-20T00:00:00"/>
    <n v="114300"/>
    <m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48"/>
    <m/>
    <m/>
    <s v="注文履歴"/>
    <s v="配送履歴"/>
    <s v="石井明憲"/>
    <s v="いしいあきのり"/>
    <n v="9033723712"/>
    <s v="cute.3521.paradise@docomo.ne.jp"/>
    <s v="https://mdpink.maildealer.jp/wapi.php"/>
    <m/>
    <s v="720-0811"/>
    <s v="広島県"/>
    <s v="広島市南区段原2丁目13-16"/>
    <s v="プレリュード段原901"/>
    <m/>
    <s v="res_youtube_mrk"/>
    <d v="2023-06-11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39"/>
    <m/>
    <m/>
    <s v="注文履歴"/>
    <s v="配送履歴"/>
    <s v="北井孝彦"/>
    <s v="きたいたかひこ"/>
    <n v="9039908836"/>
    <s v="amenokoyanekita@m7.gyao.ne.jp"/>
    <s v="https://mdpink.maildealer.jp/wapi.php"/>
    <m/>
    <s v="579-8027"/>
    <s v="大阪府"/>
    <s v="東大阪市東山町"/>
    <s v="18-20"/>
    <m/>
    <m/>
    <d v="2023-06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36"/>
    <m/>
    <m/>
    <s v="注文履歴"/>
    <s v="配送履歴"/>
    <s v="神保俊哉"/>
    <s v="じんぼとしや"/>
    <n v="9030787815"/>
    <s v="jnb3743@gmail.com"/>
    <s v="https://mdpink.maildealer.jp/wapi.php"/>
    <m/>
    <s v="886-0004"/>
    <s v="宮崎県"/>
    <s v="小林市"/>
    <s v="細野1192-8"/>
    <m/>
    <m/>
    <d v="2023-06-11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29"/>
    <m/>
    <m/>
    <s v="注文履歴"/>
    <s v="配送履歴"/>
    <s v="吉田朋弘"/>
    <s v="よしだともひろ"/>
    <n v="9010963810"/>
    <s v="ugn03132@nifty.com"/>
    <s v="https://mdpink.maildealer.jp/wapi.php"/>
    <m/>
    <s v="434-0036"/>
    <s v="静岡県"/>
    <s v="浜松市浜北区横須賀"/>
    <s v="981-2 向日葵201"/>
    <m/>
    <s v="res_youtube_mrk"/>
    <d v="2023-06-11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204"/>
    <m/>
    <m/>
    <s v="注文履歴"/>
    <s v="配送履歴"/>
    <s v="涌本幸志"/>
    <s v="わくもとこうし"/>
    <n v="7010543610"/>
    <s v="koshi-wakumoto@outlook.jp"/>
    <s v="https://mdpink.maildealer.jp/wapi.php"/>
    <m/>
    <s v="586-0043"/>
    <s v="大阪府"/>
    <s v="河内長野市清見台"/>
    <s v="4-13-23"/>
    <m/>
    <s v="res_youtube_mrk"/>
    <d v="2023-06-11T00:00:00"/>
    <x v="6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196"/>
    <m/>
    <m/>
    <s v="注文履歴"/>
    <s v="配送履歴"/>
    <s v="縣直和"/>
    <s v="あがたなおかず"/>
    <n v="9098662571"/>
    <s v="nao.universe0906@gmail.com"/>
    <s v="https://mdpink.maildealer.jp/wapi.php"/>
    <m/>
    <s v="530-0044"/>
    <s v="大阪府"/>
    <s v="大阪市北区東天満2-3-7"/>
    <s v="ジオタワー南森町1408号"/>
    <m/>
    <s v="res_youtube_mrk"/>
    <d v="2023-06-11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194"/>
    <m/>
    <m/>
    <s v="注文履歴"/>
    <s v="配送履歴"/>
    <s v="梶原龍太"/>
    <s v="かじわらりゅうた"/>
    <n v="8030902450"/>
    <s v="tatsunoya19990514@docomo.ne.jp"/>
    <s v="https://mdpink.maildealer.jp/wapi.php"/>
    <m/>
    <s v="839-0863"/>
    <s v="福岡県"/>
    <s v="久留米市国分町"/>
    <s v="1239-10"/>
    <m/>
    <s v="res_youtube_mrk"/>
    <d v="2023-06-11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180"/>
    <m/>
    <m/>
    <s v="注文履歴"/>
    <s v="配送履歴"/>
    <s v="梶本公"/>
    <s v="かじもとただし"/>
    <n v="9084535312"/>
    <s v="tadashi_05_25@yahoo.co.jp"/>
    <s v="https://mdpink.maildealer.jp/wapi.php"/>
    <m/>
    <s v="270-2213"/>
    <s v="千葉県"/>
    <s v="松戸市"/>
    <s v="五香6-33-8"/>
    <m/>
    <s v="res_youtube_mrk"/>
    <d v="2023-06-10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146"/>
    <m/>
    <m/>
    <s v="注文履歴"/>
    <s v="配送履歴"/>
    <s v="鈴木武史"/>
    <s v="すずきたけし"/>
    <n v="9049408576"/>
    <s v="sic.seaum@gmail.com"/>
    <s v="https://mdpink.maildealer.jp/wapi.php"/>
    <m/>
    <s v="133-0065"/>
    <s v="東京都"/>
    <s v="江戸川区"/>
    <s v="南篠崎町3-5-2-102"/>
    <m/>
    <s v="res_youtube"/>
    <d v="2023-06-10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128"/>
    <m/>
    <m/>
    <s v="注文履歴"/>
    <s v="配送履歴"/>
    <s v="濱野友生"/>
    <s v="はまのともお"/>
    <n v="7044954018"/>
    <s v="friendlife45@gmail.com"/>
    <s v="https://mdpink.maildealer.jp/wapi.php"/>
    <m/>
    <s v="876-0843"/>
    <s v="大分県"/>
    <s v="佐伯市中の島"/>
    <s v="2-13-7"/>
    <m/>
    <s v="res_youtube_mrk"/>
    <d v="2023-06-1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1074"/>
    <m/>
    <m/>
    <s v="注文履歴"/>
    <s v="配送履歴"/>
    <s v="福田恵美"/>
    <s v="ふくだえみ"/>
    <n v="9089980006"/>
    <s v="kokoroodayaka333@gmail.com"/>
    <s v="https://mdpink.maildealer.jp/wapi.php"/>
    <m/>
    <s v="720-0092"/>
    <s v="広島県"/>
    <s v="福山市山手町"/>
    <d v="2004-09-08T00:00:00"/>
    <m/>
    <s v="res_youtube"/>
    <d v="2023-06-09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0921"/>
    <m/>
    <m/>
    <s v="注文履歴"/>
    <s v="配送履歴"/>
    <s v="小沢英郎"/>
    <s v="おざわひでお"/>
    <n v="8050157999"/>
    <s v="ichicabachica.0611@gmail.com"/>
    <s v="https://mdpink.maildealer.jp/wapi.php"/>
    <m/>
    <s v="287-0041"/>
    <s v="千葉県"/>
    <s v="香取市"/>
    <s v="玉造2-3-14"/>
    <m/>
    <s v="res_youtube"/>
    <d v="2023-06-0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0277"/>
    <m/>
    <m/>
    <s v="注文履歴"/>
    <s v="配送履歴"/>
    <s v="佐野正典"/>
    <s v="さのまさのり"/>
    <n v="9027682474"/>
    <s v="adg11111111110@gmail.com"/>
    <s v="https://mdpink.maildealer.jp/wapi.php"/>
    <m/>
    <s v="277-0054"/>
    <s v="千葉県"/>
    <s v="柏市"/>
    <s v="南増尾1-25-6"/>
    <m/>
    <s v="res_youtube"/>
    <d v="2023-05-29T00:00:00"/>
    <x v="3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40116"/>
    <m/>
    <m/>
    <s v="注文履歴"/>
    <s v="配送履歴"/>
    <s v="山口治秀"/>
    <s v="やまぐちはるひで"/>
    <n v="470620283"/>
    <s v="haru03401@gmail.com"/>
    <s v="https://mdpink.maildealer.jp/wapi.php"/>
    <m/>
    <s v="298-0004"/>
    <s v="千葉県"/>
    <s v="いすみ市"/>
    <s v="大原9684"/>
    <m/>
    <s v="res_youtube"/>
    <d v="2023-05-2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9825"/>
    <m/>
    <m/>
    <s v="注文履歴"/>
    <s v="配送履歴"/>
    <s v="平城芳樹"/>
    <s v="ひらきよしき"/>
    <n v="8039681826"/>
    <s v="maisuta1987@gmail.com"/>
    <s v="https://mdpink.maildealer.jp/wapi.php"/>
    <m/>
    <s v="458-0919"/>
    <s v="愛知県"/>
    <s v="名古屋市緑区桶狭間神明319"/>
    <s v="権平屋レオパレス204"/>
    <m/>
    <s v="k_book"/>
    <d v="2023-05-2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9735"/>
    <m/>
    <m/>
    <s v="注文履歴"/>
    <s v="配送履歴"/>
    <s v="待鳥尚子"/>
    <s v="まっとりなおこ"/>
    <n v="9015139605"/>
    <s v="matt_naorin@yahoo.co.jp"/>
    <s v="https://mdpink.maildealer.jp/wapi.php"/>
    <m/>
    <s v="832-0069"/>
    <s v="福岡県"/>
    <s v="柳川市新外町"/>
    <d v="1999-01-01T00:00:00"/>
    <m/>
    <s v="res_youtube"/>
    <d v="2023-05-2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9555"/>
    <m/>
    <m/>
    <s v="注文履歴"/>
    <s v="配送履歴"/>
    <s v="伊藤航"/>
    <s v="いとうわたる"/>
    <n v="8018304298"/>
    <s v="wataruuuuu4230@gmail.com"/>
    <s v="https://mdpink.maildealer.jp/wapi.php"/>
    <m/>
    <s v="010-0802"/>
    <s v="秋田県"/>
    <s v="秋田市"/>
    <s v="外旭川字梶ノ目"/>
    <m/>
    <s v="trnd_youtube"/>
    <d v="2023-05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9297"/>
    <m/>
    <m/>
    <s v="注文履歴"/>
    <s v="配送履歴"/>
    <s v="篠崎幸造"/>
    <s v="しのざきこうぞう"/>
    <n v="9033838392"/>
    <s v="kozysmart@gmail.com"/>
    <s v="https://mdpink.maildealer.jp/wapi.php"/>
    <m/>
    <s v="430-0936"/>
    <s v="静岡県"/>
    <s v="浜松市中央区大工町"/>
    <s v="63-1-1101"/>
    <m/>
    <s v="res_youtube"/>
    <d v="2023-05-1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9287"/>
    <m/>
    <m/>
    <s v="注文履歴"/>
    <s v="配送履歴"/>
    <s v="安藤徹"/>
    <s v="あんどうとおる"/>
    <n v="9061357747"/>
    <s v="300and800@gmail.com"/>
    <s v="https://mdpink.maildealer.jp/wapi.php"/>
    <m/>
    <s v="157-0073"/>
    <s v="東京都"/>
    <s v="世田谷区砧"/>
    <s v="6-26-26"/>
    <m/>
    <s v="res_youtube"/>
    <d v="2023-05-1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8837"/>
    <m/>
    <m/>
    <s v="注文履歴"/>
    <s v="配送履歴"/>
    <s v="鈴木直人"/>
    <s v="すずきなおと"/>
    <n v="9088598045"/>
    <s v="s@etc-karada.com"/>
    <s v="https://mdpink.maildealer.jp/wapi.php"/>
    <m/>
    <s v="251-0024"/>
    <s v="神奈川県"/>
    <s v="藤沢市鵠沼橘"/>
    <d v="2001-07-12T00:00:00"/>
    <m/>
    <s v="res_youtube"/>
    <d v="2023-05-14T00:00:00"/>
    <x v="6"/>
    <d v="2025-04-20T00:00:00"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8641"/>
    <m/>
    <m/>
    <s v="注文履歴"/>
    <s v="配送履歴"/>
    <s v="久田幸正"/>
    <s v="ひさだゆきまさ"/>
    <n v="762624358"/>
    <s v="yusan7820@gmail.com"/>
    <s v="https://mdpink.maildealer.jp/wapi.php"/>
    <m/>
    <s v="920-0942"/>
    <s v="石川県"/>
    <s v="金沢市小立野"/>
    <s v="1-14-18"/>
    <m/>
    <s v="res_youtube"/>
    <d v="2023-05-12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8590"/>
    <m/>
    <m/>
    <s v="注文履歴"/>
    <s v="配送履歴"/>
    <s v="櫻井加代子"/>
    <s v="さくらいかよこ"/>
    <n v="9092278882"/>
    <s v="kk.sakura@cosmochemicals.co.jp"/>
    <s v="https://mdpink.maildealer.jp/wapi.php"/>
    <m/>
    <s v="410-0311"/>
    <s v="静岡県"/>
    <s v="沼津市原町中"/>
    <d v="2001-06-05T00:00:00"/>
    <m/>
    <s v="trnd_youtube"/>
    <d v="2023-05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8508"/>
    <m/>
    <m/>
    <s v="注文履歴"/>
    <s v="配送履歴"/>
    <s v="鹿毛真也"/>
    <s v="かげなおや"/>
    <n v="9073935000"/>
    <s v="nkage00@gmail.com"/>
    <s v="https://mdpink.maildealer.jp/wapi.php"/>
    <m/>
    <s v="214-0012"/>
    <s v="神奈川県"/>
    <s v="川崎市多摩区中野島"/>
    <s v="1-25-11 ワンズファームⅢ 103"/>
    <m/>
    <s v="res_youtube"/>
    <d v="2023-05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8092"/>
    <m/>
    <m/>
    <s v="注文履歴"/>
    <s v="配送履歴"/>
    <s v="竹内伸夫"/>
    <s v="たけうちのぶお"/>
    <n v="9034873493"/>
    <s v="dkk921258@gmail.com"/>
    <s v="https://mdpink.maildealer.jp/wapi.php"/>
    <m/>
    <s v="216-0035"/>
    <s v="神奈川県"/>
    <s v="川崎市宮前区馬絹4丁目"/>
    <s v="16-24-305"/>
    <m/>
    <s v="res_youtube"/>
    <d v="2023-05-0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7916"/>
    <m/>
    <m/>
    <s v="注文履歴"/>
    <s v="配送履歴"/>
    <s v="竹内朗人"/>
    <s v="たけうちあきと"/>
    <n v="9039367070"/>
    <s v="kazuemonn@lion.ocn.ne.jp"/>
    <s v="https://mdpink.maildealer.jp/wapi.php"/>
    <m/>
    <s v="444-0011"/>
    <s v="愛知県"/>
    <s v="岡崎市"/>
    <s v="欠町字東畑17-9"/>
    <m/>
    <s v="res_youtube"/>
    <d v="2023-05-0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7567"/>
    <m/>
    <m/>
    <s v="注文履歴"/>
    <s v="配送履歴"/>
    <s v="権田武則"/>
    <s v="ごんだたけのり"/>
    <n v="9021365728"/>
    <s v="takegonda427@gmail.com"/>
    <s v="https://mdpink.maildealer.jp/wapi.php"/>
    <m/>
    <s v="440-0873"/>
    <s v="愛知県"/>
    <s v="豊橋市"/>
    <s v="小畷町415-3"/>
    <m/>
    <s v="res_youtube"/>
    <d v="2023-05-02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7417"/>
    <m/>
    <m/>
    <s v="注文履歴"/>
    <s v="配送履歴"/>
    <s v="澤津川誠"/>
    <s v="さわつがわまこと"/>
    <n v="9019283902"/>
    <s v="makotosawa@gmail.com"/>
    <s v="https://mdpink.maildealer.jp/wapi.php"/>
    <m/>
    <s v="890-0061"/>
    <s v="鹿児島県"/>
    <s v="鹿児島市天保山町"/>
    <s v="23-1 ロフティ天保山公園1506号"/>
    <m/>
    <s v="k_book"/>
    <d v="2023-04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6830"/>
    <m/>
    <m/>
    <s v="注文履歴"/>
    <s v="配送履歴"/>
    <s v="黒須直子"/>
    <s v="くろすなおこ"/>
    <n v="8049663102"/>
    <s v="kurosu3102@outlook.jp"/>
    <s v="https://mdpink.maildealer.jp/wapi.php"/>
    <m/>
    <s v="464-0806"/>
    <s v="愛知県"/>
    <s v="名古屋市千種区唐山町"/>
    <d v="2025-02-27T00:00:00"/>
    <m/>
    <s v="trnd_"/>
    <d v="2023-04-22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6778"/>
    <m/>
    <m/>
    <s v="注文履歴"/>
    <s v="配送履歴"/>
    <s v="平澤暁美"/>
    <s v="ひらさわあけみ"/>
    <n v="9024703158"/>
    <s v="ahira010101@gmail.com"/>
    <s v="https://mdpink.maildealer.jp/wapi.php"/>
    <m/>
    <s v="182-0022"/>
    <s v="東京都"/>
    <s v="調布市国領町"/>
    <d v="2001-05-02T00:00:00"/>
    <m/>
    <s v="res_youtube_book"/>
    <d v="2023-04-2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6117"/>
    <m/>
    <m/>
    <s v="注文履歴"/>
    <s v="配送履歴"/>
    <s v="角家泉"/>
    <s v="かどやいずみ"/>
    <n v="7085235235"/>
    <s v="minidragon.snufkin278@gmail.com"/>
    <s v="https://mdpink.maildealer.jp/wapi.php"/>
    <m/>
    <s v="108-0074"/>
    <s v="東京都"/>
    <s v="港区高輪3-8-14-603"/>
    <s v="グランリビオ高輪三丁目603"/>
    <m/>
    <s v="trnd_youtube"/>
    <d v="2023-04-18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5422"/>
    <m/>
    <m/>
    <s v="注文履歴"/>
    <s v="配送履歴"/>
    <s v="平井善顕"/>
    <s v="ひらいよしあき"/>
    <n v="9040581871"/>
    <s v="crew53065306@gmail.com"/>
    <s v="https://mdpink.maildealer.jp/wapi.php"/>
    <m/>
    <s v="362-0034"/>
    <s v="埼玉県"/>
    <s v="上尾市愛宕"/>
    <s v="1-2-7NK上尾ビル502"/>
    <m/>
    <s v="trnd_youtube"/>
    <d v="2023-04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5395"/>
    <m/>
    <m/>
    <s v="注文履歴"/>
    <s v="配送履歴"/>
    <s v="佐藤裕也"/>
    <s v="さとうゆうや"/>
    <n v="8057008745"/>
    <s v="sleet.seacow@gmail.com"/>
    <s v="https://mdpink.maildealer.jp/wapi.php"/>
    <m/>
    <s v="270-1331"/>
    <s v="千葉県"/>
    <s v="印西市牧の原4丁目"/>
    <s v="17-61"/>
    <m/>
    <s v="trnd_youtube"/>
    <d v="2023-04-1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5161"/>
    <m/>
    <m/>
    <s v="注文履歴"/>
    <s v="配送履歴"/>
    <s v="海津行雄"/>
    <s v="かいづゆきお"/>
    <n v="9097707100"/>
    <s v="15850xingxiong55@gmail.com"/>
    <s v="https://mdpink.maildealer.jp/wapi.php"/>
    <m/>
    <s v="190-0033"/>
    <s v="東京都"/>
    <s v="立川市"/>
    <s v="一番町6丁目3-1-59-507"/>
    <m/>
    <s v="res_youtube"/>
    <d v="2023-04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4704"/>
    <m/>
    <m/>
    <s v="注文履歴"/>
    <s v="配送履歴"/>
    <s v="明石融貴"/>
    <s v="あかしゆうき"/>
    <n v="8040106153"/>
    <s v="mobilesskwrkingmobileschirping@gmail.com"/>
    <s v="https://mdpink.maildealer.jp/wapi.php"/>
    <m/>
    <s v="211-0045"/>
    <s v="神奈川県"/>
    <s v="川崎市中原区上新城"/>
    <s v="1-3-28-206"/>
    <m/>
    <s v="res_youtube"/>
    <d v="2023-04-0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4588"/>
    <m/>
    <m/>
    <s v="注文履歴"/>
    <s v="配送履歴"/>
    <s v="衣川倫"/>
    <s v="きぬがわひとし"/>
    <n v="9097130148"/>
    <s v="four-of-a-kind142030@docomo.ne.jp"/>
    <s v="https://mdpink.maildealer.jp/wapi.php"/>
    <m/>
    <s v="561-0802"/>
    <s v="大阪府"/>
    <s v="豊中市"/>
    <s v="曽根東町1-6-18"/>
    <m/>
    <s v="res_youtube"/>
    <d v="2023-04-04T00:00:00"/>
    <x v="0"/>
    <d v="2025-07-20T00:00:00"/>
    <n v="114300"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4063"/>
    <m/>
    <m/>
    <s v="注文履歴"/>
    <s v="配送履歴"/>
    <s v="田中佳乃"/>
    <s v="たなかよしの"/>
    <n v="9088701880"/>
    <s v="yoshino.anne@gmail.com"/>
    <s v="https://mdpink.maildealer.jp/wapi.php"/>
    <m/>
    <s v="160-0002"/>
    <s v="東京都"/>
    <s v="新宿区"/>
    <s v="四谷坂町12-14-1001 インプレストコア四谷坂町"/>
    <m/>
    <s v="res_youtube"/>
    <d v="2023-03-30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3672"/>
    <m/>
    <m/>
    <s v="注文履歴"/>
    <s v="配送履歴"/>
    <s v="杉河修"/>
    <s v="すぎかわおさむ"/>
    <n v="8039374666"/>
    <s v="sosamu@rose.ocn.ne.jp"/>
    <s v="https://mdpink.maildealer.jp/wapi.php"/>
    <m/>
    <s v="251-0035"/>
    <s v="神奈川県"/>
    <s v="藤沢市片瀬海岸２丁目"/>
    <s v="17-8-106"/>
    <m/>
    <s v="res_youtube"/>
    <d v="2023-03-2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2703"/>
    <m/>
    <m/>
    <s v="注文履歴"/>
    <s v="配送履歴"/>
    <s v="遠藤陸也"/>
    <s v="えんどうりくや"/>
    <n v="7026796806"/>
    <s v="rikuya.endy@docomo.ne.jp"/>
    <s v="https://mdpink.maildealer.jp/wapi.php"/>
    <m/>
    <s v="326-0328"/>
    <s v="栃木県"/>
    <s v="足利市県町"/>
    <s v="1213-5"/>
    <m/>
    <s v="res_youtube"/>
    <d v="2023-03-18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2684"/>
    <m/>
    <m/>
    <s v="注文履歴"/>
    <s v="配送履歴"/>
    <s v="大谷高史"/>
    <s v="おおたにたかふみ"/>
    <n v="439556275"/>
    <s v="taka_ohtani@yahoo.co.jp"/>
    <s v="https://mdpink.maildealer.jp/wapi.php"/>
    <m/>
    <s v="299-1117"/>
    <s v="千葉県"/>
    <s v="君津市宮下"/>
    <d v="2001-03-03T00:00:00"/>
    <m/>
    <s v="res_youtube"/>
    <d v="2023-03-1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2324"/>
    <m/>
    <m/>
    <s v="注文履歴"/>
    <s v="配送履歴"/>
    <s v="高橋泰子"/>
    <s v="たかはしやすこ"/>
    <n v="9010438013"/>
    <s v="yasu2highbri@yahoo.co.jp"/>
    <s v="https://mdpink.maildealer.jp/wapi.php"/>
    <m/>
    <s v="225-0011"/>
    <s v="神奈川県"/>
    <s v="横浜市青葉区あざみ野4丁目"/>
    <d v="1932-03-01T00:00:00"/>
    <m/>
    <s v="res_youtube"/>
    <d v="2023-03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2168"/>
    <m/>
    <m/>
    <s v="注文履歴"/>
    <s v="配送履歴"/>
    <s v="酒井方子"/>
    <s v="さかいまさこ"/>
    <n v="662110026"/>
    <s v="boofoowoo28@gmail.com"/>
    <s v="https://mdpink.maildealer.jp/wapi.php"/>
    <m/>
    <s v="542-0083"/>
    <s v="大阪府"/>
    <s v="大阪市中央区東心斎橋"/>
    <d v="2002-07-05T00:00:00"/>
    <m/>
    <s v="res_youtube"/>
    <d v="2023-03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945"/>
    <m/>
    <m/>
    <s v="注文履歴"/>
    <s v="配送履歴"/>
    <s v="杉田直也"/>
    <s v="すぎたなおや"/>
    <n v="8054202414"/>
    <s v="naoya1717@gmail.com"/>
    <s v="https://mdpink.maildealer.jp/wapi.php"/>
    <m/>
    <s v="184-0005"/>
    <s v="東京都"/>
    <s v="東京都小金井市桜町2-1-22"/>
    <s v="Brillia小金井桜町405"/>
    <m/>
    <s v="res_youtube"/>
    <d v="2023-03-08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786"/>
    <m/>
    <m/>
    <s v="注文履歴"/>
    <s v="配送履歴"/>
    <s v="西沢秀男"/>
    <s v="にしざわひでお"/>
    <n v="8041670655"/>
    <s v="hideo2430a@gmail.com"/>
    <s v="https://mdpink.maildealer.jp/wapi.php"/>
    <m/>
    <s v="192-0364"/>
    <s v="東京都"/>
    <s v="八王子市南大沢"/>
    <s v="5-9-7-305"/>
    <m/>
    <s v="res_youtube"/>
    <d v="2023-03-07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713"/>
    <m/>
    <m/>
    <s v="注文履歴"/>
    <s v="配送履歴"/>
    <s v="関口幸栄"/>
    <s v="せきぐちゆきえ"/>
    <n v="9078329566"/>
    <s v="jacaranda2425@gmail.com"/>
    <s v="https://mdpink.maildealer.jp/wapi.php"/>
    <m/>
    <s v="330-0855"/>
    <s v="埼玉県"/>
    <s v="さいたま市大宮区上小町"/>
    <s v="1140番地 コスモ大宮プレステージ604号"/>
    <m/>
    <s v="res_youtube_book"/>
    <d v="2023-02-2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694"/>
    <m/>
    <m/>
    <s v="注文履歴"/>
    <s v="配送履歴"/>
    <s v="栗原正弘"/>
    <s v="くりはらまさひろ"/>
    <n v="9033475065"/>
    <s v="nitoro.hazard@gmail.com"/>
    <s v="https://mdpink.maildealer.jp/wapi.php"/>
    <m/>
    <s v="373-0035"/>
    <s v="群馬県"/>
    <s v="太田市藤久良町"/>
    <s v="69-23"/>
    <m/>
    <s v="res_youtube_book"/>
    <d v="2023-02-2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624"/>
    <m/>
    <m/>
    <s v="注文履歴"/>
    <s v="配送履歴"/>
    <s v="森口弘子"/>
    <s v="もりぐちひろこ"/>
    <n v="7084353687"/>
    <s v="py7hbwxb-3a@gol.com"/>
    <s v="https://mdpink.maildealer.jp/wapi.php"/>
    <m/>
    <s v="595-0071"/>
    <s v="大阪府"/>
    <s v="泉大津市助松町"/>
    <d v="2001-04-03T00:00:00"/>
    <m/>
    <s v="res_youtube_book"/>
    <d v="2023-02-27T00:00:00"/>
    <x v="3"/>
    <d v="2025-02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497"/>
    <m/>
    <m/>
    <s v="注文履歴"/>
    <s v="配送履歴"/>
    <s v="佐藤彰郎"/>
    <s v="さとうあきお"/>
    <n v="9022428774"/>
    <s v="s10026626@yahoo.co.jp"/>
    <s v="https://mdpink.maildealer.jp/wapi.php"/>
    <m/>
    <s v="212-0005"/>
    <s v="神奈川県"/>
    <s v="川崎市幸区戸手"/>
    <s v="4-12-1-1003"/>
    <m/>
    <s v="res_youtube_book"/>
    <d v="2023-02-2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402"/>
    <m/>
    <m/>
    <s v="注文履歴"/>
    <s v="配送履歴"/>
    <s v="外海清吾"/>
    <s v="とのがいせいご"/>
    <n v="9059634651"/>
    <s v="golf54003088@iris.eonet.ne.jp"/>
    <s v="https://mdpink.maildealer.jp/wapi.php"/>
    <m/>
    <s v="522-0038"/>
    <s v="滋賀県"/>
    <s v="彦根市西沼波町"/>
    <s v="711番地"/>
    <m/>
    <s v="res_youtube_book"/>
    <d v="2023-03-0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388"/>
    <m/>
    <m/>
    <s v="注文履歴"/>
    <s v="配送履歴"/>
    <s v="清水秀朗"/>
    <s v="しみずひであき"/>
    <n v="9084610804"/>
    <s v="shimizu930@gmail.com"/>
    <s v="https://mdpink.maildealer.jp/wapi.php"/>
    <m/>
    <s v="350-0043"/>
    <s v="埼玉県"/>
    <s v="川越市新富町"/>
    <s v="1-4-2 ライオンズ川越新富町901"/>
    <m/>
    <s v="res_youtube_book"/>
    <d v="2023-03-0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282"/>
    <m/>
    <m/>
    <s v="注文履歴"/>
    <s v="配送履歴"/>
    <s v="谷詰周成"/>
    <s v="たにづめしゅうせい"/>
    <n v="8066745715"/>
    <s v="dq6shu17@gmail.com"/>
    <s v="https://mdpink.maildealer.jp/wapi.php"/>
    <m/>
    <s v="191-0011"/>
    <s v="東京都"/>
    <s v="日野市"/>
    <s v="日野本町3-6-20 ボナール日野103"/>
    <m/>
    <s v="res_youtube_book"/>
    <d v="2023-03-0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281"/>
    <m/>
    <m/>
    <s v="注文履歴"/>
    <s v="配送履歴"/>
    <s v="佐藤信次"/>
    <s v="さとうしんじ"/>
    <n v="8053021956"/>
    <s v="blackjackatom@yahoo.co.jp"/>
    <s v="https://mdpink.maildealer.jp/wapi.php"/>
    <m/>
    <s v="664-0007"/>
    <s v="兵庫県"/>
    <s v="伊丹市北野"/>
    <s v="2-98OMTビル2階"/>
    <m/>
    <s v="res_youtube_book"/>
    <d v="2023-03-0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1174"/>
    <m/>
    <m/>
    <s v="注文履歴"/>
    <s v="配送履歴"/>
    <s v="後藤義行"/>
    <s v="ごとうよしゆき"/>
    <n v="9070056114"/>
    <s v="yocchin.510@gmail.com"/>
    <s v="https://mdpink.maildealer.jp/wapi.php"/>
    <m/>
    <s v="253-0025"/>
    <s v="神奈川県"/>
    <s v="茅ヶ崎市松が丘"/>
    <s v="2-5-46-27"/>
    <m/>
    <s v="res_youtube_book"/>
    <d v="2023-03-07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3-10-19T00:00:00"/>
    <m/>
    <m/>
    <m/>
    <m/>
  </r>
  <r>
    <s v="C-00031119"/>
    <m/>
    <m/>
    <s v="注文履歴"/>
    <s v="配送履歴"/>
    <s v="伊藤幸喜代"/>
    <s v="いとうゆきよ"/>
    <n v="8051172694"/>
    <s v="htm.y2017krv@gmail.com"/>
    <s v="https://mdpink.maildealer.jp/wapi.php"/>
    <m/>
    <s v="460-0012"/>
    <s v="愛知県"/>
    <s v="名古屋市中区千代田"/>
    <s v="4-13-18"/>
    <m/>
    <s v="res_youtube_book"/>
    <d v="2023-03-07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0849"/>
    <m/>
    <m/>
    <s v="注文履歴"/>
    <s v="配送履歴"/>
    <s v="大石雅弘"/>
    <s v="おおいしまさひろ"/>
    <n v="9087399836"/>
    <s v="oishi-ma@tokai.or.jp"/>
    <s v="https://mdpink.maildealer.jp/wapi.php"/>
    <m/>
    <s v="421-0414"/>
    <s v="静岡県"/>
    <s v="牧之原市"/>
    <s v="勝俣2177-1"/>
    <m/>
    <m/>
    <d v="2023-03-04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m/>
    <m/>
    <m/>
    <m/>
    <m/>
  </r>
  <r>
    <s v="C-00030731"/>
    <m/>
    <m/>
    <s v="注文履歴"/>
    <s v="配送履歴"/>
    <s v="大館謙二"/>
    <s v="おおだてけんじ"/>
    <n v="9032132632"/>
    <s v="k-ohdate@mrfj.co.jp"/>
    <s v="https://mdpink.maildealer.jp/wapi.php"/>
    <m/>
    <s v="300-1207"/>
    <s v="茨城県"/>
    <s v="牛久市"/>
    <s v="ヒタチ野東4-5-1-105"/>
    <m/>
    <m/>
    <d v="2023-03-03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m/>
    <m/>
    <m/>
    <m/>
    <m/>
    <m/>
    <m/>
  </r>
  <r>
    <s v="C-00030709"/>
    <m/>
    <m/>
    <s v="注文履歴"/>
    <s v="配送履歴"/>
    <s v="嵐隆幸"/>
    <s v="あらしたかゆき"/>
    <n v="9028102926"/>
    <s v="qjrmc677@yahoo.co.jp"/>
    <s v="https://mdpink.maildealer.jp/wapi.php"/>
    <m/>
    <s v="651-2243"/>
    <s v="兵庫県"/>
    <s v="神戸市西区井吹台西町"/>
    <s v="2-2-6-504"/>
    <m/>
    <m/>
    <d v="2023-03-03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m/>
    <m/>
    <m/>
    <m/>
    <m/>
  </r>
  <r>
    <s v="C-00030654"/>
    <m/>
    <m/>
    <s v="注文履歴"/>
    <s v="配送履歴"/>
    <s v="堀野直哉"/>
    <s v="ほりのなおや"/>
    <n v="9018380149"/>
    <s v="hfield108@gmail.com"/>
    <s v="https://mdpink.maildealer.jp/wapi.php"/>
    <m/>
    <s v="371-0221"/>
    <s v="群馬県"/>
    <s v="前橋市樋越町"/>
    <s v="698-7"/>
    <m/>
    <m/>
    <d v="2023-03-02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（退会済み）"/>
    <d v="2023-06-20T00:00:00"/>
    <m/>
    <m/>
    <m/>
    <m/>
    <m/>
    <m/>
    <m/>
    <m/>
    <m/>
    <m/>
    <m/>
    <m/>
    <m/>
    <m/>
    <m/>
    <m/>
    <m/>
    <m/>
    <m/>
    <m/>
  </r>
  <r>
    <s v="C-00030502"/>
    <m/>
    <m/>
    <s v="注文履歴"/>
    <s v="配送履歴"/>
    <s v="瓜生英一"/>
    <s v="うりうえいいち"/>
    <n v="9086595342"/>
    <s v="eddieuriu@gmail.com"/>
    <s v="https://mdpink.maildealer.jp/wapi.php"/>
    <m/>
    <s v="573-0075"/>
    <s v="大阪府"/>
    <s v="枚方市東香里"/>
    <s v="2-17-5"/>
    <m/>
    <s v="res_youtube"/>
    <d v="2023-03-01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0352"/>
    <m/>
    <m/>
    <s v="注文履歴"/>
    <s v="配送履歴"/>
    <s v="菊地郁夫"/>
    <s v="きくちいくお"/>
    <n v="7075387218"/>
    <s v="ikuokiku100@gmail.com"/>
    <s v="https://mdpink.maildealer.jp/wapi.php"/>
    <m/>
    <s v="240-0113"/>
    <s v="神奈川県"/>
    <s v="三浦郡葉山町長柄"/>
    <s v="1642-321"/>
    <m/>
    <m/>
    <d v="2023-02-26T00:00:00"/>
    <x v="1"/>
    <d v="2025-05-20T00:00:00"/>
    <n v="59400"/>
    <m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0319"/>
    <m/>
    <m/>
    <s v="注文履歴"/>
    <s v="配送履歴"/>
    <s v="青柳圭太"/>
    <s v="あおやぎけいた"/>
    <n v="9015034951"/>
    <s v="aoyagi-k@mist.dti.ne.jp"/>
    <s v="https://mdpink.maildealer.jp/wapi.php"/>
    <m/>
    <s v="272-0823"/>
    <s v="千葉県"/>
    <s v="市川市東菅野"/>
    <s v="2-19-22"/>
    <m/>
    <s v="res_youtube"/>
    <d v="2023-02-2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30314"/>
    <m/>
    <m/>
    <s v="注文履歴"/>
    <s v="配送履歴"/>
    <s v="須崎嘉文"/>
    <s v="すざきよしふみ"/>
    <n v="9077872125"/>
    <s v="suzaki.yoshifumi@kagawa-u.ac.jp"/>
    <s v="https://mdpink.maildealer.jp/wapi.php"/>
    <m/>
    <s v="760-0066"/>
    <s v="香川県"/>
    <s v="高松市福岡町"/>
    <s v="4-13-11"/>
    <m/>
    <m/>
    <d v="2023-02-2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821"/>
    <m/>
    <m/>
    <s v="注文履歴"/>
    <s v="配送履歴"/>
    <s v="太安孝允"/>
    <s v="おおやすたかよし"/>
    <n v="9028160343"/>
    <s v="nine_planets_in_solar_system@yahoo.co.jp"/>
    <s v="https://mdpink.maildealer.jp/wapi.php"/>
    <m/>
    <s v="064-0951"/>
    <s v="北海道"/>
    <s v="札幌市中央区宮の森1条8丁目"/>
    <d v="2025-03-08T00:00:00"/>
    <m/>
    <s v="res_youtube"/>
    <d v="2023-02-1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736"/>
    <m/>
    <m/>
    <s v="注文履歴"/>
    <s v="配送履歴"/>
    <s v="春柳圭"/>
    <s v="はるやぎけい"/>
    <n v="9064186885"/>
    <s v="horuyagi@gmail.com"/>
    <s v="https://mdpink.maildealer.jp/wapi.php"/>
    <m/>
    <s v="270-2266"/>
    <s v="千葉県"/>
    <s v="松戸市常盤平西窪町"/>
    <d v="2025-06-21T00:00:00"/>
    <m/>
    <s v="res_youtube"/>
    <d v="2023-02-18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684"/>
    <m/>
    <m/>
    <s v="注文履歴"/>
    <s v="配送履歴"/>
    <s v="前田拓哉"/>
    <s v="まえだたくや"/>
    <n v="339972518"/>
    <s v="maetaku4319@gmail.com"/>
    <s v="https://mdpink.maildealer.jp/wapi.php"/>
    <m/>
    <s v="177-0041"/>
    <s v="東京都"/>
    <s v="練馬区石神井町"/>
    <s v="3-30-14"/>
    <m/>
    <s v="res_youtube"/>
    <d v="2023-02-1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406"/>
    <m/>
    <m/>
    <s v="注文履歴"/>
    <s v="配送履歴"/>
    <s v="江里川雅一"/>
    <s v="えりかわまさかず"/>
    <n v="9080580849"/>
    <s v="R53erika32@gmail.com"/>
    <s v="https://mdpink.maildealer.jp/wapi.php"/>
    <m/>
    <s v="324-0045"/>
    <s v="栃木県"/>
    <s v="大田原市実取"/>
    <s v="766-84"/>
    <m/>
    <s v="res_youtube"/>
    <d v="2023-02-1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385"/>
    <m/>
    <m/>
    <s v="注文履歴"/>
    <s v="配送履歴"/>
    <s v="田中義一"/>
    <s v="たなかぎいち"/>
    <n v="9042442357"/>
    <s v="ginger1969715@gmail.com"/>
    <s v="https://mdpink.maildealer.jp/wapi.php"/>
    <m/>
    <s v="335-0004"/>
    <s v="埼玉県"/>
    <s v="蕨市"/>
    <s v="中央4-10-17"/>
    <m/>
    <s v="res_youtube"/>
    <d v="2023-02-1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079"/>
    <m/>
    <m/>
    <s v="注文履歴"/>
    <s v="配送履歴"/>
    <s v="伊藤真基"/>
    <s v="いとうまき"/>
    <n v="9045593109"/>
    <s v="taiheimaru2117@gmail.com"/>
    <s v="https://mdpink.maildealer.jp/wapi.php"/>
    <m/>
    <s v="029-2205"/>
    <s v="岩手県"/>
    <s v="陸前高田市"/>
    <s v="高田町字鳴石50-26"/>
    <m/>
    <s v="res_youtube"/>
    <d v="2023-02-0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9014"/>
    <m/>
    <m/>
    <s v="注文履歴"/>
    <s v="配送履歴"/>
    <s v="城田大輔"/>
    <s v="しろただいすけ"/>
    <n v="9069442916"/>
    <s v="daisukedaisuke0000@yahoo.co.jp"/>
    <s v="https://mdpink.maildealer.jp/wapi.php"/>
    <m/>
    <s v="224-0029"/>
    <s v="神奈川県"/>
    <s v="横浜市都筑区南山田"/>
    <s v="2-24-1-205"/>
    <m/>
    <s v="res_youtube"/>
    <d v="2023-02-09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8845"/>
    <m/>
    <m/>
    <s v="注文履歴"/>
    <s v="配送履歴"/>
    <s v="金田智樹"/>
    <s v="かねたともき"/>
    <n v="8018423574"/>
    <s v="tomoki5170@gmail.com"/>
    <s v="https://mdpink.maildealer.jp/wapi.php"/>
    <m/>
    <s v="965-0853"/>
    <s v="福島県"/>
    <s v="会津若松市材木町"/>
    <s v="1-9-118"/>
    <m/>
    <s v="res_youtube"/>
    <d v="2023-02-0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8768"/>
    <m/>
    <m/>
    <s v="注文履歴"/>
    <s v="配送履歴"/>
    <s v="鮫島常高"/>
    <s v="さめしまつねたか"/>
    <n v="8042132806"/>
    <s v="link1218@i.softbank.jp"/>
    <s v="https://mdpink.maildealer.jp/wapi.php"/>
    <m/>
    <s v="419-0111"/>
    <s v="静岡県"/>
    <s v="田方郡函南町畑毛"/>
    <s v="698-260"/>
    <m/>
    <s v="res_youtube"/>
    <d v="2023-02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8480"/>
    <m/>
    <m/>
    <s v="注文履歴"/>
    <s v="配送履歴"/>
    <s v="山田宏"/>
    <s v="やまだひろし"/>
    <n v="7053323552"/>
    <s v="fighterscan2015@gmail.com"/>
    <s v="https://mdpink.maildealer.jp/wapi.php"/>
    <m/>
    <s v="460-0024"/>
    <s v="愛知県"/>
    <s v="名古屋市中区正木"/>
    <m/>
    <m/>
    <s v="res_youtube"/>
    <d v="2023-02-0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8329"/>
    <m/>
    <m/>
    <s v="注文履歴"/>
    <s v="配送履歴"/>
    <s v="國枝洋子"/>
    <s v="くにえだようこ"/>
    <n v="9049554847"/>
    <s v="kunitakumama@gmail.com"/>
    <s v="https://mdpink.maildealer.jp/wapi.php"/>
    <m/>
    <s v="106-0032"/>
    <s v="東京都"/>
    <s v="港区"/>
    <s v="六本木5-11-38-801"/>
    <m/>
    <s v="res_youtube"/>
    <d v="2023-02-01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8250"/>
    <m/>
    <m/>
    <s v="注文履歴"/>
    <s v="配送履歴"/>
    <s v="北浦かいね"/>
    <s v="きたうらかいね"/>
    <n v="9012368539"/>
    <s v="k3.orimirai-0218@i.softbank.jp"/>
    <s v="https://mdpink.maildealer.jp/wapi.php"/>
    <m/>
    <s v="473-0924"/>
    <s v="愛知県"/>
    <s v="豊田市花園町花園台"/>
    <d v="2025-02-11T00:00:00"/>
    <m/>
    <s v="res_youtube"/>
    <d v="2023-02-01T00:00:00"/>
    <x v="3"/>
    <d v="2025-02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7938"/>
    <m/>
    <m/>
    <s v="注文履歴"/>
    <s v="配送履歴"/>
    <s v="堀之内千秋"/>
    <s v="ほりのうちちあき"/>
    <n v="9010237467"/>
    <s v="from.1.123@docomo.ne.jp"/>
    <s v="https://mdpink.maildealer.jp/wapi.php"/>
    <m/>
    <s v="890-0031"/>
    <s v="鹿児島県"/>
    <s v="鹿児島市"/>
    <s v="武岡1丁目110-17"/>
    <m/>
    <s v="res_youtube"/>
    <d v="2023-01-2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7712"/>
    <m/>
    <m/>
    <s v="注文履歴"/>
    <s v="配送履歴"/>
    <s v="山村三信"/>
    <s v="やまむらみつのぶ"/>
    <n v="9097651336"/>
    <s v="mi.yamamura@gmail.com"/>
    <s v="https://mdpink.maildealer.jp/wapi.php"/>
    <m/>
    <s v="920-0902"/>
    <s v="石川県"/>
    <s v="金沢市尾張町"/>
    <s v="1丁目9番28号, トーカンマンション尾張町701"/>
    <m/>
    <s v="res_youtube"/>
    <d v="2023-01-2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7549"/>
    <m/>
    <m/>
    <s v="注文履歴"/>
    <s v="配送履歴"/>
    <s v="山本茂市"/>
    <s v="やまもとしげいち"/>
    <n v="9096647164"/>
    <s v="syamamoto1103@yahoo.co.jp"/>
    <s v="https://mdpink.maildealer.jp/wapi.php"/>
    <m/>
    <s v="399-3303"/>
    <s v="長野県"/>
    <s v="下伊那郡松川町元大島"/>
    <s v="1801番地1ソフィアケート松川202"/>
    <m/>
    <s v="res_youtube"/>
    <d v="2023-01-24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7491"/>
    <m/>
    <m/>
    <s v="注文履歴"/>
    <s v="配送履歴"/>
    <s v="海老澤裕三"/>
    <s v="えびさわゆうぞう"/>
    <n v="9091494927"/>
    <s v="ebizou03@gmail.com"/>
    <s v="https://mdpink.maildealer.jp/wapi.php"/>
    <m/>
    <s v="177-0044"/>
    <s v="東京都"/>
    <s v="練馬区上石神井"/>
    <s v="2-20-5 ウエスト201号"/>
    <m/>
    <s v="res_youtube"/>
    <d v="2023-01-24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m/>
    <m/>
    <m/>
    <m/>
    <m/>
  </r>
  <r>
    <s v="C-00027128"/>
    <m/>
    <m/>
    <s v="注文履歴"/>
    <s v="配送履歴"/>
    <s v="堀谷真実"/>
    <s v="ほりやまみ"/>
    <n v="8035817117"/>
    <s v="lovelin.mamitan@gmail.com"/>
    <s v="https://mdpink.maildealer.jp/wapi.php"/>
    <m/>
    <s v="108-0023"/>
    <s v="東京都"/>
    <s v="港区芝浦"/>
    <s v="4-5-13コンフォリア田町505"/>
    <m/>
    <s v="res_youtube"/>
    <d v="2023-01-1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6928"/>
    <m/>
    <m/>
    <s v="注文履歴"/>
    <s v="配送履歴"/>
    <s v="立川太一"/>
    <s v="たちかわたいち"/>
    <n v="8055123330"/>
    <s v="seamaster007007@yahoo.co.jp"/>
    <s v="https://mdpink.maildealer.jp/wapi.php"/>
    <m/>
    <s v="350-1203"/>
    <s v="埼玉県"/>
    <s v="日高市旭ヶ丘"/>
    <s v="632-5"/>
    <m/>
    <s v="res_youtube"/>
    <d v="2023-01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6900"/>
    <m/>
    <m/>
    <s v="注文履歴"/>
    <s v="配送履歴"/>
    <s v="中村康志"/>
    <s v="なかむらやすし"/>
    <n v="9039436073"/>
    <s v="yasu5645jp@gmail.com"/>
    <s v="https://mdpink.maildealer.jp/wapi.php"/>
    <m/>
    <s v="510-0007"/>
    <s v="三重県"/>
    <s v="四日市市"/>
    <s v="別名6-8-9"/>
    <m/>
    <s v="res_youtube"/>
    <d v="2023-01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6888"/>
    <m/>
    <m/>
    <s v="注文履歴"/>
    <s v="配送履歴"/>
    <s v="中道雅義"/>
    <s v="なかみちまさよし"/>
    <n v="9038707242"/>
    <s v="masayoshinakamichi@gmail.com"/>
    <s v="https://mdpink.maildealer.jp/wapi.php"/>
    <m/>
    <s v="570-0045"/>
    <s v="大阪府"/>
    <s v="守口市南寺方中通"/>
    <d v="2003-03-07T00:00:00"/>
    <m/>
    <s v="res"/>
    <d v="2023-01-13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6694"/>
    <m/>
    <m/>
    <s v="注文履歴"/>
    <s v="配送履歴"/>
    <s v="北山拓真"/>
    <s v="きたやまたくま"/>
    <n v="9028693622"/>
    <s v="inkotg@gmail.com"/>
    <s v="https://mdpink.maildealer.jp/wapi.php"/>
    <m/>
    <s v="709-0824"/>
    <s v="岡山県"/>
    <s v="赤磐市穂崎"/>
    <n v="282"/>
    <m/>
    <s v="trnd_lv3"/>
    <d v="2023-01-10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6649"/>
    <m/>
    <m/>
    <s v="注文履歴"/>
    <s v="配送履歴"/>
    <s v="野崎耕司"/>
    <s v="のざきこうじ"/>
    <n v="9035388954"/>
    <s v="grunpa.715.kn@gmail.com"/>
    <s v="https://mdpink.maildealer.jp/wapi.php"/>
    <m/>
    <s v="243-0035"/>
    <s v="神奈川県"/>
    <s v="厚木市愛甲"/>
    <d v="2004-11-02T00:00:00"/>
    <m/>
    <s v="res_youtube"/>
    <d v="2023-01-1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6435"/>
    <m/>
    <m/>
    <s v="注文履歴"/>
    <s v="配送履歴"/>
    <s v="人見慎治"/>
    <s v="ひとみしんじ"/>
    <n v="9050503555"/>
    <s v="j_tommy3skm@ybb.ne.jp"/>
    <s v="https://mdpink.maildealer.jp/wapi.php"/>
    <m/>
    <s v="561-0804"/>
    <s v="大阪府"/>
    <s v="豊中市曽根南町"/>
    <s v="2丁目16-5-506"/>
    <m/>
    <s v="res_youtube"/>
    <d v="2023-01-0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5744"/>
    <m/>
    <m/>
    <s v="注文履歴"/>
    <s v="配送履歴"/>
    <s v="岩橋竜士"/>
    <s v="いわはしりゅうし"/>
    <n v="8052800953"/>
    <s v="convoy.funk.co@gmail.com"/>
    <s v="https://mdpink.maildealer.jp/wapi.php"/>
    <m/>
    <s v="843-0024"/>
    <s v="佐賀県"/>
    <s v="武雄市武雄町"/>
    <s v="大字富岡340"/>
    <m/>
    <s v="trnd_youtube"/>
    <d v="2023-01-0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5-26T00:00:00"/>
    <m/>
    <m/>
    <m/>
    <m/>
    <m/>
    <m/>
    <m/>
    <m/>
    <m/>
    <m/>
    <m/>
    <m/>
    <m/>
    <m/>
    <m/>
    <m/>
    <m/>
    <m/>
    <m/>
    <m/>
  </r>
  <r>
    <s v="C-00025274"/>
    <m/>
    <m/>
    <s v="注文履歴"/>
    <s v="配送履歴"/>
    <s v="松本州司"/>
    <s v="まつもとしゅうじ"/>
    <n v="880311733"/>
    <s v="shumatsu3387@gmail.com"/>
    <s v="https://mdpink.maildealer.jp/wapi.php"/>
    <m/>
    <s v="787-0051"/>
    <s v="高知県"/>
    <s v="四万十市"/>
    <s v="具同田黒2-150"/>
    <m/>
    <s v="trnd_youtube"/>
    <d v="2023-01-02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5264"/>
    <m/>
    <m/>
    <s v="注文履歴"/>
    <s v="配送履歴"/>
    <s v="北川勝浩"/>
    <s v="きたがわまさひろ"/>
    <n v="8053598873"/>
    <s v="jh3prr@gmail.com"/>
    <s v="https://mdpink.maildealer.jp/wapi.php"/>
    <m/>
    <s v="564-0061"/>
    <s v="大阪府"/>
    <s v="吹田市円山町"/>
    <s v="18番17号"/>
    <m/>
    <s v="trnd_youtube"/>
    <d v="2023-01-02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5215"/>
    <m/>
    <m/>
    <s v="注文履歴"/>
    <s v="配送履歴"/>
    <s v="土手貴博"/>
    <s v="どてたかひろ"/>
    <n v="7035370925"/>
    <s v="takahiro.d.925@outlook.jp"/>
    <s v="https://mdpink.maildealer.jp/wapi.php"/>
    <m/>
    <s v="340-0034"/>
    <s v="埼玉県"/>
    <s v="草加市氷川町"/>
    <s v="2146-5-402"/>
    <m/>
    <s v="res_youtube"/>
    <d v="2023-01-02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4875"/>
    <m/>
    <m/>
    <s v="注文履歴"/>
    <s v="配送履歴"/>
    <s v="橋爪史子"/>
    <s v="はしづめふみこ"/>
    <n v="9099413552"/>
    <s v="fumiko524@yahoo.co.jp"/>
    <s v="https://mdpink.maildealer.jp/wapi.php"/>
    <m/>
    <s v="458-0021"/>
    <s v="愛知県"/>
    <s v="名古屋市緑区滝ノ水１－９０９"/>
    <s v="ロイヤルアーク滝ノ水公園403"/>
    <m/>
    <s v="res_youtube"/>
    <d v="2022-12-24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4856"/>
    <m/>
    <m/>
    <s v="注文履歴"/>
    <s v="配送履歴"/>
    <s v="三輪雄二"/>
    <s v="みわゆうじ"/>
    <n v="9041970334"/>
    <s v="yanh7016@gmail.com"/>
    <s v="https://mdpink.maildealer.jp/wapi.php"/>
    <m/>
    <s v="504-0839"/>
    <s v="岐阜県"/>
    <s v="各務原市那加巾下町"/>
    <d v="2025-02-14T00:00:00"/>
    <m/>
    <s v="res_youtube"/>
    <d v="2022-12-24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4635"/>
    <m/>
    <m/>
    <s v="注文履歴"/>
    <s v="配送履歴"/>
    <s v="大平祐造"/>
    <s v="おおひらゆうぞう"/>
    <n v="9021773807"/>
    <s v="nobi_sen@yahoo.co.jp"/>
    <s v="https://mdpink.maildealer.jp/wapi.php"/>
    <m/>
    <s v="529-1814"/>
    <s v="滋賀県"/>
    <s v="甲賀市信楽町田代"/>
    <n v="605"/>
    <m/>
    <s v="res_youtube"/>
    <d v="2022-12-2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4549"/>
    <m/>
    <m/>
    <s v="注文履歴"/>
    <s v="配送履歴"/>
    <s v="鯨井友紀恵"/>
    <s v="くじらいゆきえ"/>
    <n v="8090347773"/>
    <s v="hana.com.5261@gmail.com"/>
    <s v="https://mdpink.maildealer.jp/wapi.php"/>
    <m/>
    <s v="115-0053"/>
    <s v="東京都"/>
    <s v="北区赤羽台"/>
    <s v="1-3-9-306"/>
    <m/>
    <s v="res_youtube"/>
    <d v="2022-12-24T00:00:00"/>
    <x v="3"/>
    <d v="2025-02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4070"/>
    <m/>
    <m/>
    <s v="注文履歴"/>
    <s v="配送履歴"/>
    <s v="伊藤勝司"/>
    <s v="いとうかつじ"/>
    <n v="9070277629"/>
    <s v="tk02100117y@yahoo.co.jp"/>
    <s v="https://mdpink.maildealer.jp/wapi.php"/>
    <m/>
    <s v="498-0034"/>
    <s v="愛知県"/>
    <s v="弥富市平島東三丁目"/>
    <s v="152-4"/>
    <m/>
    <s v="res_youtube"/>
    <d v="2022-12-2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3673"/>
    <m/>
    <m/>
    <s v="注文履歴"/>
    <s v="配送履歴"/>
    <s v="田中太"/>
    <s v="たなかふとし"/>
    <n v="9036273774"/>
    <s v="futa11@msn.com"/>
    <s v="https://mdpink.maildealer.jp/wapi.php"/>
    <m/>
    <s v="652-0058"/>
    <s v="兵庫県"/>
    <s v="神戸市兵庫区菊水町10-39-18"/>
    <s v="夢野ハイタウン2-702"/>
    <m/>
    <s v="res_youtube"/>
    <d v="2022-12-1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1295"/>
    <m/>
    <m/>
    <s v="注文履歴"/>
    <s v="配送履歴"/>
    <s v="北川浩太郎"/>
    <s v="きたがわこうたろう"/>
    <n v="8010546149"/>
    <s v="kotaro.kitagawa@gmail.com"/>
    <s v="https://mdpink.maildealer.jp/wapi.php"/>
    <m/>
    <s v="154-0001"/>
    <s v="東京都"/>
    <s v="世田谷区"/>
    <s v="池尻3-30-10三旺ビル4F"/>
    <m/>
    <s v="res_youtube"/>
    <d v="2022-12-08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1132"/>
    <m/>
    <m/>
    <s v="注文履歴"/>
    <s v="配送履歴"/>
    <s v="竹内大輔"/>
    <s v="たけうちだいすけ"/>
    <n v="9025913760"/>
    <s v="takeuchi.disk.0.0.zzz@gmail.com"/>
    <s v="https://mdpink.maildealer.jp/wapi.php"/>
    <m/>
    <s v="108-0014"/>
    <s v="東京都"/>
    <s v="港区芝4丁目"/>
    <s v="16-1-1913"/>
    <m/>
    <s v="res_youtube"/>
    <d v="2022-12-0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0743"/>
    <m/>
    <m/>
    <s v="注文履歴"/>
    <s v="配送履歴"/>
    <s v="中村多都夫"/>
    <s v="なかむらたつお"/>
    <n v="9070471203"/>
    <s v="ttonkm2723@gmail.com"/>
    <s v="https://mdpink.maildealer.jp/wapi.php"/>
    <m/>
    <s v="430-0845"/>
    <s v="静岡県"/>
    <s v="浜松市中央区中田島町"/>
    <s v="618-3"/>
    <m/>
    <s v="res_youtube"/>
    <d v="2022-12-0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0577"/>
    <m/>
    <m/>
    <s v="注文履歴"/>
    <s v="配送履歴"/>
    <s v="西留良輔"/>
    <s v="にしとめりょうすけ"/>
    <n v="9050589960"/>
    <s v="tometype2@yahoo.co.jp"/>
    <s v="https://mdpink.maildealer.jp/wapi.php"/>
    <m/>
    <s v="587-0031"/>
    <s v="大阪府"/>
    <s v="堺市美原区さっき野西"/>
    <s v="1-18-13"/>
    <m/>
    <s v="res_youtube"/>
    <d v="2022-11-24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0461"/>
    <m/>
    <m/>
    <s v="注文履歴"/>
    <s v="配送履歴"/>
    <s v="浦山亜紀子"/>
    <s v="うらやまあきこ"/>
    <n v="8020381070"/>
    <s v="akikoyogo45@gmail.com"/>
    <s v="https://mdpink.maildealer.jp/wapi.php"/>
    <m/>
    <s v="106-0045"/>
    <s v="東京都"/>
    <s v="港区"/>
    <s v="麻布十番3-7-10-802"/>
    <m/>
    <s v="res_youtube"/>
    <d v="2022-11-2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0383"/>
    <m/>
    <m/>
    <s v="注文履歴"/>
    <s v="配送履歴"/>
    <s v="高宮文秀"/>
    <s v="たかみやふみひで"/>
    <n v="453213699"/>
    <s v="takamiya@gf7.so-net.ne.jp"/>
    <s v="https://mdpink.maildealer.jp/wapi.php"/>
    <m/>
    <s v="221-0825"/>
    <s v="神奈川県"/>
    <s v="横浜市神奈川区反町"/>
    <s v="3-23-21"/>
    <m/>
    <m/>
    <d v="2022-11-18T00:00:00"/>
    <x v="0"/>
    <d v="2025-08-20T00:00:00"/>
    <n v="114300"/>
    <m/>
    <m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20073"/>
    <m/>
    <m/>
    <s v="注文履歴"/>
    <s v="配送履歴"/>
    <s v="新海晃"/>
    <s v="しんかいあきら"/>
    <n v="9093167460"/>
    <s v="amkakki7@yahoo.co.jp"/>
    <s v="https://mdpink.maildealer.jp/wapi.php"/>
    <m/>
    <s v="234-0055"/>
    <s v="神奈川県"/>
    <s v="横浜市港南区日野南"/>
    <s v="3-2-31"/>
    <m/>
    <s v="jim_opt"/>
    <d v="2022-11-08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m/>
    <m/>
    <m/>
    <m/>
    <m/>
  </r>
  <r>
    <s v="C-00019885"/>
    <m/>
    <m/>
    <s v="注文履歴"/>
    <s v="配送履歴"/>
    <s v="中村光男"/>
    <s v="なかむらてるお"/>
    <n v="9062066023"/>
    <s v="nkmrtro@i.softbank.jp"/>
    <s v="https://mdpink.maildealer.jp/wapi.php"/>
    <m/>
    <s v="582-0001"/>
    <s v="大阪府"/>
    <s v="柏原市本郷"/>
    <s v="5-7-11-512 ロイヤルシャトー柏原本郷"/>
    <m/>
    <s v="res_youtube"/>
    <d v="2022-11-0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9706"/>
    <m/>
    <m/>
    <s v="注文履歴"/>
    <s v="配送履歴"/>
    <s v="村松淳"/>
    <s v="むらまつじゅん"/>
    <n v="9026094794"/>
    <s v="jm3210jm32100@gmail.com"/>
    <s v="https://mdpink.maildealer.jp/wapi.php"/>
    <m/>
    <s v="975-0016"/>
    <s v="福島県"/>
    <s v="南相馬市原町区仲町"/>
    <s v="2-82"/>
    <m/>
    <s v="res_youtube"/>
    <d v="2022-10-30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9691"/>
    <m/>
    <m/>
    <s v="注文履歴"/>
    <s v="配送履歴"/>
    <s v="船山美芳"/>
    <s v="ふなやまみよし"/>
    <n v="9091667021"/>
    <s v="haka78827@gmail.com"/>
    <s v="https://mdpink.maildealer.jp/wapi.php"/>
    <m/>
    <s v="617-0846"/>
    <s v="京都府"/>
    <s v="長岡京市泉が丘"/>
    <s v="1-1サンライト泉ガ丘101"/>
    <m/>
    <s v="res_youtube"/>
    <d v="2022-11-09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m/>
    <m/>
    <m/>
    <m/>
    <m/>
    <m/>
    <m/>
  </r>
  <r>
    <s v="C-00019662"/>
    <m/>
    <m/>
    <s v="注文履歴"/>
    <s v="配送履歴"/>
    <s v="松山結城"/>
    <s v="まつやまゆうき"/>
    <n v="9011227789"/>
    <s v="yuki.mat1122@gmail.com"/>
    <s v="https://mdpink.maildealer.jp/wapi.php"/>
    <m/>
    <s v="381-0036"/>
    <s v="長野県"/>
    <s v="長野市平林"/>
    <s v="2-18-50"/>
    <m/>
    <s v="res_youtube"/>
    <d v="2022-10-2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9176"/>
    <m/>
    <m/>
    <s v="注文履歴"/>
    <s v="配送履歴"/>
    <s v="松田美穂"/>
    <s v="まつだみほ"/>
    <n v="7013101928"/>
    <s v="cococh248@gmail.com"/>
    <s v="https://mdpink.maildealer.jp/wapi.php"/>
    <m/>
    <s v="221-0052"/>
    <s v="神奈川県"/>
    <s v="横浜市神奈川区栄町"/>
    <s v="16-5 プレミスト横浜ポートサイド607"/>
    <m/>
    <s v="res_youtube"/>
    <d v="2022-10-15T00:00:00"/>
    <x v="3"/>
    <d v="2025-02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　14,500円"/>
    <d v="2023-03-20T00:00:00"/>
    <m/>
    <m/>
    <m/>
    <m/>
    <m/>
    <m/>
    <m/>
    <m/>
    <m/>
    <m/>
    <m/>
    <m/>
    <m/>
    <m/>
    <s v="6ヶ月おまとめ会員退会済"/>
    <d v="2023-08-20T00:00:00"/>
    <m/>
    <m/>
    <m/>
    <m/>
  </r>
  <r>
    <s v="C-00019024"/>
    <m/>
    <m/>
    <s v="注文履歴"/>
    <s v="配送履歴"/>
    <s v="伊藤秀昭"/>
    <s v="いとうひであき"/>
    <n v="9096755552"/>
    <s v="haryuki110@yahoo.co.jp"/>
    <s v="https://mdpink.maildealer.jp/wapi.php"/>
    <m/>
    <s v="136-0072"/>
    <s v="東京都"/>
    <s v="江東区大島"/>
    <s v="2-10-10-403"/>
    <m/>
    <m/>
    <d v="2022-10-11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m/>
    <m/>
    <m/>
    <m/>
    <m/>
    <m/>
    <m/>
  </r>
  <r>
    <s v="C-00018184"/>
    <m/>
    <m/>
    <s v="注文履歴"/>
    <s v="配送履歴"/>
    <s v="武山直之"/>
    <s v="たけやまなおゆき"/>
    <n v="9022017961"/>
    <s v="chosuke_0308@yahoo.co.jp"/>
    <s v="https://mdpink.maildealer.jp/wapi.php"/>
    <m/>
    <s v="158-0095"/>
    <s v="東京都"/>
    <s v="世田谷区瀬田1-22-18"/>
    <s v="レックス上野毛303"/>
    <m/>
    <s v="res_youtube"/>
    <d v="2022-09-19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8166"/>
    <m/>
    <m/>
    <s v="注文履歴"/>
    <s v="配送履歴"/>
    <s v="鈴木隆永"/>
    <s v="すずきたかなが"/>
    <n v="8065372494"/>
    <s v="maro-takatsukasa-tkn@ezweb.ne.jp"/>
    <s v="https://mdpink.maildealer.jp/wapi.php"/>
    <m/>
    <s v="186-0005"/>
    <s v="東京都"/>
    <s v="国立市西"/>
    <s v="1-18-6ハレ・カピオラニ202"/>
    <m/>
    <s v="jim_opt"/>
    <d v="2022-09-1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退会済"/>
    <d v="2024-11-20T00:00:00"/>
    <m/>
    <m/>
    <m/>
    <m/>
  </r>
  <r>
    <s v="C-00018088"/>
    <m/>
    <m/>
    <s v="注文履歴"/>
    <s v="配送履歴"/>
    <s v="福井雄士"/>
    <s v="ふくいゆうじ"/>
    <n v="9068852301"/>
    <s v="hp@mayro.biz"/>
    <s v="https://mdpink.maildealer.jp/wapi.php"/>
    <m/>
    <s v="880-0806"/>
    <s v="宮崎県"/>
    <s v="宮崎市広島２丁目"/>
    <s v="8-30 グリーンヒル広島通リ1203"/>
    <m/>
    <s v="res_youtube"/>
    <d v="2022-09-17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7451"/>
    <m/>
    <m/>
    <s v="注文履歴"/>
    <s v="配送履歴"/>
    <s v="福島泉"/>
    <s v="ふくしまいずみ"/>
    <n v="8053635811"/>
    <s v="izumi000126@gmail.com"/>
    <s v="https://mdpink.maildealer.jp/wapi.php"/>
    <m/>
    <s v="134-0088"/>
    <s v="東京都"/>
    <s v="江戸川区西葛西"/>
    <s v="3-3-28アネックス赤澤304"/>
    <m/>
    <s v="res_youtube"/>
    <d v="2022-08-30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7224"/>
    <m/>
    <m/>
    <s v="注文履歴"/>
    <s v="配送履歴"/>
    <s v="五月女真英"/>
    <s v="そうとめまさひで"/>
    <n v="9022469522"/>
    <s v="sagittarius.ms1975@gmail.com"/>
    <s v="https://mdpink.maildealer.jp/wapi.php"/>
    <m/>
    <s v="329-0431"/>
    <s v="栃木県"/>
    <s v="下野市"/>
    <s v="薬師寺1524-7"/>
    <m/>
    <s v="res_youtube"/>
    <d v="2022-08-2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7086"/>
    <m/>
    <m/>
    <s v="注文履歴"/>
    <s v="配送履歴"/>
    <s v="因幡義人"/>
    <s v="いなばよしと"/>
    <n v="9076593639"/>
    <s v="toyako178@gmail.com"/>
    <s v="https://mdpink.maildealer.jp/wapi.php"/>
    <m/>
    <s v="049-5605"/>
    <s v="北海道"/>
    <s v="虻田郡洞爺湖町高砂町"/>
    <s v="116-51"/>
    <m/>
    <s v="res_youtube"/>
    <d v="2022-08-23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退会済"/>
    <d v="2024-02-20T00:00:00"/>
    <m/>
    <m/>
    <m/>
    <m/>
  </r>
  <r>
    <s v="C-00017042"/>
    <m/>
    <m/>
    <s v="注文履歴"/>
    <s v="配送履歴"/>
    <s v="長野修也"/>
    <s v="ながのしゅうや"/>
    <n v="9029598203"/>
    <s v="spirytushu@gmail.com"/>
    <s v="https://mdpink.maildealer.jp/wapi.php"/>
    <m/>
    <s v="990-0022"/>
    <s v="山形県"/>
    <s v="山形市東山形"/>
    <d v="2001-01-13T00:00:00"/>
    <m/>
    <s v="res_youtube"/>
    <d v="2022-08-22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7016"/>
    <m/>
    <m/>
    <s v="注文履歴"/>
    <s v="配送履歴"/>
    <s v="鷲山淳"/>
    <s v="わしやまじゅん"/>
    <m/>
    <s v="wasshoy.jun@gmail.com"/>
    <s v="https://mdpink.maildealer.jp/wapi.php"/>
    <m/>
    <s v="158-0081"/>
    <s v="東京都"/>
    <s v="世田谷区深沢"/>
    <d v="2008-03-05T00:00:00"/>
    <m/>
    <s v="res_youtube"/>
    <d v="2022-08-2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6827"/>
    <m/>
    <m/>
    <s v="注文履歴"/>
    <s v="配送履歴"/>
    <s v="中西祷"/>
    <s v="なかにしとう"/>
    <n v="9056696838"/>
    <s v="suntao0430@hotmail.com"/>
    <s v="https://mdpink.maildealer.jp/wapi.php"/>
    <m/>
    <s v="227-0055"/>
    <s v="神奈川県"/>
    <s v="横浜市青葉区つつじヶ丘"/>
    <s v="6-47"/>
    <m/>
    <s v="res_youtube"/>
    <d v="2022-08-18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6687"/>
    <m/>
    <m/>
    <s v="注文履歴"/>
    <s v="配送履歴"/>
    <s v="今井英樹"/>
    <s v="いまいひでき"/>
    <n v="9045414589"/>
    <s v="hide19730513@icloud.com"/>
    <s v="https://mdpink.maildealer.jp/wapi.php"/>
    <m/>
    <s v="376-0002"/>
    <s v="群馬県"/>
    <s v="桐生市境野町"/>
    <s v="1-1227-8"/>
    <m/>
    <s v="res_youtube"/>
    <d v="2022-08-14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6374"/>
    <m/>
    <m/>
    <s v="注文履歴"/>
    <s v="配送履歴"/>
    <s v="北原勇"/>
    <s v="きたはらゆう"/>
    <n v="9053032148"/>
    <s v="yunyou889@yahoo.co.jp"/>
    <s v="https://mdpink.maildealer.jp/wapi.php"/>
    <m/>
    <s v="399-2431"/>
    <s v="長野県"/>
    <s v="飯田市川路"/>
    <d v="1995-07-01T00:00:00"/>
    <m/>
    <s v="res_youtube"/>
    <d v="2022-08-09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m/>
    <m/>
    <m/>
    <m/>
    <m/>
    <m/>
    <m/>
  </r>
  <r>
    <s v="C-00016159"/>
    <m/>
    <m/>
    <s v="注文履歴"/>
    <s v="配送履歴"/>
    <s v="田中志郎"/>
    <s v="たなかしろう"/>
    <n v="8021877606"/>
    <s v="syart0928@gmail.com"/>
    <s v="https://mdpink.maildealer.jp/wapi.php"/>
    <m/>
    <s v="151-0053"/>
    <s v="東京都"/>
    <s v="渋谷区代々木"/>
    <s v="4-31-2-504"/>
    <m/>
    <s v="res_youtube"/>
    <d v="2022-07-3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5663"/>
    <m/>
    <m/>
    <s v="注文履歴"/>
    <s v="配送履歴"/>
    <s v="林静枝"/>
    <s v="はやししずえ"/>
    <n v="9024327179"/>
    <s v="parukawa1809@yahoo.co.jp"/>
    <s v="https://mdpink.maildealer.jp/wapi.php"/>
    <m/>
    <s v="134-0091"/>
    <s v="東京都"/>
    <s v="江戸川区船堀"/>
    <s v="1-1-2-824"/>
    <m/>
    <s v="res_youtube"/>
    <d v="2022-07-18T00:00:00"/>
    <x v="2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5564"/>
    <m/>
    <m/>
    <s v="注文履歴"/>
    <s v="配送履歴"/>
    <s v="森山善弘"/>
    <s v="もりやまよしひろ"/>
    <n v="9021420470"/>
    <s v="zenkou.m@gmail.com"/>
    <s v="https://mdpink.maildealer.jp/wapi.php"/>
    <m/>
    <s v="190-0022"/>
    <s v="東京都"/>
    <s v="立川市錦町"/>
    <d v="2002-05-05T00:00:00"/>
    <m/>
    <s v="res_youtube"/>
    <d v="2022-07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5365"/>
    <m/>
    <m/>
    <s v="注文履歴"/>
    <s v="配送履歴"/>
    <s v="高桑一也"/>
    <s v="たかくわかずや"/>
    <n v="9041508255"/>
    <s v="onego15@gmail.com"/>
    <s v="https://mdpink.maildealer.jp/wapi.php"/>
    <m/>
    <s v="330-0056"/>
    <s v="埼玉県"/>
    <s v="さいたま市浦和区東仲町"/>
    <s v="21-27 Arietta 207"/>
    <m/>
    <s v="res_youtube"/>
    <d v="2022-07-12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5272"/>
    <m/>
    <m/>
    <s v="注文履歴"/>
    <s v="配送履歴"/>
    <s v="施其楽"/>
    <s v="しいちいる"/>
    <n v="9018314250"/>
    <s v="free-style._0619_@i.softbank.jp"/>
    <s v="https://mdpink.maildealer.jp/wapi.php"/>
    <m/>
    <s v="441-3131"/>
    <s v="愛知県"/>
    <s v="豊橋市"/>
    <s v="大岩町小山塚56-15"/>
    <m/>
    <s v="res_youtube"/>
    <d v="2022-07-11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763"/>
    <m/>
    <m/>
    <s v="注文履歴"/>
    <s v="配送履歴"/>
    <s v="秋山行普"/>
    <s v="あきやまぎょうふ"/>
    <n v="8064477343"/>
    <s v="hu84477343@yahoo.co.jp"/>
    <s v="https://mdpink.maildealer.jp/wapi.php"/>
    <m/>
    <s v="510-0263"/>
    <s v="三重県"/>
    <s v="鈴鹿市郡山町"/>
    <s v="1804-56"/>
    <m/>
    <s v="res_youtube"/>
    <d v="2022-06-20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741"/>
    <m/>
    <m/>
    <s v="注文履歴"/>
    <s v="配送履歴"/>
    <s v="森田昌志"/>
    <s v="もりたまさし"/>
    <n v="9099551163"/>
    <s v="morita1m2@gmail.com"/>
    <s v="https://mdpink.maildealer.jp/wapi.php"/>
    <m/>
    <s v="347-0068"/>
    <s v="埼玉県"/>
    <s v="加須市大門町"/>
    <s v="13-16"/>
    <m/>
    <s v="res_youtube"/>
    <d v="2022-06-18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706"/>
    <m/>
    <m/>
    <s v="注文履歴"/>
    <s v="配送履歴"/>
    <s v="矢野美奈子"/>
    <s v="やのみなこ"/>
    <n v="9015321086"/>
    <s v="mina.yan375@ezweb.ne.jp"/>
    <s v="https://mdpink.maildealer.jp/wapi.php"/>
    <m/>
    <s v="838-0011"/>
    <s v="福岡県"/>
    <s v="朝倉市秋月野鳥"/>
    <s v="762-6"/>
    <m/>
    <s v="jim_opt"/>
    <d v="2022-06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220"/>
    <m/>
    <m/>
    <s v="注文履歴"/>
    <s v="配送履歴"/>
    <s v="大野晴美"/>
    <s v="おおのはるみ"/>
    <n v="9058217820"/>
    <s v="harumi-ohno.7820@softbank.ne.jp"/>
    <s v="https://mdpink.maildealer.jp/wapi.php"/>
    <m/>
    <s v="251-0053"/>
    <s v="神奈川県"/>
    <s v="藤沢市本町"/>
    <d v="2001-11-07T00:00:00"/>
    <m/>
    <s v="res_youtube"/>
    <d v="2022-05-28T00:00:00"/>
    <x v="1"/>
    <d v="2025-05-20T00:00:00"/>
    <n v="59400"/>
    <m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173"/>
    <m/>
    <m/>
    <s v="注文履歴"/>
    <s v="配送履歴"/>
    <s v="原田直子"/>
    <s v="はらだなおこ"/>
    <n v="9075387368"/>
    <s v="haranao5005@gmail.com"/>
    <s v="https://mdpink.maildealer.jp/wapi.php"/>
    <m/>
    <s v="893-0032"/>
    <s v="鹿児島県"/>
    <s v="鹿屋市川西町"/>
    <s v="3992-19"/>
    <m/>
    <s v="res_youtube"/>
    <d v="2022-05-2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148"/>
    <m/>
    <m/>
    <s v="注文履歴"/>
    <s v="配送履歴"/>
    <s v="有村規子"/>
    <s v="ありむらのりこ"/>
    <n v="9090199865"/>
    <s v="gon5chako2@gmail.com"/>
    <s v="https://mdpink.maildealer.jp/wapi.php"/>
    <m/>
    <s v="293-0058"/>
    <s v="千葉県"/>
    <s v="富津市佐貫"/>
    <n v="186"/>
    <m/>
    <s v="seminar_free_220530hl"/>
    <d v="2022-05-2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3943"/>
    <m/>
    <m/>
    <s v="注文履歴"/>
    <s v="配送履歴"/>
    <s v="庄子徳一"/>
    <s v="しょうじのりかず"/>
    <n v="8055986748"/>
    <s v="shoji123@fgbb.jp"/>
    <s v="https://mdpink.maildealer.jp/wapi.php"/>
    <m/>
    <s v="064-0824"/>
    <s v="北海道"/>
    <s v="札幌市中央区北四条西30丁目1-17"/>
    <s v="エバメゾンン宮ノ森神宮前401"/>
    <m/>
    <m/>
    <d v="2022-05-19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m/>
    <m/>
    <m/>
    <m/>
    <m/>
    <m/>
    <m/>
  </r>
  <r>
    <s v="C-00013941"/>
    <m/>
    <m/>
    <s v="注文履歴"/>
    <s v="配送履歴"/>
    <s v="伊藤誠司"/>
    <s v="いとうせいじ"/>
    <n v="9049213672"/>
    <s v="seiji.deen@gmail.com"/>
    <s v="https://mdpink.maildealer.jp/wapi.php"/>
    <m/>
    <s v="401-0301"/>
    <s v="山梨県"/>
    <s v="南都留郡富士河口湖町船津"/>
    <d v="2025-03-05T00:00:00"/>
    <m/>
    <m/>
    <d v="2022-05-19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m/>
    <m/>
    <m/>
    <m/>
    <m/>
  </r>
  <r>
    <s v="C-00013880"/>
    <m/>
    <m/>
    <s v="注文履歴"/>
    <s v="配送履歴"/>
    <s v="松下和樹"/>
    <s v="まつしたかずき"/>
    <n v="9065957477"/>
    <s v="delirayarc@yahoo.co.jp"/>
    <s v="https://mdpink.maildealer.jp/wapi.php"/>
    <m/>
    <s v="436-0070"/>
    <s v="静岡県"/>
    <s v="掛川市紅葉台"/>
    <d v="2025-09-08T00:00:00"/>
    <m/>
    <s v="jim_opt"/>
    <d v="2022-05-17T00:00:00"/>
    <x v="1"/>
    <d v="2025-03-20T00:00:00"/>
    <n v="59400"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06-20T00:00:00"/>
    <m/>
    <m/>
    <m/>
    <m/>
    <m/>
    <m/>
    <m/>
    <m/>
    <m/>
    <m/>
    <m/>
    <m/>
    <m/>
    <m/>
    <m/>
    <m/>
    <m/>
    <m/>
    <m/>
    <m/>
  </r>
  <r>
    <s v="C-00013819"/>
    <m/>
    <m/>
    <s v="注文履歴"/>
    <s v="配送履歴"/>
    <s v="池田寿子"/>
    <s v="いけだひさこ"/>
    <n v="8052028204"/>
    <s v="rakuchakochan@gmail.com"/>
    <s v="https://mdpink.maildealer.jp/wapi.php"/>
    <m/>
    <s v="806-0059"/>
    <s v="福岡県"/>
    <s v="北九州市八幡西区萩原１丁目"/>
    <s v="1ー6ー202"/>
    <m/>
    <s v="jim_opt"/>
    <d v="2022-05-16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s v="月額会員3,000円(退会済）"/>
    <d v="2024-08-20T00:00:00"/>
    <s v="月額会員（14,500円）(退会済）"/>
    <d v="2022-05-20T00:00:00"/>
    <m/>
    <m/>
    <m/>
    <m/>
    <m/>
    <m/>
    <m/>
    <m/>
    <m/>
    <m/>
    <m/>
    <m/>
    <m/>
    <m/>
    <m/>
    <m/>
    <m/>
    <m/>
    <m/>
    <m/>
  </r>
  <r>
    <s v="C-00013797"/>
    <m/>
    <m/>
    <s v="注文履歴"/>
    <s v="配送履歴"/>
    <s v="伴野均"/>
    <s v="ばんのひとし"/>
    <n v="7053254817"/>
    <s v="banbanbee@yahoo.co.jp"/>
    <s v="https://mdpink.maildealer.jp/wapi.php"/>
    <m/>
    <s v="496-0026"/>
    <s v="愛知県"/>
    <s v="津島市唐臼町囲外"/>
    <d v="1965-11-01T00:00:00"/>
    <m/>
    <s v="res_youtube"/>
    <d v="2022-05-16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3600"/>
    <m/>
    <m/>
    <s v="注文履歴"/>
    <s v="配送履歴"/>
    <s v="川口緑子"/>
    <s v="かわぐちみどりこ"/>
    <n v="9083959139"/>
    <s v="mitdy.236714k@ezweb.ne.jp"/>
    <s v="https://mdpink.maildealer.jp/wapi.php"/>
    <m/>
    <s v="869-1233"/>
    <s v="熊本県"/>
    <s v="菊池郡大津町"/>
    <s v="大字大津1461"/>
    <m/>
    <s v="res_youtube"/>
    <d v="2022-05-15T00:00:00"/>
    <x v="5"/>
    <d v="2025-03-20T00:00:0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3450"/>
    <m/>
    <m/>
    <s v="注文履歴"/>
    <s v="配送履歴"/>
    <s v="榎田昭彦"/>
    <s v="えのきだあきひこ"/>
    <n v="9083936656"/>
    <s v="11043865e@gmail.com"/>
    <s v="https://mdpink.maildealer.jp/wapi.php"/>
    <m/>
    <s v="888-0001"/>
    <s v="宮崎県"/>
    <s v="串間市西方"/>
    <d v="1965-02-01T00:00:00"/>
    <m/>
    <s v="seminar_free_220523hl"/>
    <d v="2022-05-06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2-06-28T00:00:00"/>
    <m/>
    <m/>
    <m/>
    <m/>
  </r>
  <r>
    <s v="C-00013377"/>
    <m/>
    <m/>
    <s v="注文履歴"/>
    <s v="配送履歴"/>
    <s v="大山郁文"/>
    <s v="おおやまいくふみ"/>
    <n v="9015142225"/>
    <s v="ohyamagon@yahoo.co.jp"/>
    <s v="https://mdpink.maildealer.jp/wapi.php"/>
    <m/>
    <s v="169-0075"/>
    <s v="東京都"/>
    <s v="新宿区高田馬場"/>
    <s v="4-35-10上ノ台マンション102"/>
    <m/>
    <s v="res_youtube"/>
    <d v="2022-04-29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2524"/>
    <m/>
    <m/>
    <s v="注文履歴"/>
    <s v="配送履歴"/>
    <s v="東江明子"/>
    <s v="とうえあきこ"/>
    <n v="8054652617"/>
    <s v="hkhrf700@yahoo.co.jp"/>
    <s v="https://mdpink.maildealer.jp/wapi.php"/>
    <m/>
    <s v="235-0045"/>
    <s v="神奈川県"/>
    <s v="横浜市磯子区洋光台"/>
    <s v="4-27-5"/>
    <m/>
    <s v="trnd_jrls"/>
    <d v="2022-04-0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2509"/>
    <m/>
    <m/>
    <s v="注文履歴"/>
    <s v="配送履歴"/>
    <s v="高山聡"/>
    <s v="たかやまさとし"/>
    <n v="9052950659"/>
    <s v="takarinayan910@gmail.com"/>
    <s v="https://mdpink.maildealer.jp/wapi.php"/>
    <m/>
    <s v="337-0015"/>
    <s v="埼玉県"/>
    <s v="さいたま市見沼区蓮沼５７４－１"/>
    <s v="2-204"/>
    <m/>
    <s v="trnd_jrls"/>
    <d v="2022-11-06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m/>
    <m/>
    <m/>
    <m/>
    <m/>
    <m/>
    <m/>
  </r>
  <r>
    <s v="C-00011849"/>
    <m/>
    <m/>
    <s v="注文履歴"/>
    <s v="配送履歴"/>
    <s v="喜田利生"/>
    <s v="きだとしお"/>
    <n v="798558737"/>
    <s v="athj1101@bcc.bai.ne.jp"/>
    <s v="https://mdpink.maildealer.jp/wapi.php"/>
    <m/>
    <s v="663-8112"/>
    <s v="兵庫県"/>
    <s v="西宮市甲子園口北町"/>
    <s v="20-18-208"/>
    <m/>
    <m/>
    <d v="2022-02-02T00:00:00"/>
    <x v="0"/>
    <d v="2025-03-20T00:00:00"/>
    <n v="114300"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m/>
    <m/>
    <m/>
    <m/>
    <m/>
  </r>
  <r>
    <s v="C-00011840"/>
    <m/>
    <m/>
    <s v="注文履歴"/>
    <s v="配送履歴"/>
    <s v="渡慶次春美"/>
    <s v="とけしはるみ"/>
    <n v="9097817008"/>
    <s v="tokeshi3831@gmail.com"/>
    <s v="https://mdpink.maildealer.jp/wapi.php"/>
    <m/>
    <s v="902-0077"/>
    <s v="沖縄県"/>
    <s v="那覇市長田"/>
    <s v="2-9-3 コーポ長田原201"/>
    <m/>
    <m/>
    <d v="2022-02-01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m/>
    <m/>
    <m/>
    <m/>
    <m/>
  </r>
  <r>
    <s v="C-00011781"/>
    <m/>
    <m/>
    <s v="注文履歴"/>
    <s v="配送履歴"/>
    <s v="松田則子"/>
    <s v="まつだのりこ"/>
    <n v="9073444140"/>
    <s v="jajauma1@i.softbank.jp"/>
    <s v="https://mdpink.maildealer.jp/wapi.php"/>
    <m/>
    <s v="582-0020"/>
    <s v="大阪府"/>
    <s v="柏原市片山町"/>
    <s v="2-29"/>
    <m/>
    <s v="jim_opt"/>
    <d v="2022-01-22T00:00:00"/>
    <x v="7"/>
    <d v="2025-07-20T00:00:00"/>
    <n v="113220"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1517"/>
    <m/>
    <m/>
    <s v="注文履歴"/>
    <s v="配送履歴"/>
    <s v="石原澄香"/>
    <s v="いしはらすみか"/>
    <n v="9068080019"/>
    <s v="agashi@za.ztv.ne.jp"/>
    <s v="https://mdpink.maildealer.jp/wapi.php"/>
    <m/>
    <s v="519-3206"/>
    <s v="三重県"/>
    <s v="北牟婁郡　紀北町　海野"/>
    <n v="69"/>
    <m/>
    <s v="jim_opt"/>
    <d v="2021-12-21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0769"/>
    <m/>
    <m/>
    <s v="注文履歴"/>
    <s v="配送履歴"/>
    <s v="角谷啓太"/>
    <s v="かくたにけいた"/>
    <n v="8022117036"/>
    <s v="baconjapan@gmail.com"/>
    <s v="https://mdpink.maildealer.jp/wapi.php"/>
    <m/>
    <s v="164-0011"/>
    <s v="東京都"/>
    <s v="中野区中央"/>
    <s v="1-15-2-410"/>
    <m/>
    <m/>
    <d v="2021-09-18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1-11-16T00:00:00"/>
    <m/>
    <m/>
    <m/>
    <m/>
    <m/>
    <m/>
    <m/>
    <m/>
    <m/>
    <m/>
    <m/>
    <m/>
    <s v="終了（分割会員）"/>
    <d v="2022-11-20T00:00:00"/>
    <m/>
    <m/>
    <m/>
    <m/>
    <m/>
    <m/>
  </r>
  <r>
    <s v="C-00010742"/>
    <m/>
    <m/>
    <s v="注文履歴"/>
    <s v="配送履歴"/>
    <s v="平井満晴"/>
    <s v="ひらいみつはる"/>
    <n v="9015897212"/>
    <s v="escamillas@docomo.ne.jp"/>
    <s v="https://mdpink.maildealer.jp/wapi.php"/>
    <m/>
    <s v="529-0272"/>
    <s v="滋賀県"/>
    <s v="長浜市高月町片山"/>
    <s v="70番地"/>
    <m/>
    <m/>
    <d v="2021-09-16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12-20T00:00:00"/>
    <m/>
    <m/>
    <m/>
    <m/>
    <m/>
    <m/>
    <m/>
    <m/>
    <m/>
    <m/>
    <m/>
    <m/>
    <m/>
    <m/>
    <m/>
    <m/>
    <m/>
    <m/>
    <m/>
    <m/>
  </r>
  <r>
    <s v="C-00010694"/>
    <m/>
    <m/>
    <s v="注文履歴"/>
    <s v="配送履歴"/>
    <s v="上田公美子"/>
    <s v="うえだくみこ"/>
    <n v="9099015678"/>
    <s v="hanahana.po@gmail.com"/>
    <s v="https://mdpink.maildealer.jp/wapi.php"/>
    <m/>
    <s v="465-0091"/>
    <s v="愛知県"/>
    <s v="名古屋市名東区よもぎ台3丁目"/>
    <s v="902ヨモギ台パークホームズ602"/>
    <m/>
    <m/>
    <d v="2021-09-15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m/>
    <m/>
    <m/>
    <m/>
    <m/>
    <m/>
    <m/>
  </r>
  <r>
    <s v="C-00010415"/>
    <m/>
    <m/>
    <s v="注文履歴"/>
    <s v="配送履歴"/>
    <s v="安藤浩二"/>
    <s v="あんどうこうじ"/>
    <n v="8055191190"/>
    <s v="ando913224904@gmail.com"/>
    <s v="https://mdpink.maildealer.jp/wapi.php"/>
    <m/>
    <s v="123-0841"/>
    <s v="東京都"/>
    <s v="足立区西新井"/>
    <s v="6-23-20"/>
    <m/>
    <m/>
    <d v="2020-09-01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m/>
    <m/>
    <m/>
    <m/>
    <m/>
    <m/>
    <m/>
  </r>
  <r>
    <s v="C-00010413"/>
    <m/>
    <m/>
    <s v="注文履歴"/>
    <s v="配送履歴"/>
    <s v="國崎真"/>
    <s v="くにさきまこと"/>
    <n v="926003000"/>
    <s v="kunisaki.cc@gmail.com"/>
    <s v="https://mdpink.maildealer.jp/wapi.php"/>
    <m/>
    <s v="810-0053"/>
    <s v="福岡県"/>
    <s v="福岡市中央区鳥飼２丁目"/>
    <d v="2025-03-26T00:00:00"/>
    <m/>
    <m/>
    <d v="2019-11-30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（14,500円）(退会済）"/>
    <d v="2021-11-10T00:00:00"/>
    <m/>
    <m/>
    <m/>
    <m/>
    <m/>
    <m/>
    <m/>
    <m/>
    <m/>
    <m/>
    <m/>
    <m/>
    <m/>
    <m/>
    <m/>
    <m/>
    <m/>
    <m/>
    <m/>
    <m/>
  </r>
  <r>
    <s v="C-00010380"/>
    <m/>
    <m/>
    <s v="注文履歴"/>
    <s v="配送履歴"/>
    <s v="渡辺敏明"/>
    <s v="わたなべとしあき"/>
    <n v="474873239"/>
    <s v="tswatana@gmail.com"/>
    <s v="https://mdpink.maildealer.jp/wapi.php"/>
    <m/>
    <s v="276-0029"/>
    <s v="千葉県"/>
    <s v="八千代市村上"/>
    <d v="2004-07-03T00:00:00"/>
    <m/>
    <m/>
    <d v="2021-09-12T00:00:00"/>
    <x v="7"/>
    <d v="2025-05-20T00:00:00"/>
    <n v="113220"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s v="月額会員（14,500円）(退会済）"/>
    <d v="2021-11-11T00:00:00"/>
    <m/>
    <m/>
    <m/>
    <m/>
    <m/>
    <m/>
    <m/>
    <m/>
    <m/>
    <m/>
    <m/>
    <m/>
    <m/>
    <m/>
    <m/>
    <m/>
    <m/>
    <m/>
    <m/>
    <m/>
  </r>
  <r>
    <s v="C-00010361"/>
    <m/>
    <m/>
    <s v="注文履歴"/>
    <s v="配送履歴"/>
    <s v="水谷敏彦"/>
    <s v="みずたにとしひこ"/>
    <n v="9041108854"/>
    <s v="mzt2-104hk-7hk@coda.ocn.ne.jp"/>
    <s v="https://mdpink.maildealer.jp/wapi.php"/>
    <m/>
    <s v="508-0011"/>
    <s v="岐阜県"/>
    <s v="中津川市"/>
    <s v="駒場363-3 Vigoaisho中津川901号"/>
    <m/>
    <s v="jim_opt"/>
    <d v="2021-09-12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1-11-20T00:00:00"/>
    <m/>
    <m/>
    <m/>
    <m/>
    <m/>
    <m/>
    <m/>
    <m/>
    <m/>
    <m/>
    <m/>
    <m/>
    <s v="終了（分割会員）"/>
    <d v="2022-11-20T00:00:00"/>
    <m/>
    <m/>
    <m/>
    <m/>
    <m/>
    <m/>
  </r>
  <r>
    <s v="C-00010357"/>
    <m/>
    <m/>
    <s v="注文履歴"/>
    <s v="配送履歴"/>
    <s v="内田葉子"/>
    <s v="うちだようこ"/>
    <n v="9035962054"/>
    <s v="hakochan@gmail.com"/>
    <s v="https://mdpink.maildealer.jp/wapi.php"/>
    <m/>
    <s v="152-0013"/>
    <s v="東京都"/>
    <s v="目黒区南1丁目"/>
    <d v="2025-05-18T00:00:00"/>
    <m/>
    <m/>
    <d v="2018-07-23T00:00:00"/>
    <x v="7"/>
    <d v="2025-05-20T00:00:00"/>
    <n v="113220"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s v="月額会員（14,500円）(退会済）"/>
    <d v="2021-11-11T00:00:00"/>
    <m/>
    <m/>
    <m/>
    <m/>
    <m/>
    <m/>
    <m/>
    <m/>
    <m/>
    <m/>
    <m/>
    <m/>
    <m/>
    <m/>
    <m/>
    <m/>
    <m/>
    <m/>
    <m/>
    <m/>
  </r>
  <r>
    <s v="C-00010349"/>
    <m/>
    <m/>
    <s v="注文履歴"/>
    <s v="配送履歴"/>
    <s v="岡村吉泰"/>
    <s v="おかむらよしひろ"/>
    <n v="453257548"/>
    <s v="montoyo3012@gmail.com"/>
    <s v="https://mdpink.maildealer.jp/wapi.php"/>
    <m/>
    <s v="233-0008"/>
    <s v="神奈川県"/>
    <s v="横浜市港南区最戸2丁目"/>
    <d v="2001-10-01T00:00:00"/>
    <m/>
    <m/>
    <d v="2020-04-10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s v="オンライン月額（退会済）"/>
    <d v="2020-12-20T00:00:00"/>
    <m/>
    <m/>
    <m/>
    <m/>
    <m/>
    <m/>
    <s v="月額会員（14,500円）(退会済）"/>
    <d v="2021-11-18T00:00:00"/>
    <m/>
    <m/>
    <m/>
    <m/>
    <m/>
    <m/>
    <m/>
    <m/>
    <s v="月額（退会済）"/>
    <d v="2020-09-18T00:00:00"/>
    <m/>
    <m/>
    <s v="退会済（分割会員）"/>
    <d v="2022-05-08T00:00:00"/>
    <m/>
    <m/>
    <m/>
    <m/>
    <m/>
    <m/>
  </r>
  <r>
    <s v="C-00010289"/>
    <m/>
    <m/>
    <s v="注文履歴"/>
    <s v="配送履歴"/>
    <s v="川井聡子"/>
    <s v="かわいさとこ"/>
    <n v="9021465003"/>
    <s v="satosato104@gmail.com"/>
    <s v="https://mdpink.maildealer.jp/wapi.php"/>
    <m/>
    <s v="353-0007"/>
    <s v="埼玉県"/>
    <s v="志木市柏町"/>
    <s v="6-26-20"/>
    <m/>
    <m/>
    <d v="2020-02-01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(退会済）"/>
    <d v="2021-11-20T00:00:00"/>
    <m/>
    <m/>
    <m/>
    <m/>
    <m/>
    <m/>
    <m/>
    <m/>
    <m/>
    <m/>
    <m/>
    <m/>
    <s v="終了（分割会員）"/>
    <d v="2022-11-20T00:00:00"/>
    <m/>
    <m/>
    <m/>
    <m/>
    <m/>
    <m/>
  </r>
  <r>
    <s v="C-00010227"/>
    <m/>
    <m/>
    <s v="注文履歴"/>
    <s v="配送履歴"/>
    <s v="小澤範鎮"/>
    <s v="おざわのりやす"/>
    <n v="8088979837"/>
    <s v="norizou0726@yahoo.co.jp"/>
    <s v="https://mdpink.maildealer.jp/wapi.php"/>
    <m/>
    <s v="135-0016"/>
    <s v="東京都"/>
    <s v="江東区"/>
    <s v="東陽3-26-25 サンライズレジデンス804号"/>
    <m/>
    <s v="jim_opt"/>
    <d v="2021-04-09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0215"/>
    <m/>
    <m/>
    <s v="注文履歴"/>
    <s v="配送履歴"/>
    <s v="菊田久義"/>
    <s v="きくたひさよし"/>
    <n v="9058313203"/>
    <s v="hisa3kiku3@gmail.com"/>
    <s v="https://mdpink.maildealer.jp/wapi.php"/>
    <m/>
    <s v="981-0913"/>
    <s v="宮城県"/>
    <s v="仙台市"/>
    <s v="青葉区昭和町5-5"/>
    <m/>
    <m/>
    <d v="2019-05-03T00:00:00"/>
    <x v="8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銀振3ヶ月会員（退会済み）"/>
    <d v="2022-05-20T00:00:00"/>
    <m/>
    <m/>
    <m/>
    <m/>
    <m/>
    <m/>
    <m/>
    <m/>
    <m/>
    <m/>
    <m/>
    <m/>
    <m/>
    <m/>
    <m/>
    <m/>
    <m/>
    <m/>
    <m/>
    <m/>
  </r>
  <r>
    <s v="C-00010084"/>
    <m/>
    <m/>
    <s v="注文履歴"/>
    <s v="配送履歴"/>
    <s v="池元俊士"/>
    <s v="いけもとたかし"/>
    <n v="9088333901"/>
    <s v="ae86apex13@hotmail.com"/>
    <s v="https://mdpink.maildealer.jp/wapi.php"/>
    <m/>
    <s v="901-2222"/>
    <s v="沖縄県"/>
    <s v="宜野湾市喜友名"/>
    <d v="2001-08-10T00:00:00"/>
    <m/>
    <m/>
    <d v="2020-09-21T00:00:00"/>
    <x v="7"/>
    <d v="2025-04-20T00:00:00"/>
    <n v="113220"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m/>
    <m/>
    <m/>
    <m/>
    <m/>
  </r>
  <r>
    <s v="C-00010034"/>
    <m/>
    <m/>
    <s v="注文履歴"/>
    <s v="配送履歴"/>
    <s v="古川元司"/>
    <s v="ふるかわげんじ"/>
    <n v="9014972478"/>
    <s v="pururan55@outlook.jp"/>
    <s v="https://mdpink.maildealer.jp/wapi.php"/>
    <m/>
    <s v="001-0023"/>
    <s v="北海道"/>
    <s v="札幌市北区北２３条西"/>
    <s v="2-2-18 イリオスディオ203"/>
    <m/>
    <m/>
    <d v="2019-11-21T00:00:00"/>
    <x v="8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銀振3ヶ月会員（退会済み）"/>
    <d v="2020-12-20T00:00:00"/>
    <m/>
    <m/>
    <m/>
    <m/>
    <m/>
    <m/>
    <m/>
    <m/>
    <m/>
    <m/>
    <m/>
    <m/>
    <m/>
    <m/>
    <m/>
    <m/>
    <m/>
    <m/>
    <m/>
    <m/>
  </r>
  <r>
    <s v="C-00010029"/>
    <m/>
    <m/>
    <s v="注文履歴"/>
    <s v="配送履歴"/>
    <s v="直井由香里"/>
    <s v="なおいゆかり"/>
    <n v="9014092969"/>
    <s v="wainaoi@yahoo.co.jp"/>
    <s v="https://mdpink.maildealer.jp/wapi.php"/>
    <m/>
    <s v="143-0015"/>
    <s v="東京都"/>
    <s v="大田区"/>
    <s v="大森西4-6-6-204"/>
    <m/>
    <m/>
    <d v="2019-09-27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s v="月額会員(退会済）"/>
    <d v="2020-06-17T00:00:00"/>
    <m/>
    <m/>
    <m/>
    <m/>
    <s v="月額会員（週2）(退会済）"/>
    <d v="2019-11-16T00:00:00"/>
    <m/>
    <m/>
    <m/>
    <m/>
    <m/>
    <m/>
    <m/>
    <m/>
    <m/>
    <m/>
    <s v="継続年間会員(退会済)"/>
    <d v="2024-05-20T00:00:00"/>
    <m/>
    <m/>
  </r>
  <r>
    <s v="C-00010021"/>
    <m/>
    <m/>
    <s v="注文履歴"/>
    <s v="配送履歴"/>
    <s v="諸戸芳雄"/>
    <s v="もろとよしお"/>
    <n v="9060863407"/>
    <s v="u36015@i.softbank.jp"/>
    <s v="https://mdpink.maildealer.jp/wapi.php"/>
    <m/>
    <s v="493-0002"/>
    <s v="愛知県"/>
    <s v="一宮市木曽川町門間"/>
    <s v="字郷前48-3シエルクレール305号室"/>
    <m/>
    <m/>
    <d v="2020-01-02T00:00:00"/>
    <x v="7"/>
    <d v="2025-04-20T00:00:00"/>
    <n v="113220"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99"/>
    <m/>
    <m/>
    <s v="注文履歴"/>
    <s v="配送履歴"/>
    <s v="村上裕一"/>
    <s v="むらかみゆういち"/>
    <n v="9045342715"/>
    <s v="srikych5lg@outlook.jp"/>
    <s v="https://mdpink.maildealer.jp/wapi.php"/>
    <m/>
    <s v="174-0056"/>
    <s v="東京都"/>
    <s v="板橋区志村二丁目4番"/>
    <s v="5-205号"/>
    <m/>
    <m/>
    <d v="2018-09-28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91"/>
    <m/>
    <m/>
    <s v="注文履歴"/>
    <s v="配送履歴"/>
    <s v="安部明"/>
    <s v="あべあきら"/>
    <n v="8059011661"/>
    <s v="akirasato0927@gmail.com"/>
    <s v="https://mdpink.maildealer.jp/wapi.php"/>
    <m/>
    <s v="349-0101"/>
    <s v="埼玉県"/>
    <s v="蓮田市"/>
    <s v="黒浜4908-6"/>
    <m/>
    <m/>
    <d v="2020-01-30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m/>
    <m/>
    <m/>
    <m/>
    <m/>
  </r>
  <r>
    <s v="C-00009990"/>
    <m/>
    <m/>
    <s v="注文履歴"/>
    <s v="配送履歴"/>
    <s v="寺田大樹"/>
    <s v="てらだだいき"/>
    <n v="9013899009"/>
    <s v="zwu10716@gmail.com"/>
    <s v="https://mdpink.maildealer.jp/wapi.php"/>
    <m/>
    <s v="061-0233"/>
    <s v="北海道"/>
    <s v="石狩郡当別町"/>
    <s v="白樺町59-27"/>
    <m/>
    <m/>
    <d v="2020-05-31T00:00:00"/>
    <x v="7"/>
    <d v="2025-04-20T00:00:00"/>
    <n v="113220"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m/>
    <m/>
    <m/>
    <m/>
    <m/>
  </r>
  <r>
    <s v="C-00009989"/>
    <m/>
    <m/>
    <s v="注文履歴"/>
    <s v="配送履歴"/>
    <s v="光田宏"/>
    <s v="こうたひろし"/>
    <n v="9029547240"/>
    <s v="minamoto724@icloud.com"/>
    <s v="https://mdpink.maildealer.jp/wapi.php"/>
    <m/>
    <s v="337-0002"/>
    <s v="埼玉県"/>
    <s v="さいたま市見沼区春野"/>
    <s v="2-4-6-506"/>
    <m/>
    <m/>
    <d v="2020-03-05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s v="月額会員3,000円(退会済）"/>
    <d v="2020-12-17T00:00:00"/>
    <s v="月額会員(退会済）"/>
    <d v="2020-10-20T00:00:00"/>
    <m/>
    <m/>
    <m/>
    <m/>
    <m/>
    <m/>
    <m/>
    <m/>
    <m/>
    <m/>
    <m/>
    <m/>
    <m/>
    <m/>
    <m/>
    <m/>
    <m/>
    <m/>
    <m/>
    <m/>
  </r>
  <r>
    <s v="C-00009981"/>
    <m/>
    <m/>
    <s v="注文履歴"/>
    <s v="配送履歴"/>
    <s v="喜多岡雅典"/>
    <s v="きたおかまさのり"/>
    <n v="9074849436"/>
    <s v="info@kitaokaclinic.jp"/>
    <s v="https://mdpink.maildealer.jp/wapi.php"/>
    <m/>
    <s v="543-0052"/>
    <s v="大阪府"/>
    <s v="大阪市天王寺区大道"/>
    <s v="3-1-23-201"/>
    <m/>
    <m/>
    <d v="2018-03-13T00:00:00"/>
    <x v="7"/>
    <d v="2025-12-20T00:00:00"/>
    <n v="113220"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74"/>
    <m/>
    <m/>
    <s v="注文履歴"/>
    <s v="配送履歴"/>
    <s v="辻和子"/>
    <s v="つじかずこ"/>
    <n v="337269063"/>
    <s v="fortuna783kaichan@ezweb.ne.jp"/>
    <s v="https://mdpink.maildealer.jp/wapi.php"/>
    <m/>
    <s v="158-0084"/>
    <s v="東京都"/>
    <s v="世田谷区東玉川"/>
    <s v="2-18-2"/>
    <m/>
    <m/>
    <d v="2017-11-13T00:00:00"/>
    <x v="7"/>
    <d v="2025-04-20T00:00:00"/>
    <n v="113220"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68"/>
    <m/>
    <m/>
    <s v="注文履歴"/>
    <s v="配送履歴"/>
    <s v="元栄慎一郎"/>
    <s v="もとえしんいちろう"/>
    <n v="8094705583"/>
    <s v="qqba55bd@oasis.ocn.ne.jp"/>
    <s v="https://mdpink.maildealer.jp/wapi.php"/>
    <m/>
    <s v="671-1235"/>
    <s v="兵庫県"/>
    <s v="姫路市網干区北新在家"/>
    <s v="94ディアス北新在家A棟105号"/>
    <m/>
    <m/>
    <d v="2017-10-15T00:00:00"/>
    <x v="7"/>
    <d v="2025-05-20T00:00:00"/>
    <n v="113220"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m/>
    <m/>
    <m/>
    <m/>
    <m/>
  </r>
  <r>
    <s v="C-00009957"/>
    <m/>
    <m/>
    <s v="注文履歴"/>
    <s v="配送履歴"/>
    <s v="矢吹江里子"/>
    <s v="やぶきえりこ"/>
    <n v="9081799343"/>
    <s v="ybkerk@gmail.com"/>
    <s v="https://mdpink.maildealer.jp/wapi.php"/>
    <m/>
    <s v="108-0073"/>
    <s v="東京都"/>
    <s v="港区三田"/>
    <s v="2-4-18-409"/>
    <m/>
    <m/>
    <d v="2017-07-03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54"/>
    <m/>
    <m/>
    <s v="注文履歴"/>
    <s v="配送履歴"/>
    <s v="高浪英二"/>
    <s v="たかなみえいじ"/>
    <n v="9013492728"/>
    <s v="takanami007731@i.softbank.jp"/>
    <s v="https://mdpink.maildealer.jp/wapi.php"/>
    <m/>
    <s v="187-0043"/>
    <s v="東京都"/>
    <s v="小平市学園東町"/>
    <s v="560-100"/>
    <m/>
    <m/>
    <d v="2017-06-14T00:00:00"/>
    <x v="7"/>
    <d v="2025-04-20T00:00:00"/>
    <n v="113220"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51"/>
    <m/>
    <m/>
    <s v="注文履歴"/>
    <s v="配送履歴"/>
    <s v="池田祐二"/>
    <s v="いけだゆうじ"/>
    <n v="9069935590"/>
    <s v="juydki@gmail.com"/>
    <s v="https://mdpink.maildealer.jp/wapi.php"/>
    <m/>
    <s v="064-0915"/>
    <s v="北海道"/>
    <s v="札幌市中央区南１５条西５丁目"/>
    <d v="2025-05-08T00:00:00"/>
    <m/>
    <m/>
    <d v="2019-10-17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45"/>
    <m/>
    <m/>
    <s v="注文履歴"/>
    <s v="配送履歴"/>
    <s v="大泉聡"/>
    <s v="おおいずみさとし"/>
    <n v="8053498326"/>
    <s v="stv.oizumi@gmail.com"/>
    <s v="https://mdpink.maildealer.jp/wapi.php"/>
    <m/>
    <s v="590-0805"/>
    <s v="大阪府"/>
    <s v="堺市堺区緑ヶ丘中町"/>
    <d v="2004-05-11T00:00:00"/>
    <m/>
    <m/>
    <d v="2020-01-20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9943"/>
    <m/>
    <m/>
    <s v="注文履歴"/>
    <s v="配送履歴"/>
    <s v="小宮山実"/>
    <s v="こみやまみのる"/>
    <n v="8046489642"/>
    <s v="mino.komiyama@gmail.com"/>
    <s v="https://mdpink.maildealer.jp/wapi.php"/>
    <m/>
    <s v="212-0054"/>
    <s v="神奈川県"/>
    <s v="川崎市幸区小倉"/>
    <s v="1-6-22-401"/>
    <m/>
    <m/>
    <d v="2017-04-02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m/>
    <m/>
    <m/>
    <m/>
    <m/>
  </r>
  <r>
    <s v="C-00009930"/>
    <m/>
    <m/>
    <s v="注文履歴"/>
    <s v="配送履歴"/>
    <s v="郷貴代子"/>
    <s v="ごうきよこ"/>
    <n v="9042491419"/>
    <s v="lilac2701@gmail.com"/>
    <s v="https://mdpink.maildealer.jp/wapi.php"/>
    <m/>
    <s v="184-0004"/>
    <s v="東京都"/>
    <s v="小金井市本町"/>
    <s v="2-19-33"/>
    <m/>
    <m/>
    <d v="2021-02-01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s v="月額会員3,000円(退会済）"/>
    <d v="2024-12-16T00:00:00"/>
    <s v="月額会員（14,500円）(退会済）"/>
    <d v="2021-11-20T00:00:00"/>
    <m/>
    <m/>
    <m/>
    <m/>
    <m/>
    <m/>
    <m/>
    <m/>
    <m/>
    <m/>
    <m/>
    <m/>
    <s v="退会済（分割会員）"/>
    <d v="2022-05-30T00:00:00"/>
    <m/>
    <m/>
    <m/>
    <m/>
    <m/>
    <m/>
  </r>
  <r>
    <s v="C-00009922"/>
    <m/>
    <m/>
    <s v="注文履歴"/>
    <s v="配送履歴"/>
    <s v="扇和洋"/>
    <s v="おうぎかずひろ"/>
    <n v="9074797074"/>
    <s v="okaz876@gmail.com"/>
    <s v="https://mdpink.maildealer.jp/wapi.php"/>
    <m/>
    <s v="817-1701"/>
    <s v="長崎県"/>
    <s v="対馬市上対馬町比田勝"/>
    <s v="575-5"/>
    <m/>
    <s v="jim_opt"/>
    <d v="2020-12-13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</r>
  <r>
    <s v="C-00009867"/>
    <m/>
    <m/>
    <s v="注文履歴"/>
    <s v="配送履歴"/>
    <s v="長坂泰光"/>
    <s v="ながさかやすみつ"/>
    <n v="9042132438"/>
    <s v="nagayanda@yahoo.co.jp"/>
    <s v="https://mdpink.maildealer.jp/wapi.php"/>
    <m/>
    <s v="565-0842"/>
    <s v="大阪府"/>
    <s v="吹田市千里山東"/>
    <s v="4-15-12"/>
    <m/>
    <m/>
    <d v="2017-11-01T00:00:00"/>
    <x v="1"/>
    <d v="2025-04-20T00:00:00"/>
    <n v="59400"/>
    <m/>
    <m/>
    <n v="59400"/>
    <m/>
    <m/>
    <m/>
    <m/>
    <m/>
    <m/>
    <m/>
    <m/>
    <m/>
    <m/>
    <m/>
    <m/>
    <n v="19800"/>
    <n v="19800"/>
    <n v="19800"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1-10-20T00:00:00"/>
    <s v="月額会員（14,500円）(退会済）"/>
    <d v="2023-10-19T00:00:00"/>
    <m/>
    <m/>
    <m/>
    <m/>
    <m/>
    <m/>
    <m/>
    <m/>
    <m/>
    <m/>
    <m/>
    <m/>
    <m/>
    <m/>
    <m/>
    <m/>
    <m/>
    <m/>
    <m/>
    <m/>
  </r>
  <r>
    <s v="C-00009845"/>
    <m/>
    <m/>
    <s v="注文履歴"/>
    <s v="配送履歴"/>
    <s v="畦地秀幸"/>
    <s v="あぜちひでゆき"/>
    <n v="9028909391"/>
    <s v="hidesato571526@yahoo.co.jp"/>
    <s v="https://mdpink.maildealer.jp/wapi.php"/>
    <m/>
    <s v="774-0021"/>
    <s v="徳島県"/>
    <s v="阿南市津乃峰町"/>
    <s v="東分22-15"/>
    <m/>
    <m/>
    <d v="2020-09-22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3-02-20T00:00:00"/>
    <m/>
    <m/>
    <m/>
    <m/>
    <m/>
    <m/>
    <m/>
    <m/>
    <m/>
    <m/>
    <m/>
    <m/>
    <s v="終了（分割会員）"/>
    <d v="2022-11-20T00:00:00"/>
    <m/>
    <m/>
    <m/>
    <m/>
    <m/>
    <m/>
  </r>
  <r>
    <s v="C-00009844"/>
    <m/>
    <m/>
    <s v="注文履歴"/>
    <s v="配送履歴"/>
    <s v="太田光博"/>
    <s v="おおたみつひろ"/>
    <n v="9098675271"/>
    <s v="trader3216@yahoo.co.jp"/>
    <s v="https://mdpink.maildealer.jp/wapi.php"/>
    <m/>
    <s v="398-0004"/>
    <s v="長野県"/>
    <s v="大町市常盤"/>
    <s v="5802-32"/>
    <m/>
    <m/>
    <d v="2020-09-23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s v="月額会員(退会済）"/>
    <d v="2022-05-20T00:00:00"/>
    <m/>
    <m/>
    <m/>
    <m/>
    <m/>
    <m/>
    <m/>
    <m/>
    <m/>
    <m/>
    <m/>
    <m/>
    <m/>
    <m/>
    <m/>
    <m/>
    <m/>
    <m/>
    <m/>
    <m/>
  </r>
  <r>
    <s v="C-00009735"/>
    <m/>
    <m/>
    <s v="注文履歴"/>
    <s v="配送履歴"/>
    <s v="渡邉稔久"/>
    <s v="わたなべとしひさ"/>
    <n v="8043051063"/>
    <s v="tku05210903@gmail.com"/>
    <s v="https://mdpink.maildealer.jp/wapi.php"/>
    <m/>
    <s v="458-0805"/>
    <s v="愛知県"/>
    <s v="名古屋市緑区大清水"/>
    <s v="三丁目912番地"/>
    <m/>
    <m/>
    <d v="2018-04-17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s v="月額会員3,000円(退会済）"/>
    <d v="2023-05-13T00:00:00"/>
    <s v="月額会員（14,500円）(退会済）"/>
    <d v="2021-11-16T00:00:00"/>
    <m/>
    <m/>
    <m/>
    <m/>
    <m/>
    <m/>
    <m/>
    <m/>
    <m/>
    <m/>
    <m/>
    <m/>
    <s v="終了（分割会員）"/>
    <d v="2022-11-20T00:00:00"/>
    <m/>
    <m/>
    <m/>
    <m/>
    <m/>
    <m/>
  </r>
  <r>
    <s v="C-00009716"/>
    <m/>
    <m/>
    <s v="注文履歴"/>
    <s v="配送履歴"/>
    <s v="高橋秀巳"/>
    <s v="たかはしひでみ"/>
    <n v="9083136695"/>
    <s v="hide777keitai@ezweb.ne.jp"/>
    <s v="https://mdpink.maildealer.jp/wapi.php"/>
    <m/>
    <s v="121-0055"/>
    <s v="東京都"/>
    <s v="足立区加平"/>
    <s v="3-3-17ライオンズステーションプラザ北綾瀬508"/>
    <m/>
    <m/>
    <d v="2019-02-04T00:00:00"/>
    <x v="7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s v="退会済（決済エラー）アカデミー会員"/>
    <d v="2021-05-20T00:00:00"/>
    <s v="休止中"/>
    <m/>
    <m/>
    <m/>
    <m/>
    <m/>
    <s v="月額会員（ライトコース）退会済"/>
    <d v="2021-11-19T00:00:00"/>
    <m/>
    <m/>
    <m/>
    <m/>
    <m/>
    <m/>
    <m/>
    <m/>
    <m/>
    <m/>
    <m/>
    <m/>
    <m/>
    <m/>
    <m/>
    <m/>
  </r>
  <r>
    <s v="C-00008161"/>
    <m/>
    <m/>
    <s v="注文履歴"/>
    <s v="配送履歴"/>
    <s v="西家善明"/>
    <s v="にしやよしあき"/>
    <n v="9020472480"/>
    <s v="nishiya8@gmail.com"/>
    <s v="https://mdpink.maildealer.jp/wapi.php"/>
    <m/>
    <s v="607-8080"/>
    <s v="京都府"/>
    <s v="京都市山科区竹鼻竹ノ街道町"/>
    <s v="81-13大生山科ビルディング202"/>
    <m/>
    <s v="jim_opt"/>
    <d v="2021-01-18T00:00:00"/>
    <x v="5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8001"/>
    <m/>
    <m/>
    <s v="注文履歴"/>
    <s v="配送履歴"/>
    <s v="黒河内健"/>
    <s v="くろこうちたけし"/>
    <n v="9061040844"/>
    <s v="tkskurokochi@gmail.com"/>
    <s v="https://mdpink.maildealer.jp/wapi.php"/>
    <m/>
    <s v="399-0703"/>
    <s v="長野県"/>
    <s v="塩尻市"/>
    <s v="広丘高出1794-3"/>
    <m/>
    <s v="jim_opt"/>
    <d v="2021-01-16T00:00:00"/>
    <x v="7"/>
    <d v="2025-04-20T00:00:00"/>
    <n v="113220"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7952"/>
    <m/>
    <m/>
    <s v="注文履歴"/>
    <s v="配送履歴"/>
    <s v="伊藤照雄"/>
    <s v="いとうてるお"/>
    <n v="8043366436"/>
    <s v="d86u2xfd@i.softbank.jp"/>
    <s v="https://mdpink.maildealer.jp/wapi.php"/>
    <m/>
    <s v="143-0012"/>
    <s v="東京都"/>
    <s v="大田区大森東"/>
    <s v="5-14-7エスト・リュミエール504"/>
    <m/>
    <s v="jim_opt"/>
    <d v="2021-01-16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7721"/>
    <m/>
    <m/>
    <s v="注文履歴"/>
    <s v="配送履歴"/>
    <s v="寺田剛"/>
    <s v="てらだたけし"/>
    <n v="9033546789"/>
    <s v="terada@bgk.jp"/>
    <s v="https://mdpink.maildealer.jp/wapi.php"/>
    <m/>
    <s v="514-0072"/>
    <s v="三重県"/>
    <s v="津市"/>
    <s v="小舟904-122"/>
    <m/>
    <s v="jim_opt"/>
    <d v="2021-01-14T00:00:00"/>
    <x v="8"/>
    <d v="2025-08-20T00:00:00"/>
    <n v="113220"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m/>
    <m/>
    <m/>
    <m/>
    <s v="月額会員3,000円(退会済）"/>
    <d v="2021-10-14T00:00:00"/>
    <s v="月額会員(退会済）"/>
    <d v="2022-05-20T00:00:00"/>
    <m/>
    <m/>
    <m/>
    <m/>
    <m/>
    <m/>
    <m/>
    <m/>
    <m/>
    <m/>
    <m/>
    <m/>
    <m/>
    <m/>
    <m/>
    <m/>
    <m/>
    <m/>
    <m/>
    <m/>
  </r>
  <r>
    <s v="C-00005599"/>
    <m/>
    <m/>
    <s v="注文履歴"/>
    <s v="配送履歴"/>
    <s v="江川準一"/>
    <s v="えがわじゅんいち"/>
    <n v="9033721514"/>
    <s v="egawajunichi1002@gmail.com"/>
    <s v="https://mdpink.maildealer.jp/wapi.php"/>
    <m/>
    <s v="730-0856"/>
    <s v="広島県"/>
    <s v="広島市中区河原町"/>
    <s v="5-27-501"/>
    <m/>
    <s v="saitou-fx_200528qa"/>
    <d v="2020-05-24T00:00:00"/>
    <x v="0"/>
    <d v="2025-04-20T00:00:00"/>
    <n v="114300"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s v="対面月額（退会済）"/>
    <d v="2021-03-01T00:00:00"/>
    <m/>
    <m/>
    <m/>
    <m/>
    <s v="月額会員3,000円(退会済）"/>
    <d v="2020-11-02T00:00:00"/>
    <s v="月額会員（14,500円）(退会済）"/>
    <d v="2023-10-19T00:00:00"/>
    <m/>
    <m/>
    <s v="月額会員（ライトコース）退会済"/>
    <d v="2020-12-10T00:00:00"/>
    <s v="月額会員（週2）(退会済）"/>
    <d v="2021-03-01T00:00:00"/>
    <m/>
    <m/>
    <m/>
    <m/>
    <m/>
    <m/>
    <m/>
    <m/>
    <m/>
    <m/>
    <m/>
    <m/>
    <m/>
    <m/>
  </r>
  <r>
    <s v="C-00005086"/>
    <n v="3034733"/>
    <m/>
    <s v="注文履歴"/>
    <s v="配送履歴"/>
    <s v="中村安博"/>
    <s v="なかむらやすひろ"/>
    <n v="8088083307"/>
    <s v="naka8344@gmail.com"/>
    <s v="https://mdpink.maildealer.jp/wapi.php"/>
    <m/>
    <s v="113-0021"/>
    <s v="東京都"/>
    <s v="文京区本駒込"/>
    <d v="2004-01-03T00:00:00"/>
    <m/>
    <s v="res"/>
    <d v="2020-03-28T00:00:00"/>
    <x v="0"/>
    <d v="2025-05-20T00:00:00"/>
    <n v="114300"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4918"/>
    <m/>
    <m/>
    <s v="注文履歴"/>
    <s v="配送履歴"/>
    <s v="木住野貴嗣"/>
    <s v="きしのたかし"/>
    <n v="9024009011"/>
    <s v="takashikishino6387@gmail.com"/>
    <s v="https://mdpink.maildealer.jp/wapi.php"/>
    <m/>
    <s v="156-0043"/>
    <s v="東京都"/>
    <s v="世田谷区松原"/>
    <s v="1-29-7 M2松原102"/>
    <m/>
    <s v="res"/>
    <d v="2021-01-15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s v="月額会員(3,000円）"/>
    <m/>
    <s v="月額会員（14,500円）(退会済）"/>
    <d v="2023-10-17T00:00:00"/>
    <m/>
    <m/>
    <m/>
    <m/>
    <m/>
    <m/>
    <m/>
    <m/>
    <m/>
    <m/>
    <m/>
    <m/>
    <m/>
    <m/>
    <m/>
    <m/>
    <m/>
    <m/>
    <m/>
    <m/>
  </r>
  <r>
    <s v="C-00003854"/>
    <m/>
    <m/>
    <s v="注文履歴"/>
    <s v="配送履歴"/>
    <s v="竹尾克之"/>
    <s v="たけおかつゆき"/>
    <n v="8052398239"/>
    <s v="cxk00451@nifty.ne.jp"/>
    <s v="https://mdpink.maildealer.jp/wapi.php"/>
    <m/>
    <s v="700-0002"/>
    <s v="岡山県"/>
    <s v="岡山市北区宿本町"/>
    <d v="2009-12-01T00:00:00"/>
    <m/>
    <s v="1807_fnh_opt01_jim"/>
    <d v="2018-07-12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00788"/>
    <n v="3009841"/>
    <m/>
    <s v="注文履歴"/>
    <s v="配送履歴"/>
    <s v="横野智子"/>
    <s v="よこのともこ"/>
    <n v="9051376200"/>
    <s v="sumire1231po@outlook.jp"/>
    <s v="https://mdpink.maildealer.jp/wapi.php"/>
    <m/>
    <s v="662-0016"/>
    <s v="兵庫県"/>
    <s v="西宮市甲陽園若江町"/>
    <s v="5-26-306"/>
    <m/>
    <s v="jim_opt"/>
    <d v="2017-06-20T00:00:00"/>
    <x v="0"/>
    <d v="2025-06-20T00:00:00"/>
    <n v="114300"/>
    <m/>
    <m/>
    <m/>
    <m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s v="年間会員（3,150円）"/>
    <m/>
    <m/>
    <m/>
    <m/>
    <m/>
    <m/>
    <m/>
    <m/>
    <m/>
    <m/>
    <m/>
    <m/>
    <m/>
    <m/>
    <m/>
    <m/>
    <m/>
    <m/>
    <m/>
    <m/>
    <m/>
    <m/>
    <m/>
  </r>
  <r>
    <s v="C-00000014"/>
    <m/>
    <m/>
    <s v="注文履歴"/>
    <s v="配送履歴"/>
    <s v="中ノ上美恵"/>
    <s v="なかのうえみえ"/>
    <n v="9016743574"/>
    <s v="mee.neko.nyao@gmail.com"/>
    <s v="https://mdpink.maildealer.jp/wapi.php"/>
    <m/>
    <s v="560-0011"/>
    <s v="大阪府"/>
    <s v="大阪府豊中市上野西3"/>
    <s v="19-73-5"/>
    <m/>
    <s v="seminar_170315-25"/>
    <d v="2017-03-08T00:00:00"/>
    <x v="7"/>
    <d v="2026-02-20T00:00:00"/>
    <n v="113220"/>
    <m/>
    <m/>
    <m/>
    <m/>
    <m/>
    <m/>
    <m/>
    <m/>
    <m/>
    <m/>
    <m/>
    <m/>
    <n v="113220"/>
    <m/>
    <m/>
    <m/>
    <m/>
    <m/>
    <m/>
    <m/>
    <m/>
    <m/>
    <m/>
    <m/>
    <m/>
    <n v="9435"/>
    <n v="9435"/>
    <n v="9435"/>
    <n v="9435"/>
    <n v="9435"/>
    <n v="9435"/>
    <n v="9435"/>
    <n v="9435"/>
    <n v="9435"/>
    <n v="9435"/>
    <n v="9435"/>
    <n v="9435"/>
    <m/>
    <m/>
    <m/>
    <m/>
    <m/>
    <m/>
    <m/>
    <m/>
    <m/>
    <s v="月額会員（14,500円）(退会済）"/>
    <d v="2021-11-20T00:00:00"/>
    <m/>
    <m/>
    <m/>
    <m/>
    <m/>
    <m/>
    <m/>
    <m/>
    <m/>
    <m/>
    <m/>
    <m/>
    <s v="終了（分割会員）"/>
    <d v="2022-11-20T00:00:00"/>
    <m/>
    <m/>
    <m/>
    <m/>
    <m/>
    <m/>
  </r>
  <r>
    <s v="C-00020383"/>
    <m/>
    <m/>
    <m/>
    <m/>
    <s v="高宮文秀"/>
    <m/>
    <m/>
    <m/>
    <m/>
    <m/>
    <m/>
    <m/>
    <m/>
    <m/>
    <m/>
    <m/>
    <m/>
    <x v="0"/>
    <s v="2025/02/20 00:00:00"/>
    <n v="114300"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C-00014442"/>
    <m/>
    <m/>
    <m/>
    <m/>
    <s v="西山祐子"/>
    <m/>
    <m/>
    <m/>
    <m/>
    <m/>
    <m/>
    <m/>
    <m/>
    <m/>
    <m/>
    <m/>
    <m/>
    <x v="0"/>
    <s v="2025/02/20 00:00:00"/>
    <n v="114300"/>
    <n v="114300"/>
    <m/>
    <m/>
    <m/>
    <m/>
    <m/>
    <m/>
    <m/>
    <m/>
    <m/>
    <m/>
    <m/>
    <m/>
    <n v="19050"/>
    <n v="19050"/>
    <n v="19050"/>
    <n v="19050"/>
    <n v="19050"/>
    <n v="1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5DAD7-3A09-4EB1-B756-B9D854B220A8}" name="ピボットテーブル3" cacheId="90" dataOnRows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6">
  <location ref="A3:H29" firstHeaderRow="1" firstDataRow="2" firstDataCol="1"/>
  <pivotFields count="8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h="1" x="5"/>
        <item h="1" x="6"/>
        <item h="1" x="3"/>
        <item x="1"/>
        <item x="0"/>
        <item x="7"/>
        <item x="4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rowItems>
  <colFields count="1">
    <field x="18"/>
  </colFields>
  <colItems count="7">
    <i>
      <x v="3"/>
    </i>
    <i>
      <x v="4"/>
    </i>
    <i>
      <x v="5"/>
    </i>
    <i>
      <x v="6"/>
    </i>
    <i>
      <x v="7"/>
    </i>
    <i>
      <x v="8"/>
    </i>
    <i t="grand">
      <x/>
    </i>
  </colItems>
  <dataFields count="25">
    <dataField name="合計 / 2025年3月" fld="34" baseField="0" baseItem="0"/>
    <dataField name="合計 / 2025年4月" fld="35" baseField="0" baseItem="0"/>
    <dataField name="合計 / 2025年5月" fld="36" baseField="0" baseItem="0"/>
    <dataField name="合計 / 2025年6月" fld="37" baseField="0" baseItem="0"/>
    <dataField name="合計 / 2025年7月" fld="38" baseField="0" baseItem="0"/>
    <dataField name="合計 / 2025年8月" fld="39" baseField="0" baseItem="0"/>
    <dataField name="合計 / 2025年9月" fld="40" baseField="0" baseItem="0"/>
    <dataField name="合計 / 2025年10月" fld="41" baseField="0" baseItem="0"/>
    <dataField name="合計 / 2025年11月" fld="42" baseField="0" baseItem="0"/>
    <dataField name="合計 / 2025年12月" fld="43" baseField="0" baseItem="0"/>
    <dataField name="合計 / 2026年1月" fld="44" baseField="0" baseItem="0"/>
    <dataField name="合計 / 2026年2月" fld="45" baseField="0" baseItem="0"/>
    <dataField name="合計 / 2026年3月" fld="46" baseField="0" baseItem="0"/>
    <dataField name="合計 / 2026年4月" fld="47" baseField="0" baseItem="0"/>
    <dataField name="合計 / 2026年5月" fld="48" baseField="0" baseItem="0"/>
    <dataField name="合計 / 2026年6月" fld="49" baseField="0" baseItem="0"/>
    <dataField name="合計 / 2026年7月" fld="50" baseField="0" baseItem="0"/>
    <dataField name="合計 / 2026年8月" fld="51" baseField="0" baseItem="0"/>
    <dataField name="合計 / 2026年9月" fld="52" baseField="0" baseItem="0"/>
    <dataField name="合計 / 2026年10月" fld="53" baseField="0" baseItem="0"/>
    <dataField name="合計 / 2026年11月" fld="54" baseField="0" baseItem="0"/>
    <dataField name="合計 / 2026年12月" fld="55" baseField="0" baseItem="0"/>
    <dataField name="合計 / 2027年1月" fld="56" baseField="0" baseItem="0"/>
    <dataField name="合計 / 2027年2月" fld="57" baseField="0" baseItem="0"/>
    <dataField name="合計 / 2027年3月" fld="58" baseField="0" baseItem="0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</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5C7EF-6D9B-4E49-B34F-216ECC29B58A}" name="ピボットテーブル4" cacheId="8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4:D30" firstHeaderRow="1" firstDataRow="2" firstDataCol="1"/>
  <pivotFields count="5">
    <pivotField multipleItemSelectionAllowed="1" showAll="0">
      <items count="2">
        <item x="0"/>
        <item t="default"/>
      </items>
    </pivotField>
    <pivotField axis="axisCol" multipleItemSelectionAllowed="1" showAll="0">
      <items count="3">
        <item x="1"/>
        <item x="0"/>
        <item t="default"/>
      </items>
    </pivotField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numFmtId="38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合計 / 合計金額" fld="4" baseField="0" baseItem="0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F9815-A271-41B9-8E13-941DB3BC2DC1}" name="ピボットテーブル1" cacheId="8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Y9" firstHeaderRow="0" firstDataRow="1" firstDataCol="1" rowPageCount="1" colPageCount="1"/>
  <pivotFields count="52">
    <pivotField showAll="0"/>
    <pivotField showAll="0"/>
    <pivotField axis="axisPage" multipleItemSelectionAllowed="1" showAll="0">
      <items count="691">
        <item x="12"/>
        <item h="1" x="646"/>
        <item h="1" x="612"/>
        <item x="493"/>
        <item x="97"/>
        <item x="243"/>
        <item x="85"/>
        <item x="651"/>
        <item x="524"/>
        <item x="268"/>
        <item x="663"/>
        <item x="421"/>
        <item x="557"/>
        <item x="522"/>
        <item x="438"/>
        <item x="608"/>
        <item x="595"/>
        <item x="683"/>
        <item x="246"/>
        <item x="571"/>
        <item x="633"/>
        <item x="138"/>
        <item x="331"/>
        <item x="308"/>
        <item x="207"/>
        <item x="540"/>
        <item x="292"/>
        <item x="294"/>
        <item x="120"/>
        <item x="498"/>
        <item x="178"/>
        <item x="314"/>
        <item x="245"/>
        <item x="615"/>
        <item x="341"/>
        <item x="265"/>
        <item x="319"/>
        <item x="166"/>
        <item x="333"/>
        <item x="435"/>
        <item x="601"/>
        <item x="562"/>
        <item x="283"/>
        <item x="407"/>
        <item x="377"/>
        <item x="451"/>
        <item x="109"/>
        <item x="638"/>
        <item x="50"/>
        <item x="337"/>
        <item x="543"/>
        <item x="17"/>
        <item x="183"/>
        <item x="688"/>
        <item x="656"/>
        <item x="447"/>
        <item x="417"/>
        <item x="208"/>
        <item x="182"/>
        <item x="100"/>
        <item x="338"/>
        <item x="54"/>
        <item x="291"/>
        <item x="75"/>
        <item x="242"/>
        <item x="43"/>
        <item x="306"/>
        <item x="455"/>
        <item x="404"/>
        <item x="236"/>
        <item x="462"/>
        <item x="448"/>
        <item x="223"/>
        <item x="149"/>
        <item x="538"/>
        <item x="580"/>
        <item x="552"/>
        <item x="346"/>
        <item x="535"/>
        <item x="647"/>
        <item x="256"/>
        <item x="513"/>
        <item x="514"/>
        <item x="288"/>
        <item x="549"/>
        <item x="250"/>
        <item x="174"/>
        <item x="389"/>
        <item x="588"/>
        <item x="2"/>
        <item x="412"/>
        <item x="284"/>
        <item x="666"/>
        <item x="189"/>
        <item x="642"/>
        <item x="210"/>
        <item x="391"/>
        <item x="563"/>
        <item x="422"/>
        <item x="414"/>
        <item x="220"/>
        <item x="445"/>
        <item x="390"/>
        <item x="387"/>
        <item x="405"/>
        <item x="8"/>
        <item x="511"/>
        <item x="484"/>
        <item x="225"/>
        <item x="526"/>
        <item x="497"/>
        <item x="192"/>
        <item x="240"/>
        <item x="148"/>
        <item x="358"/>
        <item x="16"/>
        <item x="1"/>
        <item x="499"/>
        <item x="327"/>
        <item x="375"/>
        <item x="248"/>
        <item x="146"/>
        <item x="592"/>
        <item x="4"/>
        <item x="491"/>
        <item x="164"/>
        <item x="674"/>
        <item x="78"/>
        <item x="254"/>
        <item x="452"/>
        <item x="10"/>
        <item x="269"/>
        <item x="91"/>
        <item x="356"/>
        <item x="151"/>
        <item x="480"/>
        <item x="573"/>
        <item x="203"/>
        <item x="216"/>
        <item x="156"/>
        <item x="251"/>
        <item x="550"/>
        <item x="121"/>
        <item x="470"/>
        <item x="59"/>
        <item x="22"/>
        <item x="677"/>
        <item x="53"/>
        <item x="531"/>
        <item x="668"/>
        <item x="115"/>
        <item x="187"/>
        <item x="630"/>
        <item x="112"/>
        <item x="505"/>
        <item x="378"/>
        <item x="295"/>
        <item x="304"/>
        <item x="69"/>
        <item x="142"/>
        <item x="614"/>
        <item x="406"/>
        <item x="65"/>
        <item x="556"/>
        <item x="322"/>
        <item x="140"/>
        <item x="105"/>
        <item x="415"/>
        <item x="64"/>
        <item x="665"/>
        <item x="20"/>
        <item x="160"/>
        <item x="459"/>
        <item x="684"/>
        <item x="569"/>
        <item x="62"/>
        <item x="247"/>
        <item x="602"/>
        <item x="99"/>
        <item x="479"/>
        <item x="680"/>
        <item x="56"/>
        <item x="545"/>
        <item x="179"/>
        <item x="624"/>
        <item x="641"/>
        <item x="110"/>
        <item x="86"/>
        <item x="209"/>
        <item x="351"/>
        <item x="336"/>
        <item x="670"/>
        <item x="495"/>
        <item x="280"/>
        <item x="682"/>
        <item x="330"/>
        <item x="533"/>
        <item x="25"/>
        <item x="619"/>
        <item x="5"/>
        <item x="363"/>
        <item x="312"/>
        <item x="373"/>
        <item x="169"/>
        <item x="114"/>
        <item x="130"/>
        <item x="551"/>
        <item x="217"/>
        <item x="555"/>
        <item x="482"/>
        <item x="13"/>
        <item x="255"/>
        <item x="537"/>
        <item x="478"/>
        <item x="366"/>
        <item x="430"/>
        <item x="275"/>
        <item x="290"/>
        <item x="214"/>
        <item x="163"/>
        <item x="342"/>
        <item x="24"/>
        <item x="82"/>
        <item x="574"/>
        <item x="162"/>
        <item x="362"/>
        <item x="503"/>
        <item x="481"/>
        <item x="376"/>
        <item x="593"/>
        <item x="93"/>
        <item x="98"/>
        <item x="205"/>
        <item x="293"/>
        <item x="519"/>
        <item x="365"/>
        <item x="402"/>
        <item x="101"/>
        <item x="443"/>
        <item x="113"/>
        <item x="277"/>
        <item x="578"/>
        <item x="94"/>
        <item x="126"/>
        <item x="575"/>
        <item x="461"/>
        <item x="423"/>
        <item x="159"/>
        <item x="117"/>
        <item x="485"/>
        <item x="204"/>
        <item x="307"/>
        <item x="320"/>
        <item x="276"/>
        <item x="579"/>
        <item x="14"/>
        <item x="427"/>
        <item x="625"/>
        <item x="413"/>
        <item x="664"/>
        <item x="528"/>
        <item x="523"/>
        <item x="486"/>
        <item x="279"/>
        <item x="104"/>
        <item x="188"/>
        <item x="186"/>
        <item x="15"/>
        <item x="143"/>
        <item x="394"/>
        <item x="40"/>
        <item x="546"/>
        <item x="454"/>
        <item x="626"/>
        <item x="129"/>
        <item x="199"/>
        <item x="107"/>
        <item x="289"/>
        <item x="222"/>
        <item x="397"/>
        <item x="32"/>
        <item x="567"/>
        <item x="661"/>
        <item x="74"/>
        <item x="221"/>
        <item x="673"/>
        <item x="471"/>
        <item x="310"/>
        <item x="326"/>
        <item x="172"/>
        <item x="264"/>
        <item x="368"/>
        <item x="488"/>
        <item x="518"/>
        <item x="316"/>
        <item x="200"/>
        <item x="67"/>
        <item x="357"/>
        <item x="71"/>
        <item x="147"/>
        <item x="173"/>
        <item x="456"/>
        <item x="658"/>
        <item x="632"/>
        <item x="300"/>
        <item x="234"/>
        <item x="400"/>
        <item x="634"/>
        <item x="311"/>
        <item x="607"/>
        <item x="258"/>
        <item x="177"/>
        <item x="419"/>
        <item x="644"/>
        <item x="298"/>
        <item x="589"/>
        <item x="230"/>
        <item x="42"/>
        <item x="649"/>
        <item x="393"/>
        <item x="83"/>
        <item x="429"/>
        <item x="30"/>
        <item x="9"/>
        <item x="197"/>
        <item x="572"/>
        <item x="349"/>
        <item x="603"/>
        <item x="467"/>
        <item x="139"/>
        <item x="168"/>
        <item x="335"/>
        <item x="152"/>
        <item x="494"/>
        <item x="623"/>
        <item x="627"/>
        <item x="380"/>
        <item x="474"/>
        <item x="315"/>
        <item x="219"/>
        <item x="361"/>
        <item x="450"/>
        <item x="374"/>
        <item x="371"/>
        <item x="344"/>
        <item x="510"/>
        <item x="587"/>
        <item x="475"/>
        <item x="565"/>
        <item x="154"/>
        <item x="654"/>
        <item x="466"/>
        <item x="180"/>
        <item x="542"/>
        <item x="425"/>
        <item x="547"/>
        <item x="266"/>
        <item x="150"/>
        <item x="383"/>
        <item x="504"/>
        <item x="144"/>
        <item x="553"/>
        <item x="52"/>
        <item x="681"/>
        <item x="382"/>
        <item x="88"/>
        <item x="629"/>
        <item x="202"/>
        <item x="11"/>
        <item x="68"/>
        <item x="548"/>
        <item x="213"/>
        <item x="442"/>
        <item x="34"/>
        <item x="153"/>
        <item x="600"/>
        <item x="76"/>
        <item x="367"/>
        <item x="201"/>
        <item x="564"/>
        <item x="317"/>
        <item x="508"/>
        <item x="218"/>
        <item x="446"/>
        <item x="286"/>
        <item x="645"/>
        <item x="171"/>
        <item x="95"/>
        <item x="303"/>
        <item x="401"/>
        <item x="257"/>
        <item x="657"/>
        <item x="241"/>
        <item x="637"/>
        <item x="463"/>
        <item x="321"/>
        <item x="233"/>
        <item x="675"/>
        <item x="119"/>
        <item x="28"/>
        <item x="352"/>
        <item x="61"/>
        <item x="606"/>
        <item x="458"/>
        <item x="262"/>
        <item x="449"/>
        <item x="507"/>
        <item x="477"/>
        <item x="568"/>
        <item x="410"/>
        <item x="381"/>
        <item x="386"/>
        <item x="392"/>
        <item x="77"/>
        <item x="605"/>
        <item x="132"/>
        <item x="662"/>
        <item x="369"/>
        <item x="232"/>
        <item x="566"/>
        <item x="436"/>
        <item x="678"/>
        <item x="521"/>
        <item x="49"/>
        <item x="137"/>
        <item x="559"/>
        <item x="297"/>
        <item x="215"/>
        <item x="639"/>
        <item x="492"/>
        <item x="409"/>
        <item x="111"/>
        <item x="102"/>
        <item x="558"/>
        <item x="672"/>
        <item x="472"/>
        <item x="544"/>
        <item x="432"/>
        <item x="594"/>
        <item x="157"/>
        <item x="96"/>
        <item x="26"/>
        <item x="125"/>
        <item x="355"/>
        <item x="127"/>
        <item x="302"/>
        <item x="309"/>
        <item x="554"/>
        <item x="334"/>
        <item x="122"/>
        <item x="19"/>
        <item x="301"/>
        <item x="659"/>
        <item x="347"/>
        <item x="141"/>
        <item x="635"/>
        <item x="671"/>
        <item x="305"/>
        <item x="135"/>
        <item x="228"/>
        <item x="36"/>
        <item x="106"/>
        <item x="529"/>
        <item x="598"/>
        <item x="235"/>
        <item x="530"/>
        <item x="687"/>
        <item x="440"/>
        <item x="689"/>
        <item x="267"/>
        <item x="196"/>
        <item x="181"/>
        <item x="618"/>
        <item x="396"/>
        <item x="353"/>
        <item x="249"/>
        <item x="685"/>
        <item x="604"/>
        <item x="583"/>
        <item x="60"/>
        <item x="55"/>
        <item x="599"/>
        <item x="345"/>
        <item x="332"/>
        <item x="584"/>
        <item x="23"/>
        <item x="270"/>
        <item x="161"/>
        <item x="167"/>
        <item x="370"/>
        <item x="379"/>
        <item x="408"/>
        <item x="676"/>
        <item x="439"/>
        <item x="123"/>
        <item x="616"/>
        <item x="660"/>
        <item x="29"/>
        <item x="348"/>
        <item x="124"/>
        <item x="359"/>
        <item x="667"/>
        <item x="287"/>
        <item x="473"/>
        <item x="58"/>
        <item x="541"/>
        <item x="570"/>
        <item x="37"/>
        <item x="476"/>
        <item x="621"/>
        <item x="328"/>
        <item x="596"/>
        <item x="184"/>
        <item x="195"/>
        <item x="273"/>
        <item x="194"/>
        <item x="643"/>
        <item x="324"/>
        <item x="285"/>
        <item x="653"/>
        <item x="679"/>
        <item x="206"/>
        <item x="591"/>
        <item x="92"/>
        <item x="640"/>
        <item x="70"/>
        <item x="244"/>
        <item x="27"/>
        <item x="433"/>
        <item x="72"/>
        <item x="496"/>
        <item x="3"/>
        <item x="80"/>
        <item x="252"/>
        <item x="227"/>
        <item x="128"/>
        <item x="354"/>
        <item x="155"/>
        <item x="66"/>
        <item x="175"/>
        <item x="655"/>
        <item x="116"/>
        <item x="465"/>
        <item x="263"/>
        <item x="118"/>
        <item x="31"/>
        <item x="51"/>
        <item x="364"/>
        <item x="323"/>
        <item x="84"/>
        <item x="41"/>
        <item x="21"/>
        <item x="79"/>
        <item x="500"/>
        <item x="170"/>
        <item x="468"/>
        <item x="372"/>
        <item x="636"/>
        <item x="7"/>
        <item x="416"/>
        <item x="441"/>
        <item x="38"/>
        <item x="212"/>
        <item x="431"/>
        <item x="453"/>
        <item x="134"/>
        <item x="339"/>
        <item x="502"/>
        <item x="489"/>
        <item x="501"/>
        <item x="44"/>
        <item x="403"/>
        <item x="193"/>
        <item x="464"/>
        <item x="191"/>
        <item x="360"/>
        <item x="609"/>
        <item x="0"/>
        <item x="299"/>
        <item x="278"/>
        <item x="426"/>
        <item x="176"/>
        <item x="611"/>
        <item x="517"/>
        <item x="271"/>
        <item x="48"/>
        <item x="282"/>
        <item x="613"/>
        <item x="536"/>
        <item x="648"/>
        <item x="411"/>
        <item x="90"/>
        <item x="520"/>
        <item x="261"/>
        <item x="329"/>
        <item x="57"/>
        <item x="385"/>
        <item x="534"/>
        <item x="318"/>
        <item x="399"/>
        <item x="398"/>
        <item x="260"/>
        <item x="340"/>
        <item x="253"/>
        <item x="272"/>
        <item x="509"/>
        <item x="33"/>
        <item x="469"/>
        <item x="620"/>
        <item x="585"/>
        <item x="597"/>
        <item x="590"/>
        <item x="35"/>
        <item x="444"/>
        <item x="224"/>
        <item x="581"/>
        <item x="185"/>
        <item x="577"/>
        <item x="561"/>
        <item x="18"/>
        <item x="460"/>
        <item x="506"/>
        <item x="539"/>
        <item x="313"/>
        <item x="686"/>
        <item x="350"/>
        <item x="259"/>
        <item x="45"/>
        <item x="190"/>
        <item x="231"/>
        <item x="420"/>
        <item x="586"/>
        <item x="428"/>
        <item x="434"/>
        <item x="63"/>
        <item x="108"/>
        <item x="73"/>
        <item x="669"/>
        <item x="628"/>
        <item x="39"/>
        <item x="198"/>
        <item x="631"/>
        <item x="237"/>
        <item x="560"/>
        <item x="229"/>
        <item x="582"/>
        <item x="47"/>
        <item x="325"/>
        <item x="437"/>
        <item x="424"/>
        <item x="487"/>
        <item x="622"/>
        <item x="81"/>
        <item x="418"/>
        <item x="103"/>
        <item x="296"/>
        <item x="211"/>
        <item x="46"/>
        <item x="525"/>
        <item x="515"/>
        <item x="89"/>
        <item x="610"/>
        <item x="457"/>
        <item x="133"/>
        <item x="617"/>
        <item x="145"/>
        <item x="652"/>
        <item x="576"/>
        <item x="136"/>
        <item x="388"/>
        <item x="6"/>
        <item x="131"/>
        <item x="384"/>
        <item x="527"/>
        <item x="165"/>
        <item x="239"/>
        <item x="395"/>
        <item x="532"/>
        <item x="650"/>
        <item x="490"/>
        <item x="343"/>
        <item x="281"/>
        <item x="516"/>
        <item x="274"/>
        <item x="226"/>
        <item x="158"/>
        <item x="238"/>
        <item x="87"/>
        <item x="512"/>
        <item x="483"/>
        <item t="default"/>
      </items>
    </pivotField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1">
    <pageField fld="2" hier="-1"/>
  </pageFields>
  <dataFields count="24">
    <dataField name="合計 / 2025年2月2" fld="24" baseField="0" baseItem="0"/>
    <dataField name="合計 / 2025年3月2" fld="25" baseField="0" baseItem="0"/>
    <dataField name="合計 / 2025年4月2" fld="26" baseField="0" baseItem="0"/>
    <dataField name="合計 / 2025年5月2" fld="27" baseField="0" baseItem="0"/>
    <dataField name="合計 / 2025年6月2" fld="28" baseField="0" baseItem="0"/>
    <dataField name="合計 / 2025年7月2" fld="29" baseField="0" baseItem="0"/>
    <dataField name="合計 / 2025年8月2" fld="30" baseField="0" baseItem="0"/>
    <dataField name="合計 / 2025年9月2" fld="31" baseField="0" baseItem="0"/>
    <dataField name="合計 / 2025年10月2" fld="32" baseField="0" baseItem="0"/>
    <dataField name="合計 / 2025年11月2" fld="33" baseField="0" baseItem="0"/>
    <dataField name="合計 / 2025年12月2" fld="34" baseField="0" baseItem="0"/>
    <dataField name="合計 / 2026年1月2" fld="35" baseField="0" baseItem="0"/>
    <dataField name="合計 / 2026年2月2" fld="36" baseField="0" baseItem="0"/>
    <dataField name="合計 / 2026年3月" fld="37" baseField="0" baseItem="0"/>
    <dataField name="合計 / 2026年4月" fld="38" baseField="0" baseItem="0"/>
    <dataField name="合計 / 2026年5月" fld="39" baseField="0" baseItem="0"/>
    <dataField name="合計 / 2026年6月" fld="40" baseField="0" baseItem="0"/>
    <dataField name="合計 / 2026年7月" fld="41" baseField="0" baseItem="0"/>
    <dataField name="合計 / 2026年8月" fld="42" baseField="0" baseItem="0"/>
    <dataField name="合計 / 2026年9月" fld="43" baseField="0" baseItem="0"/>
    <dataField name="合計 / 2026年10月" fld="44" baseField="0" baseItem="0"/>
    <dataField name="合計 / 2026年11月" fld="45" baseField="0" baseItem="0"/>
    <dataField name="合計 / 2026年12月" fld="46" baseField="0" baseItem="0"/>
    <dataField name="合計 / 2027年1月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C2F8B-96BC-4228-8E44-A98A67985807}" name="ピボットテーブル3" cacheId="8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20:N26" firstHeaderRow="0" firstDataRow="1" firstDataCol="1" rowPageCount="1" colPageCount="1"/>
  <pivotFields count="52">
    <pivotField showAll="0"/>
    <pivotField showAll="0"/>
    <pivotField axis="axisPage" multipleItemSelectionAllowed="1" showAll="0">
      <items count="691">
        <item x="12"/>
        <item h="1" x="646"/>
        <item h="1" x="612"/>
        <item x="493"/>
        <item x="97"/>
        <item x="243"/>
        <item x="85"/>
        <item x="651"/>
        <item x="524"/>
        <item x="268"/>
        <item x="663"/>
        <item x="421"/>
        <item x="557"/>
        <item x="522"/>
        <item x="438"/>
        <item x="608"/>
        <item x="595"/>
        <item x="683"/>
        <item x="246"/>
        <item x="571"/>
        <item x="633"/>
        <item x="138"/>
        <item x="331"/>
        <item x="308"/>
        <item x="207"/>
        <item x="540"/>
        <item x="292"/>
        <item x="294"/>
        <item x="120"/>
        <item x="498"/>
        <item x="178"/>
        <item x="314"/>
        <item x="245"/>
        <item x="615"/>
        <item x="341"/>
        <item x="265"/>
        <item x="319"/>
        <item x="166"/>
        <item x="333"/>
        <item x="435"/>
        <item x="601"/>
        <item x="562"/>
        <item x="283"/>
        <item x="407"/>
        <item x="377"/>
        <item x="451"/>
        <item x="109"/>
        <item x="638"/>
        <item x="50"/>
        <item x="337"/>
        <item x="543"/>
        <item x="17"/>
        <item x="183"/>
        <item x="688"/>
        <item x="656"/>
        <item x="447"/>
        <item x="417"/>
        <item x="208"/>
        <item x="182"/>
        <item x="100"/>
        <item x="338"/>
        <item x="54"/>
        <item x="291"/>
        <item x="75"/>
        <item x="242"/>
        <item x="43"/>
        <item x="306"/>
        <item x="455"/>
        <item x="404"/>
        <item x="236"/>
        <item x="462"/>
        <item x="448"/>
        <item x="223"/>
        <item x="149"/>
        <item x="538"/>
        <item x="580"/>
        <item x="552"/>
        <item x="346"/>
        <item x="535"/>
        <item x="647"/>
        <item x="256"/>
        <item x="513"/>
        <item x="514"/>
        <item x="288"/>
        <item x="549"/>
        <item x="250"/>
        <item x="174"/>
        <item x="389"/>
        <item x="588"/>
        <item x="2"/>
        <item x="412"/>
        <item x="284"/>
        <item x="666"/>
        <item x="189"/>
        <item x="642"/>
        <item x="210"/>
        <item x="391"/>
        <item x="563"/>
        <item x="422"/>
        <item x="414"/>
        <item x="220"/>
        <item x="445"/>
        <item x="390"/>
        <item x="387"/>
        <item x="405"/>
        <item x="8"/>
        <item x="511"/>
        <item x="484"/>
        <item x="225"/>
        <item x="526"/>
        <item x="497"/>
        <item x="192"/>
        <item x="240"/>
        <item x="148"/>
        <item x="358"/>
        <item x="16"/>
        <item x="1"/>
        <item x="499"/>
        <item x="327"/>
        <item x="375"/>
        <item x="248"/>
        <item x="146"/>
        <item x="592"/>
        <item x="4"/>
        <item x="491"/>
        <item x="164"/>
        <item x="674"/>
        <item x="78"/>
        <item x="254"/>
        <item x="452"/>
        <item x="10"/>
        <item x="269"/>
        <item x="91"/>
        <item x="356"/>
        <item x="151"/>
        <item x="480"/>
        <item x="573"/>
        <item x="203"/>
        <item x="216"/>
        <item x="156"/>
        <item x="251"/>
        <item x="550"/>
        <item x="121"/>
        <item x="470"/>
        <item x="59"/>
        <item x="22"/>
        <item x="677"/>
        <item x="53"/>
        <item x="531"/>
        <item x="668"/>
        <item x="115"/>
        <item x="187"/>
        <item x="630"/>
        <item x="112"/>
        <item x="505"/>
        <item x="378"/>
        <item x="295"/>
        <item x="304"/>
        <item x="69"/>
        <item x="142"/>
        <item x="614"/>
        <item x="406"/>
        <item x="65"/>
        <item x="556"/>
        <item x="322"/>
        <item x="140"/>
        <item x="105"/>
        <item x="415"/>
        <item x="64"/>
        <item x="665"/>
        <item x="20"/>
        <item x="160"/>
        <item x="459"/>
        <item x="684"/>
        <item x="569"/>
        <item x="62"/>
        <item x="247"/>
        <item x="602"/>
        <item x="99"/>
        <item x="479"/>
        <item x="680"/>
        <item x="56"/>
        <item x="545"/>
        <item x="179"/>
        <item x="624"/>
        <item x="641"/>
        <item x="110"/>
        <item x="86"/>
        <item x="209"/>
        <item x="351"/>
        <item x="336"/>
        <item x="670"/>
        <item x="495"/>
        <item x="280"/>
        <item x="682"/>
        <item x="330"/>
        <item x="533"/>
        <item x="25"/>
        <item x="619"/>
        <item x="5"/>
        <item x="363"/>
        <item x="312"/>
        <item x="373"/>
        <item x="169"/>
        <item x="114"/>
        <item x="130"/>
        <item x="551"/>
        <item x="217"/>
        <item x="555"/>
        <item x="482"/>
        <item x="13"/>
        <item x="255"/>
        <item x="537"/>
        <item x="478"/>
        <item x="366"/>
        <item x="430"/>
        <item x="275"/>
        <item x="290"/>
        <item x="214"/>
        <item x="163"/>
        <item x="342"/>
        <item x="24"/>
        <item x="82"/>
        <item x="574"/>
        <item x="162"/>
        <item x="362"/>
        <item x="503"/>
        <item x="481"/>
        <item x="376"/>
        <item x="593"/>
        <item x="93"/>
        <item x="98"/>
        <item x="205"/>
        <item x="293"/>
        <item x="519"/>
        <item x="365"/>
        <item x="402"/>
        <item x="101"/>
        <item x="443"/>
        <item x="113"/>
        <item x="277"/>
        <item x="578"/>
        <item x="94"/>
        <item x="126"/>
        <item x="575"/>
        <item x="461"/>
        <item x="423"/>
        <item x="159"/>
        <item x="117"/>
        <item x="485"/>
        <item x="204"/>
        <item x="307"/>
        <item x="320"/>
        <item x="276"/>
        <item x="579"/>
        <item x="14"/>
        <item x="427"/>
        <item x="625"/>
        <item x="413"/>
        <item x="664"/>
        <item x="528"/>
        <item x="523"/>
        <item x="486"/>
        <item x="279"/>
        <item x="104"/>
        <item x="188"/>
        <item x="186"/>
        <item x="15"/>
        <item x="143"/>
        <item x="394"/>
        <item x="40"/>
        <item x="546"/>
        <item x="454"/>
        <item x="626"/>
        <item x="129"/>
        <item x="199"/>
        <item x="107"/>
        <item x="289"/>
        <item x="222"/>
        <item x="397"/>
        <item x="32"/>
        <item x="567"/>
        <item x="661"/>
        <item x="74"/>
        <item x="221"/>
        <item x="673"/>
        <item x="471"/>
        <item x="310"/>
        <item x="326"/>
        <item x="172"/>
        <item x="264"/>
        <item x="368"/>
        <item x="488"/>
        <item x="518"/>
        <item x="316"/>
        <item x="200"/>
        <item x="67"/>
        <item x="357"/>
        <item x="71"/>
        <item x="147"/>
        <item x="173"/>
        <item x="456"/>
        <item x="658"/>
        <item x="632"/>
        <item x="300"/>
        <item x="234"/>
        <item x="400"/>
        <item x="634"/>
        <item x="311"/>
        <item x="607"/>
        <item x="258"/>
        <item x="177"/>
        <item x="419"/>
        <item x="644"/>
        <item x="298"/>
        <item x="589"/>
        <item x="230"/>
        <item x="42"/>
        <item x="649"/>
        <item x="393"/>
        <item x="83"/>
        <item x="429"/>
        <item x="30"/>
        <item x="9"/>
        <item x="197"/>
        <item x="572"/>
        <item x="349"/>
        <item x="603"/>
        <item x="467"/>
        <item x="139"/>
        <item x="168"/>
        <item x="335"/>
        <item x="152"/>
        <item x="494"/>
        <item x="623"/>
        <item x="627"/>
        <item x="380"/>
        <item x="474"/>
        <item x="315"/>
        <item x="219"/>
        <item x="361"/>
        <item x="450"/>
        <item x="374"/>
        <item x="371"/>
        <item x="344"/>
        <item x="510"/>
        <item x="587"/>
        <item x="475"/>
        <item x="565"/>
        <item x="154"/>
        <item x="654"/>
        <item x="466"/>
        <item x="180"/>
        <item x="542"/>
        <item x="425"/>
        <item x="547"/>
        <item x="266"/>
        <item x="150"/>
        <item x="383"/>
        <item x="504"/>
        <item x="144"/>
        <item x="553"/>
        <item x="52"/>
        <item x="681"/>
        <item x="382"/>
        <item x="88"/>
        <item x="629"/>
        <item x="202"/>
        <item x="11"/>
        <item x="68"/>
        <item x="548"/>
        <item x="213"/>
        <item x="442"/>
        <item x="34"/>
        <item x="153"/>
        <item x="600"/>
        <item x="76"/>
        <item x="367"/>
        <item x="201"/>
        <item x="564"/>
        <item x="317"/>
        <item x="508"/>
        <item x="218"/>
        <item x="446"/>
        <item x="286"/>
        <item x="645"/>
        <item x="171"/>
        <item x="95"/>
        <item x="303"/>
        <item x="401"/>
        <item x="257"/>
        <item x="657"/>
        <item x="241"/>
        <item x="637"/>
        <item x="463"/>
        <item x="321"/>
        <item x="233"/>
        <item x="675"/>
        <item x="119"/>
        <item x="28"/>
        <item x="352"/>
        <item x="61"/>
        <item x="606"/>
        <item x="458"/>
        <item x="262"/>
        <item x="449"/>
        <item x="507"/>
        <item x="477"/>
        <item x="568"/>
        <item x="410"/>
        <item x="381"/>
        <item x="386"/>
        <item x="392"/>
        <item x="77"/>
        <item x="605"/>
        <item x="132"/>
        <item x="662"/>
        <item x="369"/>
        <item x="232"/>
        <item x="566"/>
        <item x="436"/>
        <item x="678"/>
        <item x="521"/>
        <item x="49"/>
        <item x="137"/>
        <item x="559"/>
        <item x="297"/>
        <item x="215"/>
        <item x="639"/>
        <item x="492"/>
        <item x="409"/>
        <item x="111"/>
        <item x="102"/>
        <item x="558"/>
        <item x="672"/>
        <item x="472"/>
        <item x="544"/>
        <item x="432"/>
        <item x="594"/>
        <item x="157"/>
        <item x="96"/>
        <item x="26"/>
        <item x="125"/>
        <item x="355"/>
        <item x="127"/>
        <item x="302"/>
        <item x="309"/>
        <item x="554"/>
        <item x="334"/>
        <item x="122"/>
        <item x="19"/>
        <item x="301"/>
        <item x="659"/>
        <item x="347"/>
        <item x="141"/>
        <item x="635"/>
        <item x="671"/>
        <item x="305"/>
        <item x="135"/>
        <item x="228"/>
        <item x="36"/>
        <item x="106"/>
        <item x="529"/>
        <item x="598"/>
        <item x="235"/>
        <item x="530"/>
        <item x="687"/>
        <item x="440"/>
        <item x="689"/>
        <item x="267"/>
        <item x="196"/>
        <item x="181"/>
        <item x="618"/>
        <item x="396"/>
        <item x="353"/>
        <item x="249"/>
        <item x="685"/>
        <item x="604"/>
        <item x="583"/>
        <item x="60"/>
        <item x="55"/>
        <item x="599"/>
        <item x="345"/>
        <item x="332"/>
        <item x="584"/>
        <item x="23"/>
        <item x="270"/>
        <item x="161"/>
        <item x="167"/>
        <item x="370"/>
        <item x="379"/>
        <item x="408"/>
        <item x="676"/>
        <item x="439"/>
        <item x="123"/>
        <item x="616"/>
        <item x="660"/>
        <item x="29"/>
        <item x="348"/>
        <item x="124"/>
        <item x="359"/>
        <item x="667"/>
        <item x="287"/>
        <item x="473"/>
        <item x="58"/>
        <item x="541"/>
        <item x="570"/>
        <item x="37"/>
        <item x="476"/>
        <item x="621"/>
        <item x="328"/>
        <item x="596"/>
        <item x="184"/>
        <item x="195"/>
        <item x="273"/>
        <item x="194"/>
        <item x="643"/>
        <item x="324"/>
        <item x="285"/>
        <item x="653"/>
        <item x="679"/>
        <item x="206"/>
        <item x="591"/>
        <item x="92"/>
        <item x="640"/>
        <item x="70"/>
        <item x="244"/>
        <item x="27"/>
        <item x="433"/>
        <item x="72"/>
        <item x="496"/>
        <item x="3"/>
        <item x="80"/>
        <item x="252"/>
        <item x="227"/>
        <item x="128"/>
        <item x="354"/>
        <item x="155"/>
        <item x="66"/>
        <item x="175"/>
        <item x="655"/>
        <item x="116"/>
        <item x="465"/>
        <item x="263"/>
        <item x="118"/>
        <item x="31"/>
        <item x="51"/>
        <item x="364"/>
        <item x="323"/>
        <item x="84"/>
        <item x="41"/>
        <item x="21"/>
        <item x="79"/>
        <item x="500"/>
        <item x="170"/>
        <item x="468"/>
        <item x="372"/>
        <item x="636"/>
        <item x="7"/>
        <item x="416"/>
        <item x="441"/>
        <item x="38"/>
        <item x="212"/>
        <item x="431"/>
        <item x="453"/>
        <item x="134"/>
        <item x="339"/>
        <item x="502"/>
        <item x="489"/>
        <item x="501"/>
        <item x="44"/>
        <item x="403"/>
        <item x="193"/>
        <item x="464"/>
        <item x="191"/>
        <item x="360"/>
        <item x="609"/>
        <item x="0"/>
        <item x="299"/>
        <item x="278"/>
        <item x="426"/>
        <item x="176"/>
        <item x="611"/>
        <item x="517"/>
        <item x="271"/>
        <item x="48"/>
        <item x="282"/>
        <item x="613"/>
        <item x="536"/>
        <item x="648"/>
        <item x="411"/>
        <item x="90"/>
        <item x="520"/>
        <item x="261"/>
        <item x="329"/>
        <item x="57"/>
        <item x="385"/>
        <item x="534"/>
        <item x="318"/>
        <item x="399"/>
        <item x="398"/>
        <item x="260"/>
        <item x="340"/>
        <item x="253"/>
        <item x="272"/>
        <item x="509"/>
        <item x="33"/>
        <item x="469"/>
        <item x="620"/>
        <item x="585"/>
        <item x="597"/>
        <item x="590"/>
        <item x="35"/>
        <item x="444"/>
        <item x="224"/>
        <item x="581"/>
        <item x="185"/>
        <item x="577"/>
        <item x="561"/>
        <item x="18"/>
        <item x="460"/>
        <item x="506"/>
        <item x="539"/>
        <item x="313"/>
        <item x="686"/>
        <item x="350"/>
        <item x="259"/>
        <item x="45"/>
        <item x="190"/>
        <item x="231"/>
        <item x="420"/>
        <item x="586"/>
        <item x="428"/>
        <item x="434"/>
        <item x="63"/>
        <item x="108"/>
        <item x="73"/>
        <item x="669"/>
        <item x="628"/>
        <item x="39"/>
        <item x="198"/>
        <item x="631"/>
        <item x="237"/>
        <item x="560"/>
        <item x="229"/>
        <item x="582"/>
        <item x="47"/>
        <item x="325"/>
        <item x="437"/>
        <item x="424"/>
        <item x="487"/>
        <item x="622"/>
        <item x="81"/>
        <item x="418"/>
        <item x="103"/>
        <item x="296"/>
        <item x="211"/>
        <item x="46"/>
        <item x="525"/>
        <item x="515"/>
        <item x="89"/>
        <item x="610"/>
        <item x="457"/>
        <item x="133"/>
        <item x="617"/>
        <item x="145"/>
        <item x="652"/>
        <item x="576"/>
        <item x="136"/>
        <item x="388"/>
        <item x="6"/>
        <item x="131"/>
        <item x="384"/>
        <item x="527"/>
        <item x="165"/>
        <item x="239"/>
        <item x="395"/>
        <item x="532"/>
        <item x="650"/>
        <item x="490"/>
        <item x="343"/>
        <item x="281"/>
        <item x="516"/>
        <item x="274"/>
        <item x="226"/>
        <item x="158"/>
        <item x="238"/>
        <item x="87"/>
        <item x="512"/>
        <item x="483"/>
        <item t="default"/>
      </items>
    </pivotField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2" hier="-1"/>
  </pageFields>
  <dataFields count="13">
    <dataField name="合計 / 2025年2月" fld="10" baseField="0" baseItem="0"/>
    <dataField name="合計 / 2025年3月" fld="11" baseField="0" baseItem="0"/>
    <dataField name="合計 / 2025年4月" fld="12" baseField="0" baseItem="0"/>
    <dataField name="合計 / 2025年5月" fld="13" baseField="0" baseItem="0"/>
    <dataField name="合計 / 2025年6月" fld="14" baseField="0" baseItem="0"/>
    <dataField name="合計 / 2025年7月" fld="15" baseField="0" baseItem="0"/>
    <dataField name="合計 / 2025年8月" fld="16" baseField="0" baseItem="0"/>
    <dataField name="合計 / 2025年9月" fld="17" baseField="0" baseItem="0"/>
    <dataField name="合計 / 2025年10月" fld="18" baseField="0" baseItem="0"/>
    <dataField name="合計 / 2025年11月" fld="19" baseField="0" baseItem="0"/>
    <dataField name="合計 / 2025年12月" fld="20" baseField="0" baseItem="0"/>
    <dataField name="合計 / 2026年1月" fld="21" baseField="0" baseItem="0"/>
    <dataField name="合計 / 2026年2月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B4CCD-BDB1-4D09-9CB0-7D77095EBDA8}" name="ピボットテーブル3" cacheId="8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N5" firstHeaderRow="0" firstDataRow="1" firstDataCol="1"/>
  <pivotFields count="23">
    <pivotField axis="axisRow" showAll="0">
      <items count="2">
        <item x="0"/>
        <item t="default"/>
      </items>
    </pivotField>
    <pivotField showAll="0">
      <items count="691"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2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合計 / 2025年2月" fld="10" baseField="0" baseItem="0"/>
    <dataField name="合計 / 2025年3月" fld="11" baseField="0" baseItem="0"/>
    <dataField name="合計 / 2025年4月" fld="12" baseField="0" baseItem="0"/>
    <dataField name="合計 / 2025年5月" fld="13" baseField="0" baseItem="0"/>
    <dataField name="合計 / 2025年6月" fld="14" baseField="0" baseItem="0"/>
    <dataField name="合計 / 2025年7月" fld="15" baseField="0" baseItem="0"/>
    <dataField name="合計 / 2025年8月" fld="16" baseField="0" baseItem="0"/>
    <dataField name="合計 / 2025年9月" fld="17" baseField="0" baseItem="0"/>
    <dataField name="合計 / 2025年10月" fld="18" baseField="0" baseItem="0"/>
    <dataField name="合計 / 2025年11月" fld="19" baseField="0" baseItem="0"/>
    <dataField name="合計 / 2025年12月" fld="20" baseField="0" baseItem="0"/>
    <dataField name="合計 / 2026年1月" fld="21" baseField="0" baseItem="0"/>
    <dataField name="合計 / 2026年2月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顧客データベース20250213140013_0" connectionId="2" xr16:uid="{83154EBD-8558-4CED-8B9B-5F911559EF4B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顧客データベース20250213140013_0" connectionId="1" xr16:uid="{794F6045-440C-4879-B290-AEEB37423553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FAD4-63B1-4BDF-980A-D564147484CC}">
  <sheetPr>
    <tabColor theme="7" tint="0.59999389629810485"/>
  </sheetPr>
  <dimension ref="A1:R265"/>
  <sheetViews>
    <sheetView tabSelected="1" zoomScale="70" zoomScaleNormal="70" workbookViewId="0">
      <selection activeCell="K7" sqref="K7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11" max="11" width="24.375" style="20" customWidth="1"/>
    <col min="12" max="12" width="19" style="20" customWidth="1"/>
    <col min="13" max="13" width="12.75" style="20" customWidth="1"/>
    <col min="14" max="14" width="15" style="20" customWidth="1"/>
    <col min="15" max="15" width="14.5" style="20" customWidth="1"/>
    <col min="16" max="16" width="24.5" style="20" customWidth="1"/>
    <col min="17" max="17" width="9.125" style="20" bestFit="1" customWidth="1"/>
    <col min="18" max="18" width="11.75" style="20" bestFit="1" customWidth="1"/>
  </cols>
  <sheetData>
    <row r="1" spans="1:9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I1" s="61"/>
    </row>
    <row r="2" spans="1:9" x14ac:dyDescent="0.4">
      <c r="A2" s="13" t="s">
        <v>2324</v>
      </c>
      <c r="B2" s="55" t="s">
        <v>2325</v>
      </c>
      <c r="C2" s="10" t="s">
        <v>25</v>
      </c>
      <c r="D2" s="59">
        <v>46143</v>
      </c>
      <c r="E2" s="63">
        <v>0</v>
      </c>
      <c r="F2" s="54">
        <v>1</v>
      </c>
      <c r="I2" s="61"/>
    </row>
    <row r="3" spans="1:9" x14ac:dyDescent="0.4">
      <c r="A3" s="13" t="s">
        <v>2324</v>
      </c>
      <c r="B3" s="55" t="s">
        <v>2325</v>
      </c>
      <c r="C3" s="10" t="s">
        <v>25</v>
      </c>
      <c r="D3" s="59">
        <v>46174</v>
      </c>
      <c r="E3" s="63">
        <v>79200</v>
      </c>
      <c r="F3" s="13">
        <v>2</v>
      </c>
      <c r="I3" s="61"/>
    </row>
    <row r="4" spans="1:9" x14ac:dyDescent="0.4">
      <c r="A4" s="13" t="s">
        <v>2324</v>
      </c>
      <c r="B4" s="55" t="s">
        <v>2325</v>
      </c>
      <c r="C4" s="10" t="s">
        <v>25</v>
      </c>
      <c r="D4" s="59">
        <v>46204</v>
      </c>
      <c r="E4" s="63">
        <v>1683000</v>
      </c>
      <c r="F4" s="54">
        <v>3</v>
      </c>
      <c r="I4" s="61"/>
    </row>
    <row r="5" spans="1:9" x14ac:dyDescent="0.4">
      <c r="A5" s="13" t="s">
        <v>2324</v>
      </c>
      <c r="B5" s="55" t="s">
        <v>2325</v>
      </c>
      <c r="C5" s="10" t="s">
        <v>25</v>
      </c>
      <c r="D5" s="59">
        <v>46235</v>
      </c>
      <c r="E5" s="63">
        <v>1881000</v>
      </c>
      <c r="F5" s="13">
        <v>4</v>
      </c>
      <c r="I5" s="61"/>
    </row>
    <row r="6" spans="1:9" x14ac:dyDescent="0.4">
      <c r="A6" s="13" t="s">
        <v>2324</v>
      </c>
      <c r="B6" s="55" t="s">
        <v>2325</v>
      </c>
      <c r="C6" s="10" t="s">
        <v>25</v>
      </c>
      <c r="D6" s="59">
        <v>46266</v>
      </c>
      <c r="E6" s="63">
        <v>1801800</v>
      </c>
      <c r="F6" s="54">
        <v>5</v>
      </c>
      <c r="I6" s="61"/>
    </row>
    <row r="7" spans="1:9" x14ac:dyDescent="0.4">
      <c r="A7" s="13" t="s">
        <v>2324</v>
      </c>
      <c r="B7" s="55" t="s">
        <v>2325</v>
      </c>
      <c r="C7" s="10" t="s">
        <v>25</v>
      </c>
      <c r="D7" s="59">
        <v>46296</v>
      </c>
      <c r="E7" s="63">
        <v>198000</v>
      </c>
      <c r="F7" s="13">
        <v>6</v>
      </c>
      <c r="I7" s="61"/>
    </row>
    <row r="8" spans="1:9" x14ac:dyDescent="0.4">
      <c r="A8" s="13" t="s">
        <v>2324</v>
      </c>
      <c r="B8" s="55" t="s">
        <v>2325</v>
      </c>
      <c r="C8" s="10" t="s">
        <v>25</v>
      </c>
      <c r="D8" s="59">
        <v>46327</v>
      </c>
      <c r="E8" s="63">
        <v>0</v>
      </c>
      <c r="F8" s="54">
        <v>7</v>
      </c>
      <c r="I8" s="61"/>
    </row>
    <row r="9" spans="1:9" x14ac:dyDescent="0.4">
      <c r="A9" s="13" t="s">
        <v>2324</v>
      </c>
      <c r="B9" s="55" t="s">
        <v>2325</v>
      </c>
      <c r="C9" s="10" t="s">
        <v>25</v>
      </c>
      <c r="D9" s="59">
        <v>46357</v>
      </c>
      <c r="E9" s="63">
        <v>0</v>
      </c>
      <c r="F9" s="13">
        <v>8</v>
      </c>
      <c r="I9" s="61"/>
    </row>
    <row r="10" spans="1:9" x14ac:dyDescent="0.4">
      <c r="A10" s="13" t="s">
        <v>2324</v>
      </c>
      <c r="B10" s="55" t="s">
        <v>2325</v>
      </c>
      <c r="C10" s="10" t="s">
        <v>25</v>
      </c>
      <c r="D10" s="59">
        <v>46388</v>
      </c>
      <c r="E10" s="63">
        <v>0</v>
      </c>
      <c r="F10" s="54">
        <v>9</v>
      </c>
      <c r="I10" s="61"/>
    </row>
    <row r="11" spans="1:9" x14ac:dyDescent="0.4">
      <c r="A11" s="13" t="s">
        <v>2324</v>
      </c>
      <c r="B11" s="55" t="s">
        <v>2325</v>
      </c>
      <c r="C11" s="10" t="s">
        <v>25</v>
      </c>
      <c r="D11" s="59">
        <v>46419</v>
      </c>
      <c r="E11" s="63">
        <v>0</v>
      </c>
      <c r="F11" s="13">
        <v>10</v>
      </c>
      <c r="I11" s="61"/>
    </row>
    <row r="12" spans="1:9" x14ac:dyDescent="0.4">
      <c r="A12" s="13" t="s">
        <v>2324</v>
      </c>
      <c r="B12" s="55" t="s">
        <v>2325</v>
      </c>
      <c r="C12" s="10" t="s">
        <v>25</v>
      </c>
      <c r="D12" s="59">
        <v>46447</v>
      </c>
      <c r="E12" s="63">
        <v>0</v>
      </c>
      <c r="F12" s="54">
        <v>11</v>
      </c>
      <c r="I12" s="61"/>
    </row>
    <row r="13" spans="1:9" x14ac:dyDescent="0.4">
      <c r="A13" s="13" t="s">
        <v>2324</v>
      </c>
      <c r="B13" s="55" t="s">
        <v>2325</v>
      </c>
      <c r="C13" s="10" t="s">
        <v>25</v>
      </c>
      <c r="D13" s="59">
        <v>46478</v>
      </c>
      <c r="E13" s="63">
        <v>0</v>
      </c>
      <c r="F13" s="13">
        <v>12</v>
      </c>
      <c r="I13" s="61"/>
    </row>
    <row r="14" spans="1:9" x14ac:dyDescent="0.4">
      <c r="A14" s="13" t="s">
        <v>2324</v>
      </c>
      <c r="B14" s="55" t="s">
        <v>2325</v>
      </c>
      <c r="C14" s="10" t="s">
        <v>25</v>
      </c>
      <c r="D14" s="59">
        <v>46508</v>
      </c>
      <c r="E14" s="63">
        <v>0</v>
      </c>
      <c r="F14" s="54">
        <v>13</v>
      </c>
      <c r="I14" s="61"/>
    </row>
    <row r="15" spans="1:9" x14ac:dyDescent="0.4">
      <c r="A15" s="13" t="s">
        <v>2324</v>
      </c>
      <c r="B15" s="55" t="s">
        <v>2325</v>
      </c>
      <c r="C15" s="10" t="s">
        <v>25</v>
      </c>
      <c r="D15" s="59">
        <v>46539</v>
      </c>
      <c r="E15" s="63">
        <v>0</v>
      </c>
      <c r="F15" s="13">
        <v>14</v>
      </c>
      <c r="I15" s="61"/>
    </row>
    <row r="16" spans="1:9" x14ac:dyDescent="0.4">
      <c r="A16" s="13" t="s">
        <v>2324</v>
      </c>
      <c r="B16" s="55" t="s">
        <v>2325</v>
      </c>
      <c r="C16" s="10" t="s">
        <v>25</v>
      </c>
      <c r="D16" s="59">
        <v>46569</v>
      </c>
      <c r="E16" s="63">
        <v>0</v>
      </c>
      <c r="F16" s="54">
        <v>15</v>
      </c>
      <c r="I16" s="61"/>
    </row>
    <row r="17" spans="1:9" x14ac:dyDescent="0.4">
      <c r="A17" s="13" t="s">
        <v>2324</v>
      </c>
      <c r="B17" s="55" t="s">
        <v>2325</v>
      </c>
      <c r="C17" s="10" t="s">
        <v>25</v>
      </c>
      <c r="D17" s="59">
        <v>46600</v>
      </c>
      <c r="E17" s="63">
        <v>0</v>
      </c>
      <c r="F17" s="13">
        <v>16</v>
      </c>
      <c r="I17" s="61"/>
    </row>
    <row r="18" spans="1:9" x14ac:dyDescent="0.4">
      <c r="A18" s="13" t="s">
        <v>2324</v>
      </c>
      <c r="B18" s="55" t="s">
        <v>2325</v>
      </c>
      <c r="C18" s="10" t="s">
        <v>25</v>
      </c>
      <c r="D18" s="59">
        <v>46631</v>
      </c>
      <c r="E18" s="63">
        <v>0</v>
      </c>
      <c r="F18" s="54">
        <v>17</v>
      </c>
      <c r="I18" s="61"/>
    </row>
    <row r="19" spans="1:9" x14ac:dyDescent="0.4">
      <c r="A19" s="13" t="s">
        <v>2324</v>
      </c>
      <c r="B19" s="55" t="s">
        <v>2325</v>
      </c>
      <c r="C19" s="10" t="s">
        <v>25</v>
      </c>
      <c r="D19" s="59">
        <v>46661</v>
      </c>
      <c r="E19" s="63">
        <v>0</v>
      </c>
      <c r="F19" s="13">
        <v>18</v>
      </c>
      <c r="I19" s="61"/>
    </row>
    <row r="20" spans="1:9" x14ac:dyDescent="0.4">
      <c r="A20" s="13" t="s">
        <v>2324</v>
      </c>
      <c r="B20" s="55" t="s">
        <v>2325</v>
      </c>
      <c r="C20" s="10" t="s">
        <v>25</v>
      </c>
      <c r="D20" s="59">
        <v>46692</v>
      </c>
      <c r="E20" s="63">
        <v>0</v>
      </c>
      <c r="F20" s="54">
        <v>19</v>
      </c>
      <c r="I20" s="61"/>
    </row>
    <row r="21" spans="1:9" x14ac:dyDescent="0.4">
      <c r="A21" s="13" t="s">
        <v>2324</v>
      </c>
      <c r="B21" s="55" t="s">
        <v>2325</v>
      </c>
      <c r="C21" s="10" t="s">
        <v>25</v>
      </c>
      <c r="D21" s="59">
        <v>46722</v>
      </c>
      <c r="E21" s="63">
        <v>0</v>
      </c>
      <c r="F21" s="13">
        <v>20</v>
      </c>
      <c r="I21" s="61"/>
    </row>
    <row r="22" spans="1:9" x14ac:dyDescent="0.4">
      <c r="A22" s="13" t="s">
        <v>2324</v>
      </c>
      <c r="B22" s="55" t="s">
        <v>2325</v>
      </c>
      <c r="C22" s="10" t="s">
        <v>25</v>
      </c>
      <c r="D22" s="59">
        <v>46753</v>
      </c>
      <c r="E22" s="63">
        <v>0</v>
      </c>
      <c r="F22" s="54">
        <v>21</v>
      </c>
      <c r="I22" s="61"/>
    </row>
    <row r="23" spans="1:9" x14ac:dyDescent="0.4">
      <c r="A23" s="13" t="s">
        <v>2324</v>
      </c>
      <c r="B23" s="55" t="s">
        <v>2325</v>
      </c>
      <c r="C23" s="10" t="s">
        <v>25</v>
      </c>
      <c r="D23" s="59">
        <v>46784</v>
      </c>
      <c r="E23" s="63">
        <v>0</v>
      </c>
      <c r="F23" s="13">
        <v>22</v>
      </c>
      <c r="I23" s="61"/>
    </row>
    <row r="24" spans="1:9" x14ac:dyDescent="0.4">
      <c r="A24" s="13" t="s">
        <v>2324</v>
      </c>
      <c r="B24" s="55" t="s">
        <v>2325</v>
      </c>
      <c r="C24" s="13" t="s">
        <v>44</v>
      </c>
      <c r="D24" s="59">
        <v>46143</v>
      </c>
      <c r="E24" s="63">
        <v>0</v>
      </c>
      <c r="F24" s="54">
        <v>23</v>
      </c>
      <c r="I24" s="61"/>
    </row>
    <row r="25" spans="1:9" x14ac:dyDescent="0.4">
      <c r="A25" s="13" t="s">
        <v>2324</v>
      </c>
      <c r="B25" s="55" t="s">
        <v>2325</v>
      </c>
      <c r="C25" s="13" t="s">
        <v>44</v>
      </c>
      <c r="D25" s="59">
        <v>46174</v>
      </c>
      <c r="E25" s="6">
        <v>152400</v>
      </c>
      <c r="F25" s="13">
        <v>24</v>
      </c>
      <c r="I25" s="61"/>
    </row>
    <row r="26" spans="1:9" x14ac:dyDescent="0.4">
      <c r="A26" s="13" t="s">
        <v>2324</v>
      </c>
      <c r="B26" s="55" t="s">
        <v>2325</v>
      </c>
      <c r="C26" s="13" t="s">
        <v>44</v>
      </c>
      <c r="D26" s="59">
        <v>46204</v>
      </c>
      <c r="E26" s="6">
        <v>7810500</v>
      </c>
      <c r="F26" s="54">
        <v>25</v>
      </c>
      <c r="I26" s="61"/>
    </row>
    <row r="27" spans="1:9" x14ac:dyDescent="0.4">
      <c r="A27" s="13" t="s">
        <v>2324</v>
      </c>
      <c r="B27" s="55" t="s">
        <v>2325</v>
      </c>
      <c r="C27" s="13" t="s">
        <v>44</v>
      </c>
      <c r="D27" s="59">
        <v>46235</v>
      </c>
      <c r="E27" s="6">
        <v>8001000</v>
      </c>
      <c r="F27" s="13">
        <v>26</v>
      </c>
      <c r="I27" s="61"/>
    </row>
    <row r="28" spans="1:9" x14ac:dyDescent="0.4">
      <c r="A28" s="13" t="s">
        <v>2324</v>
      </c>
      <c r="B28" s="55" t="s">
        <v>2325</v>
      </c>
      <c r="C28" s="13" t="s">
        <v>44</v>
      </c>
      <c r="D28" s="59">
        <v>46266</v>
      </c>
      <c r="E28" s="6">
        <v>8286750</v>
      </c>
      <c r="F28" s="54">
        <v>27</v>
      </c>
      <c r="I28" s="61"/>
    </row>
    <row r="29" spans="1:9" x14ac:dyDescent="0.4">
      <c r="A29" s="13" t="s">
        <v>2324</v>
      </c>
      <c r="B29" s="55" t="s">
        <v>2325</v>
      </c>
      <c r="C29" s="13" t="s">
        <v>44</v>
      </c>
      <c r="D29" s="59">
        <v>46296</v>
      </c>
      <c r="E29" s="6">
        <v>8572500</v>
      </c>
      <c r="F29" s="13">
        <v>28</v>
      </c>
      <c r="I29" s="61"/>
    </row>
    <row r="30" spans="1:9" x14ac:dyDescent="0.4">
      <c r="A30" s="13" t="s">
        <v>2324</v>
      </c>
      <c r="B30" s="55" t="s">
        <v>2325</v>
      </c>
      <c r="C30" s="13" t="s">
        <v>44</v>
      </c>
      <c r="D30" s="59">
        <v>46327</v>
      </c>
      <c r="E30" s="6">
        <v>8705850</v>
      </c>
      <c r="F30" s="54">
        <v>29</v>
      </c>
      <c r="I30" s="61"/>
    </row>
    <row r="31" spans="1:9" x14ac:dyDescent="0.4">
      <c r="A31" s="13" t="s">
        <v>2324</v>
      </c>
      <c r="B31" s="55" t="s">
        <v>2325</v>
      </c>
      <c r="C31" s="13" t="s">
        <v>44</v>
      </c>
      <c r="D31" s="59">
        <v>46357</v>
      </c>
      <c r="E31" s="6">
        <v>8572500</v>
      </c>
      <c r="F31" s="13">
        <v>30</v>
      </c>
      <c r="I31" s="61"/>
    </row>
    <row r="32" spans="1:9" x14ac:dyDescent="0.4">
      <c r="A32" s="13" t="s">
        <v>2324</v>
      </c>
      <c r="B32" s="55" t="s">
        <v>2325</v>
      </c>
      <c r="C32" s="13" t="s">
        <v>44</v>
      </c>
      <c r="D32" s="59">
        <v>46388</v>
      </c>
      <c r="E32" s="6">
        <v>914400</v>
      </c>
      <c r="F32" s="54">
        <v>31</v>
      </c>
      <c r="I32" s="61"/>
    </row>
    <row r="33" spans="1:9" x14ac:dyDescent="0.4">
      <c r="A33" s="13" t="s">
        <v>2324</v>
      </c>
      <c r="B33" s="55" t="s">
        <v>2325</v>
      </c>
      <c r="C33" s="13" t="s">
        <v>44</v>
      </c>
      <c r="D33" s="59">
        <v>46419</v>
      </c>
      <c r="E33" s="6">
        <v>723900</v>
      </c>
      <c r="F33" s="13">
        <v>32</v>
      </c>
      <c r="I33" s="61"/>
    </row>
    <row r="34" spans="1:9" x14ac:dyDescent="0.4">
      <c r="A34" s="13" t="s">
        <v>2324</v>
      </c>
      <c r="B34" s="55" t="s">
        <v>2325</v>
      </c>
      <c r="C34" s="13" t="s">
        <v>44</v>
      </c>
      <c r="D34" s="59">
        <v>46447</v>
      </c>
      <c r="E34" s="6">
        <v>438150</v>
      </c>
      <c r="F34" s="54">
        <v>33</v>
      </c>
      <c r="I34" s="61"/>
    </row>
    <row r="35" spans="1:9" x14ac:dyDescent="0.4">
      <c r="A35" s="13" t="s">
        <v>2324</v>
      </c>
      <c r="B35" s="55" t="s">
        <v>2325</v>
      </c>
      <c r="C35" s="13" t="s">
        <v>44</v>
      </c>
      <c r="D35" s="59">
        <v>46478</v>
      </c>
      <c r="E35" s="6">
        <v>152400</v>
      </c>
      <c r="F35" s="13">
        <v>34</v>
      </c>
      <c r="I35" s="61"/>
    </row>
    <row r="36" spans="1:9" x14ac:dyDescent="0.4">
      <c r="A36" s="13" t="s">
        <v>2324</v>
      </c>
      <c r="B36" s="55" t="s">
        <v>2325</v>
      </c>
      <c r="C36" s="13" t="s">
        <v>44</v>
      </c>
      <c r="D36" s="59">
        <v>46508</v>
      </c>
      <c r="E36" s="6">
        <v>19050</v>
      </c>
      <c r="F36" s="54">
        <v>35</v>
      </c>
      <c r="I36" s="61"/>
    </row>
    <row r="37" spans="1:9" x14ac:dyDescent="0.4">
      <c r="A37" s="13" t="s">
        <v>2324</v>
      </c>
      <c r="B37" s="55" t="s">
        <v>2325</v>
      </c>
      <c r="C37" s="13" t="s">
        <v>44</v>
      </c>
      <c r="D37" s="59">
        <v>46539</v>
      </c>
      <c r="E37" s="63">
        <v>0</v>
      </c>
      <c r="F37" s="13">
        <v>36</v>
      </c>
      <c r="I37" s="61"/>
    </row>
    <row r="38" spans="1:9" x14ac:dyDescent="0.4">
      <c r="A38" s="13" t="s">
        <v>2324</v>
      </c>
      <c r="B38" s="55" t="s">
        <v>2325</v>
      </c>
      <c r="C38" s="13" t="s">
        <v>44</v>
      </c>
      <c r="D38" s="59">
        <v>46569</v>
      </c>
      <c r="E38" s="63">
        <v>0</v>
      </c>
      <c r="F38" s="54">
        <v>37</v>
      </c>
      <c r="I38" s="61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46600</v>
      </c>
      <c r="E39" s="63">
        <v>0</v>
      </c>
      <c r="F39" s="13">
        <v>38</v>
      </c>
      <c r="I39" s="61"/>
    </row>
    <row r="40" spans="1:9" x14ac:dyDescent="0.4">
      <c r="A40" s="13" t="s">
        <v>2324</v>
      </c>
      <c r="B40" s="55" t="s">
        <v>2325</v>
      </c>
      <c r="C40" s="13" t="s">
        <v>44</v>
      </c>
      <c r="D40" s="59">
        <v>46631</v>
      </c>
      <c r="E40" s="63">
        <v>0</v>
      </c>
      <c r="F40" s="54">
        <v>39</v>
      </c>
      <c r="I40" s="61"/>
    </row>
    <row r="41" spans="1:9" x14ac:dyDescent="0.4">
      <c r="A41" s="13" t="s">
        <v>2324</v>
      </c>
      <c r="B41" s="55" t="s">
        <v>2325</v>
      </c>
      <c r="C41" s="13" t="s">
        <v>44</v>
      </c>
      <c r="D41" s="59">
        <v>46661</v>
      </c>
      <c r="E41" s="63">
        <v>0</v>
      </c>
      <c r="F41" s="13">
        <v>40</v>
      </c>
      <c r="I41" s="61"/>
    </row>
    <row r="42" spans="1:9" x14ac:dyDescent="0.4">
      <c r="A42" s="13" t="s">
        <v>2324</v>
      </c>
      <c r="B42" s="55" t="s">
        <v>2325</v>
      </c>
      <c r="C42" s="13" t="s">
        <v>44</v>
      </c>
      <c r="D42" s="59">
        <v>46692</v>
      </c>
      <c r="E42" s="63">
        <v>0</v>
      </c>
      <c r="F42" s="54">
        <v>41</v>
      </c>
      <c r="I42" s="61"/>
    </row>
    <row r="43" spans="1:9" x14ac:dyDescent="0.4">
      <c r="A43" s="13" t="s">
        <v>2324</v>
      </c>
      <c r="B43" s="55" t="s">
        <v>2325</v>
      </c>
      <c r="C43" s="13" t="s">
        <v>44</v>
      </c>
      <c r="D43" s="59">
        <v>46722</v>
      </c>
      <c r="E43" s="63">
        <v>0</v>
      </c>
      <c r="F43" s="13">
        <v>42</v>
      </c>
      <c r="I43" s="61"/>
    </row>
    <row r="44" spans="1:9" x14ac:dyDescent="0.4">
      <c r="A44" s="13" t="s">
        <v>2324</v>
      </c>
      <c r="B44" s="55" t="s">
        <v>2325</v>
      </c>
      <c r="C44" s="13" t="s">
        <v>44</v>
      </c>
      <c r="D44" s="59">
        <v>46753</v>
      </c>
      <c r="E44" s="63">
        <v>0</v>
      </c>
      <c r="F44" s="54">
        <v>43</v>
      </c>
      <c r="I44" s="61"/>
    </row>
    <row r="45" spans="1:9" x14ac:dyDescent="0.4">
      <c r="A45" s="13" t="s">
        <v>2324</v>
      </c>
      <c r="B45" s="55" t="s">
        <v>2325</v>
      </c>
      <c r="C45" s="13" t="s">
        <v>44</v>
      </c>
      <c r="D45" s="59">
        <v>46784</v>
      </c>
      <c r="E45" s="63">
        <v>0</v>
      </c>
      <c r="F45" s="13">
        <v>44</v>
      </c>
      <c r="I45" s="61"/>
    </row>
    <row r="46" spans="1:9" x14ac:dyDescent="0.4">
      <c r="A46" s="13" t="s">
        <v>2324</v>
      </c>
      <c r="B46" s="55" t="s">
        <v>2325</v>
      </c>
      <c r="C46" s="13" t="s">
        <v>1944</v>
      </c>
      <c r="D46" s="59">
        <v>46143</v>
      </c>
      <c r="E46" s="63">
        <v>0</v>
      </c>
      <c r="F46" s="54">
        <v>45</v>
      </c>
      <c r="I46" s="61"/>
    </row>
    <row r="47" spans="1:9" x14ac:dyDescent="0.4">
      <c r="A47" s="13" t="s">
        <v>2324</v>
      </c>
      <c r="B47" s="55" t="s">
        <v>2325</v>
      </c>
      <c r="C47" s="13" t="s">
        <v>1944</v>
      </c>
      <c r="D47" s="59">
        <v>46174</v>
      </c>
      <c r="E47" s="6">
        <v>56610</v>
      </c>
      <c r="F47" s="13">
        <v>46</v>
      </c>
      <c r="I47" s="61"/>
    </row>
    <row r="48" spans="1:9" x14ac:dyDescent="0.4">
      <c r="A48" s="13" t="s">
        <v>2324</v>
      </c>
      <c r="B48" s="55" t="s">
        <v>2325</v>
      </c>
      <c r="C48" s="13" t="s">
        <v>1944</v>
      </c>
      <c r="D48" s="59">
        <v>46204</v>
      </c>
      <c r="E48" s="6">
        <v>75480</v>
      </c>
      <c r="F48" s="54">
        <v>47</v>
      </c>
      <c r="I48" s="61"/>
    </row>
    <row r="49" spans="1:9" x14ac:dyDescent="0.4">
      <c r="A49" s="13" t="s">
        <v>2324</v>
      </c>
      <c r="B49" s="55" t="s">
        <v>2325</v>
      </c>
      <c r="C49" s="13" t="s">
        <v>1944</v>
      </c>
      <c r="D49" s="59">
        <v>46235</v>
      </c>
      <c r="E49" s="6">
        <v>84915</v>
      </c>
      <c r="F49" s="13">
        <v>48</v>
      </c>
      <c r="I49" s="61"/>
    </row>
    <row r="50" spans="1:9" x14ac:dyDescent="0.4">
      <c r="A50" s="13" t="s">
        <v>2324</v>
      </c>
      <c r="B50" s="55" t="s">
        <v>2325</v>
      </c>
      <c r="C50" s="13" t="s">
        <v>1944</v>
      </c>
      <c r="D50" s="59">
        <v>46266</v>
      </c>
      <c r="E50" s="6">
        <v>235875</v>
      </c>
      <c r="F50" s="54">
        <v>49</v>
      </c>
      <c r="I50" s="61"/>
    </row>
    <row r="51" spans="1:9" x14ac:dyDescent="0.4">
      <c r="A51" s="13" t="s">
        <v>2324</v>
      </c>
      <c r="B51" s="55" t="s">
        <v>2325</v>
      </c>
      <c r="C51" s="13" t="s">
        <v>1944</v>
      </c>
      <c r="D51" s="59">
        <v>46296</v>
      </c>
      <c r="E51" s="6">
        <v>424575</v>
      </c>
      <c r="F51" s="13">
        <v>50</v>
      </c>
      <c r="I51" s="61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46327</v>
      </c>
      <c r="E52" s="6">
        <v>424575</v>
      </c>
      <c r="F52" s="54">
        <v>51</v>
      </c>
      <c r="I52" s="61"/>
    </row>
    <row r="53" spans="1:9" x14ac:dyDescent="0.4">
      <c r="A53" s="13" t="s">
        <v>2324</v>
      </c>
      <c r="B53" s="55" t="s">
        <v>2325</v>
      </c>
      <c r="C53" s="13" t="s">
        <v>1944</v>
      </c>
      <c r="D53" s="59">
        <v>46357</v>
      </c>
      <c r="E53" s="6">
        <v>424575</v>
      </c>
      <c r="F53" s="13">
        <v>52</v>
      </c>
      <c r="I53" s="61"/>
    </row>
    <row r="54" spans="1:9" x14ac:dyDescent="0.4">
      <c r="A54" s="13" t="s">
        <v>2324</v>
      </c>
      <c r="B54" s="55" t="s">
        <v>2325</v>
      </c>
      <c r="C54" s="13" t="s">
        <v>1944</v>
      </c>
      <c r="D54" s="59">
        <v>46388</v>
      </c>
      <c r="E54" s="6">
        <v>434010</v>
      </c>
      <c r="F54" s="54">
        <v>53</v>
      </c>
      <c r="I54" s="61"/>
    </row>
    <row r="55" spans="1:9" x14ac:dyDescent="0.4">
      <c r="A55" s="13" t="s">
        <v>2324</v>
      </c>
      <c r="B55" s="55" t="s">
        <v>2325</v>
      </c>
      <c r="C55" s="13" t="s">
        <v>1944</v>
      </c>
      <c r="D55" s="59">
        <v>46419</v>
      </c>
      <c r="E55" s="6">
        <v>434010</v>
      </c>
      <c r="F55" s="13">
        <v>54</v>
      </c>
      <c r="I55" s="61"/>
    </row>
    <row r="56" spans="1:9" x14ac:dyDescent="0.4">
      <c r="A56" s="13" t="s">
        <v>2324</v>
      </c>
      <c r="B56" s="55" t="s">
        <v>2325</v>
      </c>
      <c r="C56" s="13" t="s">
        <v>1944</v>
      </c>
      <c r="D56" s="59">
        <v>46447</v>
      </c>
      <c r="E56" s="6">
        <v>509490</v>
      </c>
      <c r="F56" s="54">
        <v>55</v>
      </c>
      <c r="I56" s="61"/>
    </row>
    <row r="57" spans="1:9" x14ac:dyDescent="0.4">
      <c r="A57" s="13" t="s">
        <v>2324</v>
      </c>
      <c r="B57" s="55" t="s">
        <v>2325</v>
      </c>
      <c r="C57" s="13" t="s">
        <v>1944</v>
      </c>
      <c r="D57" s="59">
        <v>46478</v>
      </c>
      <c r="E57" s="6">
        <v>509490</v>
      </c>
      <c r="F57" s="13">
        <v>56</v>
      </c>
      <c r="I57" s="61"/>
    </row>
    <row r="58" spans="1:9" x14ac:dyDescent="0.4">
      <c r="A58" s="13" t="s">
        <v>2324</v>
      </c>
      <c r="B58" s="55" t="s">
        <v>2325</v>
      </c>
      <c r="C58" s="13" t="s">
        <v>1944</v>
      </c>
      <c r="D58" s="59">
        <v>46508</v>
      </c>
      <c r="E58" s="6">
        <v>509490</v>
      </c>
      <c r="F58" s="54">
        <v>57</v>
      </c>
      <c r="I58" s="61"/>
    </row>
    <row r="59" spans="1:9" x14ac:dyDescent="0.4">
      <c r="A59" s="13" t="s">
        <v>2324</v>
      </c>
      <c r="B59" s="55" t="s">
        <v>2325</v>
      </c>
      <c r="C59" s="13" t="s">
        <v>1944</v>
      </c>
      <c r="D59" s="59">
        <v>46539</v>
      </c>
      <c r="E59" s="6">
        <v>452880</v>
      </c>
      <c r="F59" s="13">
        <v>58</v>
      </c>
      <c r="I59" s="61"/>
    </row>
    <row r="60" spans="1:9" x14ac:dyDescent="0.4">
      <c r="A60" s="13" t="s">
        <v>2324</v>
      </c>
      <c r="B60" s="55" t="s">
        <v>2325</v>
      </c>
      <c r="C60" s="13" t="s">
        <v>1944</v>
      </c>
      <c r="D60" s="59">
        <v>46569</v>
      </c>
      <c r="E60" s="6">
        <v>434010</v>
      </c>
      <c r="F60" s="54">
        <v>59</v>
      </c>
      <c r="I60" s="61"/>
    </row>
    <row r="61" spans="1:9" x14ac:dyDescent="0.4">
      <c r="A61" s="13" t="s">
        <v>2324</v>
      </c>
      <c r="B61" s="55" t="s">
        <v>2325</v>
      </c>
      <c r="C61" s="13" t="s">
        <v>1944</v>
      </c>
      <c r="D61" s="59">
        <v>46600</v>
      </c>
      <c r="E61" s="6">
        <v>424575</v>
      </c>
      <c r="F61" s="13">
        <v>60</v>
      </c>
      <c r="I61" s="61"/>
    </row>
    <row r="62" spans="1:9" x14ac:dyDescent="0.4">
      <c r="A62" s="13" t="s">
        <v>2324</v>
      </c>
      <c r="B62" s="55" t="s">
        <v>2325</v>
      </c>
      <c r="C62" s="13" t="s">
        <v>1944</v>
      </c>
      <c r="D62" s="59">
        <v>46631</v>
      </c>
      <c r="E62" s="6">
        <v>273615</v>
      </c>
      <c r="F62" s="54">
        <v>61</v>
      </c>
      <c r="I62" s="61"/>
    </row>
    <row r="63" spans="1:9" x14ac:dyDescent="0.4">
      <c r="A63" s="13" t="s">
        <v>2324</v>
      </c>
      <c r="B63" s="55" t="s">
        <v>2325</v>
      </c>
      <c r="C63" s="13" t="s">
        <v>1944</v>
      </c>
      <c r="D63" s="59">
        <v>46661</v>
      </c>
      <c r="E63" s="6">
        <v>84915</v>
      </c>
      <c r="F63" s="13">
        <v>62</v>
      </c>
      <c r="I63" s="61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46692</v>
      </c>
      <c r="E64" s="6">
        <v>84915</v>
      </c>
      <c r="F64" s="54">
        <v>63</v>
      </c>
      <c r="I64" s="61"/>
    </row>
    <row r="65" spans="1:9" x14ac:dyDescent="0.4">
      <c r="A65" s="13" t="s">
        <v>2324</v>
      </c>
      <c r="B65" s="55" t="s">
        <v>2325</v>
      </c>
      <c r="C65" s="13" t="s">
        <v>1944</v>
      </c>
      <c r="D65" s="59">
        <v>46722</v>
      </c>
      <c r="E65" s="6">
        <v>84915</v>
      </c>
      <c r="F65" s="13">
        <v>64</v>
      </c>
      <c r="I65" s="61"/>
    </row>
    <row r="66" spans="1:9" x14ac:dyDescent="0.4">
      <c r="A66" s="13" t="s">
        <v>2324</v>
      </c>
      <c r="B66" s="55" t="s">
        <v>2325</v>
      </c>
      <c r="C66" s="13" t="s">
        <v>1944</v>
      </c>
      <c r="D66" s="59">
        <v>46753</v>
      </c>
      <c r="E66" s="6">
        <v>75480</v>
      </c>
      <c r="F66" s="54">
        <v>65</v>
      </c>
      <c r="I66" s="61"/>
    </row>
    <row r="67" spans="1:9" x14ac:dyDescent="0.4">
      <c r="A67" s="13" t="s">
        <v>2324</v>
      </c>
      <c r="B67" s="55" t="s">
        <v>2325</v>
      </c>
      <c r="C67" s="13" t="s">
        <v>1944</v>
      </c>
      <c r="D67" s="59">
        <v>46784</v>
      </c>
      <c r="E67" s="6">
        <v>75480</v>
      </c>
      <c r="F67" s="13">
        <v>66</v>
      </c>
      <c r="I67" s="61"/>
    </row>
    <row r="68" spans="1:9" x14ac:dyDescent="0.4">
      <c r="A68" s="13" t="s">
        <v>2324</v>
      </c>
      <c r="B68" s="55" t="s">
        <v>2325</v>
      </c>
      <c r="C68" s="13" t="s">
        <v>70</v>
      </c>
      <c r="D68" s="59">
        <v>46143</v>
      </c>
      <c r="E68" s="63">
        <v>0</v>
      </c>
      <c r="F68" s="54">
        <v>67</v>
      </c>
      <c r="I68" s="61"/>
    </row>
    <row r="69" spans="1:9" x14ac:dyDescent="0.4">
      <c r="A69" s="13" t="s">
        <v>2324</v>
      </c>
      <c r="B69" s="55" t="s">
        <v>2325</v>
      </c>
      <c r="C69" s="13" t="s">
        <v>70</v>
      </c>
      <c r="D69" s="59">
        <v>46174</v>
      </c>
      <c r="E69" s="63">
        <v>0</v>
      </c>
      <c r="F69" s="13">
        <v>68</v>
      </c>
      <c r="I69" s="61"/>
    </row>
    <row r="70" spans="1:9" x14ac:dyDescent="0.4">
      <c r="A70" s="13" t="s">
        <v>2324</v>
      </c>
      <c r="B70" s="55" t="s">
        <v>2325</v>
      </c>
      <c r="C70" s="13" t="s">
        <v>70</v>
      </c>
      <c r="D70" s="59">
        <v>46204</v>
      </c>
      <c r="E70" s="6">
        <v>39600</v>
      </c>
      <c r="F70" s="54">
        <v>69</v>
      </c>
      <c r="I70" s="61"/>
    </row>
    <row r="71" spans="1:9" x14ac:dyDescent="0.4">
      <c r="A71" s="13" t="s">
        <v>2324</v>
      </c>
      <c r="B71" s="55" t="s">
        <v>2325</v>
      </c>
      <c r="C71" s="13" t="s">
        <v>70</v>
      </c>
      <c r="D71" s="59">
        <v>46235</v>
      </c>
      <c r="E71" s="6">
        <v>39600</v>
      </c>
      <c r="F71" s="13">
        <v>70</v>
      </c>
      <c r="I71" s="61"/>
    </row>
    <row r="72" spans="1:9" x14ac:dyDescent="0.4">
      <c r="A72" s="13" t="s">
        <v>2324</v>
      </c>
      <c r="B72" s="55" t="s">
        <v>2325</v>
      </c>
      <c r="C72" s="13" t="s">
        <v>70</v>
      </c>
      <c r="D72" s="59">
        <v>46266</v>
      </c>
      <c r="E72" s="6">
        <v>39600</v>
      </c>
      <c r="F72" s="54">
        <v>71</v>
      </c>
      <c r="I72" s="61"/>
    </row>
    <row r="73" spans="1:9" x14ac:dyDescent="0.4">
      <c r="A73" s="13" t="s">
        <v>2324</v>
      </c>
      <c r="B73" s="55" t="s">
        <v>2325</v>
      </c>
      <c r="C73" s="13" t="s">
        <v>70</v>
      </c>
      <c r="D73" s="59">
        <v>46296</v>
      </c>
      <c r="E73" s="63">
        <v>0</v>
      </c>
      <c r="F73" s="13">
        <v>72</v>
      </c>
      <c r="I73" s="61"/>
    </row>
    <row r="74" spans="1:9" x14ac:dyDescent="0.4">
      <c r="A74" s="13" t="s">
        <v>2324</v>
      </c>
      <c r="B74" s="55" t="s">
        <v>2325</v>
      </c>
      <c r="C74" s="13" t="s">
        <v>70</v>
      </c>
      <c r="D74" s="59">
        <v>46327</v>
      </c>
      <c r="E74" s="63">
        <v>0</v>
      </c>
      <c r="F74" s="54">
        <v>73</v>
      </c>
      <c r="I74" s="61"/>
    </row>
    <row r="75" spans="1:9" x14ac:dyDescent="0.4">
      <c r="A75" s="13" t="s">
        <v>2324</v>
      </c>
      <c r="B75" s="55" t="s">
        <v>2325</v>
      </c>
      <c r="C75" s="13" t="s">
        <v>70</v>
      </c>
      <c r="D75" s="59">
        <v>46357</v>
      </c>
      <c r="E75" s="63">
        <v>0</v>
      </c>
      <c r="F75" s="13">
        <v>74</v>
      </c>
      <c r="I75" s="61"/>
    </row>
    <row r="76" spans="1:9" x14ac:dyDescent="0.4">
      <c r="A76" s="13" t="s">
        <v>2324</v>
      </c>
      <c r="B76" s="55" t="s">
        <v>2325</v>
      </c>
      <c r="C76" s="13" t="s">
        <v>70</v>
      </c>
      <c r="D76" s="59">
        <v>46388</v>
      </c>
      <c r="E76" s="63">
        <v>0</v>
      </c>
      <c r="F76" s="54">
        <v>75</v>
      </c>
      <c r="I76" s="61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46419</v>
      </c>
      <c r="E77" s="63">
        <v>0</v>
      </c>
      <c r="F77" s="13">
        <v>76</v>
      </c>
      <c r="I77" s="61"/>
    </row>
    <row r="78" spans="1:9" x14ac:dyDescent="0.4">
      <c r="A78" s="13" t="s">
        <v>2324</v>
      </c>
      <c r="B78" s="55" t="s">
        <v>2325</v>
      </c>
      <c r="C78" s="13" t="s">
        <v>70</v>
      </c>
      <c r="D78" s="59">
        <v>46447</v>
      </c>
      <c r="E78" s="63">
        <v>0</v>
      </c>
      <c r="F78" s="54">
        <v>77</v>
      </c>
      <c r="I78" s="61"/>
    </row>
    <row r="79" spans="1:9" x14ac:dyDescent="0.4">
      <c r="A79" s="13" t="s">
        <v>2324</v>
      </c>
      <c r="B79" s="55" t="s">
        <v>2325</v>
      </c>
      <c r="C79" s="13" t="s">
        <v>70</v>
      </c>
      <c r="D79" s="59">
        <v>46478</v>
      </c>
      <c r="E79" s="63">
        <v>0</v>
      </c>
      <c r="F79" s="13">
        <v>78</v>
      </c>
      <c r="I79" s="61"/>
    </row>
    <row r="80" spans="1:9" x14ac:dyDescent="0.4">
      <c r="A80" s="13" t="s">
        <v>2324</v>
      </c>
      <c r="B80" s="55" t="s">
        <v>2325</v>
      </c>
      <c r="C80" s="13" t="s">
        <v>70</v>
      </c>
      <c r="D80" s="59">
        <v>46508</v>
      </c>
      <c r="E80" s="63">
        <v>0</v>
      </c>
      <c r="F80" s="54">
        <v>79</v>
      </c>
      <c r="I80" s="61"/>
    </row>
    <row r="81" spans="1:9" x14ac:dyDescent="0.4">
      <c r="A81" s="13" t="s">
        <v>2324</v>
      </c>
      <c r="B81" s="55" t="s">
        <v>2325</v>
      </c>
      <c r="C81" s="13" t="s">
        <v>70</v>
      </c>
      <c r="D81" s="59">
        <v>46539</v>
      </c>
      <c r="E81" s="63">
        <v>0</v>
      </c>
      <c r="F81" s="13">
        <v>80</v>
      </c>
      <c r="I81" s="61"/>
    </row>
    <row r="82" spans="1:9" x14ac:dyDescent="0.4">
      <c r="A82" s="13" t="s">
        <v>2324</v>
      </c>
      <c r="B82" s="55" t="s">
        <v>2325</v>
      </c>
      <c r="C82" s="13" t="s">
        <v>70</v>
      </c>
      <c r="D82" s="59">
        <v>46569</v>
      </c>
      <c r="E82" s="63">
        <v>0</v>
      </c>
      <c r="F82" s="54">
        <v>81</v>
      </c>
      <c r="I82" s="61"/>
    </row>
    <row r="83" spans="1:9" x14ac:dyDescent="0.4">
      <c r="A83" s="13" t="s">
        <v>2324</v>
      </c>
      <c r="B83" s="55" t="s">
        <v>2325</v>
      </c>
      <c r="C83" s="13" t="s">
        <v>70</v>
      </c>
      <c r="D83" s="59">
        <v>46600</v>
      </c>
      <c r="E83" s="63">
        <v>0</v>
      </c>
      <c r="F83" s="13">
        <v>82</v>
      </c>
      <c r="I83" s="61"/>
    </row>
    <row r="84" spans="1:9" x14ac:dyDescent="0.4">
      <c r="A84" s="13" t="s">
        <v>2324</v>
      </c>
      <c r="B84" s="55" t="s">
        <v>2325</v>
      </c>
      <c r="C84" s="13" t="s">
        <v>70</v>
      </c>
      <c r="D84" s="59">
        <v>46631</v>
      </c>
      <c r="E84" s="63">
        <v>0</v>
      </c>
      <c r="F84" s="54">
        <v>83</v>
      </c>
      <c r="I84" s="61"/>
    </row>
    <row r="85" spans="1:9" x14ac:dyDescent="0.4">
      <c r="A85" s="13" t="s">
        <v>2324</v>
      </c>
      <c r="B85" s="55" t="s">
        <v>2325</v>
      </c>
      <c r="C85" s="13" t="s">
        <v>70</v>
      </c>
      <c r="D85" s="59">
        <v>46661</v>
      </c>
      <c r="E85" s="63">
        <v>0</v>
      </c>
      <c r="F85" s="13">
        <v>84</v>
      </c>
      <c r="I85" s="61"/>
    </row>
    <row r="86" spans="1:9" x14ac:dyDescent="0.4">
      <c r="A86" s="13" t="s">
        <v>2324</v>
      </c>
      <c r="B86" s="55" t="s">
        <v>2325</v>
      </c>
      <c r="C86" s="13" t="s">
        <v>70</v>
      </c>
      <c r="D86" s="59">
        <v>46692</v>
      </c>
      <c r="E86" s="63">
        <v>0</v>
      </c>
      <c r="F86" s="54">
        <v>85</v>
      </c>
      <c r="I86" s="61"/>
    </row>
    <row r="87" spans="1:9" x14ac:dyDescent="0.4">
      <c r="A87" s="13" t="s">
        <v>2324</v>
      </c>
      <c r="B87" s="55" t="s">
        <v>2325</v>
      </c>
      <c r="C87" s="13" t="s">
        <v>70</v>
      </c>
      <c r="D87" s="59">
        <v>46722</v>
      </c>
      <c r="E87" s="63">
        <v>0</v>
      </c>
      <c r="F87" s="13">
        <v>86</v>
      </c>
      <c r="I87" s="61"/>
    </row>
    <row r="88" spans="1:9" x14ac:dyDescent="0.4">
      <c r="A88" s="13" t="s">
        <v>2324</v>
      </c>
      <c r="B88" s="55" t="s">
        <v>2325</v>
      </c>
      <c r="C88" s="13" t="s">
        <v>70</v>
      </c>
      <c r="D88" s="59">
        <v>46753</v>
      </c>
      <c r="E88" s="63">
        <v>0</v>
      </c>
      <c r="F88" s="54">
        <v>87</v>
      </c>
      <c r="I88" s="61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46784</v>
      </c>
      <c r="E89" s="63">
        <v>0</v>
      </c>
      <c r="F89" s="13">
        <v>88</v>
      </c>
      <c r="I89" s="61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46143</v>
      </c>
      <c r="E90" s="63">
        <v>0</v>
      </c>
      <c r="F90" s="54">
        <v>89</v>
      </c>
      <c r="I90" s="61"/>
    </row>
    <row r="91" spans="1:9" x14ac:dyDescent="0.4">
      <c r="A91" s="13" t="s">
        <v>2324</v>
      </c>
      <c r="B91" s="55" t="s">
        <v>2325</v>
      </c>
      <c r="C91" s="13" t="s">
        <v>50</v>
      </c>
      <c r="D91" s="59">
        <v>46174</v>
      </c>
      <c r="E91" s="63">
        <v>0</v>
      </c>
      <c r="F91" s="13">
        <v>90</v>
      </c>
      <c r="I91" s="61"/>
    </row>
    <row r="92" spans="1:9" x14ac:dyDescent="0.4">
      <c r="A92" s="13" t="s">
        <v>2324</v>
      </c>
      <c r="B92" s="55" t="s">
        <v>2325</v>
      </c>
      <c r="C92" s="13" t="s">
        <v>50</v>
      </c>
      <c r="D92" s="59">
        <v>46204</v>
      </c>
      <c r="E92" s="6">
        <v>381000</v>
      </c>
      <c r="F92" s="54">
        <v>91</v>
      </c>
      <c r="I92" s="61"/>
    </row>
    <row r="93" spans="1:9" x14ac:dyDescent="0.4">
      <c r="A93" s="13" t="s">
        <v>2324</v>
      </c>
      <c r="B93" s="55" t="s">
        <v>2325</v>
      </c>
      <c r="C93" s="13" t="s">
        <v>50</v>
      </c>
      <c r="D93" s="59">
        <v>46235</v>
      </c>
      <c r="E93" s="6">
        <v>419100</v>
      </c>
      <c r="F93" s="13">
        <v>92</v>
      </c>
      <c r="I93" s="61"/>
    </row>
    <row r="94" spans="1:9" x14ac:dyDescent="0.4">
      <c r="A94" s="13" t="s">
        <v>2324</v>
      </c>
      <c r="B94" s="55" t="s">
        <v>2325</v>
      </c>
      <c r="C94" s="13" t="s">
        <v>50</v>
      </c>
      <c r="D94" s="59">
        <v>46266</v>
      </c>
      <c r="E94" s="6">
        <v>495300</v>
      </c>
      <c r="F94" s="54">
        <v>93</v>
      </c>
      <c r="I94" s="61"/>
    </row>
    <row r="95" spans="1:9" x14ac:dyDescent="0.4">
      <c r="A95" s="13" t="s">
        <v>2324</v>
      </c>
      <c r="B95" s="55" t="s">
        <v>2325</v>
      </c>
      <c r="C95" s="13" t="s">
        <v>50</v>
      </c>
      <c r="D95" s="59">
        <v>46296</v>
      </c>
      <c r="E95" s="6">
        <v>495300</v>
      </c>
      <c r="F95" s="13">
        <v>94</v>
      </c>
      <c r="I95" s="61"/>
    </row>
    <row r="96" spans="1:9" x14ac:dyDescent="0.4">
      <c r="A96" s="13" t="s">
        <v>2324</v>
      </c>
      <c r="B96" s="55" t="s">
        <v>2325</v>
      </c>
      <c r="C96" s="13" t="s">
        <v>50</v>
      </c>
      <c r="D96" s="59">
        <v>46327</v>
      </c>
      <c r="E96" s="6">
        <v>514350</v>
      </c>
      <c r="F96" s="54">
        <v>95</v>
      </c>
      <c r="I96" s="61"/>
    </row>
    <row r="97" spans="1:9" x14ac:dyDescent="0.4">
      <c r="A97" s="13" t="s">
        <v>2324</v>
      </c>
      <c r="B97" s="55" t="s">
        <v>2325</v>
      </c>
      <c r="C97" s="13" t="s">
        <v>50</v>
      </c>
      <c r="D97" s="59">
        <v>46357</v>
      </c>
      <c r="E97" s="6">
        <v>514350</v>
      </c>
      <c r="F97" s="13">
        <v>96</v>
      </c>
      <c r="I97" s="61"/>
    </row>
    <row r="98" spans="1:9" x14ac:dyDescent="0.4">
      <c r="A98" s="13" t="s">
        <v>2324</v>
      </c>
      <c r="B98" s="55" t="s">
        <v>2325</v>
      </c>
      <c r="C98" s="13" t="s">
        <v>50</v>
      </c>
      <c r="D98" s="59">
        <v>46388</v>
      </c>
      <c r="E98" s="6">
        <v>133350</v>
      </c>
      <c r="F98" s="54">
        <v>97</v>
      </c>
      <c r="I98" s="61"/>
    </row>
    <row r="99" spans="1:9" x14ac:dyDescent="0.4">
      <c r="A99" s="13" t="s">
        <v>2324</v>
      </c>
      <c r="B99" s="55" t="s">
        <v>2325</v>
      </c>
      <c r="C99" s="13" t="s">
        <v>50</v>
      </c>
      <c r="D99" s="59">
        <v>46419</v>
      </c>
      <c r="E99" s="6">
        <v>95250</v>
      </c>
      <c r="F99" s="13">
        <v>98</v>
      </c>
      <c r="I99" s="61"/>
    </row>
    <row r="100" spans="1:9" x14ac:dyDescent="0.4">
      <c r="A100" s="13" t="s">
        <v>2324</v>
      </c>
      <c r="B100" s="55" t="s">
        <v>2325</v>
      </c>
      <c r="C100" s="13" t="s">
        <v>50</v>
      </c>
      <c r="D100" s="59">
        <v>46447</v>
      </c>
      <c r="E100" s="6">
        <v>19050</v>
      </c>
      <c r="F100" s="54">
        <v>99</v>
      </c>
      <c r="I100" s="61"/>
    </row>
    <row r="101" spans="1:9" x14ac:dyDescent="0.4">
      <c r="A101" s="13" t="s">
        <v>2324</v>
      </c>
      <c r="B101" s="55" t="s">
        <v>2325</v>
      </c>
      <c r="C101" s="13" t="s">
        <v>50</v>
      </c>
      <c r="D101" s="59">
        <v>46478</v>
      </c>
      <c r="E101" s="6">
        <v>19050</v>
      </c>
      <c r="F101" s="13">
        <v>100</v>
      </c>
      <c r="I101" s="61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46508</v>
      </c>
      <c r="E102" s="63">
        <v>0</v>
      </c>
      <c r="F102" s="54">
        <v>101</v>
      </c>
      <c r="I102" s="61"/>
    </row>
    <row r="103" spans="1:9" x14ac:dyDescent="0.4">
      <c r="A103" s="13" t="s">
        <v>2324</v>
      </c>
      <c r="B103" s="55" t="s">
        <v>2325</v>
      </c>
      <c r="C103" s="13" t="s">
        <v>50</v>
      </c>
      <c r="D103" s="59">
        <v>46539</v>
      </c>
      <c r="E103" s="63">
        <v>0</v>
      </c>
      <c r="F103" s="13">
        <v>102</v>
      </c>
      <c r="I103" s="61"/>
    </row>
    <row r="104" spans="1:9" x14ac:dyDescent="0.4">
      <c r="A104" s="13" t="s">
        <v>2324</v>
      </c>
      <c r="B104" s="55" t="s">
        <v>2325</v>
      </c>
      <c r="C104" s="13" t="s">
        <v>50</v>
      </c>
      <c r="D104" s="59">
        <v>46569</v>
      </c>
      <c r="E104" s="63">
        <v>0</v>
      </c>
      <c r="F104" s="54">
        <v>103</v>
      </c>
      <c r="I104" s="61"/>
    </row>
    <row r="105" spans="1:9" x14ac:dyDescent="0.4">
      <c r="A105" s="13" t="s">
        <v>2324</v>
      </c>
      <c r="B105" s="55" t="s">
        <v>2325</v>
      </c>
      <c r="C105" s="13" t="s">
        <v>50</v>
      </c>
      <c r="D105" s="59">
        <v>46600</v>
      </c>
      <c r="E105" s="63">
        <v>0</v>
      </c>
      <c r="F105" s="13">
        <v>104</v>
      </c>
      <c r="I105" s="61"/>
    </row>
    <row r="106" spans="1:9" x14ac:dyDescent="0.4">
      <c r="A106" s="13" t="s">
        <v>2324</v>
      </c>
      <c r="B106" s="55" t="s">
        <v>2325</v>
      </c>
      <c r="C106" s="13" t="s">
        <v>50</v>
      </c>
      <c r="D106" s="59">
        <v>46631</v>
      </c>
      <c r="E106" s="63">
        <v>0</v>
      </c>
      <c r="F106" s="54">
        <v>105</v>
      </c>
      <c r="I106" s="61"/>
    </row>
    <row r="107" spans="1:9" x14ac:dyDescent="0.4">
      <c r="A107" s="13" t="s">
        <v>2324</v>
      </c>
      <c r="B107" s="55" t="s">
        <v>2325</v>
      </c>
      <c r="C107" s="13" t="s">
        <v>50</v>
      </c>
      <c r="D107" s="59">
        <v>46661</v>
      </c>
      <c r="E107" s="63">
        <v>0</v>
      </c>
      <c r="F107" s="13">
        <v>106</v>
      </c>
      <c r="I107" s="61"/>
    </row>
    <row r="108" spans="1:9" x14ac:dyDescent="0.4">
      <c r="A108" s="13" t="s">
        <v>2324</v>
      </c>
      <c r="B108" s="55" t="s">
        <v>2325</v>
      </c>
      <c r="C108" s="13" t="s">
        <v>50</v>
      </c>
      <c r="D108" s="59">
        <v>46692</v>
      </c>
      <c r="E108" s="63">
        <v>0</v>
      </c>
      <c r="F108" s="54">
        <v>107</v>
      </c>
      <c r="I108" s="61"/>
    </row>
    <row r="109" spans="1:9" x14ac:dyDescent="0.4">
      <c r="A109" s="13" t="s">
        <v>2324</v>
      </c>
      <c r="B109" s="55" t="s">
        <v>2325</v>
      </c>
      <c r="C109" s="13" t="s">
        <v>50</v>
      </c>
      <c r="D109" s="59">
        <v>46722</v>
      </c>
      <c r="E109" s="63">
        <v>0</v>
      </c>
      <c r="F109" s="13">
        <v>108</v>
      </c>
      <c r="I109" s="61"/>
    </row>
    <row r="110" spans="1:9" x14ac:dyDescent="0.4">
      <c r="A110" s="13" t="s">
        <v>2324</v>
      </c>
      <c r="B110" s="55" t="s">
        <v>2325</v>
      </c>
      <c r="C110" s="13" t="s">
        <v>50</v>
      </c>
      <c r="D110" s="59">
        <v>46753</v>
      </c>
      <c r="E110" s="63">
        <v>0</v>
      </c>
      <c r="F110" s="54">
        <v>109</v>
      </c>
      <c r="I110" s="61"/>
    </row>
    <row r="111" spans="1:9" x14ac:dyDescent="0.4">
      <c r="A111" s="13" t="s">
        <v>2324</v>
      </c>
      <c r="B111" s="55" t="s">
        <v>2325</v>
      </c>
      <c r="C111" s="13" t="s">
        <v>50</v>
      </c>
      <c r="D111" s="59">
        <v>46784</v>
      </c>
      <c r="E111" s="63">
        <v>0</v>
      </c>
      <c r="F111" s="13">
        <v>110</v>
      </c>
      <c r="I111" s="61"/>
    </row>
    <row r="112" spans="1:9" x14ac:dyDescent="0.4">
      <c r="A112" s="13" t="s">
        <v>2324</v>
      </c>
      <c r="B112" s="55" t="s">
        <v>2325</v>
      </c>
      <c r="C112" s="13" t="s">
        <v>5133</v>
      </c>
      <c r="D112" s="59">
        <v>46143</v>
      </c>
      <c r="E112" s="63">
        <v>0</v>
      </c>
      <c r="F112" s="54">
        <v>111</v>
      </c>
      <c r="I112" s="61"/>
    </row>
    <row r="113" spans="1:9" x14ac:dyDescent="0.4">
      <c r="A113" s="13" t="s">
        <v>2324</v>
      </c>
      <c r="B113" s="55" t="s">
        <v>2325</v>
      </c>
      <c r="C113" s="13" t="s">
        <v>5133</v>
      </c>
      <c r="D113" s="59">
        <v>46174</v>
      </c>
      <c r="E113" s="63">
        <v>0</v>
      </c>
      <c r="F113" s="13">
        <v>112</v>
      </c>
      <c r="I113" s="61"/>
    </row>
    <row r="114" spans="1:9" x14ac:dyDescent="0.4">
      <c r="A114" s="13" t="s">
        <v>2324</v>
      </c>
      <c r="B114" s="55" t="s">
        <v>2325</v>
      </c>
      <c r="C114" s="13" t="s">
        <v>5133</v>
      </c>
      <c r="D114" s="59">
        <v>46204</v>
      </c>
      <c r="E114" s="63">
        <v>0</v>
      </c>
      <c r="F114" s="54">
        <v>113</v>
      </c>
      <c r="I114" s="61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46235</v>
      </c>
      <c r="E115" s="63">
        <v>0</v>
      </c>
      <c r="F115" s="13">
        <v>114</v>
      </c>
      <c r="I115" s="61"/>
    </row>
    <row r="116" spans="1:9" x14ac:dyDescent="0.4">
      <c r="A116" s="13" t="s">
        <v>2324</v>
      </c>
      <c r="B116" s="55" t="s">
        <v>2325</v>
      </c>
      <c r="C116" s="13" t="s">
        <v>5133</v>
      </c>
      <c r="D116" s="59">
        <v>46266</v>
      </c>
      <c r="E116" s="6">
        <v>28305</v>
      </c>
      <c r="F116" s="54">
        <v>115</v>
      </c>
      <c r="I116" s="61"/>
    </row>
    <row r="117" spans="1:9" x14ac:dyDescent="0.4">
      <c r="A117" s="13" t="s">
        <v>2324</v>
      </c>
      <c r="B117" s="55" t="s">
        <v>2325</v>
      </c>
      <c r="C117" s="13" t="s">
        <v>5133</v>
      </c>
      <c r="D117" s="59">
        <v>46296</v>
      </c>
      <c r="E117" s="6">
        <v>28305</v>
      </c>
      <c r="F117" s="13">
        <v>116</v>
      </c>
      <c r="I117" s="61"/>
    </row>
    <row r="118" spans="1:9" x14ac:dyDescent="0.4">
      <c r="A118" s="13" t="s">
        <v>2324</v>
      </c>
      <c r="B118" s="55" t="s">
        <v>2325</v>
      </c>
      <c r="C118" s="13" t="s">
        <v>5133</v>
      </c>
      <c r="D118" s="59">
        <v>46327</v>
      </c>
      <c r="E118" s="6">
        <v>37740</v>
      </c>
      <c r="F118" s="54">
        <v>117</v>
      </c>
      <c r="I118" s="61"/>
    </row>
    <row r="119" spans="1:9" x14ac:dyDescent="0.4">
      <c r="A119" s="13" t="s">
        <v>2324</v>
      </c>
      <c r="B119" s="55" t="s">
        <v>2325</v>
      </c>
      <c r="C119" s="13" t="s">
        <v>5133</v>
      </c>
      <c r="D119" s="59">
        <v>46357</v>
      </c>
      <c r="E119" s="6">
        <v>37740</v>
      </c>
      <c r="F119" s="13">
        <v>118</v>
      </c>
      <c r="I119" s="61"/>
    </row>
    <row r="120" spans="1:9" x14ac:dyDescent="0.4">
      <c r="A120" s="13" t="s">
        <v>2324</v>
      </c>
      <c r="B120" s="55" t="s">
        <v>2325</v>
      </c>
      <c r="C120" s="13" t="s">
        <v>5133</v>
      </c>
      <c r="D120" s="59">
        <v>46388</v>
      </c>
      <c r="E120" s="6">
        <v>37740</v>
      </c>
      <c r="F120" s="54">
        <v>119</v>
      </c>
      <c r="I120" s="61"/>
    </row>
    <row r="121" spans="1:9" x14ac:dyDescent="0.4">
      <c r="A121" s="13" t="s">
        <v>2324</v>
      </c>
      <c r="B121" s="55" t="s">
        <v>2325</v>
      </c>
      <c r="C121" s="13" t="s">
        <v>5133</v>
      </c>
      <c r="D121" s="59">
        <v>46419</v>
      </c>
      <c r="E121" s="6">
        <v>37740</v>
      </c>
      <c r="F121" s="13">
        <v>120</v>
      </c>
      <c r="I121" s="61"/>
    </row>
    <row r="122" spans="1:9" x14ac:dyDescent="0.4">
      <c r="A122" s="13" t="s">
        <v>2324</v>
      </c>
      <c r="B122" s="55" t="s">
        <v>2325</v>
      </c>
      <c r="C122" s="13" t="s">
        <v>5133</v>
      </c>
      <c r="D122" s="59">
        <v>46447</v>
      </c>
      <c r="E122" s="6">
        <v>37740</v>
      </c>
      <c r="F122" s="54">
        <v>121</v>
      </c>
      <c r="I122" s="61"/>
    </row>
    <row r="123" spans="1:9" x14ac:dyDescent="0.4">
      <c r="A123" s="13" t="s">
        <v>2324</v>
      </c>
      <c r="B123" s="55" t="s">
        <v>2325</v>
      </c>
      <c r="C123" s="13" t="s">
        <v>5133</v>
      </c>
      <c r="D123" s="59">
        <v>46478</v>
      </c>
      <c r="E123" s="6">
        <v>37740</v>
      </c>
      <c r="F123" s="13">
        <v>122</v>
      </c>
      <c r="I123" s="61"/>
    </row>
    <row r="124" spans="1:9" x14ac:dyDescent="0.4">
      <c r="A124" s="13" t="s">
        <v>2324</v>
      </c>
      <c r="B124" s="55" t="s">
        <v>2325</v>
      </c>
      <c r="C124" s="13" t="s">
        <v>5133</v>
      </c>
      <c r="D124" s="59">
        <v>46508</v>
      </c>
      <c r="E124" s="6">
        <v>37740</v>
      </c>
      <c r="F124" s="54">
        <v>123</v>
      </c>
      <c r="I124" s="61"/>
    </row>
    <row r="125" spans="1:9" x14ac:dyDescent="0.4">
      <c r="A125" s="13" t="s">
        <v>2324</v>
      </c>
      <c r="B125" s="55" t="s">
        <v>2325</v>
      </c>
      <c r="C125" s="13" t="s">
        <v>5133</v>
      </c>
      <c r="D125" s="59">
        <v>46539</v>
      </c>
      <c r="E125" s="6">
        <v>37740</v>
      </c>
      <c r="F125" s="13">
        <v>124</v>
      </c>
      <c r="I125" s="61"/>
    </row>
    <row r="126" spans="1:9" x14ac:dyDescent="0.4">
      <c r="A126" s="13" t="s">
        <v>2324</v>
      </c>
      <c r="B126" s="55" t="s">
        <v>2325</v>
      </c>
      <c r="C126" s="13" t="s">
        <v>5133</v>
      </c>
      <c r="D126" s="59">
        <v>46569</v>
      </c>
      <c r="E126" s="6">
        <v>37740</v>
      </c>
      <c r="F126" s="54">
        <v>125</v>
      </c>
      <c r="I126" s="61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46600</v>
      </c>
      <c r="E127" s="6">
        <v>37740</v>
      </c>
      <c r="F127" s="13">
        <v>126</v>
      </c>
      <c r="I127" s="61"/>
    </row>
    <row r="128" spans="1:9" x14ac:dyDescent="0.4">
      <c r="A128" s="13" t="s">
        <v>2324</v>
      </c>
      <c r="B128" s="55" t="s">
        <v>2325</v>
      </c>
      <c r="C128" s="13" t="s">
        <v>5133</v>
      </c>
      <c r="D128" s="59">
        <v>46631</v>
      </c>
      <c r="E128" s="6">
        <v>9435</v>
      </c>
      <c r="F128" s="54">
        <v>127</v>
      </c>
      <c r="I128" s="61"/>
    </row>
    <row r="129" spans="1:9" x14ac:dyDescent="0.4">
      <c r="A129" s="13" t="s">
        <v>2324</v>
      </c>
      <c r="B129" s="55" t="s">
        <v>2325</v>
      </c>
      <c r="C129" s="13" t="s">
        <v>5133</v>
      </c>
      <c r="D129" s="59">
        <v>46661</v>
      </c>
      <c r="E129" s="6">
        <v>9435</v>
      </c>
      <c r="F129" s="13">
        <v>128</v>
      </c>
      <c r="I129" s="61"/>
    </row>
    <row r="130" spans="1:9" x14ac:dyDescent="0.4">
      <c r="A130" s="13" t="s">
        <v>2324</v>
      </c>
      <c r="B130" s="55" t="s">
        <v>2325</v>
      </c>
      <c r="C130" s="13" t="s">
        <v>5133</v>
      </c>
      <c r="D130" s="59">
        <v>46692</v>
      </c>
      <c r="E130" s="63">
        <v>0</v>
      </c>
      <c r="F130" s="54">
        <v>129</v>
      </c>
      <c r="I130" s="61"/>
    </row>
    <row r="131" spans="1:9" x14ac:dyDescent="0.4">
      <c r="A131" s="13" t="s">
        <v>2324</v>
      </c>
      <c r="B131" s="55" t="s">
        <v>2325</v>
      </c>
      <c r="C131" s="13" t="s">
        <v>5133</v>
      </c>
      <c r="D131" s="59">
        <v>46722</v>
      </c>
      <c r="E131" s="63">
        <v>0</v>
      </c>
      <c r="F131" s="13">
        <v>130</v>
      </c>
      <c r="I131" s="61"/>
    </row>
    <row r="132" spans="1:9" x14ac:dyDescent="0.4">
      <c r="A132" s="13" t="s">
        <v>2324</v>
      </c>
      <c r="B132" s="55" t="s">
        <v>2325</v>
      </c>
      <c r="C132" s="13" t="s">
        <v>5133</v>
      </c>
      <c r="D132" s="59">
        <v>46753</v>
      </c>
      <c r="E132" s="63">
        <v>0</v>
      </c>
      <c r="F132" s="54">
        <v>131</v>
      </c>
      <c r="I132" s="61"/>
    </row>
    <row r="133" spans="1:9" x14ac:dyDescent="0.4">
      <c r="A133" s="13" t="s">
        <v>2324</v>
      </c>
      <c r="B133" s="55" t="s">
        <v>2325</v>
      </c>
      <c r="C133" s="13" t="s">
        <v>5133</v>
      </c>
      <c r="D133" s="59">
        <v>46784</v>
      </c>
      <c r="E133" s="63">
        <v>0</v>
      </c>
      <c r="F133" s="13">
        <v>132</v>
      </c>
      <c r="I133" s="61"/>
    </row>
    <row r="134" spans="1:9" x14ac:dyDescent="0.4">
      <c r="A134" s="13" t="s">
        <v>2324</v>
      </c>
      <c r="B134" s="13" t="s">
        <v>2345</v>
      </c>
      <c r="C134" s="10" t="s">
        <v>25</v>
      </c>
      <c r="D134" s="59">
        <v>46143</v>
      </c>
      <c r="E134" s="63">
        <v>35640</v>
      </c>
      <c r="F134" s="54">
        <v>133</v>
      </c>
      <c r="I134" s="61"/>
    </row>
    <row r="135" spans="1:9" x14ac:dyDescent="0.4">
      <c r="A135" s="13" t="s">
        <v>2324</v>
      </c>
      <c r="B135" s="13" t="s">
        <v>2345</v>
      </c>
      <c r="C135" s="10" t="s">
        <v>25</v>
      </c>
      <c r="D135" s="59">
        <v>46174</v>
      </c>
      <c r="E135" s="6">
        <v>757350</v>
      </c>
      <c r="F135" s="13">
        <v>134</v>
      </c>
      <c r="I135" s="61"/>
    </row>
    <row r="136" spans="1:9" x14ac:dyDescent="0.4">
      <c r="A136" s="13" t="s">
        <v>2324</v>
      </c>
      <c r="B136" s="13" t="s">
        <v>2345</v>
      </c>
      <c r="C136" s="10" t="s">
        <v>25</v>
      </c>
      <c r="D136" s="59">
        <v>46204</v>
      </c>
      <c r="E136" s="6">
        <v>846450</v>
      </c>
      <c r="F136" s="54">
        <v>135</v>
      </c>
      <c r="I136" s="61"/>
    </row>
    <row r="137" spans="1:9" x14ac:dyDescent="0.4">
      <c r="A137" s="13" t="s">
        <v>2324</v>
      </c>
      <c r="B137" s="13" t="s">
        <v>2345</v>
      </c>
      <c r="C137" s="10" t="s">
        <v>25</v>
      </c>
      <c r="D137" s="59">
        <v>46235</v>
      </c>
      <c r="E137" s="6">
        <v>810810</v>
      </c>
      <c r="F137" s="13">
        <v>136</v>
      </c>
      <c r="I137" s="61"/>
    </row>
    <row r="138" spans="1:9" x14ac:dyDescent="0.4">
      <c r="A138" s="13" t="s">
        <v>2324</v>
      </c>
      <c r="B138" s="13" t="s">
        <v>2345</v>
      </c>
      <c r="C138" s="10" t="s">
        <v>25</v>
      </c>
      <c r="D138" s="59">
        <v>46266</v>
      </c>
      <c r="E138" s="6">
        <v>89100</v>
      </c>
      <c r="F138" s="54">
        <v>137</v>
      </c>
      <c r="I138" s="61"/>
    </row>
    <row r="139" spans="1:9" x14ac:dyDescent="0.4">
      <c r="A139" s="13" t="s">
        <v>2324</v>
      </c>
      <c r="B139" s="13" t="s">
        <v>2345</v>
      </c>
      <c r="C139" s="10" t="s">
        <v>25</v>
      </c>
      <c r="D139" s="59">
        <v>46296</v>
      </c>
      <c r="E139" s="6">
        <v>0</v>
      </c>
      <c r="F139" s="13">
        <v>138</v>
      </c>
      <c r="I139" s="61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46327</v>
      </c>
      <c r="E140" s="6">
        <v>0</v>
      </c>
      <c r="F140" s="54">
        <v>139</v>
      </c>
      <c r="I140" s="61"/>
    </row>
    <row r="141" spans="1:9" x14ac:dyDescent="0.4">
      <c r="A141" s="13" t="s">
        <v>2324</v>
      </c>
      <c r="B141" s="13" t="s">
        <v>2345</v>
      </c>
      <c r="C141" s="10" t="s">
        <v>25</v>
      </c>
      <c r="D141" s="59">
        <v>46357</v>
      </c>
      <c r="E141" s="6">
        <v>0</v>
      </c>
      <c r="F141" s="13">
        <v>140</v>
      </c>
      <c r="I141" s="61"/>
    </row>
    <row r="142" spans="1:9" x14ac:dyDescent="0.4">
      <c r="A142" s="13" t="s">
        <v>2324</v>
      </c>
      <c r="B142" s="13" t="s">
        <v>2345</v>
      </c>
      <c r="C142" s="10" t="s">
        <v>25</v>
      </c>
      <c r="D142" s="59">
        <v>46388</v>
      </c>
      <c r="E142" s="6">
        <v>0</v>
      </c>
      <c r="F142" s="54">
        <v>141</v>
      </c>
      <c r="I142" s="61"/>
    </row>
    <row r="143" spans="1:9" x14ac:dyDescent="0.4">
      <c r="A143" s="13" t="s">
        <v>2324</v>
      </c>
      <c r="B143" s="13" t="s">
        <v>2345</v>
      </c>
      <c r="C143" s="10" t="s">
        <v>25</v>
      </c>
      <c r="D143" s="59">
        <v>46419</v>
      </c>
      <c r="E143" s="6">
        <v>0</v>
      </c>
      <c r="F143" s="13">
        <v>142</v>
      </c>
      <c r="I143" s="61"/>
    </row>
    <row r="144" spans="1:9" x14ac:dyDescent="0.4">
      <c r="A144" s="13" t="s">
        <v>2324</v>
      </c>
      <c r="B144" s="13" t="s">
        <v>2345</v>
      </c>
      <c r="C144" s="10" t="s">
        <v>25</v>
      </c>
      <c r="D144" s="59">
        <v>46447</v>
      </c>
      <c r="E144" s="6">
        <v>0</v>
      </c>
      <c r="F144" s="54">
        <v>143</v>
      </c>
      <c r="I144" s="61"/>
    </row>
    <row r="145" spans="1:9" x14ac:dyDescent="0.4">
      <c r="A145" s="13" t="s">
        <v>2324</v>
      </c>
      <c r="B145" s="13" t="s">
        <v>2345</v>
      </c>
      <c r="C145" s="10" t="s">
        <v>25</v>
      </c>
      <c r="D145" s="59">
        <v>46478</v>
      </c>
      <c r="E145" s="6">
        <v>0</v>
      </c>
      <c r="F145" s="13">
        <v>144</v>
      </c>
      <c r="I145" s="61"/>
    </row>
    <row r="146" spans="1:9" x14ac:dyDescent="0.4">
      <c r="A146" s="13" t="s">
        <v>2324</v>
      </c>
      <c r="B146" s="13" t="s">
        <v>2345</v>
      </c>
      <c r="C146" s="10" t="s">
        <v>25</v>
      </c>
      <c r="D146" s="59">
        <v>46508</v>
      </c>
      <c r="E146" s="6">
        <v>0</v>
      </c>
      <c r="F146" s="54">
        <v>145</v>
      </c>
      <c r="I146" s="61"/>
    </row>
    <row r="147" spans="1:9" x14ac:dyDescent="0.4">
      <c r="A147" s="13" t="s">
        <v>2324</v>
      </c>
      <c r="B147" s="13" t="s">
        <v>2345</v>
      </c>
      <c r="C147" s="10" t="s">
        <v>25</v>
      </c>
      <c r="D147" s="59">
        <v>46539</v>
      </c>
      <c r="E147" s="6">
        <v>0</v>
      </c>
      <c r="F147" s="13">
        <v>146</v>
      </c>
      <c r="I147" s="61"/>
    </row>
    <row r="148" spans="1:9" x14ac:dyDescent="0.4">
      <c r="A148" s="13" t="s">
        <v>2324</v>
      </c>
      <c r="B148" s="13" t="s">
        <v>2345</v>
      </c>
      <c r="C148" s="10" t="s">
        <v>25</v>
      </c>
      <c r="D148" s="59">
        <v>46569</v>
      </c>
      <c r="E148" s="6">
        <v>0</v>
      </c>
      <c r="F148" s="54">
        <v>147</v>
      </c>
      <c r="I148" s="61"/>
    </row>
    <row r="149" spans="1:9" x14ac:dyDescent="0.4">
      <c r="A149" s="13" t="s">
        <v>2324</v>
      </c>
      <c r="B149" s="13" t="s">
        <v>2345</v>
      </c>
      <c r="C149" s="10" t="s">
        <v>25</v>
      </c>
      <c r="D149" s="59">
        <v>46600</v>
      </c>
      <c r="E149" s="6">
        <v>0</v>
      </c>
      <c r="F149" s="13">
        <v>148</v>
      </c>
      <c r="I149" s="61"/>
    </row>
    <row r="150" spans="1:9" x14ac:dyDescent="0.4">
      <c r="A150" s="13" t="s">
        <v>2324</v>
      </c>
      <c r="B150" s="13" t="s">
        <v>2345</v>
      </c>
      <c r="C150" s="10" t="s">
        <v>25</v>
      </c>
      <c r="D150" s="59">
        <v>46631</v>
      </c>
      <c r="E150" s="6">
        <v>0</v>
      </c>
      <c r="F150" s="54">
        <v>149</v>
      </c>
      <c r="I150" s="61"/>
    </row>
    <row r="151" spans="1:9" x14ac:dyDescent="0.4">
      <c r="A151" s="13" t="s">
        <v>2324</v>
      </c>
      <c r="B151" s="13" t="s">
        <v>2345</v>
      </c>
      <c r="C151" s="10" t="s">
        <v>25</v>
      </c>
      <c r="D151" s="59">
        <v>46661</v>
      </c>
      <c r="E151" s="6">
        <v>0</v>
      </c>
      <c r="F151" s="13">
        <v>150</v>
      </c>
      <c r="I151" s="61"/>
    </row>
    <row r="152" spans="1:9" x14ac:dyDescent="0.4">
      <c r="A152" s="13" t="s">
        <v>2324</v>
      </c>
      <c r="B152" s="13" t="s">
        <v>2345</v>
      </c>
      <c r="C152" s="10" t="s">
        <v>25</v>
      </c>
      <c r="D152" s="59">
        <v>46692</v>
      </c>
      <c r="E152" s="6">
        <v>0</v>
      </c>
      <c r="F152" s="54">
        <v>151</v>
      </c>
      <c r="I152" s="61"/>
    </row>
    <row r="153" spans="1:9" x14ac:dyDescent="0.4">
      <c r="A153" s="13" t="s">
        <v>2324</v>
      </c>
      <c r="B153" s="13" t="s">
        <v>2345</v>
      </c>
      <c r="C153" s="10" t="s">
        <v>25</v>
      </c>
      <c r="D153" s="59">
        <v>46722</v>
      </c>
      <c r="E153" s="6">
        <v>0</v>
      </c>
      <c r="F153" s="13">
        <v>152</v>
      </c>
      <c r="I153" s="61"/>
    </row>
    <row r="154" spans="1:9" x14ac:dyDescent="0.4">
      <c r="A154" s="13" t="s">
        <v>2324</v>
      </c>
      <c r="B154" s="13" t="s">
        <v>2345</v>
      </c>
      <c r="C154" s="10" t="s">
        <v>25</v>
      </c>
      <c r="D154" s="59">
        <v>46753</v>
      </c>
      <c r="E154" s="6">
        <v>0</v>
      </c>
      <c r="F154" s="54">
        <v>153</v>
      </c>
      <c r="I154" s="61"/>
    </row>
    <row r="155" spans="1:9" x14ac:dyDescent="0.4">
      <c r="A155" s="13" t="s">
        <v>2324</v>
      </c>
      <c r="B155" s="13" t="s">
        <v>2345</v>
      </c>
      <c r="C155" s="10" t="s">
        <v>25</v>
      </c>
      <c r="D155" s="59">
        <v>46784</v>
      </c>
      <c r="E155" s="6">
        <v>0</v>
      </c>
      <c r="F155" s="13">
        <v>154</v>
      </c>
      <c r="I155" s="61"/>
    </row>
    <row r="156" spans="1:9" x14ac:dyDescent="0.4">
      <c r="A156" s="13" t="s">
        <v>2324</v>
      </c>
      <c r="B156" s="13" t="s">
        <v>2345</v>
      </c>
      <c r="C156" s="13" t="s">
        <v>44</v>
      </c>
      <c r="D156" s="59">
        <v>46143</v>
      </c>
      <c r="E156" s="6">
        <v>68580</v>
      </c>
      <c r="F156" s="54">
        <v>155</v>
      </c>
      <c r="I156" s="61"/>
    </row>
    <row r="157" spans="1:9" x14ac:dyDescent="0.4">
      <c r="A157" s="13" t="s">
        <v>2324</v>
      </c>
      <c r="B157" s="13" t="s">
        <v>2345</v>
      </c>
      <c r="C157" s="13" t="s">
        <v>44</v>
      </c>
      <c r="D157" s="59">
        <v>46174</v>
      </c>
      <c r="E157" s="6">
        <v>3514725</v>
      </c>
      <c r="F157" s="13">
        <v>156</v>
      </c>
      <c r="I157" s="61"/>
    </row>
    <row r="158" spans="1:9" x14ac:dyDescent="0.4">
      <c r="A158" s="13" t="s">
        <v>2324</v>
      </c>
      <c r="B158" s="13" t="s">
        <v>2345</v>
      </c>
      <c r="C158" s="13" t="s">
        <v>44</v>
      </c>
      <c r="D158" s="59">
        <v>46204</v>
      </c>
      <c r="E158" s="6">
        <v>3600450</v>
      </c>
      <c r="F158" s="54">
        <v>157</v>
      </c>
      <c r="I158" s="61"/>
    </row>
    <row r="159" spans="1:9" x14ac:dyDescent="0.4">
      <c r="A159" s="13" t="s">
        <v>2324</v>
      </c>
      <c r="B159" s="13" t="s">
        <v>2345</v>
      </c>
      <c r="C159" s="13" t="s">
        <v>44</v>
      </c>
      <c r="D159" s="59">
        <v>46235</v>
      </c>
      <c r="E159" s="6">
        <v>3729037</v>
      </c>
      <c r="F159" s="13">
        <v>158</v>
      </c>
      <c r="I159" s="61"/>
    </row>
    <row r="160" spans="1:9" x14ac:dyDescent="0.4">
      <c r="A160" s="13" t="s">
        <v>2324</v>
      </c>
      <c r="B160" s="13" t="s">
        <v>2345</v>
      </c>
      <c r="C160" s="13" t="s">
        <v>44</v>
      </c>
      <c r="D160" s="59">
        <v>46266</v>
      </c>
      <c r="E160" s="6">
        <v>3857625</v>
      </c>
      <c r="F160" s="54">
        <v>159</v>
      </c>
      <c r="I160" s="61"/>
    </row>
    <row r="161" spans="1:9" x14ac:dyDescent="0.4">
      <c r="A161" s="13" t="s">
        <v>2324</v>
      </c>
      <c r="B161" s="13" t="s">
        <v>2345</v>
      </c>
      <c r="C161" s="13" t="s">
        <v>44</v>
      </c>
      <c r="D161" s="59">
        <v>46296</v>
      </c>
      <c r="E161" s="6">
        <v>3917632</v>
      </c>
      <c r="F161" s="13">
        <v>160</v>
      </c>
      <c r="I161" s="61"/>
    </row>
    <row r="162" spans="1:9" x14ac:dyDescent="0.4">
      <c r="A162" s="13" t="s">
        <v>2324</v>
      </c>
      <c r="B162" s="13" t="s">
        <v>2345</v>
      </c>
      <c r="C162" s="13" t="s">
        <v>44</v>
      </c>
      <c r="D162" s="59">
        <v>46327</v>
      </c>
      <c r="E162" s="6">
        <v>3857625</v>
      </c>
      <c r="F162" s="54">
        <v>161</v>
      </c>
      <c r="I162" s="61"/>
    </row>
    <row r="163" spans="1:9" x14ac:dyDescent="0.4">
      <c r="A163" s="13" t="s">
        <v>2324</v>
      </c>
      <c r="B163" s="13" t="s">
        <v>2345</v>
      </c>
      <c r="C163" s="13" t="s">
        <v>44</v>
      </c>
      <c r="D163" s="59">
        <v>46357</v>
      </c>
      <c r="E163" s="6">
        <v>411480</v>
      </c>
      <c r="F163" s="13">
        <v>162</v>
      </c>
      <c r="I163" s="61"/>
    </row>
    <row r="164" spans="1:9" x14ac:dyDescent="0.4">
      <c r="A164" s="13" t="s">
        <v>2324</v>
      </c>
      <c r="B164" s="13" t="s">
        <v>2345</v>
      </c>
      <c r="C164" s="13" t="s">
        <v>44</v>
      </c>
      <c r="D164" s="59">
        <v>46388</v>
      </c>
      <c r="E164" s="6">
        <v>325755</v>
      </c>
      <c r="F164" s="54">
        <v>163</v>
      </c>
      <c r="I164" s="61"/>
    </row>
    <row r="165" spans="1:9" x14ac:dyDescent="0.4">
      <c r="A165" s="13" t="s">
        <v>2324</v>
      </c>
      <c r="B165" s="13" t="s">
        <v>2345</v>
      </c>
      <c r="C165" s="13" t="s">
        <v>44</v>
      </c>
      <c r="D165" s="59">
        <v>46419</v>
      </c>
      <c r="E165" s="6">
        <v>197167</v>
      </c>
      <c r="F165" s="13">
        <v>164</v>
      </c>
      <c r="I165" s="61"/>
    </row>
    <row r="166" spans="1:9" x14ac:dyDescent="0.4">
      <c r="A166" s="13" t="s">
        <v>2324</v>
      </c>
      <c r="B166" s="13" t="s">
        <v>2345</v>
      </c>
      <c r="C166" s="13" t="s">
        <v>44</v>
      </c>
      <c r="D166" s="59">
        <v>46447</v>
      </c>
      <c r="E166" s="6">
        <v>68580</v>
      </c>
      <c r="F166" s="54">
        <v>165</v>
      </c>
      <c r="I166" s="61"/>
    </row>
    <row r="167" spans="1:9" x14ac:dyDescent="0.4">
      <c r="A167" s="13" t="s">
        <v>2324</v>
      </c>
      <c r="B167" s="13" t="s">
        <v>2345</v>
      </c>
      <c r="C167" s="13" t="s">
        <v>44</v>
      </c>
      <c r="D167" s="59">
        <v>46478</v>
      </c>
      <c r="E167" s="6">
        <v>8572</v>
      </c>
      <c r="F167" s="13">
        <v>166</v>
      </c>
      <c r="I167" s="61"/>
    </row>
    <row r="168" spans="1:9" x14ac:dyDescent="0.4">
      <c r="A168" s="13" t="s">
        <v>2324</v>
      </c>
      <c r="B168" s="13" t="s">
        <v>2345</v>
      </c>
      <c r="C168" s="13" t="s">
        <v>44</v>
      </c>
      <c r="D168" s="59">
        <v>46508</v>
      </c>
      <c r="E168" s="6">
        <v>0</v>
      </c>
      <c r="F168" s="54">
        <v>167</v>
      </c>
      <c r="I168" s="61"/>
    </row>
    <row r="169" spans="1:9" x14ac:dyDescent="0.4">
      <c r="A169" s="13" t="s">
        <v>2324</v>
      </c>
      <c r="B169" s="13" t="s">
        <v>2345</v>
      </c>
      <c r="C169" s="13" t="s">
        <v>44</v>
      </c>
      <c r="D169" s="59">
        <v>46539</v>
      </c>
      <c r="E169" s="6">
        <v>0</v>
      </c>
      <c r="F169" s="13">
        <v>168</v>
      </c>
      <c r="I169" s="61"/>
    </row>
    <row r="170" spans="1:9" x14ac:dyDescent="0.4">
      <c r="A170" s="13" t="s">
        <v>2324</v>
      </c>
      <c r="B170" s="13" t="s">
        <v>2345</v>
      </c>
      <c r="C170" s="13" t="s">
        <v>44</v>
      </c>
      <c r="D170" s="59">
        <v>46569</v>
      </c>
      <c r="E170" s="6">
        <v>0</v>
      </c>
      <c r="F170" s="54">
        <v>169</v>
      </c>
      <c r="I170" s="61"/>
    </row>
    <row r="171" spans="1:9" x14ac:dyDescent="0.4">
      <c r="A171" s="13" t="s">
        <v>2324</v>
      </c>
      <c r="B171" s="13" t="s">
        <v>2345</v>
      </c>
      <c r="C171" s="13" t="s">
        <v>44</v>
      </c>
      <c r="D171" s="59">
        <v>46600</v>
      </c>
      <c r="E171" s="6">
        <v>0</v>
      </c>
      <c r="F171" s="13">
        <v>170</v>
      </c>
      <c r="I171" s="61"/>
    </row>
    <row r="172" spans="1:9" x14ac:dyDescent="0.4">
      <c r="A172" s="13" t="s">
        <v>2324</v>
      </c>
      <c r="B172" s="13" t="s">
        <v>2345</v>
      </c>
      <c r="C172" s="13" t="s">
        <v>44</v>
      </c>
      <c r="D172" s="59">
        <v>46631</v>
      </c>
      <c r="E172" s="6">
        <v>0</v>
      </c>
      <c r="F172" s="54">
        <v>171</v>
      </c>
      <c r="I172" s="61"/>
    </row>
    <row r="173" spans="1:9" x14ac:dyDescent="0.4">
      <c r="A173" s="13" t="s">
        <v>2324</v>
      </c>
      <c r="B173" s="13" t="s">
        <v>2345</v>
      </c>
      <c r="C173" s="13" t="s">
        <v>44</v>
      </c>
      <c r="D173" s="59">
        <v>46661</v>
      </c>
      <c r="E173" s="6">
        <v>0</v>
      </c>
      <c r="F173" s="13">
        <v>172</v>
      </c>
      <c r="I173" s="61"/>
    </row>
    <row r="174" spans="1:9" x14ac:dyDescent="0.4">
      <c r="A174" s="13" t="s">
        <v>2324</v>
      </c>
      <c r="B174" s="13" t="s">
        <v>2345</v>
      </c>
      <c r="C174" s="13" t="s">
        <v>44</v>
      </c>
      <c r="D174" s="59">
        <v>46692</v>
      </c>
      <c r="E174" s="6">
        <v>0</v>
      </c>
      <c r="F174" s="54">
        <v>173</v>
      </c>
      <c r="I174" s="61"/>
    </row>
    <row r="175" spans="1:9" x14ac:dyDescent="0.4">
      <c r="A175" s="13" t="s">
        <v>2324</v>
      </c>
      <c r="B175" s="13" t="s">
        <v>2345</v>
      </c>
      <c r="C175" s="13" t="s">
        <v>44</v>
      </c>
      <c r="D175" s="59">
        <v>46722</v>
      </c>
      <c r="E175" s="6">
        <v>0</v>
      </c>
      <c r="F175" s="13">
        <v>174</v>
      </c>
      <c r="I175" s="61"/>
    </row>
    <row r="176" spans="1:9" x14ac:dyDescent="0.4">
      <c r="A176" s="13" t="s">
        <v>2324</v>
      </c>
      <c r="B176" s="13" t="s">
        <v>2345</v>
      </c>
      <c r="C176" s="13" t="s">
        <v>44</v>
      </c>
      <c r="D176" s="59">
        <v>46753</v>
      </c>
      <c r="E176" s="6">
        <v>0</v>
      </c>
      <c r="F176" s="54">
        <v>175</v>
      </c>
      <c r="I176" s="61"/>
    </row>
    <row r="177" spans="1:9" x14ac:dyDescent="0.4">
      <c r="A177" s="13" t="s">
        <v>2324</v>
      </c>
      <c r="B177" s="13" t="s">
        <v>2345</v>
      </c>
      <c r="C177" s="13" t="s">
        <v>44</v>
      </c>
      <c r="D177" s="59">
        <v>46784</v>
      </c>
      <c r="E177" s="6">
        <v>0</v>
      </c>
      <c r="F177" s="13">
        <v>176</v>
      </c>
      <c r="I177" s="61"/>
    </row>
    <row r="178" spans="1:9" x14ac:dyDescent="0.4">
      <c r="A178" s="13" t="s">
        <v>2324</v>
      </c>
      <c r="B178" s="13" t="s">
        <v>2345</v>
      </c>
      <c r="C178" s="13" t="s">
        <v>1944</v>
      </c>
      <c r="D178" s="59">
        <v>46143</v>
      </c>
      <c r="E178" s="6">
        <v>25474</v>
      </c>
      <c r="F178" s="54">
        <v>177</v>
      </c>
      <c r="I178" s="61"/>
    </row>
    <row r="179" spans="1:9" x14ac:dyDescent="0.4">
      <c r="A179" s="13" t="s">
        <v>2324</v>
      </c>
      <c r="B179" s="13" t="s">
        <v>2345</v>
      </c>
      <c r="C179" s="13" t="s">
        <v>1944</v>
      </c>
      <c r="D179" s="59">
        <v>46174</v>
      </c>
      <c r="E179" s="6">
        <v>33966</v>
      </c>
      <c r="F179" s="13">
        <v>178</v>
      </c>
      <c r="I179" s="61"/>
    </row>
    <row r="180" spans="1:9" x14ac:dyDescent="0.4">
      <c r="A180" s="13" t="s">
        <v>2324</v>
      </c>
      <c r="B180" s="13" t="s">
        <v>2345</v>
      </c>
      <c r="C180" s="13" t="s">
        <v>1944</v>
      </c>
      <c r="D180" s="59">
        <v>46204</v>
      </c>
      <c r="E180" s="6">
        <v>38211</v>
      </c>
      <c r="F180" s="54">
        <v>179</v>
      </c>
      <c r="I180" s="61"/>
    </row>
    <row r="181" spans="1:9" x14ac:dyDescent="0.4">
      <c r="A181" s="13" t="s">
        <v>2324</v>
      </c>
      <c r="B181" s="13" t="s">
        <v>2345</v>
      </c>
      <c r="C181" s="13" t="s">
        <v>1944</v>
      </c>
      <c r="D181" s="59">
        <v>46235</v>
      </c>
      <c r="E181" s="6">
        <v>106143</v>
      </c>
      <c r="F181" s="13">
        <v>180</v>
      </c>
      <c r="I181" s="61"/>
    </row>
    <row r="182" spans="1:9" x14ac:dyDescent="0.4">
      <c r="A182" s="13" t="s">
        <v>2324</v>
      </c>
      <c r="B182" s="13" t="s">
        <v>2345</v>
      </c>
      <c r="C182" s="13" t="s">
        <v>1944</v>
      </c>
      <c r="D182" s="59">
        <v>46266</v>
      </c>
      <c r="E182" s="6">
        <v>191058</v>
      </c>
      <c r="F182" s="54">
        <v>181</v>
      </c>
      <c r="I182" s="61"/>
    </row>
    <row r="183" spans="1:9" x14ac:dyDescent="0.4">
      <c r="A183" s="13" t="s">
        <v>2324</v>
      </c>
      <c r="B183" s="13" t="s">
        <v>2345</v>
      </c>
      <c r="C183" s="13" t="s">
        <v>1944</v>
      </c>
      <c r="D183" s="59">
        <v>46296</v>
      </c>
      <c r="E183" s="6">
        <v>191058</v>
      </c>
      <c r="F183" s="13">
        <v>182</v>
      </c>
      <c r="I183" s="61"/>
    </row>
    <row r="184" spans="1:9" x14ac:dyDescent="0.4">
      <c r="A184" s="13" t="s">
        <v>2324</v>
      </c>
      <c r="B184" s="13" t="s">
        <v>2345</v>
      </c>
      <c r="C184" s="13" t="s">
        <v>1944</v>
      </c>
      <c r="D184" s="59">
        <v>46327</v>
      </c>
      <c r="E184" s="6">
        <v>191058</v>
      </c>
      <c r="F184" s="54">
        <v>183</v>
      </c>
      <c r="I184" s="61"/>
    </row>
    <row r="185" spans="1:9" x14ac:dyDescent="0.4">
      <c r="A185" s="13" t="s">
        <v>2324</v>
      </c>
      <c r="B185" s="13" t="s">
        <v>2345</v>
      </c>
      <c r="C185" s="13" t="s">
        <v>1944</v>
      </c>
      <c r="D185" s="59">
        <v>46357</v>
      </c>
      <c r="E185" s="6">
        <v>195304</v>
      </c>
      <c r="F185" s="13">
        <v>184</v>
      </c>
      <c r="I185" s="61"/>
    </row>
    <row r="186" spans="1:9" x14ac:dyDescent="0.4">
      <c r="A186" s="13" t="s">
        <v>2324</v>
      </c>
      <c r="B186" s="13" t="s">
        <v>2345</v>
      </c>
      <c r="C186" s="13" t="s">
        <v>1944</v>
      </c>
      <c r="D186" s="59">
        <v>46388</v>
      </c>
      <c r="E186" s="6">
        <v>195304</v>
      </c>
      <c r="F186" s="54">
        <v>185</v>
      </c>
      <c r="I186" s="61"/>
    </row>
    <row r="187" spans="1:9" x14ac:dyDescent="0.4">
      <c r="A187" s="13" t="s">
        <v>2324</v>
      </c>
      <c r="B187" s="13" t="s">
        <v>2345</v>
      </c>
      <c r="C187" s="13" t="s">
        <v>1944</v>
      </c>
      <c r="D187" s="59">
        <v>46419</v>
      </c>
      <c r="E187" s="6">
        <v>229270</v>
      </c>
      <c r="F187" s="13">
        <v>186</v>
      </c>
      <c r="I187" s="61"/>
    </row>
    <row r="188" spans="1:9" x14ac:dyDescent="0.4">
      <c r="A188" s="13" t="s">
        <v>2324</v>
      </c>
      <c r="B188" s="13" t="s">
        <v>2345</v>
      </c>
      <c r="C188" s="13" t="s">
        <v>1944</v>
      </c>
      <c r="D188" s="59">
        <v>46447</v>
      </c>
      <c r="E188" s="6">
        <v>229270</v>
      </c>
      <c r="F188" s="54">
        <v>187</v>
      </c>
      <c r="I188" s="61"/>
    </row>
    <row r="189" spans="1:9" x14ac:dyDescent="0.4">
      <c r="A189" s="13" t="s">
        <v>2324</v>
      </c>
      <c r="B189" s="13" t="s">
        <v>2345</v>
      </c>
      <c r="C189" s="13" t="s">
        <v>1944</v>
      </c>
      <c r="D189" s="59">
        <v>46478</v>
      </c>
      <c r="E189" s="6">
        <v>229270</v>
      </c>
      <c r="F189" s="13">
        <v>188</v>
      </c>
      <c r="I189" s="61"/>
    </row>
    <row r="190" spans="1:9" x14ac:dyDescent="0.4">
      <c r="A190" s="13" t="s">
        <v>2324</v>
      </c>
      <c r="B190" s="13" t="s">
        <v>2345</v>
      </c>
      <c r="C190" s="13" t="s">
        <v>1944</v>
      </c>
      <c r="D190" s="59">
        <v>46508</v>
      </c>
      <c r="E190" s="6">
        <v>203796</v>
      </c>
      <c r="F190" s="54">
        <v>189</v>
      </c>
      <c r="I190" s="61"/>
    </row>
    <row r="191" spans="1:9" x14ac:dyDescent="0.4">
      <c r="A191" s="13" t="s">
        <v>2324</v>
      </c>
      <c r="B191" s="13" t="s">
        <v>2345</v>
      </c>
      <c r="C191" s="13" t="s">
        <v>1944</v>
      </c>
      <c r="D191" s="59">
        <v>46539</v>
      </c>
      <c r="E191" s="6">
        <v>195304</v>
      </c>
      <c r="F191" s="13">
        <v>190</v>
      </c>
      <c r="I191" s="61"/>
    </row>
    <row r="192" spans="1:9" x14ac:dyDescent="0.4">
      <c r="A192" s="13" t="s">
        <v>2324</v>
      </c>
      <c r="B192" s="13" t="s">
        <v>2345</v>
      </c>
      <c r="C192" s="13" t="s">
        <v>1944</v>
      </c>
      <c r="D192" s="59">
        <v>46569</v>
      </c>
      <c r="E192" s="6">
        <v>191058</v>
      </c>
      <c r="F192" s="54">
        <v>191</v>
      </c>
      <c r="I192" s="61"/>
    </row>
    <row r="193" spans="1:9" x14ac:dyDescent="0.4">
      <c r="A193" s="13" t="s">
        <v>2324</v>
      </c>
      <c r="B193" s="13" t="s">
        <v>2345</v>
      </c>
      <c r="C193" s="13" t="s">
        <v>1944</v>
      </c>
      <c r="D193" s="59">
        <v>46600</v>
      </c>
      <c r="E193" s="6">
        <v>123126</v>
      </c>
      <c r="F193" s="13">
        <v>192</v>
      </c>
      <c r="I193" s="61"/>
    </row>
    <row r="194" spans="1:9" x14ac:dyDescent="0.4">
      <c r="A194" s="13" t="s">
        <v>2324</v>
      </c>
      <c r="B194" s="13" t="s">
        <v>2345</v>
      </c>
      <c r="C194" s="13" t="s">
        <v>1944</v>
      </c>
      <c r="D194" s="59">
        <v>46631</v>
      </c>
      <c r="E194" s="6">
        <v>38211</v>
      </c>
      <c r="F194" s="54">
        <v>193</v>
      </c>
      <c r="I194" s="61"/>
    </row>
    <row r="195" spans="1:9" x14ac:dyDescent="0.4">
      <c r="A195" s="13" t="s">
        <v>2324</v>
      </c>
      <c r="B195" s="13" t="s">
        <v>2345</v>
      </c>
      <c r="C195" s="13" t="s">
        <v>1944</v>
      </c>
      <c r="D195" s="59">
        <v>46661</v>
      </c>
      <c r="E195" s="6">
        <v>38211</v>
      </c>
      <c r="F195" s="13">
        <v>194</v>
      </c>
      <c r="I195" s="61"/>
    </row>
    <row r="196" spans="1:9" x14ac:dyDescent="0.4">
      <c r="A196" s="13" t="s">
        <v>2324</v>
      </c>
      <c r="B196" s="13" t="s">
        <v>2345</v>
      </c>
      <c r="C196" s="13" t="s">
        <v>1944</v>
      </c>
      <c r="D196" s="59">
        <v>46692</v>
      </c>
      <c r="E196" s="6">
        <v>38211</v>
      </c>
      <c r="F196" s="54">
        <v>195</v>
      </c>
      <c r="I196" s="61"/>
    </row>
    <row r="197" spans="1:9" x14ac:dyDescent="0.4">
      <c r="A197" s="13" t="s">
        <v>2324</v>
      </c>
      <c r="B197" s="13" t="s">
        <v>2345</v>
      </c>
      <c r="C197" s="13" t="s">
        <v>1944</v>
      </c>
      <c r="D197" s="59">
        <v>46722</v>
      </c>
      <c r="E197" s="6">
        <v>33966</v>
      </c>
      <c r="F197" s="13">
        <v>196</v>
      </c>
      <c r="I197" s="61"/>
    </row>
    <row r="198" spans="1:9" x14ac:dyDescent="0.4">
      <c r="A198" s="13" t="s">
        <v>2324</v>
      </c>
      <c r="B198" s="13" t="s">
        <v>2345</v>
      </c>
      <c r="C198" s="13" t="s">
        <v>1944</v>
      </c>
      <c r="D198" s="59">
        <v>46753</v>
      </c>
      <c r="E198" s="6">
        <v>33966</v>
      </c>
      <c r="F198" s="54">
        <v>197</v>
      </c>
      <c r="I198" s="61"/>
    </row>
    <row r="199" spans="1:9" x14ac:dyDescent="0.4">
      <c r="A199" s="13" t="s">
        <v>2324</v>
      </c>
      <c r="B199" s="13" t="s">
        <v>2345</v>
      </c>
      <c r="C199" s="13" t="s">
        <v>1944</v>
      </c>
      <c r="D199" s="59">
        <v>46784</v>
      </c>
      <c r="E199" s="6">
        <v>0</v>
      </c>
      <c r="F199" s="13">
        <v>198</v>
      </c>
      <c r="I199" s="61"/>
    </row>
    <row r="200" spans="1:9" x14ac:dyDescent="0.4">
      <c r="A200" s="13" t="s">
        <v>2324</v>
      </c>
      <c r="B200" s="13" t="s">
        <v>2345</v>
      </c>
      <c r="C200" s="13" t="s">
        <v>70</v>
      </c>
      <c r="D200" s="59">
        <v>46143</v>
      </c>
      <c r="E200" s="6">
        <v>0</v>
      </c>
      <c r="F200" s="54">
        <v>199</v>
      </c>
      <c r="I200" s="61"/>
    </row>
    <row r="201" spans="1:9" x14ac:dyDescent="0.4">
      <c r="A201" s="13" t="s">
        <v>2324</v>
      </c>
      <c r="B201" s="13" t="s">
        <v>2345</v>
      </c>
      <c r="C201" s="13" t="s">
        <v>70</v>
      </c>
      <c r="D201" s="59">
        <v>46174</v>
      </c>
      <c r="E201" s="6">
        <v>17820</v>
      </c>
      <c r="F201" s="13">
        <v>200</v>
      </c>
      <c r="I201" s="61"/>
    </row>
    <row r="202" spans="1:9" x14ac:dyDescent="0.4">
      <c r="A202" s="13" t="s">
        <v>2324</v>
      </c>
      <c r="B202" s="13" t="s">
        <v>2345</v>
      </c>
      <c r="C202" s="13" t="s">
        <v>70</v>
      </c>
      <c r="D202" s="59">
        <v>46204</v>
      </c>
      <c r="E202" s="6">
        <v>17820</v>
      </c>
      <c r="F202" s="54">
        <v>201</v>
      </c>
      <c r="I202" s="61"/>
    </row>
    <row r="203" spans="1:9" x14ac:dyDescent="0.4">
      <c r="A203" s="13" t="s">
        <v>2324</v>
      </c>
      <c r="B203" s="13" t="s">
        <v>2345</v>
      </c>
      <c r="C203" s="13" t="s">
        <v>70</v>
      </c>
      <c r="D203" s="59">
        <v>46235</v>
      </c>
      <c r="E203" s="6">
        <v>17820</v>
      </c>
      <c r="F203" s="13">
        <v>202</v>
      </c>
      <c r="I203" s="61"/>
    </row>
    <row r="204" spans="1:9" x14ac:dyDescent="0.4">
      <c r="A204" s="13" t="s">
        <v>2324</v>
      </c>
      <c r="B204" s="13" t="s">
        <v>2345</v>
      </c>
      <c r="C204" s="13" t="s">
        <v>70</v>
      </c>
      <c r="D204" s="59">
        <v>46266</v>
      </c>
      <c r="E204" s="6">
        <v>0</v>
      </c>
      <c r="F204" s="54">
        <v>203</v>
      </c>
      <c r="I204" s="61"/>
    </row>
    <row r="205" spans="1:9" x14ac:dyDescent="0.4">
      <c r="A205" s="13" t="s">
        <v>2324</v>
      </c>
      <c r="B205" s="13" t="s">
        <v>2345</v>
      </c>
      <c r="C205" s="13" t="s">
        <v>70</v>
      </c>
      <c r="D205" s="59">
        <v>46296</v>
      </c>
      <c r="E205" s="6">
        <v>0</v>
      </c>
      <c r="F205" s="13">
        <v>204</v>
      </c>
      <c r="I205" s="61"/>
    </row>
    <row r="206" spans="1:9" x14ac:dyDescent="0.4">
      <c r="A206" s="13" t="s">
        <v>2324</v>
      </c>
      <c r="B206" s="13" t="s">
        <v>2345</v>
      </c>
      <c r="C206" s="13" t="s">
        <v>70</v>
      </c>
      <c r="D206" s="59">
        <v>46327</v>
      </c>
      <c r="E206" s="6">
        <v>0</v>
      </c>
      <c r="F206" s="54">
        <v>205</v>
      </c>
      <c r="I206" s="61"/>
    </row>
    <row r="207" spans="1:9" x14ac:dyDescent="0.4">
      <c r="A207" s="13" t="s">
        <v>2324</v>
      </c>
      <c r="B207" s="13" t="s">
        <v>2345</v>
      </c>
      <c r="C207" s="13" t="s">
        <v>70</v>
      </c>
      <c r="D207" s="59">
        <v>46357</v>
      </c>
      <c r="E207" s="6">
        <v>0</v>
      </c>
      <c r="F207" s="13">
        <v>206</v>
      </c>
      <c r="I207" s="61"/>
    </row>
    <row r="208" spans="1:9" x14ac:dyDescent="0.4">
      <c r="A208" s="13" t="s">
        <v>2324</v>
      </c>
      <c r="B208" s="13" t="s">
        <v>2345</v>
      </c>
      <c r="C208" s="13" t="s">
        <v>70</v>
      </c>
      <c r="D208" s="59">
        <v>46388</v>
      </c>
      <c r="E208" s="6">
        <v>0</v>
      </c>
      <c r="F208" s="54">
        <v>207</v>
      </c>
      <c r="I208" s="61"/>
    </row>
    <row r="209" spans="1:9" x14ac:dyDescent="0.4">
      <c r="A209" s="13" t="s">
        <v>2324</v>
      </c>
      <c r="B209" s="13" t="s">
        <v>2345</v>
      </c>
      <c r="C209" s="13" t="s">
        <v>70</v>
      </c>
      <c r="D209" s="59">
        <v>46419</v>
      </c>
      <c r="E209" s="6">
        <v>0</v>
      </c>
      <c r="F209" s="13">
        <v>208</v>
      </c>
      <c r="I209" s="61"/>
    </row>
    <row r="210" spans="1:9" x14ac:dyDescent="0.4">
      <c r="A210" s="13" t="s">
        <v>2324</v>
      </c>
      <c r="B210" s="13" t="s">
        <v>2345</v>
      </c>
      <c r="C210" s="13" t="s">
        <v>70</v>
      </c>
      <c r="D210" s="59">
        <v>46447</v>
      </c>
      <c r="E210" s="6">
        <v>0</v>
      </c>
      <c r="F210" s="54">
        <v>209</v>
      </c>
      <c r="I210" s="61"/>
    </row>
    <row r="211" spans="1:9" x14ac:dyDescent="0.4">
      <c r="A211" s="13" t="s">
        <v>2324</v>
      </c>
      <c r="B211" s="13" t="s">
        <v>2345</v>
      </c>
      <c r="C211" s="13" t="s">
        <v>70</v>
      </c>
      <c r="D211" s="59">
        <v>46478</v>
      </c>
      <c r="E211" s="6">
        <v>0</v>
      </c>
      <c r="F211" s="13">
        <v>210</v>
      </c>
      <c r="I211" s="61"/>
    </row>
    <row r="212" spans="1:9" x14ac:dyDescent="0.4">
      <c r="A212" s="13" t="s">
        <v>2324</v>
      </c>
      <c r="B212" s="13" t="s">
        <v>2345</v>
      </c>
      <c r="C212" s="13" t="s">
        <v>70</v>
      </c>
      <c r="D212" s="59">
        <v>46508</v>
      </c>
      <c r="E212" s="6">
        <v>0</v>
      </c>
      <c r="F212" s="54">
        <v>211</v>
      </c>
      <c r="I212" s="61"/>
    </row>
    <row r="213" spans="1:9" x14ac:dyDescent="0.4">
      <c r="A213" s="13" t="s">
        <v>2324</v>
      </c>
      <c r="B213" s="13" t="s">
        <v>2345</v>
      </c>
      <c r="C213" s="13" t="s">
        <v>70</v>
      </c>
      <c r="D213" s="59">
        <v>46539</v>
      </c>
      <c r="E213" s="6">
        <v>0</v>
      </c>
      <c r="F213" s="13">
        <v>212</v>
      </c>
      <c r="I213" s="61"/>
    </row>
    <row r="214" spans="1:9" x14ac:dyDescent="0.4">
      <c r="A214" s="13" t="s">
        <v>2324</v>
      </c>
      <c r="B214" s="13" t="s">
        <v>2345</v>
      </c>
      <c r="C214" s="13" t="s">
        <v>70</v>
      </c>
      <c r="D214" s="59">
        <v>46569</v>
      </c>
      <c r="E214" s="6">
        <v>0</v>
      </c>
      <c r="F214" s="54">
        <v>213</v>
      </c>
      <c r="I214" s="61"/>
    </row>
    <row r="215" spans="1:9" x14ac:dyDescent="0.4">
      <c r="A215" s="13" t="s">
        <v>2324</v>
      </c>
      <c r="B215" s="13" t="s">
        <v>2345</v>
      </c>
      <c r="C215" s="13" t="s">
        <v>70</v>
      </c>
      <c r="D215" s="59">
        <v>46600</v>
      </c>
      <c r="E215" s="6">
        <v>0</v>
      </c>
      <c r="F215" s="13">
        <v>214</v>
      </c>
      <c r="I215" s="61"/>
    </row>
    <row r="216" spans="1:9" x14ac:dyDescent="0.4">
      <c r="A216" s="13" t="s">
        <v>2324</v>
      </c>
      <c r="B216" s="13" t="s">
        <v>2345</v>
      </c>
      <c r="C216" s="13" t="s">
        <v>70</v>
      </c>
      <c r="D216" s="59">
        <v>46631</v>
      </c>
      <c r="E216" s="6">
        <v>0</v>
      </c>
      <c r="F216" s="54">
        <v>215</v>
      </c>
      <c r="I216" s="61"/>
    </row>
    <row r="217" spans="1:9" x14ac:dyDescent="0.4">
      <c r="A217" s="13" t="s">
        <v>2324</v>
      </c>
      <c r="B217" s="13" t="s">
        <v>2345</v>
      </c>
      <c r="C217" s="13" t="s">
        <v>70</v>
      </c>
      <c r="D217" s="59">
        <v>46661</v>
      </c>
      <c r="E217" s="6">
        <v>0</v>
      </c>
      <c r="F217" s="13">
        <v>216</v>
      </c>
      <c r="I217" s="61"/>
    </row>
    <row r="218" spans="1:9" x14ac:dyDescent="0.4">
      <c r="A218" s="13" t="s">
        <v>2324</v>
      </c>
      <c r="B218" s="13" t="s">
        <v>2345</v>
      </c>
      <c r="C218" s="13" t="s">
        <v>70</v>
      </c>
      <c r="D218" s="59">
        <v>46692</v>
      </c>
      <c r="E218" s="6">
        <v>0</v>
      </c>
      <c r="F218" s="54">
        <v>217</v>
      </c>
      <c r="I218" s="61"/>
    </row>
    <row r="219" spans="1:9" x14ac:dyDescent="0.4">
      <c r="A219" s="13" t="s">
        <v>2324</v>
      </c>
      <c r="B219" s="13" t="s">
        <v>2345</v>
      </c>
      <c r="C219" s="13" t="s">
        <v>70</v>
      </c>
      <c r="D219" s="59">
        <v>46722</v>
      </c>
      <c r="E219" s="6">
        <v>0</v>
      </c>
      <c r="F219" s="13">
        <v>218</v>
      </c>
      <c r="I219" s="61"/>
    </row>
    <row r="220" spans="1:9" x14ac:dyDescent="0.4">
      <c r="A220" s="13" t="s">
        <v>2324</v>
      </c>
      <c r="B220" s="13" t="s">
        <v>2345</v>
      </c>
      <c r="C220" s="13" t="s">
        <v>70</v>
      </c>
      <c r="D220" s="59">
        <v>46753</v>
      </c>
      <c r="E220" s="6">
        <v>0</v>
      </c>
      <c r="F220" s="54">
        <v>219</v>
      </c>
      <c r="I220" s="61"/>
    </row>
    <row r="221" spans="1:9" x14ac:dyDescent="0.4">
      <c r="A221" s="13" t="s">
        <v>2324</v>
      </c>
      <c r="B221" s="13" t="s">
        <v>2345</v>
      </c>
      <c r="C221" s="13" t="s">
        <v>70</v>
      </c>
      <c r="D221" s="59">
        <v>46784</v>
      </c>
      <c r="E221" s="6">
        <v>0</v>
      </c>
      <c r="F221" s="13">
        <v>220</v>
      </c>
      <c r="I221" s="61"/>
    </row>
    <row r="222" spans="1:9" x14ac:dyDescent="0.4">
      <c r="A222" s="13" t="s">
        <v>2324</v>
      </c>
      <c r="B222" s="13" t="s">
        <v>2345</v>
      </c>
      <c r="C222" s="13" t="s">
        <v>50</v>
      </c>
      <c r="D222" s="59">
        <v>46143</v>
      </c>
      <c r="E222" s="6">
        <v>0</v>
      </c>
      <c r="F222" s="54">
        <v>221</v>
      </c>
      <c r="I222" s="61"/>
    </row>
    <row r="223" spans="1:9" x14ac:dyDescent="0.4">
      <c r="A223" s="13" t="s">
        <v>2324</v>
      </c>
      <c r="B223" s="13" t="s">
        <v>2345</v>
      </c>
      <c r="C223" s="13" t="s">
        <v>50</v>
      </c>
      <c r="D223" s="59">
        <v>46174</v>
      </c>
      <c r="E223" s="6">
        <v>171450</v>
      </c>
      <c r="F223" s="13">
        <v>222</v>
      </c>
      <c r="I223" s="61"/>
    </row>
    <row r="224" spans="1:9" x14ac:dyDescent="0.4">
      <c r="A224" s="13" t="s">
        <v>2324</v>
      </c>
      <c r="B224" s="13" t="s">
        <v>2345</v>
      </c>
      <c r="C224" s="13" t="s">
        <v>50</v>
      </c>
      <c r="D224" s="59">
        <v>46204</v>
      </c>
      <c r="E224" s="6">
        <v>188595</v>
      </c>
      <c r="F224" s="54">
        <v>223</v>
      </c>
      <c r="I224" s="61"/>
    </row>
    <row r="225" spans="1:9" x14ac:dyDescent="0.4">
      <c r="A225" s="13" t="s">
        <v>2324</v>
      </c>
      <c r="B225" s="13" t="s">
        <v>2345</v>
      </c>
      <c r="C225" s="13" t="s">
        <v>50</v>
      </c>
      <c r="D225" s="59">
        <v>46235</v>
      </c>
      <c r="E225" s="6">
        <v>222885</v>
      </c>
      <c r="F225" s="13">
        <v>224</v>
      </c>
      <c r="I225" s="61"/>
    </row>
    <row r="226" spans="1:9" x14ac:dyDescent="0.4">
      <c r="A226" s="13" t="s">
        <v>2324</v>
      </c>
      <c r="B226" s="13" t="s">
        <v>2345</v>
      </c>
      <c r="C226" s="13" t="s">
        <v>50</v>
      </c>
      <c r="D226" s="59">
        <v>46266</v>
      </c>
      <c r="E226" s="6">
        <v>222885</v>
      </c>
      <c r="F226" s="54">
        <v>225</v>
      </c>
      <c r="I226" s="61"/>
    </row>
    <row r="227" spans="1:9" x14ac:dyDescent="0.4">
      <c r="A227" s="13" t="s">
        <v>2324</v>
      </c>
      <c r="B227" s="13" t="s">
        <v>2345</v>
      </c>
      <c r="C227" s="13" t="s">
        <v>50</v>
      </c>
      <c r="D227" s="59">
        <v>46296</v>
      </c>
      <c r="E227" s="6">
        <v>231457</v>
      </c>
      <c r="F227" s="13">
        <v>226</v>
      </c>
      <c r="I227" s="61"/>
    </row>
    <row r="228" spans="1:9" x14ac:dyDescent="0.4">
      <c r="A228" s="13" t="s">
        <v>2324</v>
      </c>
      <c r="B228" s="13" t="s">
        <v>2345</v>
      </c>
      <c r="C228" s="13" t="s">
        <v>50</v>
      </c>
      <c r="D228" s="59">
        <v>46327</v>
      </c>
      <c r="E228" s="6">
        <v>231457</v>
      </c>
      <c r="F228" s="54">
        <v>227</v>
      </c>
    </row>
    <row r="229" spans="1:9" x14ac:dyDescent="0.4">
      <c r="A229" s="13" t="s">
        <v>2324</v>
      </c>
      <c r="B229" s="13" t="s">
        <v>2345</v>
      </c>
      <c r="C229" s="13" t="s">
        <v>50</v>
      </c>
      <c r="D229" s="59">
        <v>46357</v>
      </c>
      <c r="E229" s="6">
        <v>60007</v>
      </c>
      <c r="F229" s="13">
        <v>228</v>
      </c>
    </row>
    <row r="230" spans="1:9" x14ac:dyDescent="0.4">
      <c r="A230" s="13" t="s">
        <v>2324</v>
      </c>
      <c r="B230" s="13" t="s">
        <v>2345</v>
      </c>
      <c r="C230" s="13" t="s">
        <v>50</v>
      </c>
      <c r="D230" s="59">
        <v>46388</v>
      </c>
      <c r="E230" s="6">
        <v>42862</v>
      </c>
      <c r="F230" s="54">
        <v>229</v>
      </c>
    </row>
    <row r="231" spans="1:9" x14ac:dyDescent="0.4">
      <c r="A231" s="13" t="s">
        <v>2324</v>
      </c>
      <c r="B231" s="13" t="s">
        <v>2345</v>
      </c>
      <c r="C231" s="13" t="s">
        <v>50</v>
      </c>
      <c r="D231" s="59">
        <v>46419</v>
      </c>
      <c r="E231" s="6">
        <v>8572</v>
      </c>
      <c r="F231" s="13">
        <v>230</v>
      </c>
    </row>
    <row r="232" spans="1:9" x14ac:dyDescent="0.4">
      <c r="A232" s="13" t="s">
        <v>2324</v>
      </c>
      <c r="B232" s="13" t="s">
        <v>2345</v>
      </c>
      <c r="C232" s="13" t="s">
        <v>50</v>
      </c>
      <c r="D232" s="59">
        <v>46447</v>
      </c>
      <c r="E232" s="6">
        <v>8572</v>
      </c>
      <c r="F232" s="54">
        <v>231</v>
      </c>
    </row>
    <row r="233" spans="1:9" x14ac:dyDescent="0.4">
      <c r="A233" s="13" t="s">
        <v>2324</v>
      </c>
      <c r="B233" s="13" t="s">
        <v>2345</v>
      </c>
      <c r="C233" s="13" t="s">
        <v>50</v>
      </c>
      <c r="D233" s="59">
        <v>46478</v>
      </c>
      <c r="E233" s="6">
        <v>0</v>
      </c>
      <c r="F233" s="13">
        <v>232</v>
      </c>
    </row>
    <row r="234" spans="1:9" x14ac:dyDescent="0.4">
      <c r="A234" s="13" t="s">
        <v>2324</v>
      </c>
      <c r="B234" s="13" t="s">
        <v>2345</v>
      </c>
      <c r="C234" s="13" t="s">
        <v>50</v>
      </c>
      <c r="D234" s="59">
        <v>46508</v>
      </c>
      <c r="E234" s="6">
        <v>0</v>
      </c>
      <c r="F234" s="54">
        <v>233</v>
      </c>
    </row>
    <row r="235" spans="1:9" x14ac:dyDescent="0.4">
      <c r="A235" s="13" t="s">
        <v>2324</v>
      </c>
      <c r="B235" s="13" t="s">
        <v>2345</v>
      </c>
      <c r="C235" s="13" t="s">
        <v>50</v>
      </c>
      <c r="D235" s="59">
        <v>46539</v>
      </c>
      <c r="E235" s="6">
        <v>0</v>
      </c>
      <c r="F235" s="13">
        <v>234</v>
      </c>
    </row>
    <row r="236" spans="1:9" x14ac:dyDescent="0.4">
      <c r="A236" s="13" t="s">
        <v>2324</v>
      </c>
      <c r="B236" s="13" t="s">
        <v>2345</v>
      </c>
      <c r="C236" s="13" t="s">
        <v>50</v>
      </c>
      <c r="D236" s="59">
        <v>46569</v>
      </c>
      <c r="E236" s="6">
        <v>0</v>
      </c>
      <c r="F236" s="54">
        <v>235</v>
      </c>
    </row>
    <row r="237" spans="1:9" x14ac:dyDescent="0.4">
      <c r="A237" s="13" t="s">
        <v>2324</v>
      </c>
      <c r="B237" s="13" t="s">
        <v>2345</v>
      </c>
      <c r="C237" s="13" t="s">
        <v>50</v>
      </c>
      <c r="D237" s="59">
        <v>46600</v>
      </c>
      <c r="E237" s="6">
        <v>0</v>
      </c>
      <c r="F237" s="13">
        <v>236</v>
      </c>
    </row>
    <row r="238" spans="1:9" x14ac:dyDescent="0.4">
      <c r="A238" s="13" t="s">
        <v>2324</v>
      </c>
      <c r="B238" s="13" t="s">
        <v>2345</v>
      </c>
      <c r="C238" s="13" t="s">
        <v>50</v>
      </c>
      <c r="D238" s="59">
        <v>46631</v>
      </c>
      <c r="E238" s="6">
        <v>0</v>
      </c>
      <c r="F238" s="54">
        <v>237</v>
      </c>
    </row>
    <row r="239" spans="1:9" x14ac:dyDescent="0.4">
      <c r="A239" s="13" t="s">
        <v>2324</v>
      </c>
      <c r="B239" s="13" t="s">
        <v>2345</v>
      </c>
      <c r="C239" s="13" t="s">
        <v>50</v>
      </c>
      <c r="D239" s="59">
        <v>46661</v>
      </c>
      <c r="E239" s="6">
        <v>0</v>
      </c>
      <c r="F239" s="13">
        <v>238</v>
      </c>
    </row>
    <row r="240" spans="1:9" x14ac:dyDescent="0.4">
      <c r="A240" s="13" t="s">
        <v>2324</v>
      </c>
      <c r="B240" s="13" t="s">
        <v>2345</v>
      </c>
      <c r="C240" s="13" t="s">
        <v>50</v>
      </c>
      <c r="D240" s="59">
        <v>46692</v>
      </c>
      <c r="E240" s="6">
        <v>0</v>
      </c>
      <c r="F240" s="54">
        <v>239</v>
      </c>
    </row>
    <row r="241" spans="1:6" x14ac:dyDescent="0.4">
      <c r="A241" s="13" t="s">
        <v>2324</v>
      </c>
      <c r="B241" s="13" t="s">
        <v>2345</v>
      </c>
      <c r="C241" s="13" t="s">
        <v>50</v>
      </c>
      <c r="D241" s="59">
        <v>46722</v>
      </c>
      <c r="E241" s="6">
        <v>0</v>
      </c>
      <c r="F241" s="13">
        <v>240</v>
      </c>
    </row>
    <row r="242" spans="1:6" x14ac:dyDescent="0.4">
      <c r="A242" s="13" t="s">
        <v>2324</v>
      </c>
      <c r="B242" s="13" t="s">
        <v>2345</v>
      </c>
      <c r="C242" s="13" t="s">
        <v>50</v>
      </c>
      <c r="D242" s="59">
        <v>46753</v>
      </c>
      <c r="E242" s="6">
        <v>0</v>
      </c>
      <c r="F242" s="54">
        <v>241</v>
      </c>
    </row>
    <row r="243" spans="1:6" x14ac:dyDescent="0.4">
      <c r="A243" s="13" t="s">
        <v>2324</v>
      </c>
      <c r="B243" s="13" t="s">
        <v>2345</v>
      </c>
      <c r="C243" s="13" t="s">
        <v>50</v>
      </c>
      <c r="D243" s="59">
        <v>46784</v>
      </c>
      <c r="E243" s="6">
        <v>0</v>
      </c>
      <c r="F243" s="13">
        <v>242</v>
      </c>
    </row>
    <row r="244" spans="1:6" x14ac:dyDescent="0.4">
      <c r="A244" s="13" t="s">
        <v>2324</v>
      </c>
      <c r="B244" s="13" t="s">
        <v>2345</v>
      </c>
      <c r="C244" s="13" t="s">
        <v>5133</v>
      </c>
      <c r="D244" s="59">
        <v>46143</v>
      </c>
      <c r="E244" s="6">
        <v>0</v>
      </c>
      <c r="F244" s="54">
        <v>243</v>
      </c>
    </row>
    <row r="245" spans="1:6" x14ac:dyDescent="0.4">
      <c r="A245" s="13" t="s">
        <v>2324</v>
      </c>
      <c r="B245" s="13" t="s">
        <v>2345</v>
      </c>
      <c r="C245" s="13" t="s">
        <v>5133</v>
      </c>
      <c r="D245" s="59">
        <v>46174</v>
      </c>
      <c r="E245" s="6">
        <v>0</v>
      </c>
      <c r="F245" s="13">
        <v>244</v>
      </c>
    </row>
    <row r="246" spans="1:6" x14ac:dyDescent="0.4">
      <c r="A246" s="13" t="s">
        <v>2324</v>
      </c>
      <c r="B246" s="13" t="s">
        <v>2345</v>
      </c>
      <c r="C246" s="13" t="s">
        <v>5133</v>
      </c>
      <c r="D246" s="59">
        <v>46204</v>
      </c>
      <c r="E246" s="6">
        <v>0</v>
      </c>
      <c r="F246" s="54">
        <v>245</v>
      </c>
    </row>
    <row r="247" spans="1:6" x14ac:dyDescent="0.4">
      <c r="A247" s="13" t="s">
        <v>2324</v>
      </c>
      <c r="B247" s="13" t="s">
        <v>2345</v>
      </c>
      <c r="C247" s="13" t="s">
        <v>5133</v>
      </c>
      <c r="D247" s="59">
        <v>46235</v>
      </c>
      <c r="E247" s="6">
        <v>12737</v>
      </c>
      <c r="F247" s="13">
        <v>246</v>
      </c>
    </row>
    <row r="248" spans="1:6" x14ac:dyDescent="0.4">
      <c r="A248" s="13" t="s">
        <v>2324</v>
      </c>
      <c r="B248" s="13" t="s">
        <v>2345</v>
      </c>
      <c r="C248" s="13" t="s">
        <v>5133</v>
      </c>
      <c r="D248" s="59">
        <v>46266</v>
      </c>
      <c r="E248" s="6">
        <v>12737</v>
      </c>
      <c r="F248" s="54">
        <v>247</v>
      </c>
    </row>
    <row r="249" spans="1:6" x14ac:dyDescent="0.4">
      <c r="A249" s="13" t="s">
        <v>2324</v>
      </c>
      <c r="B249" s="13" t="s">
        <v>2345</v>
      </c>
      <c r="C249" s="13" t="s">
        <v>5133</v>
      </c>
      <c r="D249" s="59">
        <v>46296</v>
      </c>
      <c r="E249" s="6">
        <v>16983</v>
      </c>
      <c r="F249" s="13">
        <v>248</v>
      </c>
    </row>
    <row r="250" spans="1:6" x14ac:dyDescent="0.4">
      <c r="A250" s="13" t="s">
        <v>2324</v>
      </c>
      <c r="B250" s="13" t="s">
        <v>2345</v>
      </c>
      <c r="C250" s="13" t="s">
        <v>5133</v>
      </c>
      <c r="D250" s="59">
        <v>46327</v>
      </c>
      <c r="E250" s="6">
        <v>16983</v>
      </c>
      <c r="F250" s="54">
        <v>249</v>
      </c>
    </row>
    <row r="251" spans="1:6" x14ac:dyDescent="0.4">
      <c r="A251" s="13" t="s">
        <v>2324</v>
      </c>
      <c r="B251" s="13" t="s">
        <v>2345</v>
      </c>
      <c r="C251" s="13" t="s">
        <v>5133</v>
      </c>
      <c r="D251" s="59">
        <v>46357</v>
      </c>
      <c r="E251" s="6">
        <v>16983</v>
      </c>
      <c r="F251" s="13">
        <v>250</v>
      </c>
    </row>
    <row r="252" spans="1:6" x14ac:dyDescent="0.4">
      <c r="A252" s="13" t="s">
        <v>2324</v>
      </c>
      <c r="B252" s="13" t="s">
        <v>2345</v>
      </c>
      <c r="C252" s="13" t="s">
        <v>5133</v>
      </c>
      <c r="D252" s="59">
        <v>46388</v>
      </c>
      <c r="E252" s="6">
        <v>16983</v>
      </c>
      <c r="F252" s="54">
        <v>251</v>
      </c>
    </row>
    <row r="253" spans="1:6" x14ac:dyDescent="0.4">
      <c r="A253" s="13" t="s">
        <v>2324</v>
      </c>
      <c r="B253" s="13" t="s">
        <v>2345</v>
      </c>
      <c r="C253" s="13" t="s">
        <v>5133</v>
      </c>
      <c r="D253" s="59">
        <v>46419</v>
      </c>
      <c r="E253" s="6">
        <v>16983</v>
      </c>
      <c r="F253" s="13">
        <v>252</v>
      </c>
    </row>
    <row r="254" spans="1:6" x14ac:dyDescent="0.4">
      <c r="A254" s="13" t="s">
        <v>2324</v>
      </c>
      <c r="B254" s="13" t="s">
        <v>2345</v>
      </c>
      <c r="C254" s="13" t="s">
        <v>5133</v>
      </c>
      <c r="D254" s="59">
        <v>46447</v>
      </c>
      <c r="E254" s="6">
        <v>16983</v>
      </c>
      <c r="F254" s="54">
        <v>253</v>
      </c>
    </row>
    <row r="255" spans="1:6" x14ac:dyDescent="0.4">
      <c r="A255" s="13" t="s">
        <v>2324</v>
      </c>
      <c r="B255" s="13" t="s">
        <v>2345</v>
      </c>
      <c r="C255" s="13" t="s">
        <v>5133</v>
      </c>
      <c r="D255" s="59">
        <v>46478</v>
      </c>
      <c r="E255" s="6">
        <v>16983</v>
      </c>
      <c r="F255" s="13">
        <v>254</v>
      </c>
    </row>
    <row r="256" spans="1:6" x14ac:dyDescent="0.4">
      <c r="A256" s="13" t="s">
        <v>2324</v>
      </c>
      <c r="B256" s="13" t="s">
        <v>2345</v>
      </c>
      <c r="C256" s="13" t="s">
        <v>5133</v>
      </c>
      <c r="D256" s="59">
        <v>46508</v>
      </c>
      <c r="E256" s="6">
        <v>16983</v>
      </c>
      <c r="F256" s="54">
        <v>255</v>
      </c>
    </row>
    <row r="257" spans="1:6" x14ac:dyDescent="0.4">
      <c r="A257" s="13" t="s">
        <v>2324</v>
      </c>
      <c r="B257" s="13" t="s">
        <v>2345</v>
      </c>
      <c r="C257" s="13" t="s">
        <v>5133</v>
      </c>
      <c r="D257" s="59">
        <v>46539</v>
      </c>
      <c r="E257" s="6">
        <v>16983</v>
      </c>
      <c r="F257" s="13">
        <v>256</v>
      </c>
    </row>
    <row r="258" spans="1:6" x14ac:dyDescent="0.4">
      <c r="A258" s="13" t="s">
        <v>2324</v>
      </c>
      <c r="B258" s="13" t="s">
        <v>2345</v>
      </c>
      <c r="C258" s="13" t="s">
        <v>5133</v>
      </c>
      <c r="D258" s="59">
        <v>46569</v>
      </c>
      <c r="E258" s="6">
        <v>16983</v>
      </c>
      <c r="F258" s="54">
        <v>257</v>
      </c>
    </row>
    <row r="259" spans="1:6" x14ac:dyDescent="0.4">
      <c r="A259" s="13" t="s">
        <v>2324</v>
      </c>
      <c r="B259" s="13" t="s">
        <v>2345</v>
      </c>
      <c r="C259" s="13" t="s">
        <v>5133</v>
      </c>
      <c r="D259" s="59">
        <v>46600</v>
      </c>
      <c r="E259" s="6">
        <v>4245</v>
      </c>
      <c r="F259" s="13">
        <v>258</v>
      </c>
    </row>
    <row r="260" spans="1:6" x14ac:dyDescent="0.4">
      <c r="A260" s="13" t="s">
        <v>2324</v>
      </c>
      <c r="B260" s="13" t="s">
        <v>2345</v>
      </c>
      <c r="C260" s="13" t="s">
        <v>5133</v>
      </c>
      <c r="D260" s="59">
        <v>46631</v>
      </c>
      <c r="E260" s="6">
        <v>4245</v>
      </c>
      <c r="F260" s="54">
        <v>259</v>
      </c>
    </row>
    <row r="261" spans="1:6" x14ac:dyDescent="0.4">
      <c r="A261" s="13" t="s">
        <v>2324</v>
      </c>
      <c r="B261" s="13" t="s">
        <v>2345</v>
      </c>
      <c r="C261" s="13" t="s">
        <v>5133</v>
      </c>
      <c r="D261" s="59">
        <v>46661</v>
      </c>
      <c r="E261" s="6">
        <v>0</v>
      </c>
      <c r="F261" s="13">
        <v>260</v>
      </c>
    </row>
    <row r="262" spans="1:6" x14ac:dyDescent="0.4">
      <c r="A262" s="13" t="s">
        <v>2324</v>
      </c>
      <c r="B262" s="13" t="s">
        <v>2345</v>
      </c>
      <c r="C262" s="13" t="s">
        <v>5133</v>
      </c>
      <c r="D262" s="59">
        <v>46692</v>
      </c>
      <c r="E262" s="6">
        <v>0</v>
      </c>
      <c r="F262" s="54">
        <v>261</v>
      </c>
    </row>
    <row r="263" spans="1:6" x14ac:dyDescent="0.4">
      <c r="A263" s="13" t="s">
        <v>2324</v>
      </c>
      <c r="B263" s="13" t="s">
        <v>2345</v>
      </c>
      <c r="C263" s="13" t="s">
        <v>5133</v>
      </c>
      <c r="D263" s="59">
        <v>46722</v>
      </c>
      <c r="E263" s="6">
        <v>0</v>
      </c>
      <c r="F263" s="13">
        <v>262</v>
      </c>
    </row>
    <row r="264" spans="1:6" x14ac:dyDescent="0.4">
      <c r="A264" s="13" t="s">
        <v>2324</v>
      </c>
      <c r="B264" s="13" t="s">
        <v>2345</v>
      </c>
      <c r="C264" s="13" t="s">
        <v>5133</v>
      </c>
      <c r="D264" s="59">
        <v>46753</v>
      </c>
      <c r="E264" s="6">
        <v>0</v>
      </c>
      <c r="F264" s="54">
        <v>263</v>
      </c>
    </row>
    <row r="265" spans="1:6" x14ac:dyDescent="0.4">
      <c r="A265" s="13" t="s">
        <v>2324</v>
      </c>
      <c r="B265" s="13" t="s">
        <v>2345</v>
      </c>
      <c r="C265" s="13" t="s">
        <v>5133</v>
      </c>
      <c r="D265" s="59">
        <v>46784</v>
      </c>
      <c r="E265" s="6">
        <v>0</v>
      </c>
      <c r="F265" s="13">
        <v>264</v>
      </c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C5B3-C7EA-44AF-8240-D61CCC154C40}">
  <sheetPr>
    <tabColor theme="7" tint="0.59999389629810485"/>
  </sheetPr>
  <dimension ref="A1:R265"/>
  <sheetViews>
    <sheetView zoomScale="70" zoomScaleNormal="70" workbookViewId="0">
      <selection activeCell="I10" sqref="I10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11" max="11" width="24.375" style="20" customWidth="1"/>
    <col min="12" max="13" width="10.625" style="20" bestFit="1" customWidth="1"/>
    <col min="14" max="14" width="9.125" style="20" bestFit="1" customWidth="1"/>
    <col min="15" max="15" width="14.5" style="20" customWidth="1"/>
    <col min="16" max="16" width="24.5" style="20" customWidth="1"/>
    <col min="17" max="17" width="9.125" style="20" bestFit="1" customWidth="1"/>
    <col min="18" max="18" width="11.75" style="20" bestFit="1" customWidth="1"/>
  </cols>
  <sheetData>
    <row r="1" spans="1:9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I1" s="61"/>
    </row>
    <row r="2" spans="1:9" x14ac:dyDescent="0.4">
      <c r="A2" s="13" t="s">
        <v>2324</v>
      </c>
      <c r="B2" s="55" t="s">
        <v>2325</v>
      </c>
      <c r="C2" s="10" t="s">
        <v>25</v>
      </c>
      <c r="D2" s="59">
        <v>46113</v>
      </c>
      <c r="E2" s="63">
        <v>0</v>
      </c>
      <c r="F2" s="54">
        <v>1</v>
      </c>
    </row>
    <row r="3" spans="1:9" x14ac:dyDescent="0.4">
      <c r="A3" s="13" t="s">
        <v>2324</v>
      </c>
      <c r="B3" s="55" t="s">
        <v>2325</v>
      </c>
      <c r="C3" s="10" t="s">
        <v>25</v>
      </c>
      <c r="D3" s="59">
        <v>46143</v>
      </c>
      <c r="E3" s="63">
        <v>277200</v>
      </c>
      <c r="F3" s="13">
        <v>2</v>
      </c>
    </row>
    <row r="4" spans="1:9" x14ac:dyDescent="0.4">
      <c r="A4" s="13" t="s">
        <v>2324</v>
      </c>
      <c r="B4" s="55" t="s">
        <v>2325</v>
      </c>
      <c r="C4" s="10" t="s">
        <v>25</v>
      </c>
      <c r="D4" s="59">
        <v>46174</v>
      </c>
      <c r="E4" s="63">
        <v>356400</v>
      </c>
      <c r="F4" s="54">
        <v>3</v>
      </c>
    </row>
    <row r="5" spans="1:9" x14ac:dyDescent="0.4">
      <c r="A5" s="13" t="s">
        <v>2324</v>
      </c>
      <c r="B5" s="55" t="s">
        <v>2325</v>
      </c>
      <c r="C5" s="10" t="s">
        <v>25</v>
      </c>
      <c r="D5" s="59">
        <v>46204</v>
      </c>
      <c r="E5" s="63">
        <v>1960200</v>
      </c>
      <c r="F5" s="13">
        <v>4</v>
      </c>
    </row>
    <row r="6" spans="1:9" x14ac:dyDescent="0.4">
      <c r="A6" s="13" t="s">
        <v>2324</v>
      </c>
      <c r="B6" s="55" t="s">
        <v>2325</v>
      </c>
      <c r="C6" s="10" t="s">
        <v>25</v>
      </c>
      <c r="D6" s="59">
        <v>46235</v>
      </c>
      <c r="E6" s="63">
        <v>1702800</v>
      </c>
      <c r="F6" s="54">
        <v>5</v>
      </c>
    </row>
    <row r="7" spans="1:9" x14ac:dyDescent="0.4">
      <c r="A7" s="13" t="s">
        <v>2324</v>
      </c>
      <c r="B7" s="55" t="s">
        <v>2325</v>
      </c>
      <c r="C7" s="10" t="s">
        <v>25</v>
      </c>
      <c r="D7" s="59">
        <v>46266</v>
      </c>
      <c r="E7" s="63">
        <v>1623600</v>
      </c>
      <c r="F7" s="13">
        <v>6</v>
      </c>
    </row>
    <row r="8" spans="1:9" x14ac:dyDescent="0.4">
      <c r="A8" s="13" t="s">
        <v>2324</v>
      </c>
      <c r="B8" s="55" t="s">
        <v>2325</v>
      </c>
      <c r="C8" s="10" t="s">
        <v>25</v>
      </c>
      <c r="D8" s="59">
        <v>46296</v>
      </c>
      <c r="E8" s="63">
        <v>19800</v>
      </c>
      <c r="F8" s="54">
        <v>7</v>
      </c>
    </row>
    <row r="9" spans="1:9" x14ac:dyDescent="0.4">
      <c r="A9" s="13" t="s">
        <v>2324</v>
      </c>
      <c r="B9" s="55" t="s">
        <v>2325</v>
      </c>
      <c r="C9" s="10" t="s">
        <v>25</v>
      </c>
      <c r="D9" s="59">
        <v>46327</v>
      </c>
      <c r="E9" s="63">
        <v>0</v>
      </c>
      <c r="F9" s="13">
        <v>8</v>
      </c>
    </row>
    <row r="10" spans="1:9" x14ac:dyDescent="0.4">
      <c r="A10" s="13" t="s">
        <v>2324</v>
      </c>
      <c r="B10" s="55" t="s">
        <v>2325</v>
      </c>
      <c r="C10" s="10" t="s">
        <v>25</v>
      </c>
      <c r="D10" s="59">
        <v>46357</v>
      </c>
      <c r="E10" s="63">
        <v>0</v>
      </c>
      <c r="F10" s="54">
        <v>9</v>
      </c>
    </row>
    <row r="11" spans="1:9" x14ac:dyDescent="0.4">
      <c r="A11" s="13" t="s">
        <v>2324</v>
      </c>
      <c r="B11" s="55" t="s">
        <v>2325</v>
      </c>
      <c r="C11" s="10" t="s">
        <v>25</v>
      </c>
      <c r="D11" s="59">
        <v>46388</v>
      </c>
      <c r="E11" s="63">
        <v>0</v>
      </c>
      <c r="F11" s="13">
        <v>10</v>
      </c>
    </row>
    <row r="12" spans="1:9" x14ac:dyDescent="0.4">
      <c r="A12" s="13" t="s">
        <v>2324</v>
      </c>
      <c r="B12" s="55" t="s">
        <v>2325</v>
      </c>
      <c r="C12" s="10" t="s">
        <v>25</v>
      </c>
      <c r="D12" s="59">
        <v>46419</v>
      </c>
      <c r="E12" s="63">
        <v>0</v>
      </c>
      <c r="F12" s="54">
        <v>11</v>
      </c>
    </row>
    <row r="13" spans="1:9" x14ac:dyDescent="0.4">
      <c r="A13" s="13" t="s">
        <v>2324</v>
      </c>
      <c r="B13" s="55" t="s">
        <v>2325</v>
      </c>
      <c r="C13" s="10" t="s">
        <v>25</v>
      </c>
      <c r="D13" s="59">
        <v>46447</v>
      </c>
      <c r="E13" s="63">
        <v>0</v>
      </c>
      <c r="F13" s="13">
        <v>12</v>
      </c>
    </row>
    <row r="14" spans="1:9" x14ac:dyDescent="0.4">
      <c r="A14" s="13" t="s">
        <v>2324</v>
      </c>
      <c r="B14" s="55" t="s">
        <v>2325</v>
      </c>
      <c r="C14" s="10" t="s">
        <v>25</v>
      </c>
      <c r="D14" s="59">
        <v>46478</v>
      </c>
      <c r="E14" s="63">
        <v>0</v>
      </c>
      <c r="F14" s="54">
        <v>13</v>
      </c>
    </row>
    <row r="15" spans="1:9" x14ac:dyDescent="0.4">
      <c r="A15" s="13" t="s">
        <v>2324</v>
      </c>
      <c r="B15" s="55" t="s">
        <v>2325</v>
      </c>
      <c r="C15" s="10" t="s">
        <v>25</v>
      </c>
      <c r="D15" s="59">
        <v>46508</v>
      </c>
      <c r="E15" s="63">
        <v>0</v>
      </c>
      <c r="F15" s="13">
        <v>14</v>
      </c>
    </row>
    <row r="16" spans="1:9" x14ac:dyDescent="0.4">
      <c r="A16" s="13" t="s">
        <v>2324</v>
      </c>
      <c r="B16" s="55" t="s">
        <v>2325</v>
      </c>
      <c r="C16" s="10" t="s">
        <v>25</v>
      </c>
      <c r="D16" s="59">
        <v>46539</v>
      </c>
      <c r="E16" s="63">
        <v>0</v>
      </c>
      <c r="F16" s="54">
        <v>15</v>
      </c>
    </row>
    <row r="17" spans="1:6" x14ac:dyDescent="0.4">
      <c r="A17" s="13" t="s">
        <v>2324</v>
      </c>
      <c r="B17" s="55" t="s">
        <v>2325</v>
      </c>
      <c r="C17" s="10" t="s">
        <v>25</v>
      </c>
      <c r="D17" s="59">
        <v>46569</v>
      </c>
      <c r="E17" s="63">
        <v>0</v>
      </c>
      <c r="F17" s="13">
        <v>16</v>
      </c>
    </row>
    <row r="18" spans="1:6" x14ac:dyDescent="0.4">
      <c r="A18" s="13" t="s">
        <v>2324</v>
      </c>
      <c r="B18" s="55" t="s">
        <v>2325</v>
      </c>
      <c r="C18" s="10" t="s">
        <v>25</v>
      </c>
      <c r="D18" s="59">
        <v>46600</v>
      </c>
      <c r="E18" s="63">
        <v>0</v>
      </c>
      <c r="F18" s="54">
        <v>17</v>
      </c>
    </row>
    <row r="19" spans="1:6" x14ac:dyDescent="0.4">
      <c r="A19" s="13" t="s">
        <v>2324</v>
      </c>
      <c r="B19" s="55" t="s">
        <v>2325</v>
      </c>
      <c r="C19" s="10" t="s">
        <v>25</v>
      </c>
      <c r="D19" s="59">
        <v>46631</v>
      </c>
      <c r="E19" s="63">
        <v>0</v>
      </c>
      <c r="F19" s="13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46661</v>
      </c>
      <c r="E20" s="63">
        <v>0</v>
      </c>
      <c r="F20" s="54">
        <v>19</v>
      </c>
    </row>
    <row r="21" spans="1:6" x14ac:dyDescent="0.4">
      <c r="A21" s="13" t="s">
        <v>2324</v>
      </c>
      <c r="B21" s="55" t="s">
        <v>2325</v>
      </c>
      <c r="C21" s="10" t="s">
        <v>25</v>
      </c>
      <c r="D21" s="59">
        <v>46692</v>
      </c>
      <c r="E21" s="63">
        <v>0</v>
      </c>
      <c r="F21" s="13">
        <v>20</v>
      </c>
    </row>
    <row r="22" spans="1:6" x14ac:dyDescent="0.4">
      <c r="A22" s="13" t="s">
        <v>2324</v>
      </c>
      <c r="B22" s="55" t="s">
        <v>2325</v>
      </c>
      <c r="C22" s="10" t="s">
        <v>25</v>
      </c>
      <c r="D22" s="59">
        <v>46722</v>
      </c>
      <c r="E22" s="63">
        <v>0</v>
      </c>
      <c r="F22" s="54">
        <v>21</v>
      </c>
    </row>
    <row r="23" spans="1:6" x14ac:dyDescent="0.4">
      <c r="A23" s="13" t="s">
        <v>2324</v>
      </c>
      <c r="B23" s="55" t="s">
        <v>2325</v>
      </c>
      <c r="C23" s="10" t="s">
        <v>25</v>
      </c>
      <c r="D23" s="59">
        <v>46753</v>
      </c>
      <c r="E23" s="63">
        <v>0</v>
      </c>
      <c r="F23" s="13">
        <v>22</v>
      </c>
    </row>
    <row r="24" spans="1:6" x14ac:dyDescent="0.4">
      <c r="A24" s="13" t="s">
        <v>2324</v>
      </c>
      <c r="B24" s="55" t="s">
        <v>2325</v>
      </c>
      <c r="C24" s="13" t="s">
        <v>44</v>
      </c>
      <c r="D24" s="59">
        <v>46113</v>
      </c>
      <c r="E24" s="63">
        <v>0</v>
      </c>
      <c r="F24" s="54">
        <v>23</v>
      </c>
    </row>
    <row r="25" spans="1:6" x14ac:dyDescent="0.4">
      <c r="A25" s="13" t="s">
        <v>2324</v>
      </c>
      <c r="B25" s="55" t="s">
        <v>2325</v>
      </c>
      <c r="C25" s="13" t="s">
        <v>44</v>
      </c>
      <c r="D25" s="59">
        <v>46143</v>
      </c>
      <c r="E25" s="63">
        <v>1200150</v>
      </c>
      <c r="F25" s="13">
        <v>24</v>
      </c>
    </row>
    <row r="26" spans="1:6" x14ac:dyDescent="0.4">
      <c r="A26" s="13" t="s">
        <v>2324</v>
      </c>
      <c r="B26" s="55" t="s">
        <v>2325</v>
      </c>
      <c r="C26" s="13" t="s">
        <v>44</v>
      </c>
      <c r="D26" s="59">
        <v>46174</v>
      </c>
      <c r="E26" s="63">
        <v>1352550</v>
      </c>
      <c r="F26" s="54">
        <v>25</v>
      </c>
    </row>
    <row r="27" spans="1:6" x14ac:dyDescent="0.4">
      <c r="A27" s="13" t="s">
        <v>2324</v>
      </c>
      <c r="B27" s="55" t="s">
        <v>2325</v>
      </c>
      <c r="C27" s="13" t="s">
        <v>44</v>
      </c>
      <c r="D27" s="59">
        <v>46204</v>
      </c>
      <c r="E27" s="63">
        <v>9010650</v>
      </c>
      <c r="F27" s="13">
        <v>26</v>
      </c>
    </row>
    <row r="28" spans="1:6" x14ac:dyDescent="0.4">
      <c r="A28" s="13" t="s">
        <v>2324</v>
      </c>
      <c r="B28" s="55" t="s">
        <v>2325</v>
      </c>
      <c r="C28" s="13" t="s">
        <v>44</v>
      </c>
      <c r="D28" s="59">
        <v>46235</v>
      </c>
      <c r="E28" s="63">
        <v>9201150</v>
      </c>
      <c r="F28" s="54">
        <v>27</v>
      </c>
    </row>
    <row r="29" spans="1:6" x14ac:dyDescent="0.4">
      <c r="A29" s="13" t="s">
        <v>2324</v>
      </c>
      <c r="B29" s="55" t="s">
        <v>2325</v>
      </c>
      <c r="C29" s="13" t="s">
        <v>44</v>
      </c>
      <c r="D29" s="59">
        <v>46266</v>
      </c>
      <c r="E29" s="63">
        <v>9505950</v>
      </c>
      <c r="F29" s="13">
        <v>28</v>
      </c>
    </row>
    <row r="30" spans="1:6" x14ac:dyDescent="0.4">
      <c r="A30" s="13" t="s">
        <v>2324</v>
      </c>
      <c r="B30" s="55" t="s">
        <v>2325</v>
      </c>
      <c r="C30" s="13" t="s">
        <v>44</v>
      </c>
      <c r="D30" s="59">
        <v>46296</v>
      </c>
      <c r="E30" s="63">
        <v>9791700</v>
      </c>
      <c r="F30" s="54">
        <v>29</v>
      </c>
    </row>
    <row r="31" spans="1:6" x14ac:dyDescent="0.4">
      <c r="A31" s="13" t="s">
        <v>2324</v>
      </c>
      <c r="B31" s="55" t="s">
        <v>2325</v>
      </c>
      <c r="C31" s="13" t="s">
        <v>44</v>
      </c>
      <c r="D31" s="59">
        <v>46327</v>
      </c>
      <c r="E31" s="63">
        <v>8591550</v>
      </c>
      <c r="F31" s="13">
        <v>30</v>
      </c>
    </row>
    <row r="32" spans="1:6" x14ac:dyDescent="0.4">
      <c r="A32" s="13" t="s">
        <v>2324</v>
      </c>
      <c r="B32" s="55" t="s">
        <v>2325</v>
      </c>
      <c r="C32" s="13" t="s">
        <v>44</v>
      </c>
      <c r="D32" s="59">
        <v>46357</v>
      </c>
      <c r="E32" s="63">
        <v>8439150</v>
      </c>
      <c r="F32" s="54">
        <v>31</v>
      </c>
    </row>
    <row r="33" spans="1:6" x14ac:dyDescent="0.4">
      <c r="A33" s="13" t="s">
        <v>2324</v>
      </c>
      <c r="B33" s="55" t="s">
        <v>2325</v>
      </c>
      <c r="C33" s="13" t="s">
        <v>44</v>
      </c>
      <c r="D33" s="59">
        <v>46388</v>
      </c>
      <c r="E33" s="63">
        <v>781050</v>
      </c>
      <c r="F33" s="13">
        <v>32</v>
      </c>
    </row>
    <row r="34" spans="1:6" x14ac:dyDescent="0.4">
      <c r="A34" s="13" t="s">
        <v>2324</v>
      </c>
      <c r="B34" s="55" t="s">
        <v>2325</v>
      </c>
      <c r="C34" s="13" t="s">
        <v>44</v>
      </c>
      <c r="D34" s="59">
        <v>46419</v>
      </c>
      <c r="E34" s="63">
        <v>590550</v>
      </c>
      <c r="F34" s="54">
        <v>33</v>
      </c>
    </row>
    <row r="35" spans="1:6" x14ac:dyDescent="0.4">
      <c r="A35" s="13" t="s">
        <v>2324</v>
      </c>
      <c r="B35" s="55" t="s">
        <v>2325</v>
      </c>
      <c r="C35" s="13" t="s">
        <v>44</v>
      </c>
      <c r="D35" s="59">
        <v>46447</v>
      </c>
      <c r="E35" s="63">
        <v>285750</v>
      </c>
      <c r="F35" s="13">
        <v>34</v>
      </c>
    </row>
    <row r="36" spans="1:6" x14ac:dyDescent="0.4">
      <c r="A36" s="13" t="s">
        <v>2324</v>
      </c>
      <c r="B36" s="55" t="s">
        <v>2325</v>
      </c>
      <c r="C36" s="13" t="s">
        <v>44</v>
      </c>
      <c r="D36" s="59">
        <v>46478</v>
      </c>
      <c r="E36" s="63">
        <v>0</v>
      </c>
      <c r="F36" s="54">
        <v>35</v>
      </c>
    </row>
    <row r="37" spans="1:6" x14ac:dyDescent="0.4">
      <c r="A37" s="13" t="s">
        <v>2324</v>
      </c>
      <c r="B37" s="55" t="s">
        <v>2325</v>
      </c>
      <c r="C37" s="13" t="s">
        <v>44</v>
      </c>
      <c r="D37" s="59">
        <v>46508</v>
      </c>
      <c r="E37" s="63">
        <v>0</v>
      </c>
      <c r="F37" s="13">
        <v>36</v>
      </c>
    </row>
    <row r="38" spans="1:6" x14ac:dyDescent="0.4">
      <c r="A38" s="13" t="s">
        <v>2324</v>
      </c>
      <c r="B38" s="55" t="s">
        <v>2325</v>
      </c>
      <c r="C38" s="13" t="s">
        <v>44</v>
      </c>
      <c r="D38" s="59">
        <v>46539</v>
      </c>
      <c r="E38" s="63">
        <v>0</v>
      </c>
      <c r="F38" s="54">
        <v>37</v>
      </c>
    </row>
    <row r="39" spans="1:6" x14ac:dyDescent="0.4">
      <c r="A39" s="13" t="s">
        <v>2324</v>
      </c>
      <c r="B39" s="55" t="s">
        <v>2325</v>
      </c>
      <c r="C39" s="13" t="s">
        <v>44</v>
      </c>
      <c r="D39" s="59">
        <v>46569</v>
      </c>
      <c r="E39" s="63">
        <v>0</v>
      </c>
      <c r="F39" s="13">
        <v>38</v>
      </c>
    </row>
    <row r="40" spans="1:6" x14ac:dyDescent="0.4">
      <c r="A40" s="13" t="s">
        <v>2324</v>
      </c>
      <c r="B40" s="55" t="s">
        <v>2325</v>
      </c>
      <c r="C40" s="13" t="s">
        <v>44</v>
      </c>
      <c r="D40" s="59">
        <v>46600</v>
      </c>
      <c r="E40" s="63">
        <v>0</v>
      </c>
      <c r="F40" s="54">
        <v>39</v>
      </c>
    </row>
    <row r="41" spans="1:6" x14ac:dyDescent="0.4">
      <c r="A41" s="13" t="s">
        <v>2324</v>
      </c>
      <c r="B41" s="55" t="s">
        <v>2325</v>
      </c>
      <c r="C41" s="13" t="s">
        <v>44</v>
      </c>
      <c r="D41" s="59">
        <v>46631</v>
      </c>
      <c r="E41" s="63">
        <v>0</v>
      </c>
      <c r="F41" s="13">
        <v>40</v>
      </c>
    </row>
    <row r="42" spans="1:6" x14ac:dyDescent="0.4">
      <c r="A42" s="13" t="s">
        <v>2324</v>
      </c>
      <c r="B42" s="55" t="s">
        <v>2325</v>
      </c>
      <c r="C42" s="13" t="s">
        <v>44</v>
      </c>
      <c r="D42" s="59">
        <v>46661</v>
      </c>
      <c r="E42" s="63">
        <v>0</v>
      </c>
      <c r="F42" s="54">
        <v>41</v>
      </c>
    </row>
    <row r="43" spans="1:6" x14ac:dyDescent="0.4">
      <c r="A43" s="13" t="s">
        <v>2324</v>
      </c>
      <c r="B43" s="55" t="s">
        <v>2325</v>
      </c>
      <c r="C43" s="13" t="s">
        <v>44</v>
      </c>
      <c r="D43" s="59">
        <v>46692</v>
      </c>
      <c r="E43" s="63">
        <v>0</v>
      </c>
      <c r="F43" s="13">
        <v>42</v>
      </c>
    </row>
    <row r="44" spans="1:6" x14ac:dyDescent="0.4">
      <c r="A44" s="13" t="s">
        <v>2324</v>
      </c>
      <c r="B44" s="55" t="s">
        <v>2325</v>
      </c>
      <c r="C44" s="13" t="s">
        <v>44</v>
      </c>
      <c r="D44" s="59">
        <v>46722</v>
      </c>
      <c r="E44" s="63">
        <v>0</v>
      </c>
      <c r="F44" s="54">
        <v>43</v>
      </c>
    </row>
    <row r="45" spans="1:6" x14ac:dyDescent="0.4">
      <c r="A45" s="13" t="s">
        <v>2324</v>
      </c>
      <c r="B45" s="55" t="s">
        <v>2325</v>
      </c>
      <c r="C45" s="13" t="s">
        <v>44</v>
      </c>
      <c r="D45" s="59">
        <v>46753</v>
      </c>
      <c r="E45" s="63">
        <v>0</v>
      </c>
      <c r="F45" s="13">
        <v>44</v>
      </c>
    </row>
    <row r="46" spans="1:6" x14ac:dyDescent="0.4">
      <c r="A46" s="13" t="s">
        <v>2324</v>
      </c>
      <c r="B46" s="55" t="s">
        <v>2325</v>
      </c>
      <c r="C46" s="13" t="s">
        <v>1944</v>
      </c>
      <c r="D46" s="59">
        <v>46113</v>
      </c>
      <c r="E46" s="63">
        <v>0</v>
      </c>
      <c r="F46" s="54">
        <v>45</v>
      </c>
    </row>
    <row r="47" spans="1:6" x14ac:dyDescent="0.4">
      <c r="A47" s="13" t="s">
        <v>2324</v>
      </c>
      <c r="B47" s="55" t="s">
        <v>2325</v>
      </c>
      <c r="C47" s="13" t="s">
        <v>1944</v>
      </c>
      <c r="D47" s="59">
        <v>46143</v>
      </c>
      <c r="E47" s="63">
        <v>56610</v>
      </c>
      <c r="F47" s="13">
        <v>46</v>
      </c>
    </row>
    <row r="48" spans="1:6" x14ac:dyDescent="0.4">
      <c r="A48" s="13" t="s">
        <v>2324</v>
      </c>
      <c r="B48" s="55" t="s">
        <v>2325</v>
      </c>
      <c r="C48" s="13" t="s">
        <v>1944</v>
      </c>
      <c r="D48" s="59">
        <v>46174</v>
      </c>
      <c r="E48" s="63">
        <v>113220</v>
      </c>
      <c r="F48" s="54">
        <v>47</v>
      </c>
    </row>
    <row r="49" spans="1:6" x14ac:dyDescent="0.4">
      <c r="A49" s="13" t="s">
        <v>2324</v>
      </c>
      <c r="B49" s="55" t="s">
        <v>2325</v>
      </c>
      <c r="C49" s="13" t="s">
        <v>1944</v>
      </c>
      <c r="D49" s="59">
        <v>46204</v>
      </c>
      <c r="E49" s="63">
        <v>132090</v>
      </c>
      <c r="F49" s="13">
        <v>48</v>
      </c>
    </row>
    <row r="50" spans="1:6" x14ac:dyDescent="0.4">
      <c r="A50" s="13" t="s">
        <v>2324</v>
      </c>
      <c r="B50" s="55" t="s">
        <v>2325</v>
      </c>
      <c r="C50" s="13" t="s">
        <v>1944</v>
      </c>
      <c r="D50" s="59">
        <v>46235</v>
      </c>
      <c r="E50" s="63">
        <v>141525</v>
      </c>
      <c r="F50" s="54">
        <v>49</v>
      </c>
    </row>
    <row r="51" spans="1:6" x14ac:dyDescent="0.4">
      <c r="A51" s="13" t="s">
        <v>2324</v>
      </c>
      <c r="B51" s="55" t="s">
        <v>2325</v>
      </c>
      <c r="C51" s="13" t="s">
        <v>1944</v>
      </c>
      <c r="D51" s="59">
        <v>46266</v>
      </c>
      <c r="E51" s="63">
        <v>292485</v>
      </c>
      <c r="F51" s="13">
        <v>50</v>
      </c>
    </row>
    <row r="52" spans="1:6" x14ac:dyDescent="0.4">
      <c r="A52" s="13" t="s">
        <v>2324</v>
      </c>
      <c r="B52" s="55" t="s">
        <v>2325</v>
      </c>
      <c r="C52" s="13" t="s">
        <v>1944</v>
      </c>
      <c r="D52" s="59">
        <v>46296</v>
      </c>
      <c r="E52" s="63">
        <v>481185</v>
      </c>
      <c r="F52" s="54">
        <v>51</v>
      </c>
    </row>
    <row r="53" spans="1:6" x14ac:dyDescent="0.4">
      <c r="A53" s="13" t="s">
        <v>2324</v>
      </c>
      <c r="B53" s="55" t="s">
        <v>2325</v>
      </c>
      <c r="C53" s="13" t="s">
        <v>1944</v>
      </c>
      <c r="D53" s="59">
        <v>46327</v>
      </c>
      <c r="E53" s="63">
        <v>481185</v>
      </c>
      <c r="F53" s="13">
        <v>52</v>
      </c>
    </row>
    <row r="54" spans="1:6" x14ac:dyDescent="0.4">
      <c r="A54" s="13" t="s">
        <v>2324</v>
      </c>
      <c r="B54" s="55" t="s">
        <v>2325</v>
      </c>
      <c r="C54" s="13" t="s">
        <v>1944</v>
      </c>
      <c r="D54" s="59">
        <v>46357</v>
      </c>
      <c r="E54" s="63">
        <v>481185</v>
      </c>
      <c r="F54" s="54">
        <v>53</v>
      </c>
    </row>
    <row r="55" spans="1:6" x14ac:dyDescent="0.4">
      <c r="A55" s="13" t="s">
        <v>2324</v>
      </c>
      <c r="B55" s="55" t="s">
        <v>2325</v>
      </c>
      <c r="C55" s="13" t="s">
        <v>1944</v>
      </c>
      <c r="D55" s="59">
        <v>46388</v>
      </c>
      <c r="E55" s="63">
        <v>490620</v>
      </c>
      <c r="F55" s="13">
        <v>54</v>
      </c>
    </row>
    <row r="56" spans="1:6" x14ac:dyDescent="0.4">
      <c r="A56" s="13" t="s">
        <v>2324</v>
      </c>
      <c r="B56" s="55" t="s">
        <v>2325</v>
      </c>
      <c r="C56" s="13" t="s">
        <v>1944</v>
      </c>
      <c r="D56" s="59">
        <v>46419</v>
      </c>
      <c r="E56" s="63">
        <v>490620</v>
      </c>
      <c r="F56" s="54">
        <v>55</v>
      </c>
    </row>
    <row r="57" spans="1:6" x14ac:dyDescent="0.4">
      <c r="A57" s="13" t="s">
        <v>2324</v>
      </c>
      <c r="B57" s="55" t="s">
        <v>2325</v>
      </c>
      <c r="C57" s="13" t="s">
        <v>1944</v>
      </c>
      <c r="D57" s="59">
        <v>46447</v>
      </c>
      <c r="E57" s="63">
        <v>566100</v>
      </c>
      <c r="F57" s="13">
        <v>56</v>
      </c>
    </row>
    <row r="58" spans="1:6" x14ac:dyDescent="0.4">
      <c r="A58" s="13" t="s">
        <v>2324</v>
      </c>
      <c r="B58" s="55" t="s">
        <v>2325</v>
      </c>
      <c r="C58" s="13" t="s">
        <v>1944</v>
      </c>
      <c r="D58" s="59">
        <v>46478</v>
      </c>
      <c r="E58" s="63">
        <v>566100</v>
      </c>
      <c r="F58" s="54">
        <v>57</v>
      </c>
    </row>
    <row r="59" spans="1:6" x14ac:dyDescent="0.4">
      <c r="A59" s="13" t="s">
        <v>2324</v>
      </c>
      <c r="B59" s="55" t="s">
        <v>2325</v>
      </c>
      <c r="C59" s="13" t="s">
        <v>1944</v>
      </c>
      <c r="D59" s="59">
        <v>46508</v>
      </c>
      <c r="E59" s="63">
        <v>509490</v>
      </c>
      <c r="F59" s="13">
        <v>58</v>
      </c>
    </row>
    <row r="60" spans="1:6" x14ac:dyDescent="0.4">
      <c r="A60" s="13" t="s">
        <v>2324</v>
      </c>
      <c r="B60" s="55" t="s">
        <v>2325</v>
      </c>
      <c r="C60" s="13" t="s">
        <v>1944</v>
      </c>
      <c r="D60" s="59">
        <v>46539</v>
      </c>
      <c r="E60" s="63">
        <v>452880</v>
      </c>
      <c r="F60" s="54">
        <v>59</v>
      </c>
    </row>
    <row r="61" spans="1:6" x14ac:dyDescent="0.4">
      <c r="A61" s="13" t="s">
        <v>2324</v>
      </c>
      <c r="B61" s="55" t="s">
        <v>2325</v>
      </c>
      <c r="C61" s="13" t="s">
        <v>1944</v>
      </c>
      <c r="D61" s="59">
        <v>46569</v>
      </c>
      <c r="E61" s="63">
        <v>434010</v>
      </c>
      <c r="F61" s="13">
        <v>60</v>
      </c>
    </row>
    <row r="62" spans="1:6" x14ac:dyDescent="0.4">
      <c r="A62" s="13" t="s">
        <v>2324</v>
      </c>
      <c r="B62" s="55" t="s">
        <v>2325</v>
      </c>
      <c r="C62" s="13" t="s">
        <v>1944</v>
      </c>
      <c r="D62" s="59">
        <v>46600</v>
      </c>
      <c r="E62" s="63">
        <v>424575</v>
      </c>
      <c r="F62" s="54">
        <v>61</v>
      </c>
    </row>
    <row r="63" spans="1:6" x14ac:dyDescent="0.4">
      <c r="A63" s="13" t="s">
        <v>2324</v>
      </c>
      <c r="B63" s="55" t="s">
        <v>2325</v>
      </c>
      <c r="C63" s="13" t="s">
        <v>1944</v>
      </c>
      <c r="D63" s="59">
        <v>46631</v>
      </c>
      <c r="E63" s="63">
        <v>273615</v>
      </c>
      <c r="F63" s="13">
        <v>62</v>
      </c>
    </row>
    <row r="64" spans="1:6" x14ac:dyDescent="0.4">
      <c r="A64" s="13" t="s">
        <v>2324</v>
      </c>
      <c r="B64" s="55" t="s">
        <v>2325</v>
      </c>
      <c r="C64" s="13" t="s">
        <v>1944</v>
      </c>
      <c r="D64" s="59">
        <v>46661</v>
      </c>
      <c r="E64" s="63">
        <v>84915</v>
      </c>
      <c r="F64" s="54">
        <v>63</v>
      </c>
    </row>
    <row r="65" spans="1:6" x14ac:dyDescent="0.4">
      <c r="A65" s="13" t="s">
        <v>2324</v>
      </c>
      <c r="B65" s="55" t="s">
        <v>2325</v>
      </c>
      <c r="C65" s="13" t="s">
        <v>1944</v>
      </c>
      <c r="D65" s="59">
        <v>46692</v>
      </c>
      <c r="E65" s="63">
        <v>84915</v>
      </c>
      <c r="F65" s="13">
        <v>64</v>
      </c>
    </row>
    <row r="66" spans="1:6" x14ac:dyDescent="0.4">
      <c r="A66" s="13" t="s">
        <v>2324</v>
      </c>
      <c r="B66" s="55" t="s">
        <v>2325</v>
      </c>
      <c r="C66" s="13" t="s">
        <v>1944</v>
      </c>
      <c r="D66" s="59">
        <v>46722</v>
      </c>
      <c r="E66" s="63">
        <v>84915</v>
      </c>
      <c r="F66" s="54">
        <v>65</v>
      </c>
    </row>
    <row r="67" spans="1:6" x14ac:dyDescent="0.4">
      <c r="A67" s="13" t="s">
        <v>2324</v>
      </c>
      <c r="B67" s="55" t="s">
        <v>2325</v>
      </c>
      <c r="C67" s="13" t="s">
        <v>1944</v>
      </c>
      <c r="D67" s="59">
        <v>46753</v>
      </c>
      <c r="E67" s="63">
        <v>75480</v>
      </c>
      <c r="F67" s="13">
        <v>66</v>
      </c>
    </row>
    <row r="68" spans="1:6" x14ac:dyDescent="0.4">
      <c r="A68" s="13" t="s">
        <v>2324</v>
      </c>
      <c r="B68" s="55" t="s">
        <v>2325</v>
      </c>
      <c r="C68" s="13" t="s">
        <v>70</v>
      </c>
      <c r="D68" s="59">
        <v>46113</v>
      </c>
      <c r="E68" s="63">
        <v>0</v>
      </c>
      <c r="F68" s="54">
        <v>67</v>
      </c>
    </row>
    <row r="69" spans="1:6" x14ac:dyDescent="0.4">
      <c r="A69" s="13" t="s">
        <v>2324</v>
      </c>
      <c r="B69" s="55" t="s">
        <v>2325</v>
      </c>
      <c r="C69" s="13" t="s">
        <v>70</v>
      </c>
      <c r="D69" s="59">
        <v>46143</v>
      </c>
      <c r="E69" s="63">
        <v>0</v>
      </c>
      <c r="F69" s="13">
        <v>68</v>
      </c>
    </row>
    <row r="70" spans="1:6" x14ac:dyDescent="0.4">
      <c r="A70" s="13" t="s">
        <v>2324</v>
      </c>
      <c r="B70" s="55" t="s">
        <v>2325</v>
      </c>
      <c r="C70" s="13" t="s">
        <v>70</v>
      </c>
      <c r="D70" s="59">
        <v>46174</v>
      </c>
      <c r="E70" s="63">
        <v>0</v>
      </c>
      <c r="F70" s="54">
        <v>69</v>
      </c>
    </row>
    <row r="71" spans="1:6" x14ac:dyDescent="0.4">
      <c r="A71" s="13" t="s">
        <v>2324</v>
      </c>
      <c r="B71" s="55" t="s">
        <v>2325</v>
      </c>
      <c r="C71" s="13" t="s">
        <v>70</v>
      </c>
      <c r="D71" s="59">
        <v>46204</v>
      </c>
      <c r="E71" s="63">
        <v>39600</v>
      </c>
      <c r="F71" s="13">
        <v>70</v>
      </c>
    </row>
    <row r="72" spans="1:6" x14ac:dyDescent="0.4">
      <c r="A72" s="13" t="s">
        <v>2324</v>
      </c>
      <c r="B72" s="55" t="s">
        <v>2325</v>
      </c>
      <c r="C72" s="13" t="s">
        <v>70</v>
      </c>
      <c r="D72" s="59">
        <v>46235</v>
      </c>
      <c r="E72" s="63">
        <v>39600</v>
      </c>
      <c r="F72" s="54">
        <v>71</v>
      </c>
    </row>
    <row r="73" spans="1:6" x14ac:dyDescent="0.4">
      <c r="A73" s="13" t="s">
        <v>2324</v>
      </c>
      <c r="B73" s="55" t="s">
        <v>2325</v>
      </c>
      <c r="C73" s="13" t="s">
        <v>70</v>
      </c>
      <c r="D73" s="59">
        <v>46266</v>
      </c>
      <c r="E73" s="63">
        <v>39600</v>
      </c>
      <c r="F73" s="13">
        <v>72</v>
      </c>
    </row>
    <row r="74" spans="1:6" x14ac:dyDescent="0.4">
      <c r="A74" s="13" t="s">
        <v>2324</v>
      </c>
      <c r="B74" s="55" t="s">
        <v>2325</v>
      </c>
      <c r="C74" s="13" t="s">
        <v>70</v>
      </c>
      <c r="D74" s="59">
        <v>46296</v>
      </c>
      <c r="E74" s="63">
        <v>0</v>
      </c>
      <c r="F74" s="54">
        <v>73</v>
      </c>
    </row>
    <row r="75" spans="1:6" x14ac:dyDescent="0.4">
      <c r="A75" s="13" t="s">
        <v>2324</v>
      </c>
      <c r="B75" s="55" t="s">
        <v>2325</v>
      </c>
      <c r="C75" s="13" t="s">
        <v>70</v>
      </c>
      <c r="D75" s="59">
        <v>46327</v>
      </c>
      <c r="E75" s="63">
        <v>0</v>
      </c>
      <c r="F75" s="13">
        <v>74</v>
      </c>
    </row>
    <row r="76" spans="1:6" x14ac:dyDescent="0.4">
      <c r="A76" s="13" t="s">
        <v>2324</v>
      </c>
      <c r="B76" s="55" t="s">
        <v>2325</v>
      </c>
      <c r="C76" s="13" t="s">
        <v>70</v>
      </c>
      <c r="D76" s="59">
        <v>46357</v>
      </c>
      <c r="E76" s="63">
        <v>0</v>
      </c>
      <c r="F76" s="54">
        <v>75</v>
      </c>
    </row>
    <row r="77" spans="1:6" x14ac:dyDescent="0.4">
      <c r="A77" s="13" t="s">
        <v>2324</v>
      </c>
      <c r="B77" s="55" t="s">
        <v>2325</v>
      </c>
      <c r="C77" s="13" t="s">
        <v>70</v>
      </c>
      <c r="D77" s="59">
        <v>46388</v>
      </c>
      <c r="E77" s="63">
        <v>0</v>
      </c>
      <c r="F77" s="13">
        <v>76</v>
      </c>
    </row>
    <row r="78" spans="1:6" x14ac:dyDescent="0.4">
      <c r="A78" s="13" t="s">
        <v>2324</v>
      </c>
      <c r="B78" s="55" t="s">
        <v>2325</v>
      </c>
      <c r="C78" s="13" t="s">
        <v>70</v>
      </c>
      <c r="D78" s="59">
        <v>46419</v>
      </c>
      <c r="E78" s="63">
        <v>0</v>
      </c>
      <c r="F78" s="54">
        <v>77</v>
      </c>
    </row>
    <row r="79" spans="1:6" x14ac:dyDescent="0.4">
      <c r="A79" s="13" t="s">
        <v>2324</v>
      </c>
      <c r="B79" s="55" t="s">
        <v>2325</v>
      </c>
      <c r="C79" s="13" t="s">
        <v>70</v>
      </c>
      <c r="D79" s="59">
        <v>46447</v>
      </c>
      <c r="E79" s="63">
        <v>0</v>
      </c>
      <c r="F79" s="13">
        <v>78</v>
      </c>
    </row>
    <row r="80" spans="1:6" x14ac:dyDescent="0.4">
      <c r="A80" s="13" t="s">
        <v>2324</v>
      </c>
      <c r="B80" s="55" t="s">
        <v>2325</v>
      </c>
      <c r="C80" s="13" t="s">
        <v>70</v>
      </c>
      <c r="D80" s="59">
        <v>46478</v>
      </c>
      <c r="E80" s="63">
        <v>0</v>
      </c>
      <c r="F80" s="54">
        <v>79</v>
      </c>
    </row>
    <row r="81" spans="1:6" x14ac:dyDescent="0.4">
      <c r="A81" s="13" t="s">
        <v>2324</v>
      </c>
      <c r="B81" s="55" t="s">
        <v>2325</v>
      </c>
      <c r="C81" s="13" t="s">
        <v>70</v>
      </c>
      <c r="D81" s="59">
        <v>46508</v>
      </c>
      <c r="E81" s="63">
        <v>0</v>
      </c>
      <c r="F81" s="13">
        <v>80</v>
      </c>
    </row>
    <row r="82" spans="1:6" x14ac:dyDescent="0.4">
      <c r="A82" s="13" t="s">
        <v>2324</v>
      </c>
      <c r="B82" s="55" t="s">
        <v>2325</v>
      </c>
      <c r="C82" s="13" t="s">
        <v>70</v>
      </c>
      <c r="D82" s="59">
        <v>46539</v>
      </c>
      <c r="E82" s="63">
        <v>0</v>
      </c>
      <c r="F82" s="54">
        <v>81</v>
      </c>
    </row>
    <row r="83" spans="1:6" x14ac:dyDescent="0.4">
      <c r="A83" s="13" t="s">
        <v>2324</v>
      </c>
      <c r="B83" s="55" t="s">
        <v>2325</v>
      </c>
      <c r="C83" s="13" t="s">
        <v>70</v>
      </c>
      <c r="D83" s="59">
        <v>46569</v>
      </c>
      <c r="E83" s="63">
        <v>0</v>
      </c>
      <c r="F83" s="13">
        <v>82</v>
      </c>
    </row>
    <row r="84" spans="1:6" x14ac:dyDescent="0.4">
      <c r="A84" s="13" t="s">
        <v>2324</v>
      </c>
      <c r="B84" s="55" t="s">
        <v>2325</v>
      </c>
      <c r="C84" s="13" t="s">
        <v>70</v>
      </c>
      <c r="D84" s="59">
        <v>46600</v>
      </c>
      <c r="E84" s="63">
        <v>0</v>
      </c>
      <c r="F84" s="54">
        <v>83</v>
      </c>
    </row>
    <row r="85" spans="1:6" x14ac:dyDescent="0.4">
      <c r="A85" s="13" t="s">
        <v>2324</v>
      </c>
      <c r="B85" s="55" t="s">
        <v>2325</v>
      </c>
      <c r="C85" s="13" t="s">
        <v>70</v>
      </c>
      <c r="D85" s="59">
        <v>46631</v>
      </c>
      <c r="E85" s="63">
        <v>0</v>
      </c>
      <c r="F85" s="13">
        <v>84</v>
      </c>
    </row>
    <row r="86" spans="1:6" x14ac:dyDescent="0.4">
      <c r="A86" s="13" t="s">
        <v>2324</v>
      </c>
      <c r="B86" s="55" t="s">
        <v>2325</v>
      </c>
      <c r="C86" s="13" t="s">
        <v>70</v>
      </c>
      <c r="D86" s="59">
        <v>46661</v>
      </c>
      <c r="E86" s="63">
        <v>0</v>
      </c>
      <c r="F86" s="54">
        <v>85</v>
      </c>
    </row>
    <row r="87" spans="1:6" x14ac:dyDescent="0.4">
      <c r="A87" s="13" t="s">
        <v>2324</v>
      </c>
      <c r="B87" s="55" t="s">
        <v>2325</v>
      </c>
      <c r="C87" s="13" t="s">
        <v>70</v>
      </c>
      <c r="D87" s="59">
        <v>46692</v>
      </c>
      <c r="E87" s="63">
        <v>0</v>
      </c>
      <c r="F87" s="13">
        <v>86</v>
      </c>
    </row>
    <row r="88" spans="1:6" x14ac:dyDescent="0.4">
      <c r="A88" s="13" t="s">
        <v>2324</v>
      </c>
      <c r="B88" s="55" t="s">
        <v>2325</v>
      </c>
      <c r="C88" s="13" t="s">
        <v>70</v>
      </c>
      <c r="D88" s="59">
        <v>46722</v>
      </c>
      <c r="E88" s="63">
        <v>0</v>
      </c>
      <c r="F88" s="54">
        <v>87</v>
      </c>
    </row>
    <row r="89" spans="1:6" x14ac:dyDescent="0.4">
      <c r="A89" s="13" t="s">
        <v>2324</v>
      </c>
      <c r="B89" s="55" t="s">
        <v>2325</v>
      </c>
      <c r="C89" s="13" t="s">
        <v>70</v>
      </c>
      <c r="D89" s="59">
        <v>46753</v>
      </c>
      <c r="E89" s="63">
        <v>0</v>
      </c>
      <c r="F89" s="13">
        <v>88</v>
      </c>
    </row>
    <row r="90" spans="1:6" x14ac:dyDescent="0.4">
      <c r="A90" s="13" t="s">
        <v>2324</v>
      </c>
      <c r="B90" s="55" t="s">
        <v>2325</v>
      </c>
      <c r="C90" s="13" t="s">
        <v>50</v>
      </c>
      <c r="D90" s="59">
        <v>46113</v>
      </c>
      <c r="E90" s="63">
        <v>0</v>
      </c>
      <c r="F90" s="54">
        <v>89</v>
      </c>
    </row>
    <row r="91" spans="1:6" x14ac:dyDescent="0.4">
      <c r="A91" s="13" t="s">
        <v>2324</v>
      </c>
      <c r="B91" s="55" t="s">
        <v>2325</v>
      </c>
      <c r="C91" s="13" t="s">
        <v>50</v>
      </c>
      <c r="D91" s="59">
        <v>46143</v>
      </c>
      <c r="E91" s="63">
        <v>38100</v>
      </c>
      <c r="F91" s="13">
        <v>90</v>
      </c>
    </row>
    <row r="92" spans="1:6" x14ac:dyDescent="0.4">
      <c r="A92" s="13" t="s">
        <v>2324</v>
      </c>
      <c r="B92" s="55" t="s">
        <v>2325</v>
      </c>
      <c r="C92" s="13" t="s">
        <v>50</v>
      </c>
      <c r="D92" s="59">
        <v>46174</v>
      </c>
      <c r="E92" s="63">
        <v>38100</v>
      </c>
      <c r="F92" s="54">
        <v>91</v>
      </c>
    </row>
    <row r="93" spans="1:6" x14ac:dyDescent="0.4">
      <c r="A93" s="13" t="s">
        <v>2324</v>
      </c>
      <c r="B93" s="55" t="s">
        <v>2325</v>
      </c>
      <c r="C93" s="13" t="s">
        <v>50</v>
      </c>
      <c r="D93" s="59">
        <v>46204</v>
      </c>
      <c r="E93" s="63">
        <v>419100</v>
      </c>
      <c r="F93" s="13">
        <v>92</v>
      </c>
    </row>
    <row r="94" spans="1:6" x14ac:dyDescent="0.4">
      <c r="A94" s="13" t="s">
        <v>2324</v>
      </c>
      <c r="B94" s="55" t="s">
        <v>2325</v>
      </c>
      <c r="C94" s="13" t="s">
        <v>50</v>
      </c>
      <c r="D94" s="59">
        <v>46235</v>
      </c>
      <c r="E94" s="63">
        <v>457200</v>
      </c>
      <c r="F94" s="54">
        <v>93</v>
      </c>
    </row>
    <row r="95" spans="1:6" x14ac:dyDescent="0.4">
      <c r="A95" s="13" t="s">
        <v>2324</v>
      </c>
      <c r="B95" s="55" t="s">
        <v>2325</v>
      </c>
      <c r="C95" s="13" t="s">
        <v>50</v>
      </c>
      <c r="D95" s="59">
        <v>46266</v>
      </c>
      <c r="E95" s="63">
        <v>533400</v>
      </c>
      <c r="F95" s="13">
        <v>94</v>
      </c>
    </row>
    <row r="96" spans="1:6" x14ac:dyDescent="0.4">
      <c r="A96" s="13" t="s">
        <v>2324</v>
      </c>
      <c r="B96" s="55" t="s">
        <v>2325</v>
      </c>
      <c r="C96" s="13" t="s">
        <v>50</v>
      </c>
      <c r="D96" s="59">
        <v>46296</v>
      </c>
      <c r="E96" s="63">
        <v>533400</v>
      </c>
      <c r="F96" s="54">
        <v>95</v>
      </c>
    </row>
    <row r="97" spans="1:6" x14ac:dyDescent="0.4">
      <c r="A97" s="13" t="s">
        <v>2324</v>
      </c>
      <c r="B97" s="55" t="s">
        <v>2325</v>
      </c>
      <c r="C97" s="13" t="s">
        <v>50</v>
      </c>
      <c r="D97" s="59">
        <v>46327</v>
      </c>
      <c r="E97" s="63">
        <v>514350</v>
      </c>
      <c r="F97" s="13">
        <v>96</v>
      </c>
    </row>
    <row r="98" spans="1:6" x14ac:dyDescent="0.4">
      <c r="A98" s="13" t="s">
        <v>2324</v>
      </c>
      <c r="B98" s="55" t="s">
        <v>2325</v>
      </c>
      <c r="C98" s="13" t="s">
        <v>50</v>
      </c>
      <c r="D98" s="59">
        <v>46357</v>
      </c>
      <c r="E98" s="63">
        <v>514350</v>
      </c>
      <c r="F98" s="54">
        <v>97</v>
      </c>
    </row>
    <row r="99" spans="1:6" x14ac:dyDescent="0.4">
      <c r="A99" s="13" t="s">
        <v>2324</v>
      </c>
      <c r="B99" s="55" t="s">
        <v>2325</v>
      </c>
      <c r="C99" s="13" t="s">
        <v>50</v>
      </c>
      <c r="D99" s="59">
        <v>46388</v>
      </c>
      <c r="E99" s="63">
        <v>133350</v>
      </c>
      <c r="F99" s="13">
        <v>98</v>
      </c>
    </row>
    <row r="100" spans="1:6" x14ac:dyDescent="0.4">
      <c r="A100" s="13" t="s">
        <v>2324</v>
      </c>
      <c r="B100" s="55" t="s">
        <v>2325</v>
      </c>
      <c r="C100" s="13" t="s">
        <v>50</v>
      </c>
      <c r="D100" s="59">
        <v>46419</v>
      </c>
      <c r="E100" s="63">
        <v>95250</v>
      </c>
      <c r="F100" s="54">
        <v>99</v>
      </c>
    </row>
    <row r="101" spans="1:6" x14ac:dyDescent="0.4">
      <c r="A101" s="13" t="s">
        <v>2324</v>
      </c>
      <c r="B101" s="55" t="s">
        <v>2325</v>
      </c>
      <c r="C101" s="13" t="s">
        <v>50</v>
      </c>
      <c r="D101" s="59">
        <v>46447</v>
      </c>
      <c r="E101" s="63">
        <v>19050</v>
      </c>
      <c r="F101" s="13">
        <v>100</v>
      </c>
    </row>
    <row r="102" spans="1:6" x14ac:dyDescent="0.4">
      <c r="A102" s="13" t="s">
        <v>2324</v>
      </c>
      <c r="B102" s="55" t="s">
        <v>2325</v>
      </c>
      <c r="C102" s="13" t="s">
        <v>50</v>
      </c>
      <c r="D102" s="59">
        <v>46478</v>
      </c>
      <c r="E102" s="63">
        <v>19050</v>
      </c>
      <c r="F102" s="54">
        <v>101</v>
      </c>
    </row>
    <row r="103" spans="1:6" x14ac:dyDescent="0.4">
      <c r="A103" s="13" t="s">
        <v>2324</v>
      </c>
      <c r="B103" s="55" t="s">
        <v>2325</v>
      </c>
      <c r="C103" s="13" t="s">
        <v>50</v>
      </c>
      <c r="D103" s="59">
        <v>46508</v>
      </c>
      <c r="E103" s="63">
        <v>0</v>
      </c>
      <c r="F103" s="13">
        <v>102</v>
      </c>
    </row>
    <row r="104" spans="1:6" x14ac:dyDescent="0.4">
      <c r="A104" s="13" t="s">
        <v>2324</v>
      </c>
      <c r="B104" s="55" t="s">
        <v>2325</v>
      </c>
      <c r="C104" s="13" t="s">
        <v>50</v>
      </c>
      <c r="D104" s="59">
        <v>46539</v>
      </c>
      <c r="E104" s="63">
        <v>0</v>
      </c>
      <c r="F104" s="54">
        <v>103</v>
      </c>
    </row>
    <row r="105" spans="1:6" x14ac:dyDescent="0.4">
      <c r="A105" s="13" t="s">
        <v>2324</v>
      </c>
      <c r="B105" s="55" t="s">
        <v>2325</v>
      </c>
      <c r="C105" s="13" t="s">
        <v>50</v>
      </c>
      <c r="D105" s="59">
        <v>46569</v>
      </c>
      <c r="E105" s="63">
        <v>0</v>
      </c>
      <c r="F105" s="13">
        <v>104</v>
      </c>
    </row>
    <row r="106" spans="1:6" x14ac:dyDescent="0.4">
      <c r="A106" s="13" t="s">
        <v>2324</v>
      </c>
      <c r="B106" s="55" t="s">
        <v>2325</v>
      </c>
      <c r="C106" s="13" t="s">
        <v>50</v>
      </c>
      <c r="D106" s="59">
        <v>46600</v>
      </c>
      <c r="E106" s="63">
        <v>0</v>
      </c>
      <c r="F106" s="54">
        <v>105</v>
      </c>
    </row>
    <row r="107" spans="1:6" x14ac:dyDescent="0.4">
      <c r="A107" s="13" t="s">
        <v>2324</v>
      </c>
      <c r="B107" s="55" t="s">
        <v>2325</v>
      </c>
      <c r="C107" s="13" t="s">
        <v>50</v>
      </c>
      <c r="D107" s="59">
        <v>46631</v>
      </c>
      <c r="E107" s="63">
        <v>0</v>
      </c>
      <c r="F107" s="13">
        <v>106</v>
      </c>
    </row>
    <row r="108" spans="1:6" x14ac:dyDescent="0.4">
      <c r="A108" s="13" t="s">
        <v>2324</v>
      </c>
      <c r="B108" s="55" t="s">
        <v>2325</v>
      </c>
      <c r="C108" s="13" t="s">
        <v>50</v>
      </c>
      <c r="D108" s="59">
        <v>46661</v>
      </c>
      <c r="E108" s="63">
        <v>0</v>
      </c>
      <c r="F108" s="54">
        <v>107</v>
      </c>
    </row>
    <row r="109" spans="1:6" x14ac:dyDescent="0.4">
      <c r="A109" s="13" t="s">
        <v>2324</v>
      </c>
      <c r="B109" s="55" t="s">
        <v>2325</v>
      </c>
      <c r="C109" s="13" t="s">
        <v>50</v>
      </c>
      <c r="D109" s="59">
        <v>46692</v>
      </c>
      <c r="E109" s="63">
        <v>0</v>
      </c>
      <c r="F109" s="13">
        <v>108</v>
      </c>
    </row>
    <row r="110" spans="1:6" x14ac:dyDescent="0.4">
      <c r="A110" s="13" t="s">
        <v>2324</v>
      </c>
      <c r="B110" s="55" t="s">
        <v>2325</v>
      </c>
      <c r="C110" s="13" t="s">
        <v>50</v>
      </c>
      <c r="D110" s="59">
        <v>46722</v>
      </c>
      <c r="E110" s="63">
        <v>0</v>
      </c>
      <c r="F110" s="54">
        <v>109</v>
      </c>
    </row>
    <row r="111" spans="1:6" x14ac:dyDescent="0.4">
      <c r="A111" s="13" t="s">
        <v>2324</v>
      </c>
      <c r="B111" s="55" t="s">
        <v>2325</v>
      </c>
      <c r="C111" s="13" t="s">
        <v>50</v>
      </c>
      <c r="D111" s="59">
        <v>46753</v>
      </c>
      <c r="E111" s="63">
        <v>0</v>
      </c>
      <c r="F111" s="13">
        <v>110</v>
      </c>
    </row>
    <row r="112" spans="1:6" x14ac:dyDescent="0.4">
      <c r="A112" s="13" t="s">
        <v>2324</v>
      </c>
      <c r="B112" s="55" t="s">
        <v>2325</v>
      </c>
      <c r="C112" s="13" t="s">
        <v>5133</v>
      </c>
      <c r="D112" s="59">
        <v>46113</v>
      </c>
      <c r="E112" s="63">
        <v>0</v>
      </c>
      <c r="F112" s="54">
        <v>111</v>
      </c>
    </row>
    <row r="113" spans="1:6" x14ac:dyDescent="0.4">
      <c r="A113" s="13" t="s">
        <v>2324</v>
      </c>
      <c r="B113" s="55" t="s">
        <v>2325</v>
      </c>
      <c r="C113" s="13" t="s">
        <v>5133</v>
      </c>
      <c r="D113" s="59">
        <v>46143</v>
      </c>
      <c r="E113" s="63">
        <v>0</v>
      </c>
      <c r="F113" s="13">
        <v>112</v>
      </c>
    </row>
    <row r="114" spans="1:6" x14ac:dyDescent="0.4">
      <c r="A114" s="13" t="s">
        <v>2324</v>
      </c>
      <c r="B114" s="55" t="s">
        <v>2325</v>
      </c>
      <c r="C114" s="13" t="s">
        <v>5133</v>
      </c>
      <c r="D114" s="59">
        <v>46174</v>
      </c>
      <c r="E114" s="63">
        <v>0</v>
      </c>
      <c r="F114" s="54">
        <v>113</v>
      </c>
    </row>
    <row r="115" spans="1:6" x14ac:dyDescent="0.4">
      <c r="A115" s="13" t="s">
        <v>2324</v>
      </c>
      <c r="B115" s="55" t="s">
        <v>2325</v>
      </c>
      <c r="C115" s="13" t="s">
        <v>5133</v>
      </c>
      <c r="D115" s="59">
        <v>46204</v>
      </c>
      <c r="E115" s="63">
        <v>0</v>
      </c>
      <c r="F115" s="13">
        <v>114</v>
      </c>
    </row>
    <row r="116" spans="1:6" x14ac:dyDescent="0.4">
      <c r="A116" s="13" t="s">
        <v>2324</v>
      </c>
      <c r="B116" s="55" t="s">
        <v>2325</v>
      </c>
      <c r="C116" s="13" t="s">
        <v>5133</v>
      </c>
      <c r="D116" s="59">
        <v>46235</v>
      </c>
      <c r="E116" s="63">
        <v>0</v>
      </c>
      <c r="F116" s="54">
        <v>115</v>
      </c>
    </row>
    <row r="117" spans="1:6" x14ac:dyDescent="0.4">
      <c r="A117" s="13" t="s">
        <v>2324</v>
      </c>
      <c r="B117" s="55" t="s">
        <v>2325</v>
      </c>
      <c r="C117" s="13" t="s">
        <v>5133</v>
      </c>
      <c r="D117" s="59">
        <v>46266</v>
      </c>
      <c r="E117" s="63">
        <v>28305</v>
      </c>
      <c r="F117" s="13">
        <v>116</v>
      </c>
    </row>
    <row r="118" spans="1:6" x14ac:dyDescent="0.4">
      <c r="A118" s="13" t="s">
        <v>2324</v>
      </c>
      <c r="B118" s="55" t="s">
        <v>2325</v>
      </c>
      <c r="C118" s="13" t="s">
        <v>5133</v>
      </c>
      <c r="D118" s="59">
        <v>46296</v>
      </c>
      <c r="E118" s="63">
        <v>28305</v>
      </c>
      <c r="F118" s="54">
        <v>117</v>
      </c>
    </row>
    <row r="119" spans="1:6" x14ac:dyDescent="0.4">
      <c r="A119" s="13" t="s">
        <v>2324</v>
      </c>
      <c r="B119" s="55" t="s">
        <v>2325</v>
      </c>
      <c r="C119" s="13" t="s">
        <v>5133</v>
      </c>
      <c r="D119" s="59">
        <v>46327</v>
      </c>
      <c r="E119" s="63">
        <v>37740</v>
      </c>
      <c r="F119" s="13">
        <v>118</v>
      </c>
    </row>
    <row r="120" spans="1:6" x14ac:dyDescent="0.4">
      <c r="A120" s="13" t="s">
        <v>2324</v>
      </c>
      <c r="B120" s="55" t="s">
        <v>2325</v>
      </c>
      <c r="C120" s="13" t="s">
        <v>5133</v>
      </c>
      <c r="D120" s="59">
        <v>46357</v>
      </c>
      <c r="E120" s="63">
        <v>37740</v>
      </c>
      <c r="F120" s="54">
        <v>119</v>
      </c>
    </row>
    <row r="121" spans="1:6" x14ac:dyDescent="0.4">
      <c r="A121" s="13" t="s">
        <v>2324</v>
      </c>
      <c r="B121" s="55" t="s">
        <v>2325</v>
      </c>
      <c r="C121" s="13" t="s">
        <v>5133</v>
      </c>
      <c r="D121" s="59">
        <v>46388</v>
      </c>
      <c r="E121" s="63">
        <v>37740</v>
      </c>
      <c r="F121" s="13">
        <v>120</v>
      </c>
    </row>
    <row r="122" spans="1:6" x14ac:dyDescent="0.4">
      <c r="A122" s="13" t="s">
        <v>2324</v>
      </c>
      <c r="B122" s="55" t="s">
        <v>2325</v>
      </c>
      <c r="C122" s="13" t="s">
        <v>5133</v>
      </c>
      <c r="D122" s="59">
        <v>46419</v>
      </c>
      <c r="E122" s="63">
        <v>37740</v>
      </c>
      <c r="F122" s="54">
        <v>121</v>
      </c>
    </row>
    <row r="123" spans="1:6" x14ac:dyDescent="0.4">
      <c r="A123" s="13" t="s">
        <v>2324</v>
      </c>
      <c r="B123" s="55" t="s">
        <v>2325</v>
      </c>
      <c r="C123" s="13" t="s">
        <v>5133</v>
      </c>
      <c r="D123" s="59">
        <v>46447</v>
      </c>
      <c r="E123" s="63">
        <v>37740</v>
      </c>
      <c r="F123" s="13">
        <v>122</v>
      </c>
    </row>
    <row r="124" spans="1:6" x14ac:dyDescent="0.4">
      <c r="A124" s="13" t="s">
        <v>2324</v>
      </c>
      <c r="B124" s="55" t="s">
        <v>2325</v>
      </c>
      <c r="C124" s="13" t="s">
        <v>5133</v>
      </c>
      <c r="D124" s="59">
        <v>46478</v>
      </c>
      <c r="E124" s="63">
        <v>37740</v>
      </c>
      <c r="F124" s="54">
        <v>123</v>
      </c>
    </row>
    <row r="125" spans="1:6" x14ac:dyDescent="0.4">
      <c r="A125" s="13" t="s">
        <v>2324</v>
      </c>
      <c r="B125" s="55" t="s">
        <v>2325</v>
      </c>
      <c r="C125" s="13" t="s">
        <v>5133</v>
      </c>
      <c r="D125" s="59">
        <v>46508</v>
      </c>
      <c r="E125" s="63">
        <v>37740</v>
      </c>
      <c r="F125" s="13">
        <v>124</v>
      </c>
    </row>
    <row r="126" spans="1:6" x14ac:dyDescent="0.4">
      <c r="A126" s="13" t="s">
        <v>2324</v>
      </c>
      <c r="B126" s="55" t="s">
        <v>2325</v>
      </c>
      <c r="C126" s="13" t="s">
        <v>5133</v>
      </c>
      <c r="D126" s="59">
        <v>46539</v>
      </c>
      <c r="E126" s="63">
        <v>37740</v>
      </c>
      <c r="F126" s="54">
        <v>125</v>
      </c>
    </row>
    <row r="127" spans="1:6" x14ac:dyDescent="0.4">
      <c r="A127" s="13" t="s">
        <v>2324</v>
      </c>
      <c r="B127" s="55" t="s">
        <v>2325</v>
      </c>
      <c r="C127" s="13" t="s">
        <v>5133</v>
      </c>
      <c r="D127" s="59">
        <v>46569</v>
      </c>
      <c r="E127" s="63">
        <v>37740</v>
      </c>
      <c r="F127" s="13">
        <v>126</v>
      </c>
    </row>
    <row r="128" spans="1:6" x14ac:dyDescent="0.4">
      <c r="A128" s="13" t="s">
        <v>2324</v>
      </c>
      <c r="B128" s="55" t="s">
        <v>2325</v>
      </c>
      <c r="C128" s="13" t="s">
        <v>5133</v>
      </c>
      <c r="D128" s="59">
        <v>46600</v>
      </c>
      <c r="E128" s="63">
        <v>37740</v>
      </c>
      <c r="F128" s="54">
        <v>127</v>
      </c>
    </row>
    <row r="129" spans="1:6" x14ac:dyDescent="0.4">
      <c r="A129" s="13" t="s">
        <v>2324</v>
      </c>
      <c r="B129" s="55" t="s">
        <v>2325</v>
      </c>
      <c r="C129" s="13" t="s">
        <v>5133</v>
      </c>
      <c r="D129" s="59">
        <v>46631</v>
      </c>
      <c r="E129" s="63">
        <v>9435</v>
      </c>
      <c r="F129" s="13">
        <v>128</v>
      </c>
    </row>
    <row r="130" spans="1:6" x14ac:dyDescent="0.4">
      <c r="A130" s="13" t="s">
        <v>2324</v>
      </c>
      <c r="B130" s="55" t="s">
        <v>2325</v>
      </c>
      <c r="C130" s="13" t="s">
        <v>5133</v>
      </c>
      <c r="D130" s="59">
        <v>46661</v>
      </c>
      <c r="E130" s="63">
        <v>9435</v>
      </c>
      <c r="F130" s="54">
        <v>129</v>
      </c>
    </row>
    <row r="131" spans="1:6" x14ac:dyDescent="0.4">
      <c r="A131" s="13" t="s">
        <v>2324</v>
      </c>
      <c r="B131" s="55" t="s">
        <v>2325</v>
      </c>
      <c r="C131" s="13" t="s">
        <v>5133</v>
      </c>
      <c r="D131" s="59">
        <v>46692</v>
      </c>
      <c r="E131" s="63">
        <v>0</v>
      </c>
      <c r="F131" s="13">
        <v>130</v>
      </c>
    </row>
    <row r="132" spans="1:6" x14ac:dyDescent="0.4">
      <c r="A132" s="13" t="s">
        <v>2324</v>
      </c>
      <c r="B132" s="55" t="s">
        <v>2325</v>
      </c>
      <c r="C132" s="13" t="s">
        <v>5133</v>
      </c>
      <c r="D132" s="59">
        <v>46722</v>
      </c>
      <c r="E132" s="63">
        <v>0</v>
      </c>
      <c r="F132" s="54">
        <v>131</v>
      </c>
    </row>
    <row r="133" spans="1:6" x14ac:dyDescent="0.4">
      <c r="A133" s="13" t="s">
        <v>2324</v>
      </c>
      <c r="B133" s="55" t="s">
        <v>2325</v>
      </c>
      <c r="C133" s="13" t="s">
        <v>5133</v>
      </c>
      <c r="D133" s="59">
        <v>46753</v>
      </c>
      <c r="E133" s="63">
        <v>0</v>
      </c>
      <c r="F133" s="13">
        <v>132</v>
      </c>
    </row>
    <row r="134" spans="1:6" x14ac:dyDescent="0.4">
      <c r="A134" s="13" t="s">
        <v>2324</v>
      </c>
      <c r="B134" s="13" t="s">
        <v>2345</v>
      </c>
      <c r="C134" s="10" t="s">
        <v>25</v>
      </c>
      <c r="D134" s="59">
        <v>46113</v>
      </c>
      <c r="E134" s="63">
        <v>0</v>
      </c>
      <c r="F134" s="54">
        <v>133</v>
      </c>
    </row>
    <row r="135" spans="1:6" x14ac:dyDescent="0.4">
      <c r="A135" s="13" t="s">
        <v>2324</v>
      </c>
      <c r="B135" s="13" t="s">
        <v>2345</v>
      </c>
      <c r="C135" s="10" t="s">
        <v>25</v>
      </c>
      <c r="D135" s="59">
        <v>46143</v>
      </c>
      <c r="E135" s="6">
        <v>124740</v>
      </c>
      <c r="F135" s="13">
        <v>134</v>
      </c>
    </row>
    <row r="136" spans="1:6" x14ac:dyDescent="0.4">
      <c r="A136" s="13" t="s">
        <v>2324</v>
      </c>
      <c r="B136" s="13" t="s">
        <v>2345</v>
      </c>
      <c r="C136" s="10" t="s">
        <v>25</v>
      </c>
      <c r="D136" s="59">
        <v>46174</v>
      </c>
      <c r="E136" s="6">
        <v>160380</v>
      </c>
      <c r="F136" s="54">
        <v>135</v>
      </c>
    </row>
    <row r="137" spans="1:6" x14ac:dyDescent="0.4">
      <c r="A137" s="13" t="s">
        <v>2324</v>
      </c>
      <c r="B137" s="13" t="s">
        <v>2345</v>
      </c>
      <c r="C137" s="10" t="s">
        <v>25</v>
      </c>
      <c r="D137" s="59">
        <v>46204</v>
      </c>
      <c r="E137" s="6">
        <v>882090</v>
      </c>
      <c r="F137" s="13">
        <v>136</v>
      </c>
    </row>
    <row r="138" spans="1:6" x14ac:dyDescent="0.4">
      <c r="A138" s="13" t="s">
        <v>2324</v>
      </c>
      <c r="B138" s="13" t="s">
        <v>2345</v>
      </c>
      <c r="C138" s="10" t="s">
        <v>25</v>
      </c>
      <c r="D138" s="59">
        <v>46235</v>
      </c>
      <c r="E138" s="6">
        <v>766260</v>
      </c>
      <c r="F138" s="54">
        <v>137</v>
      </c>
    </row>
    <row r="139" spans="1:6" x14ac:dyDescent="0.4">
      <c r="A139" s="13" t="s">
        <v>2324</v>
      </c>
      <c r="B139" s="13" t="s">
        <v>2345</v>
      </c>
      <c r="C139" s="10" t="s">
        <v>25</v>
      </c>
      <c r="D139" s="59">
        <v>46266</v>
      </c>
      <c r="E139" s="6">
        <v>730620</v>
      </c>
      <c r="F139" s="13">
        <v>138</v>
      </c>
    </row>
    <row r="140" spans="1:6" x14ac:dyDescent="0.4">
      <c r="A140" s="13" t="s">
        <v>2324</v>
      </c>
      <c r="B140" s="13" t="s">
        <v>2345</v>
      </c>
      <c r="C140" s="10" t="s">
        <v>25</v>
      </c>
      <c r="D140" s="59">
        <v>46296</v>
      </c>
      <c r="E140" s="6">
        <v>8910</v>
      </c>
      <c r="F140" s="54">
        <v>139</v>
      </c>
    </row>
    <row r="141" spans="1:6" x14ac:dyDescent="0.4">
      <c r="A141" s="13" t="s">
        <v>2324</v>
      </c>
      <c r="B141" s="13" t="s">
        <v>2345</v>
      </c>
      <c r="C141" s="10" t="s">
        <v>25</v>
      </c>
      <c r="D141" s="59">
        <v>46327</v>
      </c>
      <c r="E141" s="6">
        <v>0</v>
      </c>
      <c r="F141" s="13">
        <v>140</v>
      </c>
    </row>
    <row r="142" spans="1:6" x14ac:dyDescent="0.4">
      <c r="A142" s="13" t="s">
        <v>2324</v>
      </c>
      <c r="B142" s="13" t="s">
        <v>2345</v>
      </c>
      <c r="C142" s="10" t="s">
        <v>25</v>
      </c>
      <c r="D142" s="59">
        <v>46357</v>
      </c>
      <c r="E142" s="6">
        <v>0</v>
      </c>
      <c r="F142" s="54">
        <v>141</v>
      </c>
    </row>
    <row r="143" spans="1:6" x14ac:dyDescent="0.4">
      <c r="A143" s="13" t="s">
        <v>2324</v>
      </c>
      <c r="B143" s="13" t="s">
        <v>2345</v>
      </c>
      <c r="C143" s="10" t="s">
        <v>25</v>
      </c>
      <c r="D143" s="59">
        <v>46388</v>
      </c>
      <c r="E143" s="6">
        <v>0</v>
      </c>
      <c r="F143" s="13">
        <v>142</v>
      </c>
    </row>
    <row r="144" spans="1:6" x14ac:dyDescent="0.4">
      <c r="A144" s="13" t="s">
        <v>2324</v>
      </c>
      <c r="B144" s="13" t="s">
        <v>2345</v>
      </c>
      <c r="C144" s="10" t="s">
        <v>25</v>
      </c>
      <c r="D144" s="59">
        <v>46419</v>
      </c>
      <c r="E144" s="6">
        <v>0</v>
      </c>
      <c r="F144" s="54">
        <v>143</v>
      </c>
    </row>
    <row r="145" spans="1:6" x14ac:dyDescent="0.4">
      <c r="A145" s="13" t="s">
        <v>2324</v>
      </c>
      <c r="B145" s="13" t="s">
        <v>2345</v>
      </c>
      <c r="C145" s="10" t="s">
        <v>25</v>
      </c>
      <c r="D145" s="59">
        <v>46447</v>
      </c>
      <c r="E145" s="6">
        <v>0</v>
      </c>
      <c r="F145" s="13">
        <v>144</v>
      </c>
    </row>
    <row r="146" spans="1:6" x14ac:dyDescent="0.4">
      <c r="A146" s="13" t="s">
        <v>2324</v>
      </c>
      <c r="B146" s="13" t="s">
        <v>2345</v>
      </c>
      <c r="C146" s="10" t="s">
        <v>25</v>
      </c>
      <c r="D146" s="59">
        <v>46478</v>
      </c>
      <c r="E146" s="6">
        <v>0</v>
      </c>
      <c r="F146" s="54">
        <v>145</v>
      </c>
    </row>
    <row r="147" spans="1:6" x14ac:dyDescent="0.4">
      <c r="A147" s="13" t="s">
        <v>2324</v>
      </c>
      <c r="B147" s="13" t="s">
        <v>2345</v>
      </c>
      <c r="C147" s="10" t="s">
        <v>25</v>
      </c>
      <c r="D147" s="59">
        <v>46508</v>
      </c>
      <c r="E147" s="6">
        <v>0</v>
      </c>
      <c r="F147" s="13">
        <v>146</v>
      </c>
    </row>
    <row r="148" spans="1:6" x14ac:dyDescent="0.4">
      <c r="A148" s="13" t="s">
        <v>2324</v>
      </c>
      <c r="B148" s="13" t="s">
        <v>2345</v>
      </c>
      <c r="C148" s="10" t="s">
        <v>25</v>
      </c>
      <c r="D148" s="59">
        <v>46539</v>
      </c>
      <c r="E148" s="6">
        <v>0</v>
      </c>
      <c r="F148" s="54">
        <v>147</v>
      </c>
    </row>
    <row r="149" spans="1:6" x14ac:dyDescent="0.4">
      <c r="A149" s="13" t="s">
        <v>2324</v>
      </c>
      <c r="B149" s="13" t="s">
        <v>2345</v>
      </c>
      <c r="C149" s="10" t="s">
        <v>25</v>
      </c>
      <c r="D149" s="59">
        <v>46569</v>
      </c>
      <c r="E149" s="6">
        <v>0</v>
      </c>
      <c r="F149" s="13">
        <v>148</v>
      </c>
    </row>
    <row r="150" spans="1:6" x14ac:dyDescent="0.4">
      <c r="A150" s="13" t="s">
        <v>2324</v>
      </c>
      <c r="B150" s="13" t="s">
        <v>2345</v>
      </c>
      <c r="C150" s="10" t="s">
        <v>25</v>
      </c>
      <c r="D150" s="59">
        <v>46600</v>
      </c>
      <c r="E150" s="6">
        <v>0</v>
      </c>
      <c r="F150" s="54">
        <v>149</v>
      </c>
    </row>
    <row r="151" spans="1:6" x14ac:dyDescent="0.4">
      <c r="A151" s="13" t="s">
        <v>2324</v>
      </c>
      <c r="B151" s="13" t="s">
        <v>2345</v>
      </c>
      <c r="C151" s="10" t="s">
        <v>25</v>
      </c>
      <c r="D151" s="59">
        <v>46631</v>
      </c>
      <c r="E151" s="6">
        <v>0</v>
      </c>
      <c r="F151" s="13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46661</v>
      </c>
      <c r="E152" s="6">
        <v>0</v>
      </c>
      <c r="F152" s="54">
        <v>151</v>
      </c>
    </row>
    <row r="153" spans="1:6" x14ac:dyDescent="0.4">
      <c r="A153" s="13" t="s">
        <v>2324</v>
      </c>
      <c r="B153" s="13" t="s">
        <v>2345</v>
      </c>
      <c r="C153" s="10" t="s">
        <v>25</v>
      </c>
      <c r="D153" s="59">
        <v>46692</v>
      </c>
      <c r="E153" s="6">
        <v>0</v>
      </c>
      <c r="F153" s="13">
        <v>152</v>
      </c>
    </row>
    <row r="154" spans="1:6" x14ac:dyDescent="0.4">
      <c r="A154" s="13" t="s">
        <v>2324</v>
      </c>
      <c r="B154" s="13" t="s">
        <v>2345</v>
      </c>
      <c r="C154" s="10" t="s">
        <v>25</v>
      </c>
      <c r="D154" s="59">
        <v>46722</v>
      </c>
      <c r="E154" s="6">
        <v>0</v>
      </c>
      <c r="F154" s="54">
        <v>153</v>
      </c>
    </row>
    <row r="155" spans="1:6" x14ac:dyDescent="0.4">
      <c r="A155" s="13" t="s">
        <v>2324</v>
      </c>
      <c r="B155" s="13" t="s">
        <v>2345</v>
      </c>
      <c r="C155" s="10" t="s">
        <v>25</v>
      </c>
      <c r="D155" s="59">
        <v>46753</v>
      </c>
      <c r="E155" s="6">
        <v>0</v>
      </c>
      <c r="F155" s="13">
        <v>154</v>
      </c>
    </row>
    <row r="156" spans="1:6" x14ac:dyDescent="0.4">
      <c r="A156" s="13" t="s">
        <v>2324</v>
      </c>
      <c r="B156" s="13" t="s">
        <v>2345</v>
      </c>
      <c r="C156" s="13" t="s">
        <v>44</v>
      </c>
      <c r="D156" s="59">
        <v>46113</v>
      </c>
      <c r="E156" s="6">
        <v>0</v>
      </c>
      <c r="F156" s="54">
        <v>155</v>
      </c>
    </row>
    <row r="157" spans="1:6" x14ac:dyDescent="0.4">
      <c r="A157" s="13" t="s">
        <v>2324</v>
      </c>
      <c r="B157" s="13" t="s">
        <v>2345</v>
      </c>
      <c r="C157" s="13" t="s">
        <v>44</v>
      </c>
      <c r="D157" s="59">
        <v>46143</v>
      </c>
      <c r="E157" s="6">
        <v>540067</v>
      </c>
      <c r="F157" s="13">
        <v>156</v>
      </c>
    </row>
    <row r="158" spans="1:6" x14ac:dyDescent="0.4">
      <c r="A158" s="13" t="s">
        <v>2324</v>
      </c>
      <c r="B158" s="13" t="s">
        <v>2345</v>
      </c>
      <c r="C158" s="13" t="s">
        <v>44</v>
      </c>
      <c r="D158" s="59">
        <v>46174</v>
      </c>
      <c r="E158" s="6">
        <v>608647</v>
      </c>
      <c r="F158" s="54">
        <v>157</v>
      </c>
    </row>
    <row r="159" spans="1:6" x14ac:dyDescent="0.4">
      <c r="A159" s="13" t="s">
        <v>2324</v>
      </c>
      <c r="B159" s="13" t="s">
        <v>2345</v>
      </c>
      <c r="C159" s="13" t="s">
        <v>44</v>
      </c>
      <c r="D159" s="59">
        <v>46204</v>
      </c>
      <c r="E159" s="6">
        <v>4054792</v>
      </c>
      <c r="F159" s="13">
        <v>158</v>
      </c>
    </row>
    <row r="160" spans="1:6" x14ac:dyDescent="0.4">
      <c r="A160" s="13" t="s">
        <v>2324</v>
      </c>
      <c r="B160" s="13" t="s">
        <v>2345</v>
      </c>
      <c r="C160" s="13" t="s">
        <v>44</v>
      </c>
      <c r="D160" s="59">
        <v>46235</v>
      </c>
      <c r="E160" s="6">
        <v>4140517</v>
      </c>
      <c r="F160" s="54">
        <v>159</v>
      </c>
    </row>
    <row r="161" spans="1:6" x14ac:dyDescent="0.4">
      <c r="A161" s="13" t="s">
        <v>2324</v>
      </c>
      <c r="B161" s="13" t="s">
        <v>2345</v>
      </c>
      <c r="C161" s="13" t="s">
        <v>44</v>
      </c>
      <c r="D161" s="59">
        <v>46266</v>
      </c>
      <c r="E161" s="6">
        <v>4277677</v>
      </c>
      <c r="F161" s="13">
        <v>160</v>
      </c>
    </row>
    <row r="162" spans="1:6" x14ac:dyDescent="0.4">
      <c r="A162" s="13" t="s">
        <v>2324</v>
      </c>
      <c r="B162" s="13" t="s">
        <v>2345</v>
      </c>
      <c r="C162" s="13" t="s">
        <v>44</v>
      </c>
      <c r="D162" s="59">
        <v>46296</v>
      </c>
      <c r="E162" s="6">
        <v>4406265</v>
      </c>
      <c r="F162" s="54">
        <v>161</v>
      </c>
    </row>
    <row r="163" spans="1:6" x14ac:dyDescent="0.4">
      <c r="A163" s="13" t="s">
        <v>2324</v>
      </c>
      <c r="B163" s="13" t="s">
        <v>2345</v>
      </c>
      <c r="C163" s="13" t="s">
        <v>44</v>
      </c>
      <c r="D163" s="59">
        <v>46327</v>
      </c>
      <c r="E163" s="6">
        <v>3866197</v>
      </c>
      <c r="F163" s="13">
        <v>162</v>
      </c>
    </row>
    <row r="164" spans="1:6" x14ac:dyDescent="0.4">
      <c r="A164" s="13" t="s">
        <v>2324</v>
      </c>
      <c r="B164" s="13" t="s">
        <v>2345</v>
      </c>
      <c r="C164" s="13" t="s">
        <v>44</v>
      </c>
      <c r="D164" s="59">
        <v>46357</v>
      </c>
      <c r="E164" s="6">
        <v>3797617</v>
      </c>
      <c r="F164" s="54">
        <v>163</v>
      </c>
    </row>
    <row r="165" spans="1:6" x14ac:dyDescent="0.4">
      <c r="A165" s="13" t="s">
        <v>2324</v>
      </c>
      <c r="B165" s="13" t="s">
        <v>2345</v>
      </c>
      <c r="C165" s="13" t="s">
        <v>44</v>
      </c>
      <c r="D165" s="59">
        <v>46388</v>
      </c>
      <c r="E165" s="6">
        <v>351472</v>
      </c>
      <c r="F165" s="13">
        <v>164</v>
      </c>
    </row>
    <row r="166" spans="1:6" x14ac:dyDescent="0.4">
      <c r="A166" s="13" t="s">
        <v>2324</v>
      </c>
      <c r="B166" s="13" t="s">
        <v>2345</v>
      </c>
      <c r="C166" s="13" t="s">
        <v>44</v>
      </c>
      <c r="D166" s="59">
        <v>46419</v>
      </c>
      <c r="E166" s="6">
        <v>265747</v>
      </c>
      <c r="F166" s="54">
        <v>165</v>
      </c>
    </row>
    <row r="167" spans="1:6" x14ac:dyDescent="0.4">
      <c r="A167" s="13" t="s">
        <v>2324</v>
      </c>
      <c r="B167" s="13" t="s">
        <v>2345</v>
      </c>
      <c r="C167" s="13" t="s">
        <v>44</v>
      </c>
      <c r="D167" s="59">
        <v>46447</v>
      </c>
      <c r="E167" s="6">
        <v>128587</v>
      </c>
      <c r="F167" s="13">
        <v>166</v>
      </c>
    </row>
    <row r="168" spans="1:6" x14ac:dyDescent="0.4">
      <c r="A168" s="13" t="s">
        <v>2324</v>
      </c>
      <c r="B168" s="13" t="s">
        <v>2345</v>
      </c>
      <c r="C168" s="13" t="s">
        <v>44</v>
      </c>
      <c r="D168" s="59">
        <v>46478</v>
      </c>
      <c r="E168" s="6">
        <v>0</v>
      </c>
      <c r="F168" s="54">
        <v>167</v>
      </c>
    </row>
    <row r="169" spans="1:6" x14ac:dyDescent="0.4">
      <c r="A169" s="13" t="s">
        <v>2324</v>
      </c>
      <c r="B169" s="13" t="s">
        <v>2345</v>
      </c>
      <c r="C169" s="13" t="s">
        <v>44</v>
      </c>
      <c r="D169" s="59">
        <v>46508</v>
      </c>
      <c r="E169" s="6">
        <v>0</v>
      </c>
      <c r="F169" s="13">
        <v>168</v>
      </c>
    </row>
    <row r="170" spans="1:6" x14ac:dyDescent="0.4">
      <c r="A170" s="13" t="s">
        <v>2324</v>
      </c>
      <c r="B170" s="13" t="s">
        <v>2345</v>
      </c>
      <c r="C170" s="13" t="s">
        <v>44</v>
      </c>
      <c r="D170" s="59">
        <v>46539</v>
      </c>
      <c r="E170" s="6">
        <v>0</v>
      </c>
      <c r="F170" s="54">
        <v>169</v>
      </c>
    </row>
    <row r="171" spans="1:6" x14ac:dyDescent="0.4">
      <c r="A171" s="13" t="s">
        <v>2324</v>
      </c>
      <c r="B171" s="13" t="s">
        <v>2345</v>
      </c>
      <c r="C171" s="13" t="s">
        <v>44</v>
      </c>
      <c r="D171" s="59">
        <v>46569</v>
      </c>
      <c r="E171" s="6">
        <v>0</v>
      </c>
      <c r="F171" s="13">
        <v>170</v>
      </c>
    </row>
    <row r="172" spans="1:6" x14ac:dyDescent="0.4">
      <c r="A172" s="13" t="s">
        <v>2324</v>
      </c>
      <c r="B172" s="13" t="s">
        <v>2345</v>
      </c>
      <c r="C172" s="13" t="s">
        <v>44</v>
      </c>
      <c r="D172" s="59">
        <v>46600</v>
      </c>
      <c r="E172" s="6">
        <v>0</v>
      </c>
      <c r="F172" s="54">
        <v>171</v>
      </c>
    </row>
    <row r="173" spans="1:6" x14ac:dyDescent="0.4">
      <c r="A173" s="13" t="s">
        <v>2324</v>
      </c>
      <c r="B173" s="13" t="s">
        <v>2345</v>
      </c>
      <c r="C173" s="13" t="s">
        <v>44</v>
      </c>
      <c r="D173" s="59">
        <v>46631</v>
      </c>
      <c r="E173" s="6">
        <v>0</v>
      </c>
      <c r="F173" s="13">
        <v>172</v>
      </c>
    </row>
    <row r="174" spans="1:6" x14ac:dyDescent="0.4">
      <c r="A174" s="13" t="s">
        <v>2324</v>
      </c>
      <c r="B174" s="13" t="s">
        <v>2345</v>
      </c>
      <c r="C174" s="13" t="s">
        <v>44</v>
      </c>
      <c r="D174" s="59">
        <v>46661</v>
      </c>
      <c r="E174" s="6">
        <v>0</v>
      </c>
      <c r="F174" s="54">
        <v>173</v>
      </c>
    </row>
    <row r="175" spans="1:6" x14ac:dyDescent="0.4">
      <c r="A175" s="13" t="s">
        <v>2324</v>
      </c>
      <c r="B175" s="13" t="s">
        <v>2345</v>
      </c>
      <c r="C175" s="13" t="s">
        <v>44</v>
      </c>
      <c r="D175" s="59">
        <v>46692</v>
      </c>
      <c r="E175" s="6">
        <v>0</v>
      </c>
      <c r="F175" s="13">
        <v>174</v>
      </c>
    </row>
    <row r="176" spans="1:6" x14ac:dyDescent="0.4">
      <c r="A176" s="13" t="s">
        <v>2324</v>
      </c>
      <c r="B176" s="13" t="s">
        <v>2345</v>
      </c>
      <c r="C176" s="13" t="s">
        <v>44</v>
      </c>
      <c r="D176" s="59">
        <v>46722</v>
      </c>
      <c r="E176" s="6">
        <v>0</v>
      </c>
      <c r="F176" s="54">
        <v>175</v>
      </c>
    </row>
    <row r="177" spans="1:6" x14ac:dyDescent="0.4">
      <c r="A177" s="13" t="s">
        <v>2324</v>
      </c>
      <c r="B177" s="13" t="s">
        <v>2345</v>
      </c>
      <c r="C177" s="13" t="s">
        <v>44</v>
      </c>
      <c r="D177" s="59">
        <v>46753</v>
      </c>
      <c r="E177" s="6">
        <v>0</v>
      </c>
      <c r="F177" s="13">
        <v>176</v>
      </c>
    </row>
    <row r="178" spans="1:6" x14ac:dyDescent="0.4">
      <c r="A178" s="13" t="s">
        <v>2324</v>
      </c>
      <c r="B178" s="13" t="s">
        <v>2345</v>
      </c>
      <c r="C178" s="13" t="s">
        <v>1944</v>
      </c>
      <c r="D178" s="59">
        <v>46113</v>
      </c>
      <c r="E178" s="6">
        <v>0</v>
      </c>
      <c r="F178" s="54">
        <v>177</v>
      </c>
    </row>
    <row r="179" spans="1:6" x14ac:dyDescent="0.4">
      <c r="A179" s="13" t="s">
        <v>2324</v>
      </c>
      <c r="B179" s="13" t="s">
        <v>2345</v>
      </c>
      <c r="C179" s="13" t="s">
        <v>1944</v>
      </c>
      <c r="D179" s="59">
        <v>46143</v>
      </c>
      <c r="E179" s="6">
        <v>25474</v>
      </c>
      <c r="F179" s="13">
        <v>178</v>
      </c>
    </row>
    <row r="180" spans="1:6" x14ac:dyDescent="0.4">
      <c r="A180" s="13" t="s">
        <v>2324</v>
      </c>
      <c r="B180" s="13" t="s">
        <v>2345</v>
      </c>
      <c r="C180" s="13" t="s">
        <v>1944</v>
      </c>
      <c r="D180" s="59">
        <v>46174</v>
      </c>
      <c r="E180" s="6">
        <v>50949</v>
      </c>
      <c r="F180" s="54">
        <v>179</v>
      </c>
    </row>
    <row r="181" spans="1:6" x14ac:dyDescent="0.4">
      <c r="A181" s="13" t="s">
        <v>2324</v>
      </c>
      <c r="B181" s="13" t="s">
        <v>2345</v>
      </c>
      <c r="C181" s="13" t="s">
        <v>1944</v>
      </c>
      <c r="D181" s="59">
        <v>46204</v>
      </c>
      <c r="E181" s="6">
        <v>59440</v>
      </c>
      <c r="F181" s="13">
        <v>180</v>
      </c>
    </row>
    <row r="182" spans="1:6" x14ac:dyDescent="0.4">
      <c r="A182" s="13" t="s">
        <v>2324</v>
      </c>
      <c r="B182" s="13" t="s">
        <v>2345</v>
      </c>
      <c r="C182" s="13" t="s">
        <v>1944</v>
      </c>
      <c r="D182" s="59">
        <v>46235</v>
      </c>
      <c r="E182" s="6">
        <v>63686</v>
      </c>
      <c r="F182" s="54">
        <v>181</v>
      </c>
    </row>
    <row r="183" spans="1:6" x14ac:dyDescent="0.4">
      <c r="A183" s="13" t="s">
        <v>2324</v>
      </c>
      <c r="B183" s="13" t="s">
        <v>2345</v>
      </c>
      <c r="C183" s="13" t="s">
        <v>1944</v>
      </c>
      <c r="D183" s="59">
        <v>46266</v>
      </c>
      <c r="E183" s="6">
        <v>131618</v>
      </c>
      <c r="F183" s="13">
        <v>182</v>
      </c>
    </row>
    <row r="184" spans="1:6" x14ac:dyDescent="0.4">
      <c r="A184" s="13" t="s">
        <v>2324</v>
      </c>
      <c r="B184" s="13" t="s">
        <v>2345</v>
      </c>
      <c r="C184" s="13" t="s">
        <v>1944</v>
      </c>
      <c r="D184" s="59">
        <v>46296</v>
      </c>
      <c r="E184" s="6">
        <v>216533</v>
      </c>
      <c r="F184" s="54">
        <v>183</v>
      </c>
    </row>
    <row r="185" spans="1:6" x14ac:dyDescent="0.4">
      <c r="A185" s="13" t="s">
        <v>2324</v>
      </c>
      <c r="B185" s="13" t="s">
        <v>2345</v>
      </c>
      <c r="C185" s="13" t="s">
        <v>1944</v>
      </c>
      <c r="D185" s="59">
        <v>46327</v>
      </c>
      <c r="E185" s="6">
        <v>216533</v>
      </c>
      <c r="F185" s="13">
        <v>184</v>
      </c>
    </row>
    <row r="186" spans="1:6" x14ac:dyDescent="0.4">
      <c r="A186" s="13" t="s">
        <v>2324</v>
      </c>
      <c r="B186" s="13" t="s">
        <v>2345</v>
      </c>
      <c r="C186" s="13" t="s">
        <v>1944</v>
      </c>
      <c r="D186" s="59">
        <v>46357</v>
      </c>
      <c r="E186" s="6">
        <v>216533</v>
      </c>
      <c r="F186" s="54">
        <v>185</v>
      </c>
    </row>
    <row r="187" spans="1:6" x14ac:dyDescent="0.4">
      <c r="A187" s="13" t="s">
        <v>2324</v>
      </c>
      <c r="B187" s="13" t="s">
        <v>2345</v>
      </c>
      <c r="C187" s="13" t="s">
        <v>1944</v>
      </c>
      <c r="D187" s="59">
        <v>46388</v>
      </c>
      <c r="E187" s="6">
        <v>220779</v>
      </c>
      <c r="F187" s="13">
        <v>186</v>
      </c>
    </row>
    <row r="188" spans="1:6" x14ac:dyDescent="0.4">
      <c r="A188" s="13" t="s">
        <v>2324</v>
      </c>
      <c r="B188" s="13" t="s">
        <v>2345</v>
      </c>
      <c r="C188" s="13" t="s">
        <v>1944</v>
      </c>
      <c r="D188" s="59">
        <v>46419</v>
      </c>
      <c r="E188" s="6">
        <v>220779</v>
      </c>
      <c r="F188" s="54">
        <v>187</v>
      </c>
    </row>
    <row r="189" spans="1:6" x14ac:dyDescent="0.4">
      <c r="A189" s="13" t="s">
        <v>2324</v>
      </c>
      <c r="B189" s="13" t="s">
        <v>2345</v>
      </c>
      <c r="C189" s="13" t="s">
        <v>1944</v>
      </c>
      <c r="D189" s="59">
        <v>46447</v>
      </c>
      <c r="E189" s="6">
        <v>254745</v>
      </c>
      <c r="F189" s="13">
        <v>188</v>
      </c>
    </row>
    <row r="190" spans="1:6" x14ac:dyDescent="0.4">
      <c r="A190" s="13" t="s">
        <v>2324</v>
      </c>
      <c r="B190" s="13" t="s">
        <v>2345</v>
      </c>
      <c r="C190" s="13" t="s">
        <v>1944</v>
      </c>
      <c r="D190" s="59">
        <v>46478</v>
      </c>
      <c r="E190" s="6">
        <v>254745</v>
      </c>
      <c r="F190" s="54">
        <v>189</v>
      </c>
    </row>
    <row r="191" spans="1:6" x14ac:dyDescent="0.4">
      <c r="A191" s="13" t="s">
        <v>2324</v>
      </c>
      <c r="B191" s="13" t="s">
        <v>2345</v>
      </c>
      <c r="C191" s="13" t="s">
        <v>1944</v>
      </c>
      <c r="D191" s="59">
        <v>46508</v>
      </c>
      <c r="E191" s="6">
        <v>229270</v>
      </c>
      <c r="F191" s="13">
        <v>190</v>
      </c>
    </row>
    <row r="192" spans="1:6" x14ac:dyDescent="0.4">
      <c r="A192" s="13" t="s">
        <v>2324</v>
      </c>
      <c r="B192" s="13" t="s">
        <v>2345</v>
      </c>
      <c r="C192" s="13" t="s">
        <v>1944</v>
      </c>
      <c r="D192" s="59">
        <v>46539</v>
      </c>
      <c r="E192" s="6">
        <v>203796</v>
      </c>
      <c r="F192" s="54">
        <v>191</v>
      </c>
    </row>
    <row r="193" spans="1:6" x14ac:dyDescent="0.4">
      <c r="A193" s="13" t="s">
        <v>2324</v>
      </c>
      <c r="B193" s="13" t="s">
        <v>2345</v>
      </c>
      <c r="C193" s="13" t="s">
        <v>1944</v>
      </c>
      <c r="D193" s="59">
        <v>46569</v>
      </c>
      <c r="E193" s="6">
        <v>195304</v>
      </c>
      <c r="F193" s="13">
        <v>192</v>
      </c>
    </row>
    <row r="194" spans="1:6" x14ac:dyDescent="0.4">
      <c r="A194" s="13" t="s">
        <v>2324</v>
      </c>
      <c r="B194" s="13" t="s">
        <v>2345</v>
      </c>
      <c r="C194" s="13" t="s">
        <v>1944</v>
      </c>
      <c r="D194" s="59">
        <v>46600</v>
      </c>
      <c r="E194" s="6">
        <v>191058</v>
      </c>
      <c r="F194" s="54">
        <v>193</v>
      </c>
    </row>
    <row r="195" spans="1:6" x14ac:dyDescent="0.4">
      <c r="A195" s="13" t="s">
        <v>2324</v>
      </c>
      <c r="B195" s="13" t="s">
        <v>2345</v>
      </c>
      <c r="C195" s="13" t="s">
        <v>1944</v>
      </c>
      <c r="D195" s="59">
        <v>46631</v>
      </c>
      <c r="E195" s="6">
        <v>123126</v>
      </c>
      <c r="F195" s="13">
        <v>194</v>
      </c>
    </row>
    <row r="196" spans="1:6" x14ac:dyDescent="0.4">
      <c r="A196" s="13" t="s">
        <v>2324</v>
      </c>
      <c r="B196" s="13" t="s">
        <v>2345</v>
      </c>
      <c r="C196" s="13" t="s">
        <v>1944</v>
      </c>
      <c r="D196" s="59">
        <v>46661</v>
      </c>
      <c r="E196" s="6">
        <v>38211</v>
      </c>
      <c r="F196" s="54">
        <v>195</v>
      </c>
    </row>
    <row r="197" spans="1:6" x14ac:dyDescent="0.4">
      <c r="A197" s="13" t="s">
        <v>2324</v>
      </c>
      <c r="B197" s="13" t="s">
        <v>2345</v>
      </c>
      <c r="C197" s="13" t="s">
        <v>1944</v>
      </c>
      <c r="D197" s="59">
        <v>46692</v>
      </c>
      <c r="E197" s="6">
        <v>38211</v>
      </c>
      <c r="F197" s="13">
        <v>196</v>
      </c>
    </row>
    <row r="198" spans="1:6" x14ac:dyDescent="0.4">
      <c r="A198" s="13" t="s">
        <v>2324</v>
      </c>
      <c r="B198" s="13" t="s">
        <v>2345</v>
      </c>
      <c r="C198" s="13" t="s">
        <v>1944</v>
      </c>
      <c r="D198" s="59">
        <v>46722</v>
      </c>
      <c r="E198" s="6">
        <v>38211</v>
      </c>
      <c r="F198" s="54">
        <v>197</v>
      </c>
    </row>
    <row r="199" spans="1:6" x14ac:dyDescent="0.4">
      <c r="A199" s="13" t="s">
        <v>2324</v>
      </c>
      <c r="B199" s="13" t="s">
        <v>2345</v>
      </c>
      <c r="C199" s="13" t="s">
        <v>1944</v>
      </c>
      <c r="D199" s="59">
        <v>46753</v>
      </c>
      <c r="E199" s="6">
        <v>33966</v>
      </c>
      <c r="F199" s="13">
        <v>198</v>
      </c>
    </row>
    <row r="200" spans="1:6" x14ac:dyDescent="0.4">
      <c r="A200" s="13" t="s">
        <v>2324</v>
      </c>
      <c r="B200" s="13" t="s">
        <v>2345</v>
      </c>
      <c r="C200" s="13" t="s">
        <v>70</v>
      </c>
      <c r="D200" s="59">
        <v>46113</v>
      </c>
      <c r="E200" s="6">
        <v>0</v>
      </c>
      <c r="F200" s="54">
        <v>199</v>
      </c>
    </row>
    <row r="201" spans="1:6" x14ac:dyDescent="0.4">
      <c r="A201" s="13" t="s">
        <v>2324</v>
      </c>
      <c r="B201" s="13" t="s">
        <v>2345</v>
      </c>
      <c r="C201" s="13" t="s">
        <v>70</v>
      </c>
      <c r="D201" s="59">
        <v>46143</v>
      </c>
      <c r="E201" s="6">
        <v>0</v>
      </c>
      <c r="F201" s="13">
        <v>200</v>
      </c>
    </row>
    <row r="202" spans="1:6" x14ac:dyDescent="0.4">
      <c r="A202" s="13" t="s">
        <v>2324</v>
      </c>
      <c r="B202" s="13" t="s">
        <v>2345</v>
      </c>
      <c r="C202" s="13" t="s">
        <v>70</v>
      </c>
      <c r="D202" s="59">
        <v>46174</v>
      </c>
      <c r="E202" s="6">
        <v>0</v>
      </c>
      <c r="F202" s="54">
        <v>201</v>
      </c>
    </row>
    <row r="203" spans="1:6" x14ac:dyDescent="0.4">
      <c r="A203" s="13" t="s">
        <v>2324</v>
      </c>
      <c r="B203" s="13" t="s">
        <v>2345</v>
      </c>
      <c r="C203" s="13" t="s">
        <v>70</v>
      </c>
      <c r="D203" s="59">
        <v>46204</v>
      </c>
      <c r="E203" s="6">
        <v>17820</v>
      </c>
      <c r="F203" s="13">
        <v>202</v>
      </c>
    </row>
    <row r="204" spans="1:6" x14ac:dyDescent="0.4">
      <c r="A204" s="13" t="s">
        <v>2324</v>
      </c>
      <c r="B204" s="13" t="s">
        <v>2345</v>
      </c>
      <c r="C204" s="13" t="s">
        <v>70</v>
      </c>
      <c r="D204" s="59">
        <v>46235</v>
      </c>
      <c r="E204" s="6">
        <v>17820</v>
      </c>
      <c r="F204" s="54">
        <v>203</v>
      </c>
    </row>
    <row r="205" spans="1:6" x14ac:dyDescent="0.4">
      <c r="A205" s="13" t="s">
        <v>2324</v>
      </c>
      <c r="B205" s="13" t="s">
        <v>2345</v>
      </c>
      <c r="C205" s="13" t="s">
        <v>70</v>
      </c>
      <c r="D205" s="59">
        <v>46266</v>
      </c>
      <c r="E205" s="6">
        <v>17820</v>
      </c>
      <c r="F205" s="13">
        <v>204</v>
      </c>
    </row>
    <row r="206" spans="1:6" x14ac:dyDescent="0.4">
      <c r="A206" s="13" t="s">
        <v>2324</v>
      </c>
      <c r="B206" s="13" t="s">
        <v>2345</v>
      </c>
      <c r="C206" s="13" t="s">
        <v>70</v>
      </c>
      <c r="D206" s="59">
        <v>46296</v>
      </c>
      <c r="E206" s="6">
        <v>0</v>
      </c>
      <c r="F206" s="54">
        <v>205</v>
      </c>
    </row>
    <row r="207" spans="1:6" x14ac:dyDescent="0.4">
      <c r="A207" s="13" t="s">
        <v>2324</v>
      </c>
      <c r="B207" s="13" t="s">
        <v>2345</v>
      </c>
      <c r="C207" s="13" t="s">
        <v>70</v>
      </c>
      <c r="D207" s="59">
        <v>46327</v>
      </c>
      <c r="E207" s="6">
        <v>0</v>
      </c>
      <c r="F207" s="13">
        <v>206</v>
      </c>
    </row>
    <row r="208" spans="1:6" x14ac:dyDescent="0.4">
      <c r="A208" s="13" t="s">
        <v>2324</v>
      </c>
      <c r="B208" s="13" t="s">
        <v>2345</v>
      </c>
      <c r="C208" s="13" t="s">
        <v>70</v>
      </c>
      <c r="D208" s="59">
        <v>46357</v>
      </c>
      <c r="E208" s="6">
        <v>0</v>
      </c>
      <c r="F208" s="54">
        <v>207</v>
      </c>
    </row>
    <row r="209" spans="1:6" x14ac:dyDescent="0.4">
      <c r="A209" s="13" t="s">
        <v>2324</v>
      </c>
      <c r="B209" s="13" t="s">
        <v>2345</v>
      </c>
      <c r="C209" s="13" t="s">
        <v>70</v>
      </c>
      <c r="D209" s="59">
        <v>46388</v>
      </c>
      <c r="E209" s="6">
        <v>0</v>
      </c>
      <c r="F209" s="13">
        <v>208</v>
      </c>
    </row>
    <row r="210" spans="1:6" x14ac:dyDescent="0.4">
      <c r="A210" s="13" t="s">
        <v>2324</v>
      </c>
      <c r="B210" s="13" t="s">
        <v>2345</v>
      </c>
      <c r="C210" s="13" t="s">
        <v>70</v>
      </c>
      <c r="D210" s="59">
        <v>46419</v>
      </c>
      <c r="E210" s="6">
        <v>0</v>
      </c>
      <c r="F210" s="54">
        <v>209</v>
      </c>
    </row>
    <row r="211" spans="1:6" x14ac:dyDescent="0.4">
      <c r="A211" s="13" t="s">
        <v>2324</v>
      </c>
      <c r="B211" s="13" t="s">
        <v>2345</v>
      </c>
      <c r="C211" s="13" t="s">
        <v>70</v>
      </c>
      <c r="D211" s="59">
        <v>46447</v>
      </c>
      <c r="E211" s="6">
        <v>0</v>
      </c>
      <c r="F211" s="13">
        <v>210</v>
      </c>
    </row>
    <row r="212" spans="1:6" x14ac:dyDescent="0.4">
      <c r="A212" s="13" t="s">
        <v>2324</v>
      </c>
      <c r="B212" s="13" t="s">
        <v>2345</v>
      </c>
      <c r="C212" s="13" t="s">
        <v>70</v>
      </c>
      <c r="D212" s="59">
        <v>46478</v>
      </c>
      <c r="E212" s="6">
        <v>0</v>
      </c>
      <c r="F212" s="54">
        <v>211</v>
      </c>
    </row>
    <row r="213" spans="1:6" x14ac:dyDescent="0.4">
      <c r="A213" s="13" t="s">
        <v>2324</v>
      </c>
      <c r="B213" s="13" t="s">
        <v>2345</v>
      </c>
      <c r="C213" s="13" t="s">
        <v>70</v>
      </c>
      <c r="D213" s="59">
        <v>46508</v>
      </c>
      <c r="E213" s="6">
        <v>0</v>
      </c>
      <c r="F213" s="13">
        <v>212</v>
      </c>
    </row>
    <row r="214" spans="1:6" x14ac:dyDescent="0.4">
      <c r="A214" s="13" t="s">
        <v>2324</v>
      </c>
      <c r="B214" s="13" t="s">
        <v>2345</v>
      </c>
      <c r="C214" s="13" t="s">
        <v>70</v>
      </c>
      <c r="D214" s="59">
        <v>46539</v>
      </c>
      <c r="E214" s="6">
        <v>0</v>
      </c>
      <c r="F214" s="54">
        <v>213</v>
      </c>
    </row>
    <row r="215" spans="1:6" x14ac:dyDescent="0.4">
      <c r="A215" s="13" t="s">
        <v>2324</v>
      </c>
      <c r="B215" s="13" t="s">
        <v>2345</v>
      </c>
      <c r="C215" s="13" t="s">
        <v>70</v>
      </c>
      <c r="D215" s="59">
        <v>46569</v>
      </c>
      <c r="E215" s="6">
        <v>0</v>
      </c>
      <c r="F215" s="13">
        <v>214</v>
      </c>
    </row>
    <row r="216" spans="1:6" x14ac:dyDescent="0.4">
      <c r="A216" s="13" t="s">
        <v>2324</v>
      </c>
      <c r="B216" s="13" t="s">
        <v>2345</v>
      </c>
      <c r="C216" s="13" t="s">
        <v>70</v>
      </c>
      <c r="D216" s="59">
        <v>46600</v>
      </c>
      <c r="E216" s="6">
        <v>0</v>
      </c>
      <c r="F216" s="54">
        <v>215</v>
      </c>
    </row>
    <row r="217" spans="1:6" x14ac:dyDescent="0.4">
      <c r="A217" s="13" t="s">
        <v>2324</v>
      </c>
      <c r="B217" s="13" t="s">
        <v>2345</v>
      </c>
      <c r="C217" s="13" t="s">
        <v>70</v>
      </c>
      <c r="D217" s="59">
        <v>46631</v>
      </c>
      <c r="E217" s="6">
        <v>0</v>
      </c>
      <c r="F217" s="13">
        <v>216</v>
      </c>
    </row>
    <row r="218" spans="1:6" x14ac:dyDescent="0.4">
      <c r="A218" s="13" t="s">
        <v>2324</v>
      </c>
      <c r="B218" s="13" t="s">
        <v>2345</v>
      </c>
      <c r="C218" s="13" t="s">
        <v>70</v>
      </c>
      <c r="D218" s="59">
        <v>46661</v>
      </c>
      <c r="E218" s="6">
        <v>0</v>
      </c>
      <c r="F218" s="54">
        <v>217</v>
      </c>
    </row>
    <row r="219" spans="1:6" x14ac:dyDescent="0.4">
      <c r="A219" s="13" t="s">
        <v>2324</v>
      </c>
      <c r="B219" s="13" t="s">
        <v>2345</v>
      </c>
      <c r="C219" s="13" t="s">
        <v>70</v>
      </c>
      <c r="D219" s="59">
        <v>46692</v>
      </c>
      <c r="E219" s="6">
        <v>0</v>
      </c>
      <c r="F219" s="13">
        <v>218</v>
      </c>
    </row>
    <row r="220" spans="1:6" x14ac:dyDescent="0.4">
      <c r="A220" s="13" t="s">
        <v>2324</v>
      </c>
      <c r="B220" s="13" t="s">
        <v>2345</v>
      </c>
      <c r="C220" s="13" t="s">
        <v>70</v>
      </c>
      <c r="D220" s="59">
        <v>46722</v>
      </c>
      <c r="E220" s="6">
        <v>0</v>
      </c>
      <c r="F220" s="54">
        <v>219</v>
      </c>
    </row>
    <row r="221" spans="1:6" x14ac:dyDescent="0.4">
      <c r="A221" s="13" t="s">
        <v>2324</v>
      </c>
      <c r="B221" s="13" t="s">
        <v>2345</v>
      </c>
      <c r="C221" s="13" t="s">
        <v>70</v>
      </c>
      <c r="D221" s="59">
        <v>46753</v>
      </c>
      <c r="E221" s="6">
        <v>0</v>
      </c>
      <c r="F221" s="13">
        <v>220</v>
      </c>
    </row>
    <row r="222" spans="1:6" x14ac:dyDescent="0.4">
      <c r="A222" s="13" t="s">
        <v>2324</v>
      </c>
      <c r="B222" s="13" t="s">
        <v>2345</v>
      </c>
      <c r="C222" s="13" t="s">
        <v>50</v>
      </c>
      <c r="D222" s="59">
        <v>46113</v>
      </c>
      <c r="E222" s="6">
        <v>0</v>
      </c>
      <c r="F222" s="54">
        <v>221</v>
      </c>
    </row>
    <row r="223" spans="1:6" x14ac:dyDescent="0.4">
      <c r="A223" s="13" t="s">
        <v>2324</v>
      </c>
      <c r="B223" s="13" t="s">
        <v>2345</v>
      </c>
      <c r="C223" s="13" t="s">
        <v>50</v>
      </c>
      <c r="D223" s="59">
        <v>46143</v>
      </c>
      <c r="E223" s="6">
        <v>17145</v>
      </c>
      <c r="F223" s="13">
        <v>222</v>
      </c>
    </row>
    <row r="224" spans="1:6" x14ac:dyDescent="0.4">
      <c r="A224" s="13" t="s">
        <v>2324</v>
      </c>
      <c r="B224" s="13" t="s">
        <v>2345</v>
      </c>
      <c r="C224" s="13" t="s">
        <v>50</v>
      </c>
      <c r="D224" s="59">
        <v>46174</v>
      </c>
      <c r="E224" s="6">
        <v>17145</v>
      </c>
      <c r="F224" s="54">
        <v>223</v>
      </c>
    </row>
    <row r="225" spans="1:6" x14ac:dyDescent="0.4">
      <c r="A225" s="13" t="s">
        <v>2324</v>
      </c>
      <c r="B225" s="13" t="s">
        <v>2345</v>
      </c>
      <c r="C225" s="13" t="s">
        <v>50</v>
      </c>
      <c r="D225" s="59">
        <v>46204</v>
      </c>
      <c r="E225" s="6">
        <v>188595</v>
      </c>
      <c r="F225" s="13">
        <v>224</v>
      </c>
    </row>
    <row r="226" spans="1:6" x14ac:dyDescent="0.4">
      <c r="A226" s="13" t="s">
        <v>2324</v>
      </c>
      <c r="B226" s="13" t="s">
        <v>2345</v>
      </c>
      <c r="C226" s="13" t="s">
        <v>50</v>
      </c>
      <c r="D226" s="59">
        <v>46235</v>
      </c>
      <c r="E226" s="6">
        <v>205740</v>
      </c>
      <c r="F226" s="54">
        <v>225</v>
      </c>
    </row>
    <row r="227" spans="1:6" x14ac:dyDescent="0.4">
      <c r="A227" s="13" t="s">
        <v>2324</v>
      </c>
      <c r="B227" s="13" t="s">
        <v>2345</v>
      </c>
      <c r="C227" s="13" t="s">
        <v>50</v>
      </c>
      <c r="D227" s="59">
        <v>46266</v>
      </c>
      <c r="E227" s="6">
        <v>240030</v>
      </c>
      <c r="F227" s="13">
        <v>226</v>
      </c>
    </row>
    <row r="228" spans="1:6" x14ac:dyDescent="0.4">
      <c r="A228" s="13" t="s">
        <v>2324</v>
      </c>
      <c r="B228" s="13" t="s">
        <v>2345</v>
      </c>
      <c r="C228" s="13" t="s">
        <v>50</v>
      </c>
      <c r="D228" s="59">
        <v>46296</v>
      </c>
      <c r="E228" s="6">
        <v>240030</v>
      </c>
      <c r="F228" s="54">
        <v>227</v>
      </c>
    </row>
    <row r="229" spans="1:6" x14ac:dyDescent="0.4">
      <c r="A229" s="13" t="s">
        <v>2324</v>
      </c>
      <c r="B229" s="13" t="s">
        <v>2345</v>
      </c>
      <c r="C229" s="13" t="s">
        <v>50</v>
      </c>
      <c r="D229" s="59">
        <v>46327</v>
      </c>
      <c r="E229" s="6">
        <v>231457</v>
      </c>
      <c r="F229" s="13">
        <v>228</v>
      </c>
    </row>
    <row r="230" spans="1:6" x14ac:dyDescent="0.4">
      <c r="A230" s="13" t="s">
        <v>2324</v>
      </c>
      <c r="B230" s="13" t="s">
        <v>2345</v>
      </c>
      <c r="C230" s="13" t="s">
        <v>50</v>
      </c>
      <c r="D230" s="59">
        <v>46357</v>
      </c>
      <c r="E230" s="6">
        <v>231457</v>
      </c>
      <c r="F230" s="54">
        <v>229</v>
      </c>
    </row>
    <row r="231" spans="1:6" x14ac:dyDescent="0.4">
      <c r="A231" s="13" t="s">
        <v>2324</v>
      </c>
      <c r="B231" s="13" t="s">
        <v>2345</v>
      </c>
      <c r="C231" s="13" t="s">
        <v>50</v>
      </c>
      <c r="D231" s="59">
        <v>46388</v>
      </c>
      <c r="E231" s="6">
        <v>60007</v>
      </c>
      <c r="F231" s="13">
        <v>230</v>
      </c>
    </row>
    <row r="232" spans="1:6" x14ac:dyDescent="0.4">
      <c r="A232" s="13" t="s">
        <v>2324</v>
      </c>
      <c r="B232" s="13" t="s">
        <v>2345</v>
      </c>
      <c r="C232" s="13" t="s">
        <v>50</v>
      </c>
      <c r="D232" s="59">
        <v>46419</v>
      </c>
      <c r="E232" s="6">
        <v>42862</v>
      </c>
      <c r="F232" s="54">
        <v>231</v>
      </c>
    </row>
    <row r="233" spans="1:6" x14ac:dyDescent="0.4">
      <c r="A233" s="13" t="s">
        <v>2324</v>
      </c>
      <c r="B233" s="13" t="s">
        <v>2345</v>
      </c>
      <c r="C233" s="13" t="s">
        <v>50</v>
      </c>
      <c r="D233" s="59">
        <v>46447</v>
      </c>
      <c r="E233" s="6">
        <v>8572</v>
      </c>
      <c r="F233" s="13">
        <v>232</v>
      </c>
    </row>
    <row r="234" spans="1:6" x14ac:dyDescent="0.4">
      <c r="A234" s="13" t="s">
        <v>2324</v>
      </c>
      <c r="B234" s="13" t="s">
        <v>2345</v>
      </c>
      <c r="C234" s="13" t="s">
        <v>50</v>
      </c>
      <c r="D234" s="59">
        <v>46478</v>
      </c>
      <c r="E234" s="6">
        <v>8572</v>
      </c>
      <c r="F234" s="54">
        <v>233</v>
      </c>
    </row>
    <row r="235" spans="1:6" x14ac:dyDescent="0.4">
      <c r="A235" s="13" t="s">
        <v>2324</v>
      </c>
      <c r="B235" s="13" t="s">
        <v>2345</v>
      </c>
      <c r="C235" s="13" t="s">
        <v>50</v>
      </c>
      <c r="D235" s="59">
        <v>46508</v>
      </c>
      <c r="E235" s="6">
        <v>0</v>
      </c>
      <c r="F235" s="13">
        <v>234</v>
      </c>
    </row>
    <row r="236" spans="1:6" x14ac:dyDescent="0.4">
      <c r="A236" s="13" t="s">
        <v>2324</v>
      </c>
      <c r="B236" s="13" t="s">
        <v>2345</v>
      </c>
      <c r="C236" s="13" t="s">
        <v>50</v>
      </c>
      <c r="D236" s="59">
        <v>46539</v>
      </c>
      <c r="E236" s="6">
        <v>0</v>
      </c>
      <c r="F236" s="54">
        <v>235</v>
      </c>
    </row>
    <row r="237" spans="1:6" x14ac:dyDescent="0.4">
      <c r="A237" s="13" t="s">
        <v>2324</v>
      </c>
      <c r="B237" s="13" t="s">
        <v>2345</v>
      </c>
      <c r="C237" s="13" t="s">
        <v>50</v>
      </c>
      <c r="D237" s="59">
        <v>46569</v>
      </c>
      <c r="E237" s="6">
        <v>0</v>
      </c>
      <c r="F237" s="13">
        <v>236</v>
      </c>
    </row>
    <row r="238" spans="1:6" x14ac:dyDescent="0.4">
      <c r="A238" s="13" t="s">
        <v>2324</v>
      </c>
      <c r="B238" s="13" t="s">
        <v>2345</v>
      </c>
      <c r="C238" s="13" t="s">
        <v>50</v>
      </c>
      <c r="D238" s="59">
        <v>46600</v>
      </c>
      <c r="E238" s="6">
        <v>0</v>
      </c>
      <c r="F238" s="54">
        <v>237</v>
      </c>
    </row>
    <row r="239" spans="1:6" x14ac:dyDescent="0.4">
      <c r="A239" s="13" t="s">
        <v>2324</v>
      </c>
      <c r="B239" s="13" t="s">
        <v>2345</v>
      </c>
      <c r="C239" s="13" t="s">
        <v>50</v>
      </c>
      <c r="D239" s="59">
        <v>46631</v>
      </c>
      <c r="E239" s="6">
        <v>0</v>
      </c>
      <c r="F239" s="13">
        <v>238</v>
      </c>
    </row>
    <row r="240" spans="1:6" x14ac:dyDescent="0.4">
      <c r="A240" s="13" t="s">
        <v>2324</v>
      </c>
      <c r="B240" s="13" t="s">
        <v>2345</v>
      </c>
      <c r="C240" s="13" t="s">
        <v>50</v>
      </c>
      <c r="D240" s="59">
        <v>46661</v>
      </c>
      <c r="E240" s="6">
        <v>0</v>
      </c>
      <c r="F240" s="54">
        <v>239</v>
      </c>
    </row>
    <row r="241" spans="1:6" x14ac:dyDescent="0.4">
      <c r="A241" s="13" t="s">
        <v>2324</v>
      </c>
      <c r="B241" s="13" t="s">
        <v>2345</v>
      </c>
      <c r="C241" s="13" t="s">
        <v>50</v>
      </c>
      <c r="D241" s="59">
        <v>46692</v>
      </c>
      <c r="E241" s="6">
        <v>0</v>
      </c>
      <c r="F241" s="13">
        <v>240</v>
      </c>
    </row>
    <row r="242" spans="1:6" x14ac:dyDescent="0.4">
      <c r="A242" s="13" t="s">
        <v>2324</v>
      </c>
      <c r="B242" s="13" t="s">
        <v>2345</v>
      </c>
      <c r="C242" s="13" t="s">
        <v>50</v>
      </c>
      <c r="D242" s="59">
        <v>46722</v>
      </c>
      <c r="E242" s="6">
        <v>0</v>
      </c>
      <c r="F242" s="54">
        <v>241</v>
      </c>
    </row>
    <row r="243" spans="1:6" x14ac:dyDescent="0.4">
      <c r="A243" s="13" t="s">
        <v>2324</v>
      </c>
      <c r="B243" s="13" t="s">
        <v>2345</v>
      </c>
      <c r="C243" s="13" t="s">
        <v>50</v>
      </c>
      <c r="D243" s="59">
        <v>46753</v>
      </c>
      <c r="E243" s="6">
        <v>0</v>
      </c>
      <c r="F243" s="13">
        <v>242</v>
      </c>
    </row>
    <row r="244" spans="1:6" x14ac:dyDescent="0.4">
      <c r="A244" s="13" t="s">
        <v>2324</v>
      </c>
      <c r="B244" s="13" t="s">
        <v>2345</v>
      </c>
      <c r="C244" s="13" t="s">
        <v>5133</v>
      </c>
      <c r="D244" s="59">
        <v>46113</v>
      </c>
      <c r="E244" s="6">
        <v>0</v>
      </c>
      <c r="F244" s="54">
        <v>243</v>
      </c>
    </row>
    <row r="245" spans="1:6" x14ac:dyDescent="0.4">
      <c r="A245" s="13" t="s">
        <v>2324</v>
      </c>
      <c r="B245" s="13" t="s">
        <v>2345</v>
      </c>
      <c r="C245" s="13" t="s">
        <v>5133</v>
      </c>
      <c r="D245" s="59">
        <v>46143</v>
      </c>
      <c r="E245" s="6">
        <v>0</v>
      </c>
      <c r="F245" s="13">
        <v>244</v>
      </c>
    </row>
    <row r="246" spans="1:6" x14ac:dyDescent="0.4">
      <c r="A246" s="13" t="s">
        <v>2324</v>
      </c>
      <c r="B246" s="13" t="s">
        <v>2345</v>
      </c>
      <c r="C246" s="13" t="s">
        <v>5133</v>
      </c>
      <c r="D246" s="59">
        <v>46174</v>
      </c>
      <c r="E246" s="6">
        <v>0</v>
      </c>
      <c r="F246" s="54">
        <v>245</v>
      </c>
    </row>
    <row r="247" spans="1:6" x14ac:dyDescent="0.4">
      <c r="A247" s="13" t="s">
        <v>2324</v>
      </c>
      <c r="B247" s="13" t="s">
        <v>2345</v>
      </c>
      <c r="C247" s="13" t="s">
        <v>5133</v>
      </c>
      <c r="D247" s="59">
        <v>46204</v>
      </c>
      <c r="E247" s="6">
        <v>0</v>
      </c>
      <c r="F247" s="13">
        <v>246</v>
      </c>
    </row>
    <row r="248" spans="1:6" x14ac:dyDescent="0.4">
      <c r="A248" s="13" t="s">
        <v>2324</v>
      </c>
      <c r="B248" s="13" t="s">
        <v>2345</v>
      </c>
      <c r="C248" s="13" t="s">
        <v>5133</v>
      </c>
      <c r="D248" s="59">
        <v>46235</v>
      </c>
      <c r="E248" s="6">
        <v>0</v>
      </c>
      <c r="F248" s="54">
        <v>247</v>
      </c>
    </row>
    <row r="249" spans="1:6" x14ac:dyDescent="0.4">
      <c r="A249" s="13" t="s">
        <v>2324</v>
      </c>
      <c r="B249" s="13" t="s">
        <v>2345</v>
      </c>
      <c r="C249" s="13" t="s">
        <v>5133</v>
      </c>
      <c r="D249" s="59">
        <v>46266</v>
      </c>
      <c r="E249" s="6">
        <v>12737</v>
      </c>
      <c r="F249" s="13">
        <v>248</v>
      </c>
    </row>
    <row r="250" spans="1:6" x14ac:dyDescent="0.4">
      <c r="A250" s="13" t="s">
        <v>2324</v>
      </c>
      <c r="B250" s="13" t="s">
        <v>2345</v>
      </c>
      <c r="C250" s="13" t="s">
        <v>5133</v>
      </c>
      <c r="D250" s="59">
        <v>46296</v>
      </c>
      <c r="E250" s="6">
        <v>12737</v>
      </c>
      <c r="F250" s="54">
        <v>249</v>
      </c>
    </row>
    <row r="251" spans="1:6" x14ac:dyDescent="0.4">
      <c r="A251" s="13" t="s">
        <v>2324</v>
      </c>
      <c r="B251" s="13" t="s">
        <v>2345</v>
      </c>
      <c r="C251" s="13" t="s">
        <v>5133</v>
      </c>
      <c r="D251" s="59">
        <v>46327</v>
      </c>
      <c r="E251" s="6">
        <v>16983</v>
      </c>
      <c r="F251" s="13">
        <v>250</v>
      </c>
    </row>
    <row r="252" spans="1:6" x14ac:dyDescent="0.4">
      <c r="A252" s="13" t="s">
        <v>2324</v>
      </c>
      <c r="B252" s="13" t="s">
        <v>2345</v>
      </c>
      <c r="C252" s="13" t="s">
        <v>5133</v>
      </c>
      <c r="D252" s="59">
        <v>46357</v>
      </c>
      <c r="E252" s="6">
        <v>16983</v>
      </c>
      <c r="F252" s="54">
        <v>251</v>
      </c>
    </row>
    <row r="253" spans="1:6" x14ac:dyDescent="0.4">
      <c r="A253" s="13" t="s">
        <v>2324</v>
      </c>
      <c r="B253" s="13" t="s">
        <v>2345</v>
      </c>
      <c r="C253" s="13" t="s">
        <v>5133</v>
      </c>
      <c r="D253" s="59">
        <v>46388</v>
      </c>
      <c r="E253" s="6">
        <v>16983</v>
      </c>
      <c r="F253" s="13">
        <v>252</v>
      </c>
    </row>
    <row r="254" spans="1:6" x14ac:dyDescent="0.4">
      <c r="A254" s="13" t="s">
        <v>2324</v>
      </c>
      <c r="B254" s="13" t="s">
        <v>2345</v>
      </c>
      <c r="C254" s="13" t="s">
        <v>5133</v>
      </c>
      <c r="D254" s="59">
        <v>46419</v>
      </c>
      <c r="E254" s="6">
        <v>16983</v>
      </c>
      <c r="F254" s="54">
        <v>253</v>
      </c>
    </row>
    <row r="255" spans="1:6" x14ac:dyDescent="0.4">
      <c r="A255" s="13" t="s">
        <v>2324</v>
      </c>
      <c r="B255" s="13" t="s">
        <v>2345</v>
      </c>
      <c r="C255" s="13" t="s">
        <v>5133</v>
      </c>
      <c r="D255" s="59">
        <v>46447</v>
      </c>
      <c r="E255" s="6">
        <v>16983</v>
      </c>
      <c r="F255" s="13">
        <v>254</v>
      </c>
    </row>
    <row r="256" spans="1:6" x14ac:dyDescent="0.4">
      <c r="A256" s="13" t="s">
        <v>2324</v>
      </c>
      <c r="B256" s="13" t="s">
        <v>2345</v>
      </c>
      <c r="C256" s="13" t="s">
        <v>5133</v>
      </c>
      <c r="D256" s="59">
        <v>46478</v>
      </c>
      <c r="E256" s="6">
        <v>16983</v>
      </c>
      <c r="F256" s="54">
        <v>255</v>
      </c>
    </row>
    <row r="257" spans="1:6" x14ac:dyDescent="0.4">
      <c r="A257" s="13" t="s">
        <v>2324</v>
      </c>
      <c r="B257" s="13" t="s">
        <v>2345</v>
      </c>
      <c r="C257" s="13" t="s">
        <v>5133</v>
      </c>
      <c r="D257" s="59">
        <v>46508</v>
      </c>
      <c r="E257" s="6">
        <v>16983</v>
      </c>
      <c r="F257" s="13">
        <v>256</v>
      </c>
    </row>
    <row r="258" spans="1:6" x14ac:dyDescent="0.4">
      <c r="A258" s="13" t="s">
        <v>2324</v>
      </c>
      <c r="B258" s="13" t="s">
        <v>2345</v>
      </c>
      <c r="C258" s="13" t="s">
        <v>5133</v>
      </c>
      <c r="D258" s="59">
        <v>46539</v>
      </c>
      <c r="E258" s="6">
        <v>16983</v>
      </c>
      <c r="F258" s="54">
        <v>257</v>
      </c>
    </row>
    <row r="259" spans="1:6" x14ac:dyDescent="0.4">
      <c r="A259" s="13" t="s">
        <v>2324</v>
      </c>
      <c r="B259" s="13" t="s">
        <v>2345</v>
      </c>
      <c r="C259" s="13" t="s">
        <v>5133</v>
      </c>
      <c r="D259" s="59">
        <v>46569</v>
      </c>
      <c r="E259" s="6">
        <v>16983</v>
      </c>
      <c r="F259" s="13">
        <v>258</v>
      </c>
    </row>
    <row r="260" spans="1:6" x14ac:dyDescent="0.4">
      <c r="A260" s="13" t="s">
        <v>2324</v>
      </c>
      <c r="B260" s="13" t="s">
        <v>2345</v>
      </c>
      <c r="C260" s="13" t="s">
        <v>5133</v>
      </c>
      <c r="D260" s="59">
        <v>46600</v>
      </c>
      <c r="E260" s="6">
        <v>16983</v>
      </c>
      <c r="F260" s="54">
        <v>259</v>
      </c>
    </row>
    <row r="261" spans="1:6" x14ac:dyDescent="0.4">
      <c r="A261" s="13" t="s">
        <v>2324</v>
      </c>
      <c r="B261" s="13" t="s">
        <v>2345</v>
      </c>
      <c r="C261" s="13" t="s">
        <v>5133</v>
      </c>
      <c r="D261" s="59">
        <v>46631</v>
      </c>
      <c r="E261" s="6">
        <v>4245</v>
      </c>
      <c r="F261" s="13">
        <v>260</v>
      </c>
    </row>
    <row r="262" spans="1:6" x14ac:dyDescent="0.4">
      <c r="A262" s="13" t="s">
        <v>2324</v>
      </c>
      <c r="B262" s="13" t="s">
        <v>2345</v>
      </c>
      <c r="C262" s="13" t="s">
        <v>5133</v>
      </c>
      <c r="D262" s="59">
        <v>46661</v>
      </c>
      <c r="E262" s="6">
        <v>4245</v>
      </c>
      <c r="F262" s="54">
        <v>261</v>
      </c>
    </row>
    <row r="263" spans="1:6" x14ac:dyDescent="0.4">
      <c r="A263" s="13" t="s">
        <v>2324</v>
      </c>
      <c r="B263" s="13" t="s">
        <v>2345</v>
      </c>
      <c r="C263" s="13" t="s">
        <v>5133</v>
      </c>
      <c r="D263" s="59">
        <v>46692</v>
      </c>
      <c r="E263" s="6">
        <v>4245</v>
      </c>
      <c r="F263" s="13">
        <v>262</v>
      </c>
    </row>
    <row r="264" spans="1:6" x14ac:dyDescent="0.4">
      <c r="A264" s="13" t="s">
        <v>2324</v>
      </c>
      <c r="B264" s="13" t="s">
        <v>2345</v>
      </c>
      <c r="C264" s="13" t="s">
        <v>5133</v>
      </c>
      <c r="D264" s="59">
        <v>46722</v>
      </c>
      <c r="E264" s="6">
        <v>0</v>
      </c>
      <c r="F264" s="54">
        <v>263</v>
      </c>
    </row>
    <row r="265" spans="1:6" x14ac:dyDescent="0.4">
      <c r="A265" s="13" t="s">
        <v>2324</v>
      </c>
      <c r="B265" s="13" t="s">
        <v>2345</v>
      </c>
      <c r="C265" s="13" t="s">
        <v>5133</v>
      </c>
      <c r="D265" s="59">
        <v>46753</v>
      </c>
      <c r="E265" s="6">
        <v>0</v>
      </c>
      <c r="F265" s="13">
        <v>264</v>
      </c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64E2-09C9-4BF3-9B21-AB08A891FB50}">
  <sheetPr>
    <tabColor theme="7" tint="0.59999389629810485"/>
  </sheetPr>
  <dimension ref="A1:F265"/>
  <sheetViews>
    <sheetView zoomScale="70" zoomScaleNormal="70" workbookViewId="0">
      <selection activeCell="K31" sqref="J31:K31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</cols>
  <sheetData>
    <row r="1" spans="1:6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</row>
    <row r="2" spans="1:6" x14ac:dyDescent="0.4">
      <c r="A2" s="13" t="s">
        <v>2324</v>
      </c>
      <c r="B2" s="55" t="s">
        <v>2325</v>
      </c>
      <c r="C2" s="10" t="s">
        <v>25</v>
      </c>
      <c r="D2" s="59">
        <v>46082</v>
      </c>
      <c r="E2" s="63">
        <v>0</v>
      </c>
      <c r="F2" s="54">
        <v>1</v>
      </c>
    </row>
    <row r="3" spans="1:6" x14ac:dyDescent="0.4">
      <c r="A3" s="13" t="s">
        <v>2324</v>
      </c>
      <c r="B3" s="55" t="s">
        <v>2325</v>
      </c>
      <c r="C3" s="10" t="s">
        <v>25</v>
      </c>
      <c r="D3" s="59">
        <v>46113</v>
      </c>
      <c r="E3" s="63">
        <v>1663200</v>
      </c>
      <c r="F3" s="13">
        <v>2</v>
      </c>
    </row>
    <row r="4" spans="1:6" x14ac:dyDescent="0.4">
      <c r="A4" s="13" t="s">
        <v>2324</v>
      </c>
      <c r="B4" s="55" t="s">
        <v>2325</v>
      </c>
      <c r="C4" s="10" t="s">
        <v>25</v>
      </c>
      <c r="D4" s="59">
        <v>46143</v>
      </c>
      <c r="E4" s="63">
        <v>2118600</v>
      </c>
      <c r="F4" s="54">
        <v>3</v>
      </c>
    </row>
    <row r="5" spans="1:6" x14ac:dyDescent="0.4">
      <c r="A5" s="13" t="s">
        <v>2324</v>
      </c>
      <c r="B5" s="55" t="s">
        <v>2325</v>
      </c>
      <c r="C5" s="10" t="s">
        <v>25</v>
      </c>
      <c r="D5" s="59">
        <v>46174</v>
      </c>
      <c r="E5" s="63">
        <v>2197800</v>
      </c>
      <c r="F5" s="13">
        <v>4</v>
      </c>
    </row>
    <row r="6" spans="1:6" x14ac:dyDescent="0.4">
      <c r="A6" s="13" t="s">
        <v>2324</v>
      </c>
      <c r="B6" s="55" t="s">
        <v>2325</v>
      </c>
      <c r="C6" s="10" t="s">
        <v>25</v>
      </c>
      <c r="D6" s="59">
        <v>46204</v>
      </c>
      <c r="E6" s="63">
        <v>534600</v>
      </c>
      <c r="F6" s="54">
        <v>5</v>
      </c>
    </row>
    <row r="7" spans="1:6" x14ac:dyDescent="0.4">
      <c r="A7" s="13" t="s">
        <v>2324</v>
      </c>
      <c r="B7" s="55" t="s">
        <v>2325</v>
      </c>
      <c r="C7" s="10" t="s">
        <v>25</v>
      </c>
      <c r="D7" s="59">
        <v>46235</v>
      </c>
      <c r="E7" s="63">
        <v>79200</v>
      </c>
      <c r="F7" s="13">
        <v>6</v>
      </c>
    </row>
    <row r="8" spans="1:6" x14ac:dyDescent="0.4">
      <c r="A8" s="13" t="s">
        <v>2324</v>
      </c>
      <c r="B8" s="55" t="s">
        <v>2325</v>
      </c>
      <c r="C8" s="10" t="s">
        <v>25</v>
      </c>
      <c r="D8" s="59">
        <v>46266</v>
      </c>
      <c r="E8" s="63">
        <v>0</v>
      </c>
      <c r="F8" s="54">
        <v>7</v>
      </c>
    </row>
    <row r="9" spans="1:6" x14ac:dyDescent="0.4">
      <c r="A9" s="13" t="s">
        <v>2324</v>
      </c>
      <c r="B9" s="55" t="s">
        <v>2325</v>
      </c>
      <c r="C9" s="10" t="s">
        <v>25</v>
      </c>
      <c r="D9" s="59">
        <v>46296</v>
      </c>
      <c r="E9" s="63">
        <v>0</v>
      </c>
      <c r="F9" s="13">
        <v>8</v>
      </c>
    </row>
    <row r="10" spans="1:6" x14ac:dyDescent="0.4">
      <c r="A10" s="13" t="s">
        <v>2324</v>
      </c>
      <c r="B10" s="55" t="s">
        <v>2325</v>
      </c>
      <c r="C10" s="10" t="s">
        <v>25</v>
      </c>
      <c r="D10" s="59">
        <v>46327</v>
      </c>
      <c r="E10" s="63">
        <v>0</v>
      </c>
      <c r="F10" s="54">
        <v>9</v>
      </c>
    </row>
    <row r="11" spans="1:6" x14ac:dyDescent="0.4">
      <c r="A11" s="13" t="s">
        <v>2324</v>
      </c>
      <c r="B11" s="55" t="s">
        <v>2325</v>
      </c>
      <c r="C11" s="10" t="s">
        <v>25</v>
      </c>
      <c r="D11" s="59">
        <v>46357</v>
      </c>
      <c r="E11" s="63">
        <v>0</v>
      </c>
      <c r="F11" s="13">
        <v>10</v>
      </c>
    </row>
    <row r="12" spans="1:6" x14ac:dyDescent="0.4">
      <c r="A12" s="13" t="s">
        <v>2324</v>
      </c>
      <c r="B12" s="55" t="s">
        <v>2325</v>
      </c>
      <c r="C12" s="10" t="s">
        <v>25</v>
      </c>
      <c r="D12" s="59">
        <v>46388</v>
      </c>
      <c r="E12" s="63">
        <v>0</v>
      </c>
      <c r="F12" s="54">
        <v>11</v>
      </c>
    </row>
    <row r="13" spans="1:6" x14ac:dyDescent="0.4">
      <c r="A13" s="13" t="s">
        <v>2324</v>
      </c>
      <c r="B13" s="55" t="s">
        <v>2325</v>
      </c>
      <c r="C13" s="10" t="s">
        <v>25</v>
      </c>
      <c r="D13" s="59">
        <v>46419</v>
      </c>
      <c r="E13" s="63">
        <v>0</v>
      </c>
      <c r="F13" s="13">
        <v>12</v>
      </c>
    </row>
    <row r="14" spans="1:6" x14ac:dyDescent="0.4">
      <c r="A14" s="13" t="s">
        <v>2324</v>
      </c>
      <c r="B14" s="55" t="s">
        <v>2325</v>
      </c>
      <c r="C14" s="10" t="s">
        <v>25</v>
      </c>
      <c r="D14" s="59">
        <v>46447</v>
      </c>
      <c r="E14" s="63">
        <v>0</v>
      </c>
      <c r="F14" s="54">
        <v>13</v>
      </c>
    </row>
    <row r="15" spans="1:6" x14ac:dyDescent="0.4">
      <c r="A15" s="13" t="s">
        <v>2324</v>
      </c>
      <c r="B15" s="55" t="s">
        <v>2325</v>
      </c>
      <c r="C15" s="10" t="s">
        <v>25</v>
      </c>
      <c r="D15" s="59">
        <v>46478</v>
      </c>
      <c r="E15" s="63">
        <v>0</v>
      </c>
      <c r="F15" s="13">
        <v>14</v>
      </c>
    </row>
    <row r="16" spans="1:6" x14ac:dyDescent="0.4">
      <c r="A16" s="13" t="s">
        <v>2324</v>
      </c>
      <c r="B16" s="55" t="s">
        <v>2325</v>
      </c>
      <c r="C16" s="10" t="s">
        <v>25</v>
      </c>
      <c r="D16" s="59">
        <v>46508</v>
      </c>
      <c r="E16" s="63">
        <v>0</v>
      </c>
      <c r="F16" s="54">
        <v>15</v>
      </c>
    </row>
    <row r="17" spans="1:6" x14ac:dyDescent="0.4">
      <c r="A17" s="13" t="s">
        <v>2324</v>
      </c>
      <c r="B17" s="55" t="s">
        <v>2325</v>
      </c>
      <c r="C17" s="10" t="s">
        <v>25</v>
      </c>
      <c r="D17" s="59">
        <v>46539</v>
      </c>
      <c r="E17" s="63">
        <v>0</v>
      </c>
      <c r="F17" s="13">
        <v>16</v>
      </c>
    </row>
    <row r="18" spans="1:6" x14ac:dyDescent="0.4">
      <c r="A18" s="13" t="s">
        <v>2324</v>
      </c>
      <c r="B18" s="55" t="s">
        <v>2325</v>
      </c>
      <c r="C18" s="10" t="s">
        <v>25</v>
      </c>
      <c r="D18" s="59">
        <v>46569</v>
      </c>
      <c r="E18" s="63">
        <v>0</v>
      </c>
      <c r="F18" s="54">
        <v>17</v>
      </c>
    </row>
    <row r="19" spans="1:6" x14ac:dyDescent="0.4">
      <c r="A19" s="13" t="s">
        <v>2324</v>
      </c>
      <c r="B19" s="55" t="s">
        <v>2325</v>
      </c>
      <c r="C19" s="10" t="s">
        <v>25</v>
      </c>
      <c r="D19" s="59">
        <v>46600</v>
      </c>
      <c r="E19" s="63">
        <v>0</v>
      </c>
      <c r="F19" s="13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46631</v>
      </c>
      <c r="E20" s="63">
        <v>0</v>
      </c>
      <c r="F20" s="54">
        <v>19</v>
      </c>
    </row>
    <row r="21" spans="1:6" x14ac:dyDescent="0.4">
      <c r="A21" s="13" t="s">
        <v>2324</v>
      </c>
      <c r="B21" s="55" t="s">
        <v>2325</v>
      </c>
      <c r="C21" s="10" t="s">
        <v>25</v>
      </c>
      <c r="D21" s="59">
        <v>46661</v>
      </c>
      <c r="E21" s="63">
        <v>0</v>
      </c>
      <c r="F21" s="13">
        <v>20</v>
      </c>
    </row>
    <row r="22" spans="1:6" x14ac:dyDescent="0.4">
      <c r="A22" s="13" t="s">
        <v>2324</v>
      </c>
      <c r="B22" s="55" t="s">
        <v>2325</v>
      </c>
      <c r="C22" s="10" t="s">
        <v>25</v>
      </c>
      <c r="D22" s="59">
        <v>46692</v>
      </c>
      <c r="E22" s="63">
        <v>0</v>
      </c>
      <c r="F22" s="54">
        <v>21</v>
      </c>
    </row>
    <row r="23" spans="1:6" x14ac:dyDescent="0.4">
      <c r="A23" s="13" t="s">
        <v>2324</v>
      </c>
      <c r="B23" s="55" t="s">
        <v>2325</v>
      </c>
      <c r="C23" s="10" t="s">
        <v>25</v>
      </c>
      <c r="D23" s="59">
        <v>46722</v>
      </c>
      <c r="E23" s="63">
        <v>0</v>
      </c>
      <c r="F23" s="13">
        <v>22</v>
      </c>
    </row>
    <row r="24" spans="1:6" x14ac:dyDescent="0.4">
      <c r="A24" s="13" t="s">
        <v>2324</v>
      </c>
      <c r="B24" s="55" t="s">
        <v>2325</v>
      </c>
      <c r="C24" s="13" t="s">
        <v>44</v>
      </c>
      <c r="D24" s="59">
        <v>46082</v>
      </c>
      <c r="E24" s="63">
        <v>0</v>
      </c>
      <c r="F24" s="54">
        <v>23</v>
      </c>
    </row>
    <row r="25" spans="1:6" x14ac:dyDescent="0.4">
      <c r="A25" s="13" t="s">
        <v>2324</v>
      </c>
      <c r="B25" s="55" t="s">
        <v>2325</v>
      </c>
      <c r="C25" s="13" t="s">
        <v>44</v>
      </c>
      <c r="D25" s="59">
        <v>46113</v>
      </c>
      <c r="E25" s="63">
        <v>190500</v>
      </c>
      <c r="F25" s="13">
        <v>24</v>
      </c>
    </row>
    <row r="26" spans="1:6" x14ac:dyDescent="0.4">
      <c r="A26" s="13" t="s">
        <v>2324</v>
      </c>
      <c r="B26" s="55" t="s">
        <v>2325</v>
      </c>
      <c r="C26" s="13" t="s">
        <v>44</v>
      </c>
      <c r="D26" s="59">
        <v>46143</v>
      </c>
      <c r="E26" s="63">
        <v>2038350</v>
      </c>
      <c r="F26" s="54">
        <v>25</v>
      </c>
    </row>
    <row r="27" spans="1:6" x14ac:dyDescent="0.4">
      <c r="A27" s="13" t="s">
        <v>2324</v>
      </c>
      <c r="B27" s="55" t="s">
        <v>2325</v>
      </c>
      <c r="C27" s="13" t="s">
        <v>44</v>
      </c>
      <c r="D27" s="59">
        <v>46174</v>
      </c>
      <c r="E27" s="63">
        <v>2190750</v>
      </c>
      <c r="F27" s="13">
        <v>26</v>
      </c>
    </row>
    <row r="28" spans="1:6" x14ac:dyDescent="0.4">
      <c r="A28" s="13" t="s">
        <v>2324</v>
      </c>
      <c r="B28" s="55" t="s">
        <v>2325</v>
      </c>
      <c r="C28" s="13" t="s">
        <v>44</v>
      </c>
      <c r="D28" s="59">
        <v>46204</v>
      </c>
      <c r="E28" s="63">
        <v>9848850</v>
      </c>
      <c r="F28" s="54">
        <v>27</v>
      </c>
    </row>
    <row r="29" spans="1:6" x14ac:dyDescent="0.4">
      <c r="A29" s="13" t="s">
        <v>2324</v>
      </c>
      <c r="B29" s="55" t="s">
        <v>2325</v>
      </c>
      <c r="C29" s="13" t="s">
        <v>44</v>
      </c>
      <c r="D29" s="59">
        <v>46235</v>
      </c>
      <c r="E29" s="63">
        <v>10039350</v>
      </c>
      <c r="F29" s="13">
        <v>28</v>
      </c>
    </row>
    <row r="30" spans="1:6" x14ac:dyDescent="0.4">
      <c r="A30" s="13" t="s">
        <v>2324</v>
      </c>
      <c r="B30" s="55" t="s">
        <v>2325</v>
      </c>
      <c r="C30" s="13" t="s">
        <v>44</v>
      </c>
      <c r="D30" s="59">
        <v>46266</v>
      </c>
      <c r="E30" s="63">
        <v>10344150</v>
      </c>
      <c r="F30" s="54">
        <v>29</v>
      </c>
    </row>
    <row r="31" spans="1:6" x14ac:dyDescent="0.4">
      <c r="A31" s="13" t="s">
        <v>2324</v>
      </c>
      <c r="B31" s="55" t="s">
        <v>2325</v>
      </c>
      <c r="C31" s="13" t="s">
        <v>44</v>
      </c>
      <c r="D31" s="59">
        <v>46296</v>
      </c>
      <c r="E31" s="63">
        <v>10191750</v>
      </c>
      <c r="F31" s="13">
        <v>30</v>
      </c>
    </row>
    <row r="32" spans="1:6" x14ac:dyDescent="0.4">
      <c r="A32" s="13" t="s">
        <v>2324</v>
      </c>
      <c r="B32" s="55" t="s">
        <v>2325</v>
      </c>
      <c r="C32" s="13" t="s">
        <v>44</v>
      </c>
      <c r="D32" s="59">
        <v>46327</v>
      </c>
      <c r="E32" s="63">
        <v>8343900</v>
      </c>
      <c r="F32" s="54">
        <v>31</v>
      </c>
    </row>
    <row r="33" spans="1:6" x14ac:dyDescent="0.4">
      <c r="A33" s="13" t="s">
        <v>2324</v>
      </c>
      <c r="B33" s="55" t="s">
        <v>2325</v>
      </c>
      <c r="C33" s="13" t="s">
        <v>44</v>
      </c>
      <c r="D33" s="59">
        <v>46357</v>
      </c>
      <c r="E33" s="63">
        <v>8191500</v>
      </c>
      <c r="F33" s="13">
        <v>32</v>
      </c>
    </row>
    <row r="34" spans="1:6" x14ac:dyDescent="0.4">
      <c r="A34" s="13" t="s">
        <v>2324</v>
      </c>
      <c r="B34" s="55" t="s">
        <v>2325</v>
      </c>
      <c r="C34" s="13" t="s">
        <v>44</v>
      </c>
      <c r="D34" s="59">
        <v>46388</v>
      </c>
      <c r="E34" s="63">
        <v>533400</v>
      </c>
      <c r="F34" s="54">
        <v>33</v>
      </c>
    </row>
    <row r="35" spans="1:6" x14ac:dyDescent="0.4">
      <c r="A35" s="13" t="s">
        <v>2324</v>
      </c>
      <c r="B35" s="55" t="s">
        <v>2325</v>
      </c>
      <c r="C35" s="13" t="s">
        <v>44</v>
      </c>
      <c r="D35" s="59">
        <v>46419</v>
      </c>
      <c r="E35" s="63">
        <v>342900</v>
      </c>
      <c r="F35" s="13">
        <v>34</v>
      </c>
    </row>
    <row r="36" spans="1:6" x14ac:dyDescent="0.4">
      <c r="A36" s="13" t="s">
        <v>2324</v>
      </c>
      <c r="B36" s="55" t="s">
        <v>2325</v>
      </c>
      <c r="C36" s="13" t="s">
        <v>44</v>
      </c>
      <c r="D36" s="59">
        <v>46447</v>
      </c>
      <c r="E36" s="63">
        <v>38100</v>
      </c>
      <c r="F36" s="54">
        <v>35</v>
      </c>
    </row>
    <row r="37" spans="1:6" x14ac:dyDescent="0.4">
      <c r="A37" s="13" t="s">
        <v>2324</v>
      </c>
      <c r="B37" s="55" t="s">
        <v>2325</v>
      </c>
      <c r="C37" s="13" t="s">
        <v>44</v>
      </c>
      <c r="D37" s="59">
        <v>46478</v>
      </c>
      <c r="E37" s="63">
        <v>0</v>
      </c>
      <c r="F37" s="13">
        <v>36</v>
      </c>
    </row>
    <row r="38" spans="1:6" x14ac:dyDescent="0.4">
      <c r="A38" s="13" t="s">
        <v>2324</v>
      </c>
      <c r="B38" s="55" t="s">
        <v>2325</v>
      </c>
      <c r="C38" s="13" t="s">
        <v>44</v>
      </c>
      <c r="D38" s="59">
        <v>46508</v>
      </c>
      <c r="E38" s="63">
        <v>0</v>
      </c>
      <c r="F38" s="54">
        <v>37</v>
      </c>
    </row>
    <row r="39" spans="1:6" x14ac:dyDescent="0.4">
      <c r="A39" s="13" t="s">
        <v>2324</v>
      </c>
      <c r="B39" s="55" t="s">
        <v>2325</v>
      </c>
      <c r="C39" s="13" t="s">
        <v>44</v>
      </c>
      <c r="D39" s="59">
        <v>46539</v>
      </c>
      <c r="E39" s="63">
        <v>0</v>
      </c>
      <c r="F39" s="13">
        <v>38</v>
      </c>
    </row>
    <row r="40" spans="1:6" x14ac:dyDescent="0.4">
      <c r="A40" s="13" t="s">
        <v>2324</v>
      </c>
      <c r="B40" s="55" t="s">
        <v>2325</v>
      </c>
      <c r="C40" s="13" t="s">
        <v>44</v>
      </c>
      <c r="D40" s="59">
        <v>46569</v>
      </c>
      <c r="E40" s="63">
        <v>0</v>
      </c>
      <c r="F40" s="54">
        <v>39</v>
      </c>
    </row>
    <row r="41" spans="1:6" x14ac:dyDescent="0.4">
      <c r="A41" s="13" t="s">
        <v>2324</v>
      </c>
      <c r="B41" s="55" t="s">
        <v>2325</v>
      </c>
      <c r="C41" s="13" t="s">
        <v>44</v>
      </c>
      <c r="D41" s="59">
        <v>46600</v>
      </c>
      <c r="E41" s="63">
        <v>0</v>
      </c>
      <c r="F41" s="13">
        <v>40</v>
      </c>
    </row>
    <row r="42" spans="1:6" x14ac:dyDescent="0.4">
      <c r="A42" s="13" t="s">
        <v>2324</v>
      </c>
      <c r="B42" s="55" t="s">
        <v>2325</v>
      </c>
      <c r="C42" s="13" t="s">
        <v>44</v>
      </c>
      <c r="D42" s="59">
        <v>46631</v>
      </c>
      <c r="E42" s="63">
        <v>0</v>
      </c>
      <c r="F42" s="54">
        <v>41</v>
      </c>
    </row>
    <row r="43" spans="1:6" x14ac:dyDescent="0.4">
      <c r="A43" s="13" t="s">
        <v>2324</v>
      </c>
      <c r="B43" s="55" t="s">
        <v>2325</v>
      </c>
      <c r="C43" s="13" t="s">
        <v>44</v>
      </c>
      <c r="D43" s="59">
        <v>46661</v>
      </c>
      <c r="E43" s="63">
        <v>0</v>
      </c>
      <c r="F43" s="13">
        <v>42</v>
      </c>
    </row>
    <row r="44" spans="1:6" x14ac:dyDescent="0.4">
      <c r="A44" s="13" t="s">
        <v>2324</v>
      </c>
      <c r="B44" s="55" t="s">
        <v>2325</v>
      </c>
      <c r="C44" s="13" t="s">
        <v>44</v>
      </c>
      <c r="D44" s="59">
        <v>46692</v>
      </c>
      <c r="E44" s="63">
        <v>0</v>
      </c>
      <c r="F44" s="54">
        <v>43</v>
      </c>
    </row>
    <row r="45" spans="1:6" x14ac:dyDescent="0.4">
      <c r="A45" s="13" t="s">
        <v>2324</v>
      </c>
      <c r="B45" s="55" t="s">
        <v>2325</v>
      </c>
      <c r="C45" s="13" t="s">
        <v>44</v>
      </c>
      <c r="D45" s="59">
        <v>46722</v>
      </c>
      <c r="E45" s="63">
        <v>0</v>
      </c>
      <c r="F45" s="13">
        <v>44</v>
      </c>
    </row>
    <row r="46" spans="1:6" x14ac:dyDescent="0.4">
      <c r="A46" s="13" t="s">
        <v>2324</v>
      </c>
      <c r="B46" s="55" t="s">
        <v>2325</v>
      </c>
      <c r="C46" s="13" t="s">
        <v>1944</v>
      </c>
      <c r="D46" s="59">
        <v>46082</v>
      </c>
      <c r="E46" s="63">
        <v>0</v>
      </c>
      <c r="F46" s="54">
        <v>45</v>
      </c>
    </row>
    <row r="47" spans="1:6" x14ac:dyDescent="0.4">
      <c r="A47" s="13" t="s">
        <v>2324</v>
      </c>
      <c r="B47" s="55" t="s">
        <v>2325</v>
      </c>
      <c r="C47" s="13" t="s">
        <v>1944</v>
      </c>
      <c r="D47" s="59">
        <v>46113</v>
      </c>
      <c r="E47" s="63">
        <v>0</v>
      </c>
      <c r="F47" s="13">
        <v>46</v>
      </c>
    </row>
    <row r="48" spans="1:6" x14ac:dyDescent="0.4">
      <c r="A48" s="13" t="s">
        <v>2324</v>
      </c>
      <c r="B48" s="55" t="s">
        <v>2325</v>
      </c>
      <c r="C48" s="13" t="s">
        <v>1944</v>
      </c>
      <c r="D48" s="59">
        <v>46143</v>
      </c>
      <c r="E48" s="63">
        <v>56610</v>
      </c>
      <c r="F48" s="54">
        <v>47</v>
      </c>
    </row>
    <row r="49" spans="1:6" x14ac:dyDescent="0.4">
      <c r="A49" s="13" t="s">
        <v>2324</v>
      </c>
      <c r="B49" s="55" t="s">
        <v>2325</v>
      </c>
      <c r="C49" s="13" t="s">
        <v>1944</v>
      </c>
      <c r="D49" s="59">
        <v>46174</v>
      </c>
      <c r="E49" s="63">
        <v>113220</v>
      </c>
      <c r="F49" s="13">
        <v>48</v>
      </c>
    </row>
    <row r="50" spans="1:6" x14ac:dyDescent="0.4">
      <c r="A50" s="13" t="s">
        <v>2324</v>
      </c>
      <c r="B50" s="55" t="s">
        <v>2325</v>
      </c>
      <c r="C50" s="13" t="s">
        <v>1944</v>
      </c>
      <c r="D50" s="59">
        <v>46204</v>
      </c>
      <c r="E50" s="63">
        <v>132090</v>
      </c>
      <c r="F50" s="54">
        <v>49</v>
      </c>
    </row>
    <row r="51" spans="1:6" x14ac:dyDescent="0.4">
      <c r="A51" s="13" t="s">
        <v>2324</v>
      </c>
      <c r="B51" s="55" t="s">
        <v>2325</v>
      </c>
      <c r="C51" s="13" t="s">
        <v>1944</v>
      </c>
      <c r="D51" s="59">
        <v>46235</v>
      </c>
      <c r="E51" s="63">
        <v>141525</v>
      </c>
      <c r="F51" s="13">
        <v>50</v>
      </c>
    </row>
    <row r="52" spans="1:6" x14ac:dyDescent="0.4">
      <c r="A52" s="13" t="s">
        <v>2324</v>
      </c>
      <c r="B52" s="55" t="s">
        <v>2325</v>
      </c>
      <c r="C52" s="13" t="s">
        <v>1944</v>
      </c>
      <c r="D52" s="59">
        <v>46266</v>
      </c>
      <c r="E52" s="63">
        <v>292485</v>
      </c>
      <c r="F52" s="54">
        <v>51</v>
      </c>
    </row>
    <row r="53" spans="1:6" x14ac:dyDescent="0.4">
      <c r="A53" s="13" t="s">
        <v>2324</v>
      </c>
      <c r="B53" s="55" t="s">
        <v>2325</v>
      </c>
      <c r="C53" s="13" t="s">
        <v>1944</v>
      </c>
      <c r="D53" s="59">
        <v>46296</v>
      </c>
      <c r="E53" s="63">
        <v>481185</v>
      </c>
      <c r="F53" s="13">
        <v>52</v>
      </c>
    </row>
    <row r="54" spans="1:6" x14ac:dyDescent="0.4">
      <c r="A54" s="13" t="s">
        <v>2324</v>
      </c>
      <c r="B54" s="55" t="s">
        <v>2325</v>
      </c>
      <c r="C54" s="13" t="s">
        <v>1944</v>
      </c>
      <c r="D54" s="59">
        <v>46327</v>
      </c>
      <c r="E54" s="63">
        <v>481185</v>
      </c>
      <c r="F54" s="54">
        <v>53</v>
      </c>
    </row>
    <row r="55" spans="1:6" x14ac:dyDescent="0.4">
      <c r="A55" s="13" t="s">
        <v>2324</v>
      </c>
      <c r="B55" s="55" t="s">
        <v>2325</v>
      </c>
      <c r="C55" s="13" t="s">
        <v>1944</v>
      </c>
      <c r="D55" s="59">
        <v>46357</v>
      </c>
      <c r="E55" s="63">
        <v>481185</v>
      </c>
      <c r="F55" s="13">
        <v>54</v>
      </c>
    </row>
    <row r="56" spans="1:6" x14ac:dyDescent="0.4">
      <c r="A56" s="13" t="s">
        <v>2324</v>
      </c>
      <c r="B56" s="55" t="s">
        <v>2325</v>
      </c>
      <c r="C56" s="13" t="s">
        <v>1944</v>
      </c>
      <c r="D56" s="59">
        <v>46388</v>
      </c>
      <c r="E56" s="63">
        <v>490620</v>
      </c>
      <c r="F56" s="54">
        <v>55</v>
      </c>
    </row>
    <row r="57" spans="1:6" x14ac:dyDescent="0.4">
      <c r="A57" s="13" t="s">
        <v>2324</v>
      </c>
      <c r="B57" s="55" t="s">
        <v>2325</v>
      </c>
      <c r="C57" s="13" t="s">
        <v>1944</v>
      </c>
      <c r="D57" s="59">
        <v>46419</v>
      </c>
      <c r="E57" s="63">
        <v>490620</v>
      </c>
      <c r="F57" s="13">
        <v>56</v>
      </c>
    </row>
    <row r="58" spans="1:6" x14ac:dyDescent="0.4">
      <c r="A58" s="13" t="s">
        <v>2324</v>
      </c>
      <c r="B58" s="55" t="s">
        <v>2325</v>
      </c>
      <c r="C58" s="13" t="s">
        <v>1944</v>
      </c>
      <c r="D58" s="59">
        <v>46447</v>
      </c>
      <c r="E58" s="63">
        <v>490620</v>
      </c>
      <c r="F58" s="54">
        <v>57</v>
      </c>
    </row>
    <row r="59" spans="1:6" x14ac:dyDescent="0.4">
      <c r="A59" s="13" t="s">
        <v>2324</v>
      </c>
      <c r="B59" s="55" t="s">
        <v>2325</v>
      </c>
      <c r="C59" s="13" t="s">
        <v>1944</v>
      </c>
      <c r="D59" s="59">
        <v>46478</v>
      </c>
      <c r="E59" s="63">
        <v>490620</v>
      </c>
      <c r="F59" s="13">
        <v>58</v>
      </c>
    </row>
    <row r="60" spans="1:6" x14ac:dyDescent="0.4">
      <c r="A60" s="13" t="s">
        <v>2324</v>
      </c>
      <c r="B60" s="55" t="s">
        <v>2325</v>
      </c>
      <c r="C60" s="13" t="s">
        <v>1944</v>
      </c>
      <c r="D60" s="59">
        <v>46508</v>
      </c>
      <c r="E60" s="63">
        <v>434010</v>
      </c>
      <c r="F60" s="54">
        <v>59</v>
      </c>
    </row>
    <row r="61" spans="1:6" x14ac:dyDescent="0.4">
      <c r="A61" s="13" t="s">
        <v>2324</v>
      </c>
      <c r="B61" s="55" t="s">
        <v>2325</v>
      </c>
      <c r="C61" s="13" t="s">
        <v>1944</v>
      </c>
      <c r="D61" s="59">
        <v>46539</v>
      </c>
      <c r="E61" s="63">
        <v>377400</v>
      </c>
      <c r="F61" s="13">
        <v>60</v>
      </c>
    </row>
    <row r="62" spans="1:6" x14ac:dyDescent="0.4">
      <c r="A62" s="13" t="s">
        <v>2324</v>
      </c>
      <c r="B62" s="55" t="s">
        <v>2325</v>
      </c>
      <c r="C62" s="13" t="s">
        <v>1944</v>
      </c>
      <c r="D62" s="59">
        <v>46569</v>
      </c>
      <c r="E62" s="63">
        <v>358530</v>
      </c>
      <c r="F62" s="54">
        <v>61</v>
      </c>
    </row>
    <row r="63" spans="1:6" x14ac:dyDescent="0.4">
      <c r="A63" s="13" t="s">
        <v>2324</v>
      </c>
      <c r="B63" s="55" t="s">
        <v>2325</v>
      </c>
      <c r="C63" s="13" t="s">
        <v>1944</v>
      </c>
      <c r="D63" s="59">
        <v>46600</v>
      </c>
      <c r="E63" s="63">
        <v>349095</v>
      </c>
      <c r="F63" s="13">
        <v>62</v>
      </c>
    </row>
    <row r="64" spans="1:6" x14ac:dyDescent="0.4">
      <c r="A64" s="13" t="s">
        <v>2324</v>
      </c>
      <c r="B64" s="55" t="s">
        <v>2325</v>
      </c>
      <c r="C64" s="13" t="s">
        <v>1944</v>
      </c>
      <c r="D64" s="59">
        <v>46631</v>
      </c>
      <c r="E64" s="63">
        <v>198135</v>
      </c>
      <c r="F64" s="54">
        <v>63</v>
      </c>
    </row>
    <row r="65" spans="1:6" x14ac:dyDescent="0.4">
      <c r="A65" s="13" t="s">
        <v>2324</v>
      </c>
      <c r="B65" s="55" t="s">
        <v>2325</v>
      </c>
      <c r="C65" s="13" t="s">
        <v>1944</v>
      </c>
      <c r="D65" s="59">
        <v>46661</v>
      </c>
      <c r="E65" s="63">
        <v>9435</v>
      </c>
      <c r="F65" s="13">
        <v>64</v>
      </c>
    </row>
    <row r="66" spans="1:6" x14ac:dyDescent="0.4">
      <c r="A66" s="13" t="s">
        <v>2324</v>
      </c>
      <c r="B66" s="55" t="s">
        <v>2325</v>
      </c>
      <c r="C66" s="13" t="s">
        <v>1944</v>
      </c>
      <c r="D66" s="59">
        <v>46692</v>
      </c>
      <c r="E66" s="63">
        <v>9435</v>
      </c>
      <c r="F66" s="54">
        <v>65</v>
      </c>
    </row>
    <row r="67" spans="1:6" x14ac:dyDescent="0.4">
      <c r="A67" s="13" t="s">
        <v>2324</v>
      </c>
      <c r="B67" s="55" t="s">
        <v>2325</v>
      </c>
      <c r="C67" s="13" t="s">
        <v>1944</v>
      </c>
      <c r="D67" s="59">
        <v>46722</v>
      </c>
      <c r="E67" s="63">
        <v>9435</v>
      </c>
      <c r="F67" s="13">
        <v>66</v>
      </c>
    </row>
    <row r="68" spans="1:6" x14ac:dyDescent="0.4">
      <c r="A68" s="13" t="s">
        <v>2324</v>
      </c>
      <c r="B68" s="55" t="s">
        <v>2325</v>
      </c>
      <c r="C68" s="13" t="s">
        <v>70</v>
      </c>
      <c r="D68" s="59">
        <v>46082</v>
      </c>
      <c r="E68" s="63">
        <v>0</v>
      </c>
      <c r="F68" s="54">
        <v>67</v>
      </c>
    </row>
    <row r="69" spans="1:6" x14ac:dyDescent="0.4">
      <c r="A69" s="13" t="s">
        <v>2324</v>
      </c>
      <c r="B69" s="55" t="s">
        <v>2325</v>
      </c>
      <c r="C69" s="13" t="s">
        <v>70</v>
      </c>
      <c r="D69" s="59">
        <v>46113</v>
      </c>
      <c r="E69" s="63">
        <v>59400</v>
      </c>
      <c r="F69" s="13">
        <v>68</v>
      </c>
    </row>
    <row r="70" spans="1:6" x14ac:dyDescent="0.4">
      <c r="A70" s="13" t="s">
        <v>2324</v>
      </c>
      <c r="B70" s="55" t="s">
        <v>2325</v>
      </c>
      <c r="C70" s="13" t="s">
        <v>70</v>
      </c>
      <c r="D70" s="59">
        <v>46143</v>
      </c>
      <c r="E70" s="63">
        <v>59400</v>
      </c>
      <c r="F70" s="54">
        <v>69</v>
      </c>
    </row>
    <row r="71" spans="1:6" x14ac:dyDescent="0.4">
      <c r="A71" s="13" t="s">
        <v>2324</v>
      </c>
      <c r="B71" s="55" t="s">
        <v>2325</v>
      </c>
      <c r="C71" s="13" t="s">
        <v>70</v>
      </c>
      <c r="D71" s="59">
        <v>46174</v>
      </c>
      <c r="E71" s="63">
        <v>59400</v>
      </c>
      <c r="F71" s="13">
        <v>70</v>
      </c>
    </row>
    <row r="72" spans="1:6" x14ac:dyDescent="0.4">
      <c r="A72" s="13" t="s">
        <v>2324</v>
      </c>
      <c r="B72" s="55" t="s">
        <v>2325</v>
      </c>
      <c r="C72" s="13" t="s">
        <v>70</v>
      </c>
      <c r="D72" s="59">
        <v>46204</v>
      </c>
      <c r="E72" s="63">
        <v>0</v>
      </c>
      <c r="F72" s="54">
        <v>71</v>
      </c>
    </row>
    <row r="73" spans="1:6" x14ac:dyDescent="0.4">
      <c r="A73" s="13" t="s">
        <v>2324</v>
      </c>
      <c r="B73" s="55" t="s">
        <v>2325</v>
      </c>
      <c r="C73" s="13" t="s">
        <v>70</v>
      </c>
      <c r="D73" s="59">
        <v>46235</v>
      </c>
      <c r="E73" s="63">
        <v>0</v>
      </c>
      <c r="F73" s="13">
        <v>72</v>
      </c>
    </row>
    <row r="74" spans="1:6" x14ac:dyDescent="0.4">
      <c r="A74" s="13" t="s">
        <v>2324</v>
      </c>
      <c r="B74" s="55" t="s">
        <v>2325</v>
      </c>
      <c r="C74" s="13" t="s">
        <v>70</v>
      </c>
      <c r="D74" s="59">
        <v>46266</v>
      </c>
      <c r="E74" s="63">
        <v>0</v>
      </c>
      <c r="F74" s="54">
        <v>73</v>
      </c>
    </row>
    <row r="75" spans="1:6" x14ac:dyDescent="0.4">
      <c r="A75" s="13" t="s">
        <v>2324</v>
      </c>
      <c r="B75" s="55" t="s">
        <v>2325</v>
      </c>
      <c r="C75" s="13" t="s">
        <v>70</v>
      </c>
      <c r="D75" s="59">
        <v>46296</v>
      </c>
      <c r="E75" s="63">
        <v>0</v>
      </c>
      <c r="F75" s="13">
        <v>74</v>
      </c>
    </row>
    <row r="76" spans="1:6" x14ac:dyDescent="0.4">
      <c r="A76" s="13" t="s">
        <v>2324</v>
      </c>
      <c r="B76" s="55" t="s">
        <v>2325</v>
      </c>
      <c r="C76" s="13" t="s">
        <v>70</v>
      </c>
      <c r="D76" s="59">
        <v>46327</v>
      </c>
      <c r="E76" s="63">
        <v>0</v>
      </c>
      <c r="F76" s="54">
        <v>75</v>
      </c>
    </row>
    <row r="77" spans="1:6" x14ac:dyDescent="0.4">
      <c r="A77" s="13" t="s">
        <v>2324</v>
      </c>
      <c r="B77" s="55" t="s">
        <v>2325</v>
      </c>
      <c r="C77" s="13" t="s">
        <v>70</v>
      </c>
      <c r="D77" s="59">
        <v>46357</v>
      </c>
      <c r="E77" s="63">
        <v>0</v>
      </c>
      <c r="F77" s="13">
        <v>76</v>
      </c>
    </row>
    <row r="78" spans="1:6" x14ac:dyDescent="0.4">
      <c r="A78" s="13" t="s">
        <v>2324</v>
      </c>
      <c r="B78" s="55" t="s">
        <v>2325</v>
      </c>
      <c r="C78" s="13" t="s">
        <v>70</v>
      </c>
      <c r="D78" s="59">
        <v>46388</v>
      </c>
      <c r="E78" s="63">
        <v>0</v>
      </c>
      <c r="F78" s="54">
        <v>77</v>
      </c>
    </row>
    <row r="79" spans="1:6" x14ac:dyDescent="0.4">
      <c r="A79" s="13" t="s">
        <v>2324</v>
      </c>
      <c r="B79" s="55" t="s">
        <v>2325</v>
      </c>
      <c r="C79" s="13" t="s">
        <v>70</v>
      </c>
      <c r="D79" s="59">
        <v>46419</v>
      </c>
      <c r="E79" s="63">
        <v>0</v>
      </c>
      <c r="F79" s="13">
        <v>78</v>
      </c>
    </row>
    <row r="80" spans="1:6" x14ac:dyDescent="0.4">
      <c r="A80" s="13" t="s">
        <v>2324</v>
      </c>
      <c r="B80" s="55" t="s">
        <v>2325</v>
      </c>
      <c r="C80" s="13" t="s">
        <v>70</v>
      </c>
      <c r="D80" s="59">
        <v>46447</v>
      </c>
      <c r="E80" s="63">
        <v>0</v>
      </c>
      <c r="F80" s="54">
        <v>79</v>
      </c>
    </row>
    <row r="81" spans="1:6" x14ac:dyDescent="0.4">
      <c r="A81" s="13" t="s">
        <v>2324</v>
      </c>
      <c r="B81" s="55" t="s">
        <v>2325</v>
      </c>
      <c r="C81" s="13" t="s">
        <v>70</v>
      </c>
      <c r="D81" s="59">
        <v>46478</v>
      </c>
      <c r="E81" s="63">
        <v>0</v>
      </c>
      <c r="F81" s="13">
        <v>80</v>
      </c>
    </row>
    <row r="82" spans="1:6" x14ac:dyDescent="0.4">
      <c r="A82" s="13" t="s">
        <v>2324</v>
      </c>
      <c r="B82" s="55" t="s">
        <v>2325</v>
      </c>
      <c r="C82" s="13" t="s">
        <v>70</v>
      </c>
      <c r="D82" s="59">
        <v>46508</v>
      </c>
      <c r="E82" s="63">
        <v>0</v>
      </c>
      <c r="F82" s="54">
        <v>81</v>
      </c>
    </row>
    <row r="83" spans="1:6" x14ac:dyDescent="0.4">
      <c r="A83" s="13" t="s">
        <v>2324</v>
      </c>
      <c r="B83" s="55" t="s">
        <v>2325</v>
      </c>
      <c r="C83" s="13" t="s">
        <v>70</v>
      </c>
      <c r="D83" s="59">
        <v>46539</v>
      </c>
      <c r="E83" s="63">
        <v>0</v>
      </c>
      <c r="F83" s="13">
        <v>82</v>
      </c>
    </row>
    <row r="84" spans="1:6" x14ac:dyDescent="0.4">
      <c r="A84" s="13" t="s">
        <v>2324</v>
      </c>
      <c r="B84" s="55" t="s">
        <v>2325</v>
      </c>
      <c r="C84" s="13" t="s">
        <v>70</v>
      </c>
      <c r="D84" s="59">
        <v>46569</v>
      </c>
      <c r="E84" s="63">
        <v>0</v>
      </c>
      <c r="F84" s="54">
        <v>83</v>
      </c>
    </row>
    <row r="85" spans="1:6" x14ac:dyDescent="0.4">
      <c r="A85" s="13" t="s">
        <v>2324</v>
      </c>
      <c r="B85" s="55" t="s">
        <v>2325</v>
      </c>
      <c r="C85" s="13" t="s">
        <v>70</v>
      </c>
      <c r="D85" s="59">
        <v>46600</v>
      </c>
      <c r="E85" s="63">
        <v>0</v>
      </c>
      <c r="F85" s="13">
        <v>84</v>
      </c>
    </row>
    <row r="86" spans="1:6" x14ac:dyDescent="0.4">
      <c r="A86" s="13" t="s">
        <v>2324</v>
      </c>
      <c r="B86" s="55" t="s">
        <v>2325</v>
      </c>
      <c r="C86" s="13" t="s">
        <v>70</v>
      </c>
      <c r="D86" s="59">
        <v>46631</v>
      </c>
      <c r="E86" s="63">
        <v>0</v>
      </c>
      <c r="F86" s="54">
        <v>85</v>
      </c>
    </row>
    <row r="87" spans="1:6" x14ac:dyDescent="0.4">
      <c r="A87" s="13" t="s">
        <v>2324</v>
      </c>
      <c r="B87" s="55" t="s">
        <v>2325</v>
      </c>
      <c r="C87" s="13" t="s">
        <v>70</v>
      </c>
      <c r="D87" s="59">
        <v>46661</v>
      </c>
      <c r="E87" s="63">
        <v>0</v>
      </c>
      <c r="F87" s="13">
        <v>86</v>
      </c>
    </row>
    <row r="88" spans="1:6" x14ac:dyDescent="0.4">
      <c r="A88" s="13" t="s">
        <v>2324</v>
      </c>
      <c r="B88" s="55" t="s">
        <v>2325</v>
      </c>
      <c r="C88" s="13" t="s">
        <v>70</v>
      </c>
      <c r="D88" s="59">
        <v>46692</v>
      </c>
      <c r="E88" s="63">
        <v>0</v>
      </c>
      <c r="F88" s="54">
        <v>87</v>
      </c>
    </row>
    <row r="89" spans="1:6" x14ac:dyDescent="0.4">
      <c r="A89" s="13" t="s">
        <v>2324</v>
      </c>
      <c r="B89" s="55" t="s">
        <v>2325</v>
      </c>
      <c r="C89" s="13" t="s">
        <v>70</v>
      </c>
      <c r="D89" s="59">
        <v>46722</v>
      </c>
      <c r="E89" s="63">
        <v>0</v>
      </c>
      <c r="F89" s="13">
        <v>88</v>
      </c>
    </row>
    <row r="90" spans="1:6" x14ac:dyDescent="0.4">
      <c r="A90" s="13" t="s">
        <v>2324</v>
      </c>
      <c r="B90" s="55" t="s">
        <v>2325</v>
      </c>
      <c r="C90" s="13" t="s">
        <v>50</v>
      </c>
      <c r="D90" s="59">
        <v>46082</v>
      </c>
      <c r="E90" s="63">
        <v>0</v>
      </c>
      <c r="F90" s="54">
        <v>89</v>
      </c>
    </row>
    <row r="91" spans="1:6" x14ac:dyDescent="0.4">
      <c r="A91" s="13" t="s">
        <v>2324</v>
      </c>
      <c r="B91" s="55" t="s">
        <v>2325</v>
      </c>
      <c r="C91" s="13" t="s">
        <v>50</v>
      </c>
      <c r="D91" s="59">
        <v>46113</v>
      </c>
      <c r="E91" s="63">
        <v>0</v>
      </c>
      <c r="F91" s="13">
        <v>90</v>
      </c>
    </row>
    <row r="92" spans="1:6" x14ac:dyDescent="0.4">
      <c r="A92" s="13" t="s">
        <v>2324</v>
      </c>
      <c r="B92" s="55" t="s">
        <v>2325</v>
      </c>
      <c r="C92" s="13" t="s">
        <v>50</v>
      </c>
      <c r="D92" s="59">
        <v>46143</v>
      </c>
      <c r="E92" s="63">
        <v>95250</v>
      </c>
      <c r="F92" s="54">
        <v>91</v>
      </c>
    </row>
    <row r="93" spans="1:6" x14ac:dyDescent="0.4">
      <c r="A93" s="13" t="s">
        <v>2324</v>
      </c>
      <c r="B93" s="55" t="s">
        <v>2325</v>
      </c>
      <c r="C93" s="13" t="s">
        <v>50</v>
      </c>
      <c r="D93" s="59">
        <v>46174</v>
      </c>
      <c r="E93" s="63">
        <v>95250</v>
      </c>
      <c r="F93" s="13">
        <v>92</v>
      </c>
    </row>
    <row r="94" spans="1:6" x14ac:dyDescent="0.4">
      <c r="A94" s="13" t="s">
        <v>2324</v>
      </c>
      <c r="B94" s="55" t="s">
        <v>2325</v>
      </c>
      <c r="C94" s="13" t="s">
        <v>50</v>
      </c>
      <c r="D94" s="59">
        <v>46204</v>
      </c>
      <c r="E94" s="63">
        <v>476250</v>
      </c>
      <c r="F94" s="54">
        <v>93</v>
      </c>
    </row>
    <row r="95" spans="1:6" x14ac:dyDescent="0.4">
      <c r="A95" s="13" t="s">
        <v>2324</v>
      </c>
      <c r="B95" s="55" t="s">
        <v>2325</v>
      </c>
      <c r="C95" s="13" t="s">
        <v>50</v>
      </c>
      <c r="D95" s="59">
        <v>46235</v>
      </c>
      <c r="E95" s="63">
        <v>514350</v>
      </c>
      <c r="F95" s="13">
        <v>94</v>
      </c>
    </row>
    <row r="96" spans="1:6" x14ac:dyDescent="0.4">
      <c r="A96" s="13" t="s">
        <v>2324</v>
      </c>
      <c r="B96" s="55" t="s">
        <v>2325</v>
      </c>
      <c r="C96" s="13" t="s">
        <v>50</v>
      </c>
      <c r="D96" s="59">
        <v>46266</v>
      </c>
      <c r="E96" s="63">
        <v>590550</v>
      </c>
      <c r="F96" s="54">
        <v>95</v>
      </c>
    </row>
    <row r="97" spans="1:6" x14ac:dyDescent="0.4">
      <c r="A97" s="13" t="s">
        <v>2324</v>
      </c>
      <c r="B97" s="55" t="s">
        <v>2325</v>
      </c>
      <c r="C97" s="13" t="s">
        <v>50</v>
      </c>
      <c r="D97" s="59">
        <v>46296</v>
      </c>
      <c r="E97" s="63">
        <v>590550</v>
      </c>
      <c r="F97" s="13">
        <v>96</v>
      </c>
    </row>
    <row r="98" spans="1:6" x14ac:dyDescent="0.4">
      <c r="A98" s="13" t="s">
        <v>2324</v>
      </c>
      <c r="B98" s="55" t="s">
        <v>2325</v>
      </c>
      <c r="C98" s="13" t="s">
        <v>50</v>
      </c>
      <c r="D98" s="59">
        <v>46327</v>
      </c>
      <c r="E98" s="63">
        <v>495300</v>
      </c>
      <c r="F98" s="54">
        <v>97</v>
      </c>
    </row>
    <row r="99" spans="1:6" x14ac:dyDescent="0.4">
      <c r="A99" s="13" t="s">
        <v>2324</v>
      </c>
      <c r="B99" s="55" t="s">
        <v>2325</v>
      </c>
      <c r="C99" s="13" t="s">
        <v>50</v>
      </c>
      <c r="D99" s="59">
        <v>46357</v>
      </c>
      <c r="E99" s="63">
        <v>495300</v>
      </c>
      <c r="F99" s="13">
        <v>98</v>
      </c>
    </row>
    <row r="100" spans="1:6" x14ac:dyDescent="0.4">
      <c r="A100" s="13" t="s">
        <v>2324</v>
      </c>
      <c r="B100" s="55" t="s">
        <v>2325</v>
      </c>
      <c r="C100" s="13" t="s">
        <v>50</v>
      </c>
      <c r="D100" s="59">
        <v>46388</v>
      </c>
      <c r="E100" s="63">
        <v>114300</v>
      </c>
      <c r="F100" s="54">
        <v>99</v>
      </c>
    </row>
    <row r="101" spans="1:6" x14ac:dyDescent="0.4">
      <c r="A101" s="13" t="s">
        <v>2324</v>
      </c>
      <c r="B101" s="55" t="s">
        <v>2325</v>
      </c>
      <c r="C101" s="13" t="s">
        <v>50</v>
      </c>
      <c r="D101" s="59">
        <v>46419</v>
      </c>
      <c r="E101" s="63">
        <v>76200</v>
      </c>
      <c r="F101" s="13">
        <v>100</v>
      </c>
    </row>
    <row r="102" spans="1:6" x14ac:dyDescent="0.4">
      <c r="A102" s="13" t="s">
        <v>2324</v>
      </c>
      <c r="B102" s="55" t="s">
        <v>2325</v>
      </c>
      <c r="C102" s="13" t="s">
        <v>50</v>
      </c>
      <c r="D102" s="59">
        <v>46447</v>
      </c>
      <c r="E102" s="63">
        <v>0</v>
      </c>
      <c r="F102" s="54">
        <v>101</v>
      </c>
    </row>
    <row r="103" spans="1:6" x14ac:dyDescent="0.4">
      <c r="A103" s="13" t="s">
        <v>2324</v>
      </c>
      <c r="B103" s="55" t="s">
        <v>2325</v>
      </c>
      <c r="C103" s="13" t="s">
        <v>50</v>
      </c>
      <c r="D103" s="59">
        <v>46478</v>
      </c>
      <c r="E103" s="63">
        <v>0</v>
      </c>
      <c r="F103" s="13">
        <v>102</v>
      </c>
    </row>
    <row r="104" spans="1:6" x14ac:dyDescent="0.4">
      <c r="A104" s="13" t="s">
        <v>2324</v>
      </c>
      <c r="B104" s="55" t="s">
        <v>2325</v>
      </c>
      <c r="C104" s="13" t="s">
        <v>50</v>
      </c>
      <c r="D104" s="59">
        <v>46508</v>
      </c>
      <c r="E104" s="63">
        <v>0</v>
      </c>
      <c r="F104" s="54">
        <v>103</v>
      </c>
    </row>
    <row r="105" spans="1:6" x14ac:dyDescent="0.4">
      <c r="A105" s="13" t="s">
        <v>2324</v>
      </c>
      <c r="B105" s="55" t="s">
        <v>2325</v>
      </c>
      <c r="C105" s="13" t="s">
        <v>50</v>
      </c>
      <c r="D105" s="59">
        <v>46539</v>
      </c>
      <c r="E105" s="63">
        <v>0</v>
      </c>
      <c r="F105" s="13">
        <v>104</v>
      </c>
    </row>
    <row r="106" spans="1:6" x14ac:dyDescent="0.4">
      <c r="A106" s="13" t="s">
        <v>2324</v>
      </c>
      <c r="B106" s="55" t="s">
        <v>2325</v>
      </c>
      <c r="C106" s="13" t="s">
        <v>50</v>
      </c>
      <c r="D106" s="59">
        <v>46569</v>
      </c>
      <c r="E106" s="63">
        <v>0</v>
      </c>
      <c r="F106" s="54">
        <v>105</v>
      </c>
    </row>
    <row r="107" spans="1:6" x14ac:dyDescent="0.4">
      <c r="A107" s="13" t="s">
        <v>2324</v>
      </c>
      <c r="B107" s="55" t="s">
        <v>2325</v>
      </c>
      <c r="C107" s="13" t="s">
        <v>50</v>
      </c>
      <c r="D107" s="59">
        <v>46600</v>
      </c>
      <c r="E107" s="63">
        <v>0</v>
      </c>
      <c r="F107" s="13">
        <v>106</v>
      </c>
    </row>
    <row r="108" spans="1:6" x14ac:dyDescent="0.4">
      <c r="A108" s="13" t="s">
        <v>2324</v>
      </c>
      <c r="B108" s="55" t="s">
        <v>2325</v>
      </c>
      <c r="C108" s="13" t="s">
        <v>50</v>
      </c>
      <c r="D108" s="59">
        <v>46631</v>
      </c>
      <c r="E108" s="63">
        <v>0</v>
      </c>
      <c r="F108" s="54">
        <v>107</v>
      </c>
    </row>
    <row r="109" spans="1:6" x14ac:dyDescent="0.4">
      <c r="A109" s="13" t="s">
        <v>2324</v>
      </c>
      <c r="B109" s="55" t="s">
        <v>2325</v>
      </c>
      <c r="C109" s="13" t="s">
        <v>50</v>
      </c>
      <c r="D109" s="59">
        <v>46661</v>
      </c>
      <c r="E109" s="63">
        <v>0</v>
      </c>
      <c r="F109" s="13">
        <v>108</v>
      </c>
    </row>
    <row r="110" spans="1:6" x14ac:dyDescent="0.4">
      <c r="A110" s="13" t="s">
        <v>2324</v>
      </c>
      <c r="B110" s="55" t="s">
        <v>2325</v>
      </c>
      <c r="C110" s="13" t="s">
        <v>50</v>
      </c>
      <c r="D110" s="59">
        <v>46692</v>
      </c>
      <c r="E110" s="63">
        <v>0</v>
      </c>
      <c r="F110" s="54">
        <v>109</v>
      </c>
    </row>
    <row r="111" spans="1:6" x14ac:dyDescent="0.4">
      <c r="A111" s="13" t="s">
        <v>2324</v>
      </c>
      <c r="B111" s="55" t="s">
        <v>2325</v>
      </c>
      <c r="C111" s="13" t="s">
        <v>50</v>
      </c>
      <c r="D111" s="59">
        <v>46722</v>
      </c>
      <c r="E111" s="63">
        <v>0</v>
      </c>
      <c r="F111" s="13">
        <v>110</v>
      </c>
    </row>
    <row r="112" spans="1:6" x14ac:dyDescent="0.4">
      <c r="A112" s="13" t="s">
        <v>2324</v>
      </c>
      <c r="B112" s="55" t="s">
        <v>2325</v>
      </c>
      <c r="C112" s="13" t="s">
        <v>5133</v>
      </c>
      <c r="D112" s="59">
        <v>46082</v>
      </c>
      <c r="E112" s="63">
        <v>0</v>
      </c>
      <c r="F112" s="54">
        <v>111</v>
      </c>
    </row>
    <row r="113" spans="1:6" x14ac:dyDescent="0.4">
      <c r="A113" s="13" t="s">
        <v>2324</v>
      </c>
      <c r="B113" s="55" t="s">
        <v>2325</v>
      </c>
      <c r="C113" s="13" t="s">
        <v>5133</v>
      </c>
      <c r="D113" s="59">
        <v>46113</v>
      </c>
      <c r="E113" s="63">
        <v>0</v>
      </c>
      <c r="F113" s="13">
        <v>112</v>
      </c>
    </row>
    <row r="114" spans="1:6" x14ac:dyDescent="0.4">
      <c r="A114" s="13" t="s">
        <v>2324</v>
      </c>
      <c r="B114" s="55" t="s">
        <v>2325</v>
      </c>
      <c r="C114" s="13" t="s">
        <v>5133</v>
      </c>
      <c r="D114" s="59">
        <v>46143</v>
      </c>
      <c r="E114" s="63">
        <v>0</v>
      </c>
      <c r="F114" s="54">
        <v>113</v>
      </c>
    </row>
    <row r="115" spans="1:6" x14ac:dyDescent="0.4">
      <c r="A115" s="13" t="s">
        <v>2324</v>
      </c>
      <c r="B115" s="55" t="s">
        <v>2325</v>
      </c>
      <c r="C115" s="13" t="s">
        <v>5133</v>
      </c>
      <c r="D115" s="59">
        <v>46174</v>
      </c>
      <c r="E115" s="63">
        <v>0</v>
      </c>
      <c r="F115" s="13">
        <v>114</v>
      </c>
    </row>
    <row r="116" spans="1:6" x14ac:dyDescent="0.4">
      <c r="A116" s="13" t="s">
        <v>2324</v>
      </c>
      <c r="B116" s="55" t="s">
        <v>2325</v>
      </c>
      <c r="C116" s="13" t="s">
        <v>5133</v>
      </c>
      <c r="D116" s="59">
        <v>46204</v>
      </c>
      <c r="E116" s="63">
        <v>0</v>
      </c>
      <c r="F116" s="54">
        <v>115</v>
      </c>
    </row>
    <row r="117" spans="1:6" x14ac:dyDescent="0.4">
      <c r="A117" s="13" t="s">
        <v>2324</v>
      </c>
      <c r="B117" s="55" t="s">
        <v>2325</v>
      </c>
      <c r="C117" s="13" t="s">
        <v>5133</v>
      </c>
      <c r="D117" s="59">
        <v>46235</v>
      </c>
      <c r="E117" s="63">
        <v>0</v>
      </c>
      <c r="F117" s="13">
        <v>116</v>
      </c>
    </row>
    <row r="118" spans="1:6" x14ac:dyDescent="0.4">
      <c r="A118" s="13" t="s">
        <v>2324</v>
      </c>
      <c r="B118" s="55" t="s">
        <v>2325</v>
      </c>
      <c r="C118" s="13" t="s">
        <v>5133</v>
      </c>
      <c r="D118" s="59">
        <v>46266</v>
      </c>
      <c r="E118" s="63">
        <v>28305</v>
      </c>
      <c r="F118" s="54">
        <v>117</v>
      </c>
    </row>
    <row r="119" spans="1:6" x14ac:dyDescent="0.4">
      <c r="A119" s="13" t="s">
        <v>2324</v>
      </c>
      <c r="B119" s="55" t="s">
        <v>2325</v>
      </c>
      <c r="C119" s="13" t="s">
        <v>5133</v>
      </c>
      <c r="D119" s="59">
        <v>46296</v>
      </c>
      <c r="E119" s="63">
        <v>28305</v>
      </c>
      <c r="F119" s="13">
        <v>118</v>
      </c>
    </row>
    <row r="120" spans="1:6" x14ac:dyDescent="0.4">
      <c r="A120" s="13" t="s">
        <v>2324</v>
      </c>
      <c r="B120" s="55" t="s">
        <v>2325</v>
      </c>
      <c r="C120" s="13" t="s">
        <v>5133</v>
      </c>
      <c r="D120" s="59">
        <v>46327</v>
      </c>
      <c r="E120" s="63">
        <v>37740</v>
      </c>
      <c r="F120" s="54">
        <v>119</v>
      </c>
    </row>
    <row r="121" spans="1:6" x14ac:dyDescent="0.4">
      <c r="A121" s="13" t="s">
        <v>2324</v>
      </c>
      <c r="B121" s="55" t="s">
        <v>2325</v>
      </c>
      <c r="C121" s="13" t="s">
        <v>5133</v>
      </c>
      <c r="D121" s="59">
        <v>46357</v>
      </c>
      <c r="E121" s="63">
        <v>37740</v>
      </c>
      <c r="F121" s="13">
        <v>120</v>
      </c>
    </row>
    <row r="122" spans="1:6" x14ac:dyDescent="0.4">
      <c r="A122" s="13" t="s">
        <v>2324</v>
      </c>
      <c r="B122" s="55" t="s">
        <v>2325</v>
      </c>
      <c r="C122" s="13" t="s">
        <v>5133</v>
      </c>
      <c r="D122" s="59">
        <v>46388</v>
      </c>
      <c r="E122" s="63">
        <v>37740</v>
      </c>
      <c r="F122" s="54">
        <v>121</v>
      </c>
    </row>
    <row r="123" spans="1:6" x14ac:dyDescent="0.4">
      <c r="A123" s="13" t="s">
        <v>2324</v>
      </c>
      <c r="B123" s="55" t="s">
        <v>2325</v>
      </c>
      <c r="C123" s="13" t="s">
        <v>5133</v>
      </c>
      <c r="D123" s="59">
        <v>46419</v>
      </c>
      <c r="E123" s="63">
        <v>37740</v>
      </c>
      <c r="F123" s="13">
        <v>122</v>
      </c>
    </row>
    <row r="124" spans="1:6" x14ac:dyDescent="0.4">
      <c r="A124" s="13" t="s">
        <v>2324</v>
      </c>
      <c r="B124" s="55" t="s">
        <v>2325</v>
      </c>
      <c r="C124" s="13" t="s">
        <v>5133</v>
      </c>
      <c r="D124" s="59">
        <v>46447</v>
      </c>
      <c r="E124" s="63">
        <v>37740</v>
      </c>
      <c r="F124" s="54">
        <v>123</v>
      </c>
    </row>
    <row r="125" spans="1:6" x14ac:dyDescent="0.4">
      <c r="A125" s="13" t="s">
        <v>2324</v>
      </c>
      <c r="B125" s="55" t="s">
        <v>2325</v>
      </c>
      <c r="C125" s="13" t="s">
        <v>5133</v>
      </c>
      <c r="D125" s="59">
        <v>46478</v>
      </c>
      <c r="E125" s="63">
        <v>37740</v>
      </c>
      <c r="F125" s="13">
        <v>124</v>
      </c>
    </row>
    <row r="126" spans="1:6" x14ac:dyDescent="0.4">
      <c r="A126" s="13" t="s">
        <v>2324</v>
      </c>
      <c r="B126" s="55" t="s">
        <v>2325</v>
      </c>
      <c r="C126" s="13" t="s">
        <v>5133</v>
      </c>
      <c r="D126" s="59">
        <v>46508</v>
      </c>
      <c r="E126" s="63">
        <v>37740</v>
      </c>
      <c r="F126" s="54">
        <v>125</v>
      </c>
    </row>
    <row r="127" spans="1:6" x14ac:dyDescent="0.4">
      <c r="A127" s="13" t="s">
        <v>2324</v>
      </c>
      <c r="B127" s="55" t="s">
        <v>2325</v>
      </c>
      <c r="C127" s="13" t="s">
        <v>5133</v>
      </c>
      <c r="D127" s="59">
        <v>46539</v>
      </c>
      <c r="E127" s="63">
        <v>37740</v>
      </c>
      <c r="F127" s="13">
        <v>126</v>
      </c>
    </row>
    <row r="128" spans="1:6" x14ac:dyDescent="0.4">
      <c r="A128" s="13" t="s">
        <v>2324</v>
      </c>
      <c r="B128" s="55" t="s">
        <v>2325</v>
      </c>
      <c r="C128" s="13" t="s">
        <v>5133</v>
      </c>
      <c r="D128" s="59">
        <v>46569</v>
      </c>
      <c r="E128" s="63">
        <v>37740</v>
      </c>
      <c r="F128" s="54">
        <v>127</v>
      </c>
    </row>
    <row r="129" spans="1:6" x14ac:dyDescent="0.4">
      <c r="A129" s="13" t="s">
        <v>2324</v>
      </c>
      <c r="B129" s="55" t="s">
        <v>2325</v>
      </c>
      <c r="C129" s="13" t="s">
        <v>5133</v>
      </c>
      <c r="D129" s="59">
        <v>46600</v>
      </c>
      <c r="E129" s="63">
        <v>37740</v>
      </c>
      <c r="F129" s="13">
        <v>128</v>
      </c>
    </row>
    <row r="130" spans="1:6" x14ac:dyDescent="0.4">
      <c r="A130" s="13" t="s">
        <v>2324</v>
      </c>
      <c r="B130" s="55" t="s">
        <v>2325</v>
      </c>
      <c r="C130" s="13" t="s">
        <v>5133</v>
      </c>
      <c r="D130" s="59">
        <v>46631</v>
      </c>
      <c r="E130" s="63">
        <v>9435</v>
      </c>
      <c r="F130" s="54">
        <v>129</v>
      </c>
    </row>
    <row r="131" spans="1:6" x14ac:dyDescent="0.4">
      <c r="A131" s="13" t="s">
        <v>2324</v>
      </c>
      <c r="B131" s="55" t="s">
        <v>2325</v>
      </c>
      <c r="C131" s="13" t="s">
        <v>5133</v>
      </c>
      <c r="D131" s="59">
        <v>46661</v>
      </c>
      <c r="E131" s="63">
        <v>9435</v>
      </c>
      <c r="F131" s="13">
        <v>130</v>
      </c>
    </row>
    <row r="132" spans="1:6" x14ac:dyDescent="0.4">
      <c r="A132" s="13" t="s">
        <v>2324</v>
      </c>
      <c r="B132" s="55" t="s">
        <v>2325</v>
      </c>
      <c r="C132" s="13" t="s">
        <v>5133</v>
      </c>
      <c r="D132" s="59">
        <v>46692</v>
      </c>
      <c r="E132" s="63">
        <v>0</v>
      </c>
      <c r="F132" s="54">
        <v>131</v>
      </c>
    </row>
    <row r="133" spans="1:6" x14ac:dyDescent="0.4">
      <c r="A133" s="13" t="s">
        <v>2324</v>
      </c>
      <c r="B133" s="55" t="s">
        <v>2325</v>
      </c>
      <c r="C133" s="13" t="s">
        <v>5133</v>
      </c>
      <c r="D133" s="59">
        <v>46722</v>
      </c>
      <c r="E133" s="63">
        <v>0</v>
      </c>
      <c r="F133" s="13">
        <v>132</v>
      </c>
    </row>
    <row r="134" spans="1:6" x14ac:dyDescent="0.4">
      <c r="A134" s="13" t="s">
        <v>2324</v>
      </c>
      <c r="B134" s="13" t="s">
        <v>2345</v>
      </c>
      <c r="C134" s="10" t="s">
        <v>25</v>
      </c>
      <c r="D134" s="59">
        <v>46082</v>
      </c>
      <c r="E134" s="63">
        <v>0</v>
      </c>
      <c r="F134" s="54">
        <v>133</v>
      </c>
    </row>
    <row r="135" spans="1:6" x14ac:dyDescent="0.4">
      <c r="A135" s="13" t="s">
        <v>2324</v>
      </c>
      <c r="B135" s="13" t="s">
        <v>2345</v>
      </c>
      <c r="C135" s="10" t="s">
        <v>25</v>
      </c>
      <c r="D135" s="59">
        <v>46113</v>
      </c>
      <c r="E135" s="6">
        <v>748440</v>
      </c>
      <c r="F135" s="13">
        <v>134</v>
      </c>
    </row>
    <row r="136" spans="1:6" x14ac:dyDescent="0.4">
      <c r="A136" s="13" t="s">
        <v>2324</v>
      </c>
      <c r="B136" s="13" t="s">
        <v>2345</v>
      </c>
      <c r="C136" s="10" t="s">
        <v>25</v>
      </c>
      <c r="D136" s="59">
        <v>46143</v>
      </c>
      <c r="E136" s="6">
        <v>953370</v>
      </c>
      <c r="F136" s="54">
        <v>135</v>
      </c>
    </row>
    <row r="137" spans="1:6" x14ac:dyDescent="0.4">
      <c r="A137" s="13" t="s">
        <v>2324</v>
      </c>
      <c r="B137" s="13" t="s">
        <v>2345</v>
      </c>
      <c r="C137" s="10" t="s">
        <v>25</v>
      </c>
      <c r="D137" s="59">
        <v>46174</v>
      </c>
      <c r="E137" s="6">
        <v>989010</v>
      </c>
      <c r="F137" s="13">
        <v>136</v>
      </c>
    </row>
    <row r="138" spans="1:6" x14ac:dyDescent="0.4">
      <c r="A138" s="13" t="s">
        <v>2324</v>
      </c>
      <c r="B138" s="13" t="s">
        <v>2345</v>
      </c>
      <c r="C138" s="10" t="s">
        <v>25</v>
      </c>
      <c r="D138" s="59">
        <v>46204</v>
      </c>
      <c r="E138" s="6">
        <v>240570</v>
      </c>
      <c r="F138" s="54">
        <v>137</v>
      </c>
    </row>
    <row r="139" spans="1:6" x14ac:dyDescent="0.4">
      <c r="A139" s="13" t="s">
        <v>2324</v>
      </c>
      <c r="B139" s="13" t="s">
        <v>2345</v>
      </c>
      <c r="C139" s="10" t="s">
        <v>25</v>
      </c>
      <c r="D139" s="59">
        <v>46235</v>
      </c>
      <c r="E139" s="6">
        <v>35640</v>
      </c>
      <c r="F139" s="13">
        <v>138</v>
      </c>
    </row>
    <row r="140" spans="1:6" x14ac:dyDescent="0.4">
      <c r="A140" s="13" t="s">
        <v>2324</v>
      </c>
      <c r="B140" s="13" t="s">
        <v>2345</v>
      </c>
      <c r="C140" s="10" t="s">
        <v>25</v>
      </c>
      <c r="D140" s="59">
        <v>46266</v>
      </c>
      <c r="E140" s="6">
        <v>0</v>
      </c>
      <c r="F140" s="54">
        <v>139</v>
      </c>
    </row>
    <row r="141" spans="1:6" x14ac:dyDescent="0.4">
      <c r="A141" s="13" t="s">
        <v>2324</v>
      </c>
      <c r="B141" s="13" t="s">
        <v>2345</v>
      </c>
      <c r="C141" s="10" t="s">
        <v>25</v>
      </c>
      <c r="D141" s="59">
        <v>46296</v>
      </c>
      <c r="E141" s="6">
        <v>0</v>
      </c>
      <c r="F141" s="13">
        <v>140</v>
      </c>
    </row>
    <row r="142" spans="1:6" x14ac:dyDescent="0.4">
      <c r="A142" s="13" t="s">
        <v>2324</v>
      </c>
      <c r="B142" s="13" t="s">
        <v>2345</v>
      </c>
      <c r="C142" s="10" t="s">
        <v>25</v>
      </c>
      <c r="D142" s="59">
        <v>46327</v>
      </c>
      <c r="E142" s="6">
        <v>0</v>
      </c>
      <c r="F142" s="54">
        <v>141</v>
      </c>
    </row>
    <row r="143" spans="1:6" x14ac:dyDescent="0.4">
      <c r="A143" s="13" t="s">
        <v>2324</v>
      </c>
      <c r="B143" s="13" t="s">
        <v>2345</v>
      </c>
      <c r="C143" s="10" t="s">
        <v>25</v>
      </c>
      <c r="D143" s="59">
        <v>46357</v>
      </c>
      <c r="E143" s="6">
        <v>0</v>
      </c>
      <c r="F143" s="13">
        <v>142</v>
      </c>
    </row>
    <row r="144" spans="1:6" x14ac:dyDescent="0.4">
      <c r="A144" s="13" t="s">
        <v>2324</v>
      </c>
      <c r="B144" s="13" t="s">
        <v>2345</v>
      </c>
      <c r="C144" s="10" t="s">
        <v>25</v>
      </c>
      <c r="D144" s="59">
        <v>46388</v>
      </c>
      <c r="E144" s="6">
        <v>0</v>
      </c>
      <c r="F144" s="54">
        <v>143</v>
      </c>
    </row>
    <row r="145" spans="1:6" x14ac:dyDescent="0.4">
      <c r="A145" s="13" t="s">
        <v>2324</v>
      </c>
      <c r="B145" s="13" t="s">
        <v>2345</v>
      </c>
      <c r="C145" s="10" t="s">
        <v>25</v>
      </c>
      <c r="D145" s="59">
        <v>46419</v>
      </c>
      <c r="E145" s="6">
        <v>0</v>
      </c>
      <c r="F145" s="13">
        <v>144</v>
      </c>
    </row>
    <row r="146" spans="1:6" x14ac:dyDescent="0.4">
      <c r="A146" s="13" t="s">
        <v>2324</v>
      </c>
      <c r="B146" s="13" t="s">
        <v>2345</v>
      </c>
      <c r="C146" s="10" t="s">
        <v>25</v>
      </c>
      <c r="D146" s="59">
        <v>46447</v>
      </c>
      <c r="E146" s="6">
        <v>0</v>
      </c>
      <c r="F146" s="54">
        <v>145</v>
      </c>
    </row>
    <row r="147" spans="1:6" x14ac:dyDescent="0.4">
      <c r="A147" s="13" t="s">
        <v>2324</v>
      </c>
      <c r="B147" s="13" t="s">
        <v>2345</v>
      </c>
      <c r="C147" s="10" t="s">
        <v>25</v>
      </c>
      <c r="D147" s="59">
        <v>46478</v>
      </c>
      <c r="E147" s="6">
        <v>0</v>
      </c>
      <c r="F147" s="13">
        <v>146</v>
      </c>
    </row>
    <row r="148" spans="1:6" x14ac:dyDescent="0.4">
      <c r="A148" s="13" t="s">
        <v>2324</v>
      </c>
      <c r="B148" s="13" t="s">
        <v>2345</v>
      </c>
      <c r="C148" s="10" t="s">
        <v>25</v>
      </c>
      <c r="D148" s="59">
        <v>46508</v>
      </c>
      <c r="E148" s="6">
        <v>0</v>
      </c>
      <c r="F148" s="54">
        <v>147</v>
      </c>
    </row>
    <row r="149" spans="1:6" x14ac:dyDescent="0.4">
      <c r="A149" s="13" t="s">
        <v>2324</v>
      </c>
      <c r="B149" s="13" t="s">
        <v>2345</v>
      </c>
      <c r="C149" s="10" t="s">
        <v>25</v>
      </c>
      <c r="D149" s="59">
        <v>46539</v>
      </c>
      <c r="E149" s="6">
        <v>0</v>
      </c>
      <c r="F149" s="13">
        <v>148</v>
      </c>
    </row>
    <row r="150" spans="1:6" x14ac:dyDescent="0.4">
      <c r="A150" s="13" t="s">
        <v>2324</v>
      </c>
      <c r="B150" s="13" t="s">
        <v>2345</v>
      </c>
      <c r="C150" s="10" t="s">
        <v>25</v>
      </c>
      <c r="D150" s="59">
        <v>46569</v>
      </c>
      <c r="E150" s="6">
        <v>0</v>
      </c>
      <c r="F150" s="54">
        <v>149</v>
      </c>
    </row>
    <row r="151" spans="1:6" x14ac:dyDescent="0.4">
      <c r="A151" s="13" t="s">
        <v>2324</v>
      </c>
      <c r="B151" s="13" t="s">
        <v>2345</v>
      </c>
      <c r="C151" s="10" t="s">
        <v>25</v>
      </c>
      <c r="D151" s="59">
        <v>46600</v>
      </c>
      <c r="E151" s="6">
        <v>0</v>
      </c>
      <c r="F151" s="13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46631</v>
      </c>
      <c r="E152" s="6">
        <v>0</v>
      </c>
      <c r="F152" s="54">
        <v>151</v>
      </c>
    </row>
    <row r="153" spans="1:6" x14ac:dyDescent="0.4">
      <c r="A153" s="13" t="s">
        <v>2324</v>
      </c>
      <c r="B153" s="13" t="s">
        <v>2345</v>
      </c>
      <c r="C153" s="10" t="s">
        <v>25</v>
      </c>
      <c r="D153" s="59">
        <v>46661</v>
      </c>
      <c r="E153" s="6">
        <v>0</v>
      </c>
      <c r="F153" s="13">
        <v>152</v>
      </c>
    </row>
    <row r="154" spans="1:6" x14ac:dyDescent="0.4">
      <c r="A154" s="13" t="s">
        <v>2324</v>
      </c>
      <c r="B154" s="13" t="s">
        <v>2345</v>
      </c>
      <c r="C154" s="10" t="s">
        <v>25</v>
      </c>
      <c r="D154" s="59">
        <v>46692</v>
      </c>
      <c r="E154" s="6">
        <v>0</v>
      </c>
      <c r="F154" s="54">
        <v>153</v>
      </c>
    </row>
    <row r="155" spans="1:6" x14ac:dyDescent="0.4">
      <c r="A155" s="13" t="s">
        <v>2324</v>
      </c>
      <c r="B155" s="13" t="s">
        <v>2345</v>
      </c>
      <c r="C155" s="10" t="s">
        <v>25</v>
      </c>
      <c r="D155" s="59">
        <v>46722</v>
      </c>
      <c r="E155" s="6">
        <v>0</v>
      </c>
      <c r="F155" s="13">
        <v>154</v>
      </c>
    </row>
    <row r="156" spans="1:6" x14ac:dyDescent="0.4">
      <c r="A156" s="13" t="s">
        <v>2324</v>
      </c>
      <c r="B156" s="13" t="s">
        <v>2345</v>
      </c>
      <c r="C156" s="13" t="s">
        <v>44</v>
      </c>
      <c r="D156" s="59">
        <v>46082</v>
      </c>
      <c r="E156" s="6">
        <v>0</v>
      </c>
      <c r="F156" s="54">
        <v>155</v>
      </c>
    </row>
    <row r="157" spans="1:6" x14ac:dyDescent="0.4">
      <c r="A157" s="13" t="s">
        <v>2324</v>
      </c>
      <c r="B157" s="13" t="s">
        <v>2345</v>
      </c>
      <c r="C157" s="13" t="s">
        <v>44</v>
      </c>
      <c r="D157" s="59">
        <v>46113</v>
      </c>
      <c r="E157" s="6">
        <v>85725</v>
      </c>
      <c r="F157" s="13">
        <v>156</v>
      </c>
    </row>
    <row r="158" spans="1:6" x14ac:dyDescent="0.4">
      <c r="A158" s="13" t="s">
        <v>2324</v>
      </c>
      <c r="B158" s="13" t="s">
        <v>2345</v>
      </c>
      <c r="C158" s="13" t="s">
        <v>44</v>
      </c>
      <c r="D158" s="59">
        <v>46143</v>
      </c>
      <c r="E158" s="6">
        <v>917257</v>
      </c>
      <c r="F158" s="54">
        <v>157</v>
      </c>
    </row>
    <row r="159" spans="1:6" x14ac:dyDescent="0.4">
      <c r="A159" s="13" t="s">
        <v>2324</v>
      </c>
      <c r="B159" s="13" t="s">
        <v>2345</v>
      </c>
      <c r="C159" s="13" t="s">
        <v>44</v>
      </c>
      <c r="D159" s="59">
        <v>46174</v>
      </c>
      <c r="E159" s="6">
        <v>985837</v>
      </c>
      <c r="F159" s="13">
        <v>158</v>
      </c>
    </row>
    <row r="160" spans="1:6" x14ac:dyDescent="0.4">
      <c r="A160" s="13" t="s">
        <v>2324</v>
      </c>
      <c r="B160" s="13" t="s">
        <v>2345</v>
      </c>
      <c r="C160" s="13" t="s">
        <v>44</v>
      </c>
      <c r="D160" s="59">
        <v>46204</v>
      </c>
      <c r="E160" s="6">
        <v>4431982</v>
      </c>
      <c r="F160" s="54">
        <v>159</v>
      </c>
    </row>
    <row r="161" spans="1:6" x14ac:dyDescent="0.4">
      <c r="A161" s="13" t="s">
        <v>2324</v>
      </c>
      <c r="B161" s="13" t="s">
        <v>2345</v>
      </c>
      <c r="C161" s="13" t="s">
        <v>44</v>
      </c>
      <c r="D161" s="59">
        <v>46235</v>
      </c>
      <c r="E161" s="6">
        <v>4517707</v>
      </c>
      <c r="F161" s="13">
        <v>160</v>
      </c>
    </row>
    <row r="162" spans="1:6" x14ac:dyDescent="0.4">
      <c r="A162" s="13" t="s">
        <v>2324</v>
      </c>
      <c r="B162" s="13" t="s">
        <v>2345</v>
      </c>
      <c r="C162" s="13" t="s">
        <v>44</v>
      </c>
      <c r="D162" s="59">
        <v>46266</v>
      </c>
      <c r="E162" s="6">
        <v>4654867</v>
      </c>
      <c r="F162" s="54">
        <v>161</v>
      </c>
    </row>
    <row r="163" spans="1:6" x14ac:dyDescent="0.4">
      <c r="A163" s="13" t="s">
        <v>2324</v>
      </c>
      <c r="B163" s="13" t="s">
        <v>2345</v>
      </c>
      <c r="C163" s="13" t="s">
        <v>44</v>
      </c>
      <c r="D163" s="59">
        <v>46296</v>
      </c>
      <c r="E163" s="6">
        <v>4586287</v>
      </c>
      <c r="F163" s="13">
        <v>162</v>
      </c>
    </row>
    <row r="164" spans="1:6" x14ac:dyDescent="0.4">
      <c r="A164" s="13" t="s">
        <v>2324</v>
      </c>
      <c r="B164" s="13" t="s">
        <v>2345</v>
      </c>
      <c r="C164" s="13" t="s">
        <v>44</v>
      </c>
      <c r="D164" s="59">
        <v>46327</v>
      </c>
      <c r="E164" s="6">
        <v>3754755</v>
      </c>
      <c r="F164" s="54">
        <v>163</v>
      </c>
    </row>
    <row r="165" spans="1:6" x14ac:dyDescent="0.4">
      <c r="A165" s="13" t="s">
        <v>2324</v>
      </c>
      <c r="B165" s="13" t="s">
        <v>2345</v>
      </c>
      <c r="C165" s="13" t="s">
        <v>44</v>
      </c>
      <c r="D165" s="59">
        <v>46357</v>
      </c>
      <c r="E165" s="6">
        <v>3686175</v>
      </c>
      <c r="F165" s="13">
        <v>164</v>
      </c>
    </row>
    <row r="166" spans="1:6" x14ac:dyDescent="0.4">
      <c r="A166" s="13" t="s">
        <v>2324</v>
      </c>
      <c r="B166" s="13" t="s">
        <v>2345</v>
      </c>
      <c r="C166" s="13" t="s">
        <v>44</v>
      </c>
      <c r="D166" s="59">
        <v>46388</v>
      </c>
      <c r="E166" s="6">
        <v>240030</v>
      </c>
      <c r="F166" s="54">
        <v>165</v>
      </c>
    </row>
    <row r="167" spans="1:6" x14ac:dyDescent="0.4">
      <c r="A167" s="13" t="s">
        <v>2324</v>
      </c>
      <c r="B167" s="13" t="s">
        <v>2345</v>
      </c>
      <c r="C167" s="13" t="s">
        <v>44</v>
      </c>
      <c r="D167" s="59">
        <v>46419</v>
      </c>
      <c r="E167" s="6">
        <v>154305</v>
      </c>
      <c r="F167" s="13">
        <v>166</v>
      </c>
    </row>
    <row r="168" spans="1:6" x14ac:dyDescent="0.4">
      <c r="A168" s="13" t="s">
        <v>2324</v>
      </c>
      <c r="B168" s="13" t="s">
        <v>2345</v>
      </c>
      <c r="C168" s="13" t="s">
        <v>44</v>
      </c>
      <c r="D168" s="59">
        <v>46447</v>
      </c>
      <c r="E168" s="6">
        <v>17145</v>
      </c>
      <c r="F168" s="54">
        <v>167</v>
      </c>
    </row>
    <row r="169" spans="1:6" x14ac:dyDescent="0.4">
      <c r="A169" s="13" t="s">
        <v>2324</v>
      </c>
      <c r="B169" s="13" t="s">
        <v>2345</v>
      </c>
      <c r="C169" s="13" t="s">
        <v>44</v>
      </c>
      <c r="D169" s="59">
        <v>46478</v>
      </c>
      <c r="E169" s="6">
        <v>0</v>
      </c>
      <c r="F169" s="13">
        <v>168</v>
      </c>
    </row>
    <row r="170" spans="1:6" x14ac:dyDescent="0.4">
      <c r="A170" s="13" t="s">
        <v>2324</v>
      </c>
      <c r="B170" s="13" t="s">
        <v>2345</v>
      </c>
      <c r="C170" s="13" t="s">
        <v>44</v>
      </c>
      <c r="D170" s="59">
        <v>46508</v>
      </c>
      <c r="E170" s="6">
        <v>0</v>
      </c>
      <c r="F170" s="54">
        <v>169</v>
      </c>
    </row>
    <row r="171" spans="1:6" x14ac:dyDescent="0.4">
      <c r="A171" s="13" t="s">
        <v>2324</v>
      </c>
      <c r="B171" s="13" t="s">
        <v>2345</v>
      </c>
      <c r="C171" s="13" t="s">
        <v>44</v>
      </c>
      <c r="D171" s="59">
        <v>46539</v>
      </c>
      <c r="E171" s="6">
        <v>0</v>
      </c>
      <c r="F171" s="13">
        <v>170</v>
      </c>
    </row>
    <row r="172" spans="1:6" x14ac:dyDescent="0.4">
      <c r="A172" s="13" t="s">
        <v>2324</v>
      </c>
      <c r="B172" s="13" t="s">
        <v>2345</v>
      </c>
      <c r="C172" s="13" t="s">
        <v>44</v>
      </c>
      <c r="D172" s="59">
        <v>46569</v>
      </c>
      <c r="E172" s="6">
        <v>0</v>
      </c>
      <c r="F172" s="54">
        <v>171</v>
      </c>
    </row>
    <row r="173" spans="1:6" x14ac:dyDescent="0.4">
      <c r="A173" s="13" t="s">
        <v>2324</v>
      </c>
      <c r="B173" s="13" t="s">
        <v>2345</v>
      </c>
      <c r="C173" s="13" t="s">
        <v>44</v>
      </c>
      <c r="D173" s="59">
        <v>46600</v>
      </c>
      <c r="E173" s="6">
        <v>0</v>
      </c>
      <c r="F173" s="13">
        <v>172</v>
      </c>
    </row>
    <row r="174" spans="1:6" x14ac:dyDescent="0.4">
      <c r="A174" s="13" t="s">
        <v>2324</v>
      </c>
      <c r="B174" s="13" t="s">
        <v>2345</v>
      </c>
      <c r="C174" s="13" t="s">
        <v>44</v>
      </c>
      <c r="D174" s="59">
        <v>46631</v>
      </c>
      <c r="E174" s="6">
        <v>0</v>
      </c>
      <c r="F174" s="54">
        <v>173</v>
      </c>
    </row>
    <row r="175" spans="1:6" x14ac:dyDescent="0.4">
      <c r="A175" s="13" t="s">
        <v>2324</v>
      </c>
      <c r="B175" s="13" t="s">
        <v>2345</v>
      </c>
      <c r="C175" s="13" t="s">
        <v>44</v>
      </c>
      <c r="D175" s="59">
        <v>46661</v>
      </c>
      <c r="E175" s="6">
        <v>0</v>
      </c>
      <c r="F175" s="13">
        <v>174</v>
      </c>
    </row>
    <row r="176" spans="1:6" x14ac:dyDescent="0.4">
      <c r="A176" s="13" t="s">
        <v>2324</v>
      </c>
      <c r="B176" s="13" t="s">
        <v>2345</v>
      </c>
      <c r="C176" s="13" t="s">
        <v>44</v>
      </c>
      <c r="D176" s="59">
        <v>46692</v>
      </c>
      <c r="E176" s="6">
        <v>0</v>
      </c>
      <c r="F176" s="54">
        <v>175</v>
      </c>
    </row>
    <row r="177" spans="1:6" x14ac:dyDescent="0.4">
      <c r="A177" s="13" t="s">
        <v>2324</v>
      </c>
      <c r="B177" s="13" t="s">
        <v>2345</v>
      </c>
      <c r="C177" s="13" t="s">
        <v>44</v>
      </c>
      <c r="D177" s="59">
        <v>46722</v>
      </c>
      <c r="E177" s="6">
        <v>0</v>
      </c>
      <c r="F177" s="13">
        <v>176</v>
      </c>
    </row>
    <row r="178" spans="1:6" x14ac:dyDescent="0.4">
      <c r="A178" s="13" t="s">
        <v>2324</v>
      </c>
      <c r="B178" s="13" t="s">
        <v>2345</v>
      </c>
      <c r="C178" s="13" t="s">
        <v>1944</v>
      </c>
      <c r="D178" s="59">
        <v>46082</v>
      </c>
      <c r="E178" s="6">
        <v>0</v>
      </c>
      <c r="F178" s="54">
        <v>177</v>
      </c>
    </row>
    <row r="179" spans="1:6" x14ac:dyDescent="0.4">
      <c r="A179" s="13" t="s">
        <v>2324</v>
      </c>
      <c r="B179" s="13" t="s">
        <v>2345</v>
      </c>
      <c r="C179" s="13" t="s">
        <v>1944</v>
      </c>
      <c r="D179" s="59">
        <v>46113</v>
      </c>
      <c r="E179" s="6">
        <v>0</v>
      </c>
      <c r="F179" s="13">
        <v>178</v>
      </c>
    </row>
    <row r="180" spans="1:6" x14ac:dyDescent="0.4">
      <c r="A180" s="13" t="s">
        <v>2324</v>
      </c>
      <c r="B180" s="13" t="s">
        <v>2345</v>
      </c>
      <c r="C180" s="13" t="s">
        <v>1944</v>
      </c>
      <c r="D180" s="59">
        <v>46143</v>
      </c>
      <c r="E180" s="6">
        <v>25474</v>
      </c>
      <c r="F180" s="54">
        <v>179</v>
      </c>
    </row>
    <row r="181" spans="1:6" x14ac:dyDescent="0.4">
      <c r="A181" s="13" t="s">
        <v>2324</v>
      </c>
      <c r="B181" s="13" t="s">
        <v>2345</v>
      </c>
      <c r="C181" s="13" t="s">
        <v>1944</v>
      </c>
      <c r="D181" s="59">
        <v>46174</v>
      </c>
      <c r="E181" s="6">
        <v>50949</v>
      </c>
      <c r="F181" s="13">
        <v>180</v>
      </c>
    </row>
    <row r="182" spans="1:6" x14ac:dyDescent="0.4">
      <c r="A182" s="13" t="s">
        <v>2324</v>
      </c>
      <c r="B182" s="13" t="s">
        <v>2345</v>
      </c>
      <c r="C182" s="13" t="s">
        <v>1944</v>
      </c>
      <c r="D182" s="59">
        <v>46204</v>
      </c>
      <c r="E182" s="6">
        <v>59440</v>
      </c>
      <c r="F182" s="54">
        <v>181</v>
      </c>
    </row>
    <row r="183" spans="1:6" x14ac:dyDescent="0.4">
      <c r="A183" s="13" t="s">
        <v>2324</v>
      </c>
      <c r="B183" s="13" t="s">
        <v>2345</v>
      </c>
      <c r="C183" s="13" t="s">
        <v>1944</v>
      </c>
      <c r="D183" s="59">
        <v>46235</v>
      </c>
      <c r="E183" s="6">
        <v>63686</v>
      </c>
      <c r="F183" s="13">
        <v>182</v>
      </c>
    </row>
    <row r="184" spans="1:6" x14ac:dyDescent="0.4">
      <c r="A184" s="13" t="s">
        <v>2324</v>
      </c>
      <c r="B184" s="13" t="s">
        <v>2345</v>
      </c>
      <c r="C184" s="13" t="s">
        <v>1944</v>
      </c>
      <c r="D184" s="59">
        <v>46266</v>
      </c>
      <c r="E184" s="6">
        <v>131618</v>
      </c>
      <c r="F184" s="54">
        <v>183</v>
      </c>
    </row>
    <row r="185" spans="1:6" x14ac:dyDescent="0.4">
      <c r="A185" s="13" t="s">
        <v>2324</v>
      </c>
      <c r="B185" s="13" t="s">
        <v>2345</v>
      </c>
      <c r="C185" s="13" t="s">
        <v>1944</v>
      </c>
      <c r="D185" s="59">
        <v>46296</v>
      </c>
      <c r="E185" s="6">
        <v>216533</v>
      </c>
      <c r="F185" s="13">
        <v>184</v>
      </c>
    </row>
    <row r="186" spans="1:6" x14ac:dyDescent="0.4">
      <c r="A186" s="13" t="s">
        <v>2324</v>
      </c>
      <c r="B186" s="13" t="s">
        <v>2345</v>
      </c>
      <c r="C186" s="13" t="s">
        <v>1944</v>
      </c>
      <c r="D186" s="59">
        <v>46327</v>
      </c>
      <c r="E186" s="6">
        <v>216533</v>
      </c>
      <c r="F186" s="54">
        <v>185</v>
      </c>
    </row>
    <row r="187" spans="1:6" x14ac:dyDescent="0.4">
      <c r="A187" s="13" t="s">
        <v>2324</v>
      </c>
      <c r="B187" s="13" t="s">
        <v>2345</v>
      </c>
      <c r="C187" s="13" t="s">
        <v>1944</v>
      </c>
      <c r="D187" s="59">
        <v>46357</v>
      </c>
      <c r="E187" s="6">
        <v>216533</v>
      </c>
      <c r="F187" s="13">
        <v>186</v>
      </c>
    </row>
    <row r="188" spans="1:6" x14ac:dyDescent="0.4">
      <c r="A188" s="13" t="s">
        <v>2324</v>
      </c>
      <c r="B188" s="13" t="s">
        <v>2345</v>
      </c>
      <c r="C188" s="13" t="s">
        <v>1944</v>
      </c>
      <c r="D188" s="59">
        <v>46388</v>
      </c>
      <c r="E188" s="6">
        <v>220779</v>
      </c>
      <c r="F188" s="54">
        <v>187</v>
      </c>
    </row>
    <row r="189" spans="1:6" x14ac:dyDescent="0.4">
      <c r="A189" s="13" t="s">
        <v>2324</v>
      </c>
      <c r="B189" s="13" t="s">
        <v>2345</v>
      </c>
      <c r="C189" s="13" t="s">
        <v>1944</v>
      </c>
      <c r="D189" s="59">
        <v>46419</v>
      </c>
      <c r="E189" s="6">
        <v>220779</v>
      </c>
      <c r="F189" s="13">
        <v>188</v>
      </c>
    </row>
    <row r="190" spans="1:6" x14ac:dyDescent="0.4">
      <c r="A190" s="13" t="s">
        <v>2324</v>
      </c>
      <c r="B190" s="13" t="s">
        <v>2345</v>
      </c>
      <c r="C190" s="13" t="s">
        <v>1944</v>
      </c>
      <c r="D190" s="59">
        <v>46447</v>
      </c>
      <c r="E190" s="6">
        <v>220779</v>
      </c>
      <c r="F190" s="54">
        <v>189</v>
      </c>
    </row>
    <row r="191" spans="1:6" x14ac:dyDescent="0.4">
      <c r="A191" s="13" t="s">
        <v>2324</v>
      </c>
      <c r="B191" s="13" t="s">
        <v>2345</v>
      </c>
      <c r="C191" s="13" t="s">
        <v>1944</v>
      </c>
      <c r="D191" s="59">
        <v>46478</v>
      </c>
      <c r="E191" s="6">
        <v>220779</v>
      </c>
      <c r="F191" s="13">
        <v>190</v>
      </c>
    </row>
    <row r="192" spans="1:6" x14ac:dyDescent="0.4">
      <c r="A192" s="13" t="s">
        <v>2324</v>
      </c>
      <c r="B192" s="13" t="s">
        <v>2345</v>
      </c>
      <c r="C192" s="13" t="s">
        <v>1944</v>
      </c>
      <c r="D192" s="59">
        <v>46508</v>
      </c>
      <c r="E192" s="6">
        <v>195304</v>
      </c>
      <c r="F192" s="54">
        <v>191</v>
      </c>
    </row>
    <row r="193" spans="1:6" x14ac:dyDescent="0.4">
      <c r="A193" s="13" t="s">
        <v>2324</v>
      </c>
      <c r="B193" s="13" t="s">
        <v>2345</v>
      </c>
      <c r="C193" s="13" t="s">
        <v>1944</v>
      </c>
      <c r="D193" s="59">
        <v>46539</v>
      </c>
      <c r="E193" s="6">
        <v>169830</v>
      </c>
      <c r="F193" s="13">
        <v>192</v>
      </c>
    </row>
    <row r="194" spans="1:6" x14ac:dyDescent="0.4">
      <c r="A194" s="13" t="s">
        <v>2324</v>
      </c>
      <c r="B194" s="13" t="s">
        <v>2345</v>
      </c>
      <c r="C194" s="13" t="s">
        <v>1944</v>
      </c>
      <c r="D194" s="59">
        <v>46569</v>
      </c>
      <c r="E194" s="6">
        <v>161338</v>
      </c>
      <c r="F194" s="54">
        <v>193</v>
      </c>
    </row>
    <row r="195" spans="1:6" x14ac:dyDescent="0.4">
      <c r="A195" s="13" t="s">
        <v>2324</v>
      </c>
      <c r="B195" s="13" t="s">
        <v>2345</v>
      </c>
      <c r="C195" s="13" t="s">
        <v>1944</v>
      </c>
      <c r="D195" s="59">
        <v>46600</v>
      </c>
      <c r="E195" s="6">
        <v>157092</v>
      </c>
      <c r="F195" s="13">
        <v>194</v>
      </c>
    </row>
    <row r="196" spans="1:6" x14ac:dyDescent="0.4">
      <c r="A196" s="13" t="s">
        <v>2324</v>
      </c>
      <c r="B196" s="13" t="s">
        <v>2345</v>
      </c>
      <c r="C196" s="13" t="s">
        <v>1944</v>
      </c>
      <c r="D196" s="59">
        <v>46631</v>
      </c>
      <c r="E196" s="6">
        <v>89160</v>
      </c>
      <c r="F196" s="54">
        <v>195</v>
      </c>
    </row>
    <row r="197" spans="1:6" x14ac:dyDescent="0.4">
      <c r="A197" s="13" t="s">
        <v>2324</v>
      </c>
      <c r="B197" s="13" t="s">
        <v>2345</v>
      </c>
      <c r="C197" s="13" t="s">
        <v>1944</v>
      </c>
      <c r="D197" s="59">
        <v>46661</v>
      </c>
      <c r="E197" s="6">
        <v>4245</v>
      </c>
      <c r="F197" s="13">
        <v>196</v>
      </c>
    </row>
    <row r="198" spans="1:6" x14ac:dyDescent="0.4">
      <c r="A198" s="13" t="s">
        <v>2324</v>
      </c>
      <c r="B198" s="13" t="s">
        <v>2345</v>
      </c>
      <c r="C198" s="13" t="s">
        <v>1944</v>
      </c>
      <c r="D198" s="59">
        <v>46692</v>
      </c>
      <c r="E198" s="6">
        <v>4245</v>
      </c>
      <c r="F198" s="54">
        <v>197</v>
      </c>
    </row>
    <row r="199" spans="1:6" x14ac:dyDescent="0.4">
      <c r="A199" s="13" t="s">
        <v>2324</v>
      </c>
      <c r="B199" s="13" t="s">
        <v>2345</v>
      </c>
      <c r="C199" s="13" t="s">
        <v>1944</v>
      </c>
      <c r="D199" s="59">
        <v>46722</v>
      </c>
      <c r="E199" s="6">
        <v>4245</v>
      </c>
      <c r="F199" s="13">
        <v>198</v>
      </c>
    </row>
    <row r="200" spans="1:6" x14ac:dyDescent="0.4">
      <c r="A200" s="13" t="s">
        <v>2324</v>
      </c>
      <c r="B200" s="13" t="s">
        <v>2345</v>
      </c>
      <c r="C200" s="13" t="s">
        <v>70</v>
      </c>
      <c r="D200" s="59">
        <v>46082</v>
      </c>
      <c r="E200" s="6">
        <v>0</v>
      </c>
      <c r="F200" s="54">
        <v>199</v>
      </c>
    </row>
    <row r="201" spans="1:6" x14ac:dyDescent="0.4">
      <c r="A201" s="13" t="s">
        <v>2324</v>
      </c>
      <c r="B201" s="13" t="s">
        <v>2345</v>
      </c>
      <c r="C201" s="13" t="s">
        <v>70</v>
      </c>
      <c r="D201" s="59">
        <v>46113</v>
      </c>
      <c r="E201" s="6">
        <v>26730</v>
      </c>
      <c r="F201" s="13">
        <v>200</v>
      </c>
    </row>
    <row r="202" spans="1:6" x14ac:dyDescent="0.4">
      <c r="A202" s="13" t="s">
        <v>2324</v>
      </c>
      <c r="B202" s="13" t="s">
        <v>2345</v>
      </c>
      <c r="C202" s="13" t="s">
        <v>70</v>
      </c>
      <c r="D202" s="59">
        <v>46143</v>
      </c>
      <c r="E202" s="6">
        <v>26730</v>
      </c>
      <c r="F202" s="54">
        <v>201</v>
      </c>
    </row>
    <row r="203" spans="1:6" x14ac:dyDescent="0.4">
      <c r="A203" s="13" t="s">
        <v>2324</v>
      </c>
      <c r="B203" s="13" t="s">
        <v>2345</v>
      </c>
      <c r="C203" s="13" t="s">
        <v>70</v>
      </c>
      <c r="D203" s="59">
        <v>46174</v>
      </c>
      <c r="E203" s="6">
        <v>26730</v>
      </c>
      <c r="F203" s="13">
        <v>202</v>
      </c>
    </row>
    <row r="204" spans="1:6" x14ac:dyDescent="0.4">
      <c r="A204" s="13" t="s">
        <v>2324</v>
      </c>
      <c r="B204" s="13" t="s">
        <v>2345</v>
      </c>
      <c r="C204" s="13" t="s">
        <v>70</v>
      </c>
      <c r="D204" s="59">
        <v>46204</v>
      </c>
      <c r="E204" s="6">
        <v>0</v>
      </c>
      <c r="F204" s="54">
        <v>203</v>
      </c>
    </row>
    <row r="205" spans="1:6" x14ac:dyDescent="0.4">
      <c r="A205" s="13" t="s">
        <v>2324</v>
      </c>
      <c r="B205" s="13" t="s">
        <v>2345</v>
      </c>
      <c r="C205" s="13" t="s">
        <v>70</v>
      </c>
      <c r="D205" s="59">
        <v>46235</v>
      </c>
      <c r="E205" s="6">
        <v>0</v>
      </c>
      <c r="F205" s="13">
        <v>204</v>
      </c>
    </row>
    <row r="206" spans="1:6" x14ac:dyDescent="0.4">
      <c r="A206" s="13" t="s">
        <v>2324</v>
      </c>
      <c r="B206" s="13" t="s">
        <v>2345</v>
      </c>
      <c r="C206" s="13" t="s">
        <v>70</v>
      </c>
      <c r="D206" s="59">
        <v>46266</v>
      </c>
      <c r="E206" s="6">
        <v>0</v>
      </c>
      <c r="F206" s="54">
        <v>205</v>
      </c>
    </row>
    <row r="207" spans="1:6" x14ac:dyDescent="0.4">
      <c r="A207" s="13" t="s">
        <v>2324</v>
      </c>
      <c r="B207" s="13" t="s">
        <v>2345</v>
      </c>
      <c r="C207" s="13" t="s">
        <v>70</v>
      </c>
      <c r="D207" s="59">
        <v>46296</v>
      </c>
      <c r="E207" s="6">
        <v>0</v>
      </c>
      <c r="F207" s="13">
        <v>206</v>
      </c>
    </row>
    <row r="208" spans="1:6" x14ac:dyDescent="0.4">
      <c r="A208" s="13" t="s">
        <v>2324</v>
      </c>
      <c r="B208" s="13" t="s">
        <v>2345</v>
      </c>
      <c r="C208" s="13" t="s">
        <v>70</v>
      </c>
      <c r="D208" s="59">
        <v>46327</v>
      </c>
      <c r="E208" s="6">
        <v>0</v>
      </c>
      <c r="F208" s="54">
        <v>207</v>
      </c>
    </row>
    <row r="209" spans="1:6" x14ac:dyDescent="0.4">
      <c r="A209" s="13" t="s">
        <v>2324</v>
      </c>
      <c r="B209" s="13" t="s">
        <v>2345</v>
      </c>
      <c r="C209" s="13" t="s">
        <v>70</v>
      </c>
      <c r="D209" s="59">
        <v>46357</v>
      </c>
      <c r="E209" s="6">
        <v>0</v>
      </c>
      <c r="F209" s="13">
        <v>208</v>
      </c>
    </row>
    <row r="210" spans="1:6" x14ac:dyDescent="0.4">
      <c r="A210" s="13" t="s">
        <v>2324</v>
      </c>
      <c r="B210" s="13" t="s">
        <v>2345</v>
      </c>
      <c r="C210" s="13" t="s">
        <v>70</v>
      </c>
      <c r="D210" s="59">
        <v>46388</v>
      </c>
      <c r="E210" s="6">
        <v>0</v>
      </c>
      <c r="F210" s="54">
        <v>209</v>
      </c>
    </row>
    <row r="211" spans="1:6" x14ac:dyDescent="0.4">
      <c r="A211" s="13" t="s">
        <v>2324</v>
      </c>
      <c r="B211" s="13" t="s">
        <v>2345</v>
      </c>
      <c r="C211" s="13" t="s">
        <v>70</v>
      </c>
      <c r="D211" s="59">
        <v>46419</v>
      </c>
      <c r="E211" s="6">
        <v>0</v>
      </c>
      <c r="F211" s="13">
        <v>210</v>
      </c>
    </row>
    <row r="212" spans="1:6" x14ac:dyDescent="0.4">
      <c r="A212" s="13" t="s">
        <v>2324</v>
      </c>
      <c r="B212" s="13" t="s">
        <v>2345</v>
      </c>
      <c r="C212" s="13" t="s">
        <v>70</v>
      </c>
      <c r="D212" s="59">
        <v>46447</v>
      </c>
      <c r="E212" s="6">
        <v>0</v>
      </c>
      <c r="F212" s="54">
        <v>211</v>
      </c>
    </row>
    <row r="213" spans="1:6" x14ac:dyDescent="0.4">
      <c r="A213" s="13" t="s">
        <v>2324</v>
      </c>
      <c r="B213" s="13" t="s">
        <v>2345</v>
      </c>
      <c r="C213" s="13" t="s">
        <v>70</v>
      </c>
      <c r="D213" s="59">
        <v>46478</v>
      </c>
      <c r="E213" s="6">
        <v>0</v>
      </c>
      <c r="F213" s="13">
        <v>212</v>
      </c>
    </row>
    <row r="214" spans="1:6" x14ac:dyDescent="0.4">
      <c r="A214" s="13" t="s">
        <v>2324</v>
      </c>
      <c r="B214" s="13" t="s">
        <v>2345</v>
      </c>
      <c r="C214" s="13" t="s">
        <v>70</v>
      </c>
      <c r="D214" s="59">
        <v>46508</v>
      </c>
      <c r="E214" s="6">
        <v>0</v>
      </c>
      <c r="F214" s="54">
        <v>213</v>
      </c>
    </row>
    <row r="215" spans="1:6" x14ac:dyDescent="0.4">
      <c r="A215" s="13" t="s">
        <v>2324</v>
      </c>
      <c r="B215" s="13" t="s">
        <v>2345</v>
      </c>
      <c r="C215" s="13" t="s">
        <v>70</v>
      </c>
      <c r="D215" s="59">
        <v>46539</v>
      </c>
      <c r="E215" s="6">
        <v>0</v>
      </c>
      <c r="F215" s="13">
        <v>214</v>
      </c>
    </row>
    <row r="216" spans="1:6" x14ac:dyDescent="0.4">
      <c r="A216" s="13" t="s">
        <v>2324</v>
      </c>
      <c r="B216" s="13" t="s">
        <v>2345</v>
      </c>
      <c r="C216" s="13" t="s">
        <v>70</v>
      </c>
      <c r="D216" s="59">
        <v>46569</v>
      </c>
      <c r="E216" s="6">
        <v>0</v>
      </c>
      <c r="F216" s="54">
        <v>215</v>
      </c>
    </row>
    <row r="217" spans="1:6" x14ac:dyDescent="0.4">
      <c r="A217" s="13" t="s">
        <v>2324</v>
      </c>
      <c r="B217" s="13" t="s">
        <v>2345</v>
      </c>
      <c r="C217" s="13" t="s">
        <v>70</v>
      </c>
      <c r="D217" s="59">
        <v>46600</v>
      </c>
      <c r="E217" s="6">
        <v>0</v>
      </c>
      <c r="F217" s="13">
        <v>216</v>
      </c>
    </row>
    <row r="218" spans="1:6" x14ac:dyDescent="0.4">
      <c r="A218" s="13" t="s">
        <v>2324</v>
      </c>
      <c r="B218" s="13" t="s">
        <v>2345</v>
      </c>
      <c r="C218" s="13" t="s">
        <v>70</v>
      </c>
      <c r="D218" s="59">
        <v>46631</v>
      </c>
      <c r="E218" s="6">
        <v>0</v>
      </c>
      <c r="F218" s="54">
        <v>217</v>
      </c>
    </row>
    <row r="219" spans="1:6" x14ac:dyDescent="0.4">
      <c r="A219" s="13" t="s">
        <v>2324</v>
      </c>
      <c r="B219" s="13" t="s">
        <v>2345</v>
      </c>
      <c r="C219" s="13" t="s">
        <v>70</v>
      </c>
      <c r="D219" s="59">
        <v>46661</v>
      </c>
      <c r="E219" s="6">
        <v>0</v>
      </c>
      <c r="F219" s="13">
        <v>218</v>
      </c>
    </row>
    <row r="220" spans="1:6" x14ac:dyDescent="0.4">
      <c r="A220" s="13" t="s">
        <v>2324</v>
      </c>
      <c r="B220" s="13" t="s">
        <v>2345</v>
      </c>
      <c r="C220" s="13" t="s">
        <v>70</v>
      </c>
      <c r="D220" s="59">
        <v>46692</v>
      </c>
      <c r="E220" s="6">
        <v>0</v>
      </c>
      <c r="F220" s="54">
        <v>219</v>
      </c>
    </row>
    <row r="221" spans="1:6" x14ac:dyDescent="0.4">
      <c r="A221" s="13" t="s">
        <v>2324</v>
      </c>
      <c r="B221" s="13" t="s">
        <v>2345</v>
      </c>
      <c r="C221" s="13" t="s">
        <v>70</v>
      </c>
      <c r="D221" s="59">
        <v>46722</v>
      </c>
      <c r="E221" s="6">
        <v>0</v>
      </c>
      <c r="F221" s="13">
        <v>220</v>
      </c>
    </row>
    <row r="222" spans="1:6" x14ac:dyDescent="0.4">
      <c r="A222" s="13" t="s">
        <v>2324</v>
      </c>
      <c r="B222" s="13" t="s">
        <v>2345</v>
      </c>
      <c r="C222" s="13" t="s">
        <v>50</v>
      </c>
      <c r="D222" s="59">
        <v>46082</v>
      </c>
      <c r="E222" s="6">
        <v>0</v>
      </c>
      <c r="F222" s="54">
        <v>221</v>
      </c>
    </row>
    <row r="223" spans="1:6" x14ac:dyDescent="0.4">
      <c r="A223" s="13" t="s">
        <v>2324</v>
      </c>
      <c r="B223" s="13" t="s">
        <v>2345</v>
      </c>
      <c r="C223" s="13" t="s">
        <v>50</v>
      </c>
      <c r="D223" s="59">
        <v>46113</v>
      </c>
      <c r="E223" s="6">
        <v>0</v>
      </c>
      <c r="F223" s="13">
        <v>222</v>
      </c>
    </row>
    <row r="224" spans="1:6" x14ac:dyDescent="0.4">
      <c r="A224" s="13" t="s">
        <v>2324</v>
      </c>
      <c r="B224" s="13" t="s">
        <v>2345</v>
      </c>
      <c r="C224" s="13" t="s">
        <v>50</v>
      </c>
      <c r="D224" s="59">
        <v>46143</v>
      </c>
      <c r="E224" s="6">
        <v>42862</v>
      </c>
      <c r="F224" s="54">
        <v>223</v>
      </c>
    </row>
    <row r="225" spans="1:6" x14ac:dyDescent="0.4">
      <c r="A225" s="13" t="s">
        <v>2324</v>
      </c>
      <c r="B225" s="13" t="s">
        <v>2345</v>
      </c>
      <c r="C225" s="13" t="s">
        <v>50</v>
      </c>
      <c r="D225" s="59">
        <v>46174</v>
      </c>
      <c r="E225" s="6">
        <v>42862</v>
      </c>
      <c r="F225" s="13">
        <v>224</v>
      </c>
    </row>
    <row r="226" spans="1:6" x14ac:dyDescent="0.4">
      <c r="A226" s="13" t="s">
        <v>2324</v>
      </c>
      <c r="B226" s="13" t="s">
        <v>2345</v>
      </c>
      <c r="C226" s="13" t="s">
        <v>50</v>
      </c>
      <c r="D226" s="59">
        <v>46204</v>
      </c>
      <c r="E226" s="6">
        <v>214312</v>
      </c>
      <c r="F226" s="54">
        <v>225</v>
      </c>
    </row>
    <row r="227" spans="1:6" x14ac:dyDescent="0.4">
      <c r="A227" s="13" t="s">
        <v>2324</v>
      </c>
      <c r="B227" s="13" t="s">
        <v>2345</v>
      </c>
      <c r="C227" s="13" t="s">
        <v>50</v>
      </c>
      <c r="D227" s="59">
        <v>46235</v>
      </c>
      <c r="E227" s="6">
        <v>231457</v>
      </c>
      <c r="F227" s="13">
        <v>226</v>
      </c>
    </row>
    <row r="228" spans="1:6" x14ac:dyDescent="0.4">
      <c r="A228" s="13" t="s">
        <v>2324</v>
      </c>
      <c r="B228" s="13" t="s">
        <v>2345</v>
      </c>
      <c r="C228" s="13" t="s">
        <v>50</v>
      </c>
      <c r="D228" s="59">
        <v>46266</v>
      </c>
      <c r="E228" s="6">
        <v>265747</v>
      </c>
      <c r="F228" s="54">
        <v>227</v>
      </c>
    </row>
    <row r="229" spans="1:6" x14ac:dyDescent="0.4">
      <c r="A229" s="13" t="s">
        <v>2324</v>
      </c>
      <c r="B229" s="13" t="s">
        <v>2345</v>
      </c>
      <c r="C229" s="13" t="s">
        <v>50</v>
      </c>
      <c r="D229" s="59">
        <v>46296</v>
      </c>
      <c r="E229" s="6">
        <v>265747</v>
      </c>
      <c r="F229" s="13">
        <v>228</v>
      </c>
    </row>
    <row r="230" spans="1:6" x14ac:dyDescent="0.4">
      <c r="A230" s="13" t="s">
        <v>2324</v>
      </c>
      <c r="B230" s="13" t="s">
        <v>2345</v>
      </c>
      <c r="C230" s="13" t="s">
        <v>50</v>
      </c>
      <c r="D230" s="59">
        <v>46327</v>
      </c>
      <c r="E230" s="6">
        <v>222885</v>
      </c>
      <c r="F230" s="54">
        <v>229</v>
      </c>
    </row>
    <row r="231" spans="1:6" x14ac:dyDescent="0.4">
      <c r="A231" s="13" t="s">
        <v>2324</v>
      </c>
      <c r="B231" s="13" t="s">
        <v>2345</v>
      </c>
      <c r="C231" s="13" t="s">
        <v>50</v>
      </c>
      <c r="D231" s="59">
        <v>46357</v>
      </c>
      <c r="E231" s="6">
        <v>222885</v>
      </c>
      <c r="F231" s="13">
        <v>230</v>
      </c>
    </row>
    <row r="232" spans="1:6" x14ac:dyDescent="0.4">
      <c r="A232" s="13" t="s">
        <v>2324</v>
      </c>
      <c r="B232" s="13" t="s">
        <v>2345</v>
      </c>
      <c r="C232" s="13" t="s">
        <v>50</v>
      </c>
      <c r="D232" s="59">
        <v>46388</v>
      </c>
      <c r="E232" s="6">
        <v>51435</v>
      </c>
      <c r="F232" s="54">
        <v>231</v>
      </c>
    </row>
    <row r="233" spans="1:6" x14ac:dyDescent="0.4">
      <c r="A233" s="13" t="s">
        <v>2324</v>
      </c>
      <c r="B233" s="13" t="s">
        <v>2345</v>
      </c>
      <c r="C233" s="13" t="s">
        <v>50</v>
      </c>
      <c r="D233" s="59">
        <v>46419</v>
      </c>
      <c r="E233" s="6">
        <v>34290</v>
      </c>
      <c r="F233" s="13">
        <v>232</v>
      </c>
    </row>
    <row r="234" spans="1:6" x14ac:dyDescent="0.4">
      <c r="A234" s="13" t="s">
        <v>2324</v>
      </c>
      <c r="B234" s="13" t="s">
        <v>2345</v>
      </c>
      <c r="C234" s="13" t="s">
        <v>50</v>
      </c>
      <c r="D234" s="59">
        <v>46447</v>
      </c>
      <c r="E234" s="6">
        <v>0</v>
      </c>
      <c r="F234" s="54">
        <v>233</v>
      </c>
    </row>
    <row r="235" spans="1:6" x14ac:dyDescent="0.4">
      <c r="A235" s="13" t="s">
        <v>2324</v>
      </c>
      <c r="B235" s="13" t="s">
        <v>2345</v>
      </c>
      <c r="C235" s="13" t="s">
        <v>50</v>
      </c>
      <c r="D235" s="59">
        <v>46478</v>
      </c>
      <c r="E235" s="6">
        <v>0</v>
      </c>
      <c r="F235" s="13">
        <v>234</v>
      </c>
    </row>
    <row r="236" spans="1:6" x14ac:dyDescent="0.4">
      <c r="A236" s="13" t="s">
        <v>2324</v>
      </c>
      <c r="B236" s="13" t="s">
        <v>2345</v>
      </c>
      <c r="C236" s="13" t="s">
        <v>50</v>
      </c>
      <c r="D236" s="59">
        <v>46508</v>
      </c>
      <c r="E236" s="6">
        <v>0</v>
      </c>
      <c r="F236" s="54">
        <v>235</v>
      </c>
    </row>
    <row r="237" spans="1:6" x14ac:dyDescent="0.4">
      <c r="A237" s="13" t="s">
        <v>2324</v>
      </c>
      <c r="B237" s="13" t="s">
        <v>2345</v>
      </c>
      <c r="C237" s="13" t="s">
        <v>50</v>
      </c>
      <c r="D237" s="59">
        <v>46539</v>
      </c>
      <c r="E237" s="6">
        <v>0</v>
      </c>
      <c r="F237" s="13">
        <v>236</v>
      </c>
    </row>
    <row r="238" spans="1:6" x14ac:dyDescent="0.4">
      <c r="A238" s="13" t="s">
        <v>2324</v>
      </c>
      <c r="B238" s="13" t="s">
        <v>2345</v>
      </c>
      <c r="C238" s="13" t="s">
        <v>50</v>
      </c>
      <c r="D238" s="59">
        <v>46569</v>
      </c>
      <c r="E238" s="6">
        <v>0</v>
      </c>
      <c r="F238" s="54">
        <v>237</v>
      </c>
    </row>
    <row r="239" spans="1:6" x14ac:dyDescent="0.4">
      <c r="A239" s="13" t="s">
        <v>2324</v>
      </c>
      <c r="B239" s="13" t="s">
        <v>2345</v>
      </c>
      <c r="C239" s="13" t="s">
        <v>50</v>
      </c>
      <c r="D239" s="59">
        <v>46600</v>
      </c>
      <c r="E239" s="6">
        <v>0</v>
      </c>
      <c r="F239" s="13">
        <v>238</v>
      </c>
    </row>
    <row r="240" spans="1:6" x14ac:dyDescent="0.4">
      <c r="A240" s="13" t="s">
        <v>2324</v>
      </c>
      <c r="B240" s="13" t="s">
        <v>2345</v>
      </c>
      <c r="C240" s="13" t="s">
        <v>50</v>
      </c>
      <c r="D240" s="59">
        <v>46631</v>
      </c>
      <c r="E240" s="6">
        <v>0</v>
      </c>
      <c r="F240" s="54">
        <v>239</v>
      </c>
    </row>
    <row r="241" spans="1:6" x14ac:dyDescent="0.4">
      <c r="A241" s="13" t="s">
        <v>2324</v>
      </c>
      <c r="B241" s="13" t="s">
        <v>2345</v>
      </c>
      <c r="C241" s="13" t="s">
        <v>50</v>
      </c>
      <c r="D241" s="59">
        <v>46661</v>
      </c>
      <c r="E241" s="6">
        <v>0</v>
      </c>
      <c r="F241" s="13">
        <v>240</v>
      </c>
    </row>
    <row r="242" spans="1:6" x14ac:dyDescent="0.4">
      <c r="A242" s="13" t="s">
        <v>2324</v>
      </c>
      <c r="B242" s="13" t="s">
        <v>2345</v>
      </c>
      <c r="C242" s="13" t="s">
        <v>50</v>
      </c>
      <c r="D242" s="59">
        <v>46692</v>
      </c>
      <c r="E242" s="6">
        <v>0</v>
      </c>
      <c r="F242" s="54">
        <v>241</v>
      </c>
    </row>
    <row r="243" spans="1:6" x14ac:dyDescent="0.4">
      <c r="A243" s="13" t="s">
        <v>2324</v>
      </c>
      <c r="B243" s="13" t="s">
        <v>2345</v>
      </c>
      <c r="C243" s="13" t="s">
        <v>50</v>
      </c>
      <c r="D243" s="59">
        <v>46722</v>
      </c>
      <c r="E243" s="6">
        <v>0</v>
      </c>
      <c r="F243" s="13">
        <v>242</v>
      </c>
    </row>
    <row r="244" spans="1:6" x14ac:dyDescent="0.4">
      <c r="A244" s="13" t="s">
        <v>2324</v>
      </c>
      <c r="B244" s="13" t="s">
        <v>2345</v>
      </c>
      <c r="C244" s="13" t="s">
        <v>5133</v>
      </c>
      <c r="D244" s="59">
        <v>46082</v>
      </c>
      <c r="E244" s="6">
        <v>0</v>
      </c>
      <c r="F244" s="54">
        <v>243</v>
      </c>
    </row>
    <row r="245" spans="1:6" x14ac:dyDescent="0.4">
      <c r="A245" s="13" t="s">
        <v>2324</v>
      </c>
      <c r="B245" s="13" t="s">
        <v>2345</v>
      </c>
      <c r="C245" s="13" t="s">
        <v>5133</v>
      </c>
      <c r="D245" s="59">
        <v>46113</v>
      </c>
      <c r="E245" s="6">
        <v>0</v>
      </c>
      <c r="F245" s="13">
        <v>244</v>
      </c>
    </row>
    <row r="246" spans="1:6" x14ac:dyDescent="0.4">
      <c r="A246" s="13" t="s">
        <v>2324</v>
      </c>
      <c r="B246" s="13" t="s">
        <v>2345</v>
      </c>
      <c r="C246" s="13" t="s">
        <v>5133</v>
      </c>
      <c r="D246" s="59">
        <v>46143</v>
      </c>
      <c r="E246" s="6">
        <v>0</v>
      </c>
      <c r="F246" s="54">
        <v>245</v>
      </c>
    </row>
    <row r="247" spans="1:6" x14ac:dyDescent="0.4">
      <c r="A247" s="13" t="s">
        <v>2324</v>
      </c>
      <c r="B247" s="13" t="s">
        <v>2345</v>
      </c>
      <c r="C247" s="13" t="s">
        <v>5133</v>
      </c>
      <c r="D247" s="59">
        <v>46174</v>
      </c>
      <c r="E247" s="6">
        <v>0</v>
      </c>
      <c r="F247" s="13">
        <v>246</v>
      </c>
    </row>
    <row r="248" spans="1:6" x14ac:dyDescent="0.4">
      <c r="A248" s="13" t="s">
        <v>2324</v>
      </c>
      <c r="B248" s="13" t="s">
        <v>2345</v>
      </c>
      <c r="C248" s="13" t="s">
        <v>5133</v>
      </c>
      <c r="D248" s="59">
        <v>46204</v>
      </c>
      <c r="E248" s="6">
        <v>0</v>
      </c>
      <c r="F248" s="54">
        <v>247</v>
      </c>
    </row>
    <row r="249" spans="1:6" x14ac:dyDescent="0.4">
      <c r="A249" s="13" t="s">
        <v>2324</v>
      </c>
      <c r="B249" s="13" t="s">
        <v>2345</v>
      </c>
      <c r="C249" s="13" t="s">
        <v>5133</v>
      </c>
      <c r="D249" s="59">
        <v>46235</v>
      </c>
      <c r="E249" s="6">
        <v>0</v>
      </c>
      <c r="F249" s="13">
        <v>248</v>
      </c>
    </row>
    <row r="250" spans="1:6" x14ac:dyDescent="0.4">
      <c r="A250" s="13" t="s">
        <v>2324</v>
      </c>
      <c r="B250" s="13" t="s">
        <v>2345</v>
      </c>
      <c r="C250" s="13" t="s">
        <v>5133</v>
      </c>
      <c r="D250" s="59">
        <v>46266</v>
      </c>
      <c r="E250" s="6">
        <v>12737</v>
      </c>
      <c r="F250" s="54">
        <v>249</v>
      </c>
    </row>
    <row r="251" spans="1:6" x14ac:dyDescent="0.4">
      <c r="A251" s="13" t="s">
        <v>2324</v>
      </c>
      <c r="B251" s="13" t="s">
        <v>2345</v>
      </c>
      <c r="C251" s="13" t="s">
        <v>5133</v>
      </c>
      <c r="D251" s="59">
        <v>46296</v>
      </c>
      <c r="E251" s="6">
        <v>12737</v>
      </c>
      <c r="F251" s="13">
        <v>250</v>
      </c>
    </row>
    <row r="252" spans="1:6" x14ac:dyDescent="0.4">
      <c r="A252" s="13" t="s">
        <v>2324</v>
      </c>
      <c r="B252" s="13" t="s">
        <v>2345</v>
      </c>
      <c r="C252" s="13" t="s">
        <v>5133</v>
      </c>
      <c r="D252" s="59">
        <v>46327</v>
      </c>
      <c r="E252" s="6">
        <v>16983</v>
      </c>
      <c r="F252" s="54">
        <v>251</v>
      </c>
    </row>
    <row r="253" spans="1:6" x14ac:dyDescent="0.4">
      <c r="A253" s="13" t="s">
        <v>2324</v>
      </c>
      <c r="B253" s="13" t="s">
        <v>2345</v>
      </c>
      <c r="C253" s="13" t="s">
        <v>5133</v>
      </c>
      <c r="D253" s="59">
        <v>46357</v>
      </c>
      <c r="E253" s="6">
        <v>16983</v>
      </c>
      <c r="F253" s="13">
        <v>252</v>
      </c>
    </row>
    <row r="254" spans="1:6" x14ac:dyDescent="0.4">
      <c r="A254" s="13" t="s">
        <v>2324</v>
      </c>
      <c r="B254" s="13" t="s">
        <v>2345</v>
      </c>
      <c r="C254" s="13" t="s">
        <v>5133</v>
      </c>
      <c r="D254" s="59">
        <v>46388</v>
      </c>
      <c r="E254" s="6">
        <v>16983</v>
      </c>
      <c r="F254" s="54">
        <v>253</v>
      </c>
    </row>
    <row r="255" spans="1:6" x14ac:dyDescent="0.4">
      <c r="A255" s="13" t="s">
        <v>2324</v>
      </c>
      <c r="B255" s="13" t="s">
        <v>2345</v>
      </c>
      <c r="C255" s="13" t="s">
        <v>5133</v>
      </c>
      <c r="D255" s="59">
        <v>46419</v>
      </c>
      <c r="E255" s="6">
        <v>16983</v>
      </c>
      <c r="F255" s="13">
        <v>254</v>
      </c>
    </row>
    <row r="256" spans="1:6" x14ac:dyDescent="0.4">
      <c r="A256" s="13" t="s">
        <v>2324</v>
      </c>
      <c r="B256" s="13" t="s">
        <v>2345</v>
      </c>
      <c r="C256" s="13" t="s">
        <v>5133</v>
      </c>
      <c r="D256" s="59">
        <v>46447</v>
      </c>
      <c r="E256" s="6">
        <v>16983</v>
      </c>
      <c r="F256" s="54">
        <v>255</v>
      </c>
    </row>
    <row r="257" spans="1:6" x14ac:dyDescent="0.4">
      <c r="A257" s="13" t="s">
        <v>2324</v>
      </c>
      <c r="B257" s="13" t="s">
        <v>2345</v>
      </c>
      <c r="C257" s="13" t="s">
        <v>5133</v>
      </c>
      <c r="D257" s="59">
        <v>46478</v>
      </c>
      <c r="E257" s="6">
        <v>16983</v>
      </c>
      <c r="F257" s="13">
        <v>256</v>
      </c>
    </row>
    <row r="258" spans="1:6" x14ac:dyDescent="0.4">
      <c r="A258" s="13" t="s">
        <v>2324</v>
      </c>
      <c r="B258" s="13" t="s">
        <v>2345</v>
      </c>
      <c r="C258" s="13" t="s">
        <v>5133</v>
      </c>
      <c r="D258" s="59">
        <v>46508</v>
      </c>
      <c r="E258" s="6">
        <v>16983</v>
      </c>
      <c r="F258" s="54">
        <v>257</v>
      </c>
    </row>
    <row r="259" spans="1:6" x14ac:dyDescent="0.4">
      <c r="A259" s="13" t="s">
        <v>2324</v>
      </c>
      <c r="B259" s="13" t="s">
        <v>2345</v>
      </c>
      <c r="C259" s="13" t="s">
        <v>5133</v>
      </c>
      <c r="D259" s="59">
        <v>46539</v>
      </c>
      <c r="E259" s="6">
        <v>16983</v>
      </c>
      <c r="F259" s="13">
        <v>258</v>
      </c>
    </row>
    <row r="260" spans="1:6" x14ac:dyDescent="0.4">
      <c r="A260" s="13" t="s">
        <v>2324</v>
      </c>
      <c r="B260" s="13" t="s">
        <v>2345</v>
      </c>
      <c r="C260" s="13" t="s">
        <v>5133</v>
      </c>
      <c r="D260" s="59">
        <v>46569</v>
      </c>
      <c r="E260" s="6">
        <v>16983</v>
      </c>
      <c r="F260" s="54">
        <v>259</v>
      </c>
    </row>
    <row r="261" spans="1:6" x14ac:dyDescent="0.4">
      <c r="A261" s="13" t="s">
        <v>2324</v>
      </c>
      <c r="B261" s="13" t="s">
        <v>2345</v>
      </c>
      <c r="C261" s="13" t="s">
        <v>5133</v>
      </c>
      <c r="D261" s="59">
        <v>46600</v>
      </c>
      <c r="E261" s="6">
        <v>16983</v>
      </c>
      <c r="F261" s="13">
        <v>260</v>
      </c>
    </row>
    <row r="262" spans="1:6" x14ac:dyDescent="0.4">
      <c r="A262" s="13" t="s">
        <v>2324</v>
      </c>
      <c r="B262" s="13" t="s">
        <v>2345</v>
      </c>
      <c r="C262" s="13" t="s">
        <v>5133</v>
      </c>
      <c r="D262" s="59">
        <v>46631</v>
      </c>
      <c r="E262" s="6">
        <v>4245</v>
      </c>
      <c r="F262" s="54">
        <v>261</v>
      </c>
    </row>
    <row r="263" spans="1:6" x14ac:dyDescent="0.4">
      <c r="A263" s="13" t="s">
        <v>2324</v>
      </c>
      <c r="B263" s="13" t="s">
        <v>2345</v>
      </c>
      <c r="C263" s="13" t="s">
        <v>5133</v>
      </c>
      <c r="D263" s="59">
        <v>46661</v>
      </c>
      <c r="E263" s="6">
        <v>4245</v>
      </c>
      <c r="F263" s="13">
        <v>262</v>
      </c>
    </row>
    <row r="264" spans="1:6" x14ac:dyDescent="0.4">
      <c r="A264" s="13" t="s">
        <v>2324</v>
      </c>
      <c r="B264" s="13" t="s">
        <v>2345</v>
      </c>
      <c r="C264" s="13" t="s">
        <v>5133</v>
      </c>
      <c r="D264" s="59">
        <v>46692</v>
      </c>
      <c r="E264" s="6">
        <v>0</v>
      </c>
      <c r="F264" s="54">
        <v>263</v>
      </c>
    </row>
    <row r="265" spans="1:6" x14ac:dyDescent="0.4">
      <c r="A265" s="13" t="s">
        <v>2324</v>
      </c>
      <c r="B265" s="13" t="s">
        <v>2345</v>
      </c>
      <c r="C265" s="13" t="s">
        <v>5133</v>
      </c>
      <c r="D265" s="59">
        <v>46722</v>
      </c>
      <c r="E265" s="6">
        <v>0</v>
      </c>
      <c r="F265" s="13">
        <v>264</v>
      </c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669F-BFCA-4BDF-820F-13D1C1706862}">
  <sheetPr>
    <tabColor theme="7" tint="0.59999389629810485"/>
  </sheetPr>
  <dimension ref="A1:P266"/>
  <sheetViews>
    <sheetView topLeftCell="A234" zoomScale="70" zoomScaleNormal="70" workbookViewId="0">
      <selection activeCell="G253" sqref="G253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8" width="10.625" bestFit="1" customWidth="1"/>
    <col min="9" max="9" width="12.25" style="62" customWidth="1"/>
    <col min="10" max="10" width="21" customWidth="1"/>
    <col min="11" max="11" width="18.5" bestFit="1" customWidth="1"/>
    <col min="12" max="13" width="10.625" bestFit="1" customWidth="1"/>
    <col min="14" max="14" width="11.75" customWidth="1"/>
    <col min="15" max="15" width="31.875" customWidth="1"/>
    <col min="16" max="16" width="22.875" customWidth="1"/>
    <col min="17" max="17" width="9.125" bestFit="1" customWidth="1"/>
    <col min="18" max="18" width="10.625" bestFit="1" customWidth="1"/>
  </cols>
  <sheetData>
    <row r="1" spans="1:9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I1"/>
    </row>
    <row r="2" spans="1:9" x14ac:dyDescent="0.4">
      <c r="A2" s="13" t="s">
        <v>2324</v>
      </c>
      <c r="B2" s="55" t="s">
        <v>2325</v>
      </c>
      <c r="C2" s="10" t="s">
        <v>25</v>
      </c>
      <c r="D2" s="59">
        <v>46054</v>
      </c>
      <c r="E2" s="63">
        <v>0</v>
      </c>
      <c r="F2" s="54">
        <v>1</v>
      </c>
      <c r="I2"/>
    </row>
    <row r="3" spans="1:9" x14ac:dyDescent="0.4">
      <c r="A3" s="13" t="s">
        <v>2324</v>
      </c>
      <c r="B3" s="55" t="s">
        <v>2325</v>
      </c>
      <c r="C3" s="10" t="s">
        <v>25</v>
      </c>
      <c r="D3" s="59">
        <v>46082</v>
      </c>
      <c r="E3" s="63">
        <v>39600</v>
      </c>
      <c r="F3" s="13">
        <v>2</v>
      </c>
      <c r="I3"/>
    </row>
    <row r="4" spans="1:9" x14ac:dyDescent="0.4">
      <c r="A4" s="13" t="s">
        <v>2324</v>
      </c>
      <c r="B4" s="55" t="s">
        <v>2325</v>
      </c>
      <c r="C4" s="10" t="s">
        <v>25</v>
      </c>
      <c r="D4" s="59">
        <v>46113</v>
      </c>
      <c r="E4" s="63">
        <v>1762200</v>
      </c>
      <c r="F4" s="54">
        <v>3</v>
      </c>
      <c r="I4"/>
    </row>
    <row r="5" spans="1:9" x14ac:dyDescent="0.4">
      <c r="A5" s="13" t="s">
        <v>2324</v>
      </c>
      <c r="B5" s="55" t="s">
        <v>2325</v>
      </c>
      <c r="C5" s="10" t="s">
        <v>25</v>
      </c>
      <c r="D5" s="59">
        <v>46143</v>
      </c>
      <c r="E5" s="63">
        <v>2217600</v>
      </c>
      <c r="F5" s="13">
        <v>4</v>
      </c>
      <c r="I5"/>
    </row>
    <row r="6" spans="1:9" x14ac:dyDescent="0.4">
      <c r="A6" s="13" t="s">
        <v>2324</v>
      </c>
      <c r="B6" s="55" t="s">
        <v>2325</v>
      </c>
      <c r="C6" s="10" t="s">
        <v>25</v>
      </c>
      <c r="D6" s="59">
        <v>46174</v>
      </c>
      <c r="E6" s="63">
        <v>2178000</v>
      </c>
      <c r="F6" s="54">
        <v>5</v>
      </c>
      <c r="I6"/>
    </row>
    <row r="7" spans="1:9" x14ac:dyDescent="0.4">
      <c r="A7" s="13" t="s">
        <v>2324</v>
      </c>
      <c r="B7" s="55" t="s">
        <v>2325</v>
      </c>
      <c r="C7" s="10" t="s">
        <v>25</v>
      </c>
      <c r="D7" s="59">
        <v>46204</v>
      </c>
      <c r="E7" s="63">
        <v>455400</v>
      </c>
      <c r="F7" s="13">
        <v>6</v>
      </c>
      <c r="I7"/>
    </row>
    <row r="8" spans="1:9" x14ac:dyDescent="0.4">
      <c r="A8" s="13" t="s">
        <v>2324</v>
      </c>
      <c r="B8" s="55" t="s">
        <v>2325</v>
      </c>
      <c r="C8" s="10" t="s">
        <v>25</v>
      </c>
      <c r="D8" s="59">
        <v>46235</v>
      </c>
      <c r="E8" s="63">
        <v>0</v>
      </c>
      <c r="F8" s="54">
        <v>7</v>
      </c>
      <c r="I8"/>
    </row>
    <row r="9" spans="1:9" x14ac:dyDescent="0.4">
      <c r="A9" s="13" t="s">
        <v>2324</v>
      </c>
      <c r="B9" s="55" t="s">
        <v>2325</v>
      </c>
      <c r="C9" s="10" t="s">
        <v>25</v>
      </c>
      <c r="D9" s="59">
        <v>46266</v>
      </c>
      <c r="E9" s="63">
        <v>0</v>
      </c>
      <c r="F9" s="13">
        <v>8</v>
      </c>
      <c r="I9"/>
    </row>
    <row r="10" spans="1:9" x14ac:dyDescent="0.4">
      <c r="A10" s="13" t="s">
        <v>2324</v>
      </c>
      <c r="B10" s="55" t="s">
        <v>2325</v>
      </c>
      <c r="C10" s="10" t="s">
        <v>25</v>
      </c>
      <c r="D10" s="59">
        <v>46296</v>
      </c>
      <c r="E10" s="63">
        <v>0</v>
      </c>
      <c r="F10" s="54">
        <v>9</v>
      </c>
      <c r="I10"/>
    </row>
    <row r="11" spans="1:9" x14ac:dyDescent="0.4">
      <c r="A11" s="13" t="s">
        <v>2324</v>
      </c>
      <c r="B11" s="55" t="s">
        <v>2325</v>
      </c>
      <c r="C11" s="10" t="s">
        <v>25</v>
      </c>
      <c r="D11" s="59">
        <v>46327</v>
      </c>
      <c r="E11" s="63">
        <v>0</v>
      </c>
      <c r="F11" s="13">
        <v>10</v>
      </c>
      <c r="I11"/>
    </row>
    <row r="12" spans="1:9" x14ac:dyDescent="0.4">
      <c r="A12" s="13" t="s">
        <v>2324</v>
      </c>
      <c r="B12" s="55" t="s">
        <v>2325</v>
      </c>
      <c r="C12" s="10" t="s">
        <v>25</v>
      </c>
      <c r="D12" s="59">
        <v>46357</v>
      </c>
      <c r="E12" s="63">
        <v>0</v>
      </c>
      <c r="F12" s="54">
        <v>11</v>
      </c>
      <c r="I12"/>
    </row>
    <row r="13" spans="1:9" x14ac:dyDescent="0.4">
      <c r="A13" s="13" t="s">
        <v>2324</v>
      </c>
      <c r="B13" s="55" t="s">
        <v>2325</v>
      </c>
      <c r="C13" s="10" t="s">
        <v>25</v>
      </c>
      <c r="D13" s="59">
        <v>46388</v>
      </c>
      <c r="E13" s="63">
        <v>0</v>
      </c>
      <c r="F13" s="13">
        <v>12</v>
      </c>
      <c r="I13"/>
    </row>
    <row r="14" spans="1:9" x14ac:dyDescent="0.4">
      <c r="A14" s="13" t="s">
        <v>2324</v>
      </c>
      <c r="B14" s="55" t="s">
        <v>2325</v>
      </c>
      <c r="C14" s="10" t="s">
        <v>25</v>
      </c>
      <c r="D14" s="59">
        <v>46419</v>
      </c>
      <c r="E14" s="63">
        <v>0</v>
      </c>
      <c r="F14" s="54">
        <v>13</v>
      </c>
      <c r="I14"/>
    </row>
    <row r="15" spans="1:9" x14ac:dyDescent="0.4">
      <c r="A15" s="13" t="s">
        <v>2324</v>
      </c>
      <c r="B15" s="55" t="s">
        <v>2325</v>
      </c>
      <c r="C15" s="10" t="s">
        <v>25</v>
      </c>
      <c r="D15" s="59">
        <v>46447</v>
      </c>
      <c r="E15" s="63">
        <v>0</v>
      </c>
      <c r="F15" s="13">
        <v>14</v>
      </c>
      <c r="I15"/>
    </row>
    <row r="16" spans="1:9" x14ac:dyDescent="0.4">
      <c r="A16" s="13" t="s">
        <v>2324</v>
      </c>
      <c r="B16" s="55" t="s">
        <v>2325</v>
      </c>
      <c r="C16" s="10" t="s">
        <v>25</v>
      </c>
      <c r="D16" s="59">
        <v>46478</v>
      </c>
      <c r="E16" s="63">
        <v>0</v>
      </c>
      <c r="F16" s="54">
        <v>15</v>
      </c>
      <c r="I16"/>
    </row>
    <row r="17" spans="1:16" x14ac:dyDescent="0.4">
      <c r="A17" s="13" t="s">
        <v>2324</v>
      </c>
      <c r="B17" s="55" t="s">
        <v>2325</v>
      </c>
      <c r="C17" s="10" t="s">
        <v>25</v>
      </c>
      <c r="D17" s="59">
        <v>46508</v>
      </c>
      <c r="E17" s="63">
        <v>0</v>
      </c>
      <c r="F17" s="13">
        <v>16</v>
      </c>
      <c r="I17"/>
    </row>
    <row r="18" spans="1:16" x14ac:dyDescent="0.4">
      <c r="A18" s="13" t="s">
        <v>2324</v>
      </c>
      <c r="B18" s="55" t="s">
        <v>2325</v>
      </c>
      <c r="C18" s="10" t="s">
        <v>25</v>
      </c>
      <c r="D18" s="59">
        <v>46539</v>
      </c>
      <c r="E18" s="63">
        <v>0</v>
      </c>
      <c r="F18" s="54">
        <v>17</v>
      </c>
      <c r="I18"/>
    </row>
    <row r="19" spans="1:16" x14ac:dyDescent="0.4">
      <c r="A19" s="13" t="s">
        <v>2324</v>
      </c>
      <c r="B19" s="55" t="s">
        <v>2325</v>
      </c>
      <c r="C19" s="10" t="s">
        <v>25</v>
      </c>
      <c r="D19" s="59">
        <v>46569</v>
      </c>
      <c r="E19" s="63">
        <v>0</v>
      </c>
      <c r="F19" s="13">
        <v>18</v>
      </c>
      <c r="I19"/>
    </row>
    <row r="20" spans="1:16" x14ac:dyDescent="0.4">
      <c r="A20" s="13" t="s">
        <v>2324</v>
      </c>
      <c r="B20" s="55" t="s">
        <v>2325</v>
      </c>
      <c r="C20" s="10" t="s">
        <v>25</v>
      </c>
      <c r="D20" s="59">
        <v>46600</v>
      </c>
      <c r="E20" s="63">
        <v>0</v>
      </c>
      <c r="F20" s="54">
        <v>19</v>
      </c>
      <c r="I20"/>
    </row>
    <row r="21" spans="1:16" x14ac:dyDescent="0.4">
      <c r="A21" s="13" t="s">
        <v>2324</v>
      </c>
      <c r="B21" s="55" t="s">
        <v>2325</v>
      </c>
      <c r="C21" s="10" t="s">
        <v>25</v>
      </c>
      <c r="D21" s="59">
        <v>46631</v>
      </c>
      <c r="E21" s="63">
        <v>0</v>
      </c>
      <c r="F21" s="13">
        <v>20</v>
      </c>
      <c r="I21"/>
    </row>
    <row r="22" spans="1:16" x14ac:dyDescent="0.4">
      <c r="A22" s="13" t="s">
        <v>2324</v>
      </c>
      <c r="B22" s="55" t="s">
        <v>2325</v>
      </c>
      <c r="C22" s="10" t="s">
        <v>25</v>
      </c>
      <c r="D22" s="59">
        <v>46661</v>
      </c>
      <c r="E22" s="63">
        <v>0</v>
      </c>
      <c r="F22" s="54">
        <v>21</v>
      </c>
      <c r="I22"/>
    </row>
    <row r="23" spans="1:16" x14ac:dyDescent="0.4">
      <c r="A23" s="13" t="s">
        <v>2324</v>
      </c>
      <c r="B23" s="55" t="s">
        <v>2325</v>
      </c>
      <c r="C23" s="10" t="s">
        <v>25</v>
      </c>
      <c r="D23" s="59">
        <v>46692</v>
      </c>
      <c r="E23" s="63">
        <v>0</v>
      </c>
      <c r="F23" s="13">
        <v>22</v>
      </c>
      <c r="I23"/>
    </row>
    <row r="24" spans="1:16" x14ac:dyDescent="0.4">
      <c r="A24" s="13" t="s">
        <v>2324</v>
      </c>
      <c r="B24" s="55" t="s">
        <v>2325</v>
      </c>
      <c r="C24" s="13" t="s">
        <v>44</v>
      </c>
      <c r="D24" s="59">
        <v>46054</v>
      </c>
      <c r="E24" s="63">
        <v>0</v>
      </c>
      <c r="F24" s="54">
        <v>23</v>
      </c>
      <c r="I24"/>
    </row>
    <row r="25" spans="1:16" x14ac:dyDescent="0.4">
      <c r="A25" s="13" t="s">
        <v>2324</v>
      </c>
      <c r="B25" s="55" t="s">
        <v>2325</v>
      </c>
      <c r="C25" s="13" t="s">
        <v>44</v>
      </c>
      <c r="D25" s="59">
        <v>46082</v>
      </c>
      <c r="E25" s="63">
        <v>114300</v>
      </c>
      <c r="F25" s="13">
        <v>24</v>
      </c>
      <c r="I25"/>
    </row>
    <row r="26" spans="1:16" x14ac:dyDescent="0.4">
      <c r="A26" s="13" t="s">
        <v>2324</v>
      </c>
      <c r="B26" s="55" t="s">
        <v>2325</v>
      </c>
      <c r="C26" s="13" t="s">
        <v>44</v>
      </c>
      <c r="D26" s="59">
        <v>46113</v>
      </c>
      <c r="E26" s="63">
        <v>304800</v>
      </c>
      <c r="F26" s="54">
        <v>25</v>
      </c>
      <c r="I26"/>
    </row>
    <row r="27" spans="1:16" x14ac:dyDescent="0.4">
      <c r="A27" s="13" t="s">
        <v>2324</v>
      </c>
      <c r="B27" s="55" t="s">
        <v>2325</v>
      </c>
      <c r="C27" s="13" t="s">
        <v>44</v>
      </c>
      <c r="D27" s="59">
        <v>46143</v>
      </c>
      <c r="E27" s="63">
        <v>2152650</v>
      </c>
      <c r="F27" s="13">
        <v>26</v>
      </c>
      <c r="I27"/>
    </row>
    <row r="28" spans="1:16" x14ac:dyDescent="0.4">
      <c r="A28" s="13" t="s">
        <v>2324</v>
      </c>
      <c r="B28" s="55" t="s">
        <v>2325</v>
      </c>
      <c r="C28" s="13" t="s">
        <v>44</v>
      </c>
      <c r="D28" s="59">
        <v>46174</v>
      </c>
      <c r="E28" s="63">
        <v>2305050</v>
      </c>
      <c r="F28" s="54">
        <v>27</v>
      </c>
      <c r="I28"/>
      <c r="K28" s="20"/>
      <c r="L28" s="20"/>
      <c r="M28" s="20"/>
      <c r="N28" s="20"/>
      <c r="O28" s="20"/>
      <c r="P28" s="20"/>
    </row>
    <row r="29" spans="1:16" x14ac:dyDescent="0.4">
      <c r="A29" s="13" t="s">
        <v>2324</v>
      </c>
      <c r="B29" s="55" t="s">
        <v>2325</v>
      </c>
      <c r="C29" s="13" t="s">
        <v>44</v>
      </c>
      <c r="D29" s="59">
        <v>46204</v>
      </c>
      <c r="E29" s="63">
        <v>9982200</v>
      </c>
      <c r="F29" s="13">
        <v>28</v>
      </c>
      <c r="I29"/>
      <c r="K29" s="20"/>
      <c r="L29" s="20"/>
      <c r="M29" s="20"/>
      <c r="N29" s="20"/>
      <c r="O29" s="20"/>
      <c r="P29" s="20"/>
    </row>
    <row r="30" spans="1:16" x14ac:dyDescent="0.4">
      <c r="A30" s="13" t="s">
        <v>2324</v>
      </c>
      <c r="B30" s="55" t="s">
        <v>2325</v>
      </c>
      <c r="C30" s="13" t="s">
        <v>44</v>
      </c>
      <c r="D30" s="59">
        <v>46235</v>
      </c>
      <c r="E30" s="63">
        <v>10172700</v>
      </c>
      <c r="F30" s="54">
        <v>29</v>
      </c>
      <c r="I30"/>
    </row>
    <row r="31" spans="1:16" x14ac:dyDescent="0.4">
      <c r="A31" s="13" t="s">
        <v>2324</v>
      </c>
      <c r="B31" s="55" t="s">
        <v>2325</v>
      </c>
      <c r="C31" s="13" t="s">
        <v>44</v>
      </c>
      <c r="D31" s="59">
        <v>46266</v>
      </c>
      <c r="E31" s="63">
        <v>10191750</v>
      </c>
      <c r="F31" s="13">
        <v>30</v>
      </c>
      <c r="I31"/>
    </row>
    <row r="32" spans="1:16" x14ac:dyDescent="0.4">
      <c r="A32" s="13" t="s">
        <v>2324</v>
      </c>
      <c r="B32" s="55" t="s">
        <v>2325</v>
      </c>
      <c r="C32" s="13" t="s">
        <v>44</v>
      </c>
      <c r="D32" s="59">
        <v>46296</v>
      </c>
      <c r="E32" s="63">
        <v>10001250</v>
      </c>
      <c r="F32" s="54">
        <v>31</v>
      </c>
      <c r="I32"/>
    </row>
    <row r="33" spans="1:9" x14ac:dyDescent="0.4">
      <c r="A33" s="13" t="s">
        <v>2324</v>
      </c>
      <c r="B33" s="55" t="s">
        <v>2325</v>
      </c>
      <c r="C33" s="13" t="s">
        <v>44</v>
      </c>
      <c r="D33" s="59">
        <v>46327</v>
      </c>
      <c r="E33" s="63">
        <v>8153400</v>
      </c>
      <c r="F33" s="13">
        <v>32</v>
      </c>
      <c r="I33"/>
    </row>
    <row r="34" spans="1:9" x14ac:dyDescent="0.4">
      <c r="A34" s="13" t="s">
        <v>2324</v>
      </c>
      <c r="B34" s="55" t="s">
        <v>2325</v>
      </c>
      <c r="C34" s="13" t="s">
        <v>44</v>
      </c>
      <c r="D34" s="59">
        <v>46357</v>
      </c>
      <c r="E34" s="63">
        <v>8001000</v>
      </c>
      <c r="F34" s="54">
        <v>33</v>
      </c>
      <c r="I34"/>
    </row>
    <row r="35" spans="1:9" x14ac:dyDescent="0.4">
      <c r="A35" s="13" t="s">
        <v>2324</v>
      </c>
      <c r="B35" s="55" t="s">
        <v>2325</v>
      </c>
      <c r="C35" s="13" t="s">
        <v>44</v>
      </c>
      <c r="D35" s="59">
        <v>46388</v>
      </c>
      <c r="E35" s="63">
        <v>323850</v>
      </c>
      <c r="F35" s="13">
        <v>34</v>
      </c>
      <c r="I35"/>
    </row>
    <row r="36" spans="1:9" x14ac:dyDescent="0.4">
      <c r="A36" s="13" t="s">
        <v>2324</v>
      </c>
      <c r="B36" s="55" t="s">
        <v>2325</v>
      </c>
      <c r="C36" s="13" t="s">
        <v>44</v>
      </c>
      <c r="D36" s="59">
        <v>46419</v>
      </c>
      <c r="E36" s="63">
        <v>133350</v>
      </c>
      <c r="F36" s="54">
        <v>35</v>
      </c>
      <c r="I36"/>
    </row>
    <row r="37" spans="1:9" x14ac:dyDescent="0.4">
      <c r="A37" s="13" t="s">
        <v>2324</v>
      </c>
      <c r="B37" s="55" t="s">
        <v>2325</v>
      </c>
      <c r="C37" s="13" t="s">
        <v>44</v>
      </c>
      <c r="D37" s="59">
        <v>46447</v>
      </c>
      <c r="E37" s="63">
        <v>0</v>
      </c>
      <c r="F37" s="13">
        <v>36</v>
      </c>
      <c r="I37"/>
    </row>
    <row r="38" spans="1:9" x14ac:dyDescent="0.4">
      <c r="A38" s="13" t="s">
        <v>2324</v>
      </c>
      <c r="B38" s="55" t="s">
        <v>2325</v>
      </c>
      <c r="C38" s="13" t="s">
        <v>44</v>
      </c>
      <c r="D38" s="59">
        <v>46478</v>
      </c>
      <c r="E38" s="63">
        <v>0</v>
      </c>
      <c r="F38" s="54">
        <v>37</v>
      </c>
      <c r="I38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46508</v>
      </c>
      <c r="E39" s="63">
        <v>0</v>
      </c>
      <c r="F39" s="13">
        <v>38</v>
      </c>
      <c r="I39"/>
    </row>
    <row r="40" spans="1:9" x14ac:dyDescent="0.4">
      <c r="A40" s="13" t="s">
        <v>2324</v>
      </c>
      <c r="B40" s="55" t="s">
        <v>2325</v>
      </c>
      <c r="C40" s="13" t="s">
        <v>44</v>
      </c>
      <c r="D40" s="59">
        <v>46539</v>
      </c>
      <c r="E40" s="63">
        <v>0</v>
      </c>
      <c r="F40" s="54">
        <v>39</v>
      </c>
      <c r="I40"/>
    </row>
    <row r="41" spans="1:9" x14ac:dyDescent="0.4">
      <c r="A41" s="13" t="s">
        <v>2324</v>
      </c>
      <c r="B41" s="55" t="s">
        <v>2325</v>
      </c>
      <c r="C41" s="13" t="s">
        <v>44</v>
      </c>
      <c r="D41" s="59">
        <v>46569</v>
      </c>
      <c r="E41" s="63">
        <v>0</v>
      </c>
      <c r="F41" s="13">
        <v>40</v>
      </c>
      <c r="I41"/>
    </row>
    <row r="42" spans="1:9" x14ac:dyDescent="0.4">
      <c r="A42" s="13" t="s">
        <v>2324</v>
      </c>
      <c r="B42" s="55" t="s">
        <v>2325</v>
      </c>
      <c r="C42" s="13" t="s">
        <v>44</v>
      </c>
      <c r="D42" s="59">
        <v>46600</v>
      </c>
      <c r="E42" s="63">
        <v>0</v>
      </c>
      <c r="F42" s="54">
        <v>41</v>
      </c>
      <c r="I42"/>
    </row>
    <row r="43" spans="1:9" x14ac:dyDescent="0.4">
      <c r="A43" s="13" t="s">
        <v>2324</v>
      </c>
      <c r="B43" s="55" t="s">
        <v>2325</v>
      </c>
      <c r="C43" s="13" t="s">
        <v>44</v>
      </c>
      <c r="D43" s="59">
        <v>46631</v>
      </c>
      <c r="E43" s="63">
        <v>0</v>
      </c>
      <c r="F43" s="13">
        <v>42</v>
      </c>
      <c r="I43"/>
    </row>
    <row r="44" spans="1:9" x14ac:dyDescent="0.4">
      <c r="A44" s="13" t="s">
        <v>2324</v>
      </c>
      <c r="B44" s="55" t="s">
        <v>2325</v>
      </c>
      <c r="C44" s="13" t="s">
        <v>44</v>
      </c>
      <c r="D44" s="59">
        <v>46661</v>
      </c>
      <c r="E44" s="63">
        <v>0</v>
      </c>
      <c r="F44" s="54">
        <v>43</v>
      </c>
      <c r="I44"/>
    </row>
    <row r="45" spans="1:9" x14ac:dyDescent="0.4">
      <c r="A45" s="13" t="s">
        <v>2324</v>
      </c>
      <c r="B45" s="55" t="s">
        <v>2325</v>
      </c>
      <c r="C45" s="13" t="s">
        <v>44</v>
      </c>
      <c r="D45" s="59">
        <v>46692</v>
      </c>
      <c r="E45" s="63">
        <v>0</v>
      </c>
      <c r="F45" s="13">
        <v>44</v>
      </c>
      <c r="I45"/>
    </row>
    <row r="46" spans="1:9" x14ac:dyDescent="0.4">
      <c r="A46" s="13" t="s">
        <v>2324</v>
      </c>
      <c r="B46" s="55" t="s">
        <v>2325</v>
      </c>
      <c r="C46" s="13" t="s">
        <v>1944</v>
      </c>
      <c r="D46" s="59">
        <v>46054</v>
      </c>
      <c r="E46" s="63">
        <v>0</v>
      </c>
      <c r="F46" s="54">
        <v>45</v>
      </c>
      <c r="I46"/>
    </row>
    <row r="47" spans="1:9" x14ac:dyDescent="0.4">
      <c r="A47" s="13" t="s">
        <v>2324</v>
      </c>
      <c r="B47" s="55" t="s">
        <v>2325</v>
      </c>
      <c r="C47" s="13" t="s">
        <v>1944</v>
      </c>
      <c r="D47" s="59">
        <v>46082</v>
      </c>
      <c r="E47" s="63">
        <v>94350</v>
      </c>
      <c r="F47" s="13">
        <v>46</v>
      </c>
      <c r="I47"/>
    </row>
    <row r="48" spans="1:9" x14ac:dyDescent="0.4">
      <c r="A48" s="13" t="s">
        <v>2324</v>
      </c>
      <c r="B48" s="55" t="s">
        <v>2325</v>
      </c>
      <c r="C48" s="13" t="s">
        <v>1944</v>
      </c>
      <c r="D48" s="59">
        <v>46113</v>
      </c>
      <c r="E48" s="63">
        <v>94350</v>
      </c>
      <c r="F48" s="54">
        <v>47</v>
      </c>
      <c r="I48"/>
    </row>
    <row r="49" spans="1:9" x14ac:dyDescent="0.4">
      <c r="A49" s="13" t="s">
        <v>2324</v>
      </c>
      <c r="B49" s="55" t="s">
        <v>2325</v>
      </c>
      <c r="C49" s="13" t="s">
        <v>1944</v>
      </c>
      <c r="D49" s="59">
        <v>46143</v>
      </c>
      <c r="E49" s="63">
        <v>150960</v>
      </c>
      <c r="F49" s="13">
        <v>48</v>
      </c>
      <c r="I49"/>
    </row>
    <row r="50" spans="1:9" x14ac:dyDescent="0.4">
      <c r="A50" s="13" t="s">
        <v>2324</v>
      </c>
      <c r="B50" s="55" t="s">
        <v>2325</v>
      </c>
      <c r="C50" s="13" t="s">
        <v>1944</v>
      </c>
      <c r="D50" s="59">
        <v>46174</v>
      </c>
      <c r="E50" s="63">
        <v>207570</v>
      </c>
      <c r="F50" s="54">
        <v>49</v>
      </c>
      <c r="I50"/>
    </row>
    <row r="51" spans="1:9" x14ac:dyDescent="0.4">
      <c r="A51" s="13" t="s">
        <v>2324</v>
      </c>
      <c r="B51" s="55" t="s">
        <v>2325</v>
      </c>
      <c r="C51" s="13" t="s">
        <v>1944</v>
      </c>
      <c r="D51" s="59">
        <v>46204</v>
      </c>
      <c r="E51" s="63">
        <v>226440</v>
      </c>
      <c r="F51" s="13">
        <v>50</v>
      </c>
      <c r="I51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46235</v>
      </c>
      <c r="E52" s="63">
        <v>235875</v>
      </c>
      <c r="F52" s="54">
        <v>51</v>
      </c>
      <c r="I52"/>
    </row>
    <row r="53" spans="1:9" x14ac:dyDescent="0.4">
      <c r="A53" s="13" t="s">
        <v>2324</v>
      </c>
      <c r="B53" s="55" t="s">
        <v>2325</v>
      </c>
      <c r="C53" s="13" t="s">
        <v>1944</v>
      </c>
      <c r="D53" s="59">
        <v>46266</v>
      </c>
      <c r="E53" s="63">
        <v>386835</v>
      </c>
      <c r="F53" s="13">
        <v>52</v>
      </c>
      <c r="I53"/>
    </row>
    <row r="54" spans="1:9" x14ac:dyDescent="0.4">
      <c r="A54" s="13" t="s">
        <v>2324</v>
      </c>
      <c r="B54" s="55" t="s">
        <v>2325</v>
      </c>
      <c r="C54" s="13" t="s">
        <v>1944</v>
      </c>
      <c r="D54" s="59">
        <v>46296</v>
      </c>
      <c r="E54" s="63">
        <v>584970</v>
      </c>
      <c r="F54" s="54">
        <v>53</v>
      </c>
      <c r="I54"/>
    </row>
    <row r="55" spans="1:9" x14ac:dyDescent="0.4">
      <c r="A55" s="13" t="s">
        <v>2324</v>
      </c>
      <c r="B55" s="55" t="s">
        <v>2325</v>
      </c>
      <c r="C55" s="13" t="s">
        <v>1944</v>
      </c>
      <c r="D55" s="59">
        <v>46327</v>
      </c>
      <c r="E55" s="63">
        <v>584970</v>
      </c>
      <c r="F55" s="13">
        <v>54</v>
      </c>
      <c r="I55"/>
    </row>
    <row r="56" spans="1:9" x14ac:dyDescent="0.4">
      <c r="A56" s="13" t="s">
        <v>2324</v>
      </c>
      <c r="B56" s="55" t="s">
        <v>2325</v>
      </c>
      <c r="C56" s="13" t="s">
        <v>1944</v>
      </c>
      <c r="D56" s="59">
        <v>46357</v>
      </c>
      <c r="E56" s="63">
        <v>584970</v>
      </c>
      <c r="F56" s="54">
        <v>55</v>
      </c>
      <c r="I56"/>
    </row>
    <row r="57" spans="1:9" x14ac:dyDescent="0.4">
      <c r="A57" s="13" t="s">
        <v>2324</v>
      </c>
      <c r="B57" s="55" t="s">
        <v>2325</v>
      </c>
      <c r="C57" s="13" t="s">
        <v>1944</v>
      </c>
      <c r="D57" s="59">
        <v>46388</v>
      </c>
      <c r="E57" s="63">
        <v>594405</v>
      </c>
      <c r="F57" s="13">
        <v>56</v>
      </c>
      <c r="I57"/>
    </row>
    <row r="58" spans="1:9" x14ac:dyDescent="0.4">
      <c r="A58" s="13" t="s">
        <v>2324</v>
      </c>
      <c r="B58" s="55" t="s">
        <v>2325</v>
      </c>
      <c r="C58" s="13" t="s">
        <v>1944</v>
      </c>
      <c r="D58" s="59">
        <v>46419</v>
      </c>
      <c r="E58" s="63">
        <v>594405</v>
      </c>
      <c r="F58" s="54">
        <v>57</v>
      </c>
      <c r="I58"/>
    </row>
    <row r="59" spans="1:9" x14ac:dyDescent="0.4">
      <c r="A59" s="13" t="s">
        <v>2324</v>
      </c>
      <c r="B59" s="55" t="s">
        <v>2325</v>
      </c>
      <c r="C59" s="13" t="s">
        <v>1944</v>
      </c>
      <c r="D59" s="59">
        <v>46447</v>
      </c>
      <c r="E59" s="63">
        <v>500055</v>
      </c>
      <c r="F59" s="13">
        <v>58</v>
      </c>
      <c r="I59"/>
    </row>
    <row r="60" spans="1:9" x14ac:dyDescent="0.4">
      <c r="A60" s="13" t="s">
        <v>2324</v>
      </c>
      <c r="B60" s="55" t="s">
        <v>2325</v>
      </c>
      <c r="C60" s="13" t="s">
        <v>1944</v>
      </c>
      <c r="D60" s="59">
        <v>46478</v>
      </c>
      <c r="E60" s="63">
        <v>500055</v>
      </c>
      <c r="F60" s="54">
        <v>59</v>
      </c>
      <c r="I60"/>
    </row>
    <row r="61" spans="1:9" x14ac:dyDescent="0.4">
      <c r="A61" s="13" t="s">
        <v>2324</v>
      </c>
      <c r="B61" s="55" t="s">
        <v>2325</v>
      </c>
      <c r="C61" s="13" t="s">
        <v>1944</v>
      </c>
      <c r="D61" s="59">
        <v>46508</v>
      </c>
      <c r="E61" s="63">
        <v>443445</v>
      </c>
      <c r="F61" s="13">
        <v>60</v>
      </c>
      <c r="I61"/>
    </row>
    <row r="62" spans="1:9" x14ac:dyDescent="0.4">
      <c r="A62" s="13" t="s">
        <v>2324</v>
      </c>
      <c r="B62" s="55" t="s">
        <v>2325</v>
      </c>
      <c r="C62" s="13" t="s">
        <v>1944</v>
      </c>
      <c r="D62" s="59">
        <v>46539</v>
      </c>
      <c r="E62" s="63">
        <v>386835</v>
      </c>
      <c r="F62" s="54">
        <v>61</v>
      </c>
      <c r="I62"/>
    </row>
    <row r="63" spans="1:9" x14ac:dyDescent="0.4">
      <c r="A63" s="13" t="s">
        <v>2324</v>
      </c>
      <c r="B63" s="55" t="s">
        <v>2325</v>
      </c>
      <c r="C63" s="13" t="s">
        <v>1944</v>
      </c>
      <c r="D63" s="59">
        <v>46569</v>
      </c>
      <c r="E63" s="63">
        <v>367965</v>
      </c>
      <c r="F63" s="13">
        <v>62</v>
      </c>
      <c r="I63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46600</v>
      </c>
      <c r="E64" s="63">
        <v>358530</v>
      </c>
      <c r="F64" s="54">
        <v>63</v>
      </c>
      <c r="I64"/>
    </row>
    <row r="65" spans="1:9" x14ac:dyDescent="0.4">
      <c r="A65" s="13" t="s">
        <v>2324</v>
      </c>
      <c r="B65" s="55" t="s">
        <v>2325</v>
      </c>
      <c r="C65" s="13" t="s">
        <v>1944</v>
      </c>
      <c r="D65" s="59">
        <v>46631</v>
      </c>
      <c r="E65" s="63">
        <v>207570</v>
      </c>
      <c r="F65" s="13">
        <v>64</v>
      </c>
      <c r="I65"/>
    </row>
    <row r="66" spans="1:9" x14ac:dyDescent="0.4">
      <c r="A66" s="13" t="s">
        <v>2324</v>
      </c>
      <c r="B66" s="55" t="s">
        <v>2325</v>
      </c>
      <c r="C66" s="13" t="s">
        <v>1944</v>
      </c>
      <c r="D66" s="59">
        <v>46661</v>
      </c>
      <c r="E66" s="63">
        <v>9435</v>
      </c>
      <c r="F66" s="54">
        <v>65</v>
      </c>
      <c r="I66"/>
    </row>
    <row r="67" spans="1:9" x14ac:dyDescent="0.4">
      <c r="A67" s="13" t="s">
        <v>2324</v>
      </c>
      <c r="B67" s="55" t="s">
        <v>2325</v>
      </c>
      <c r="C67" s="13" t="s">
        <v>1944</v>
      </c>
      <c r="D67" s="59">
        <v>46692</v>
      </c>
      <c r="E67" s="63">
        <v>9435</v>
      </c>
      <c r="F67" s="13">
        <v>66</v>
      </c>
      <c r="I67"/>
    </row>
    <row r="68" spans="1:9" x14ac:dyDescent="0.4">
      <c r="A68" s="13" t="s">
        <v>2324</v>
      </c>
      <c r="B68" s="55" t="s">
        <v>2325</v>
      </c>
      <c r="C68" s="13" t="s">
        <v>70</v>
      </c>
      <c r="D68" s="59">
        <v>46054</v>
      </c>
      <c r="E68" s="63">
        <v>0</v>
      </c>
      <c r="F68" s="54">
        <v>67</v>
      </c>
      <c r="I68"/>
    </row>
    <row r="69" spans="1:9" x14ac:dyDescent="0.4">
      <c r="A69" s="13" t="s">
        <v>2324</v>
      </c>
      <c r="B69" s="55" t="s">
        <v>2325</v>
      </c>
      <c r="C69" s="13" t="s">
        <v>70</v>
      </c>
      <c r="D69" s="59">
        <v>46082</v>
      </c>
      <c r="E69" s="63">
        <v>0</v>
      </c>
      <c r="F69" s="13">
        <v>68</v>
      </c>
      <c r="I69"/>
    </row>
    <row r="70" spans="1:9" x14ac:dyDescent="0.4">
      <c r="A70" s="13" t="s">
        <v>2324</v>
      </c>
      <c r="B70" s="55" t="s">
        <v>2325</v>
      </c>
      <c r="C70" s="13" t="s">
        <v>70</v>
      </c>
      <c r="D70" s="59">
        <v>46113</v>
      </c>
      <c r="E70" s="63">
        <v>59400</v>
      </c>
      <c r="F70" s="54">
        <v>69</v>
      </c>
      <c r="I70"/>
    </row>
    <row r="71" spans="1:9" x14ac:dyDescent="0.4">
      <c r="A71" s="13" t="s">
        <v>2324</v>
      </c>
      <c r="B71" s="55" t="s">
        <v>2325</v>
      </c>
      <c r="C71" s="13" t="s">
        <v>70</v>
      </c>
      <c r="D71" s="59">
        <v>46143</v>
      </c>
      <c r="E71" s="63">
        <v>59400</v>
      </c>
      <c r="F71" s="13">
        <v>70</v>
      </c>
      <c r="I71"/>
    </row>
    <row r="72" spans="1:9" x14ac:dyDescent="0.4">
      <c r="A72" s="13" t="s">
        <v>2324</v>
      </c>
      <c r="B72" s="55" t="s">
        <v>2325</v>
      </c>
      <c r="C72" s="13" t="s">
        <v>70</v>
      </c>
      <c r="D72" s="59">
        <v>46174</v>
      </c>
      <c r="E72" s="63">
        <v>59400</v>
      </c>
      <c r="F72" s="54">
        <v>71</v>
      </c>
      <c r="I72"/>
    </row>
    <row r="73" spans="1:9" x14ac:dyDescent="0.4">
      <c r="A73" s="13" t="s">
        <v>2324</v>
      </c>
      <c r="B73" s="55" t="s">
        <v>2325</v>
      </c>
      <c r="C73" s="13" t="s">
        <v>70</v>
      </c>
      <c r="D73" s="59">
        <v>46204</v>
      </c>
      <c r="E73" s="63">
        <v>0</v>
      </c>
      <c r="F73" s="13">
        <v>72</v>
      </c>
      <c r="I73"/>
    </row>
    <row r="74" spans="1:9" x14ac:dyDescent="0.4">
      <c r="A74" s="13" t="s">
        <v>2324</v>
      </c>
      <c r="B74" s="55" t="s">
        <v>2325</v>
      </c>
      <c r="C74" s="13" t="s">
        <v>70</v>
      </c>
      <c r="D74" s="59">
        <v>46235</v>
      </c>
      <c r="E74" s="63">
        <v>0</v>
      </c>
      <c r="F74" s="54">
        <v>73</v>
      </c>
      <c r="I74"/>
    </row>
    <row r="75" spans="1:9" x14ac:dyDescent="0.4">
      <c r="A75" s="13" t="s">
        <v>2324</v>
      </c>
      <c r="B75" s="55" t="s">
        <v>2325</v>
      </c>
      <c r="C75" s="13" t="s">
        <v>70</v>
      </c>
      <c r="D75" s="59">
        <v>46266</v>
      </c>
      <c r="E75" s="63">
        <v>0</v>
      </c>
      <c r="F75" s="13">
        <v>74</v>
      </c>
      <c r="I75"/>
    </row>
    <row r="76" spans="1:9" x14ac:dyDescent="0.4">
      <c r="A76" s="13" t="s">
        <v>2324</v>
      </c>
      <c r="B76" s="55" t="s">
        <v>2325</v>
      </c>
      <c r="C76" s="13" t="s">
        <v>70</v>
      </c>
      <c r="D76" s="59">
        <v>46296</v>
      </c>
      <c r="E76" s="63">
        <v>0</v>
      </c>
      <c r="F76" s="54">
        <v>75</v>
      </c>
      <c r="I76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46327</v>
      </c>
      <c r="E77" s="63">
        <v>0</v>
      </c>
      <c r="F77" s="13">
        <v>76</v>
      </c>
      <c r="I77"/>
    </row>
    <row r="78" spans="1:9" x14ac:dyDescent="0.4">
      <c r="A78" s="13" t="s">
        <v>2324</v>
      </c>
      <c r="B78" s="55" t="s">
        <v>2325</v>
      </c>
      <c r="C78" s="13" t="s">
        <v>70</v>
      </c>
      <c r="D78" s="59">
        <v>46357</v>
      </c>
      <c r="E78" s="63">
        <v>0</v>
      </c>
      <c r="F78" s="54">
        <v>77</v>
      </c>
      <c r="I78"/>
    </row>
    <row r="79" spans="1:9" x14ac:dyDescent="0.4">
      <c r="A79" s="13" t="s">
        <v>2324</v>
      </c>
      <c r="B79" s="55" t="s">
        <v>2325</v>
      </c>
      <c r="C79" s="13" t="s">
        <v>70</v>
      </c>
      <c r="D79" s="59">
        <v>46388</v>
      </c>
      <c r="E79" s="63">
        <v>0</v>
      </c>
      <c r="F79" s="13">
        <v>78</v>
      </c>
      <c r="I79"/>
    </row>
    <row r="80" spans="1:9" x14ac:dyDescent="0.4">
      <c r="A80" s="13" t="s">
        <v>2324</v>
      </c>
      <c r="B80" s="55" t="s">
        <v>2325</v>
      </c>
      <c r="C80" s="13" t="s">
        <v>70</v>
      </c>
      <c r="D80" s="59">
        <v>46419</v>
      </c>
      <c r="E80" s="63">
        <v>0</v>
      </c>
      <c r="F80" s="54">
        <v>79</v>
      </c>
      <c r="I80"/>
    </row>
    <row r="81" spans="1:9" x14ac:dyDescent="0.4">
      <c r="A81" s="13" t="s">
        <v>2324</v>
      </c>
      <c r="B81" s="55" t="s">
        <v>2325</v>
      </c>
      <c r="C81" s="13" t="s">
        <v>70</v>
      </c>
      <c r="D81" s="59">
        <v>46447</v>
      </c>
      <c r="E81" s="63">
        <v>0</v>
      </c>
      <c r="F81" s="13">
        <v>80</v>
      </c>
      <c r="I81"/>
    </row>
    <row r="82" spans="1:9" x14ac:dyDescent="0.4">
      <c r="A82" s="13" t="s">
        <v>2324</v>
      </c>
      <c r="B82" s="55" t="s">
        <v>2325</v>
      </c>
      <c r="C82" s="13" t="s">
        <v>70</v>
      </c>
      <c r="D82" s="59">
        <v>46478</v>
      </c>
      <c r="E82" s="63">
        <v>0</v>
      </c>
      <c r="F82" s="54">
        <v>81</v>
      </c>
      <c r="I82"/>
    </row>
    <row r="83" spans="1:9" x14ac:dyDescent="0.4">
      <c r="A83" s="13" t="s">
        <v>2324</v>
      </c>
      <c r="B83" s="55" t="s">
        <v>2325</v>
      </c>
      <c r="C83" s="13" t="s">
        <v>70</v>
      </c>
      <c r="D83" s="59">
        <v>46508</v>
      </c>
      <c r="E83" s="63">
        <v>0</v>
      </c>
      <c r="F83" s="13">
        <v>82</v>
      </c>
      <c r="I83"/>
    </row>
    <row r="84" spans="1:9" x14ac:dyDescent="0.4">
      <c r="A84" s="13" t="s">
        <v>2324</v>
      </c>
      <c r="B84" s="55" t="s">
        <v>2325</v>
      </c>
      <c r="C84" s="13" t="s">
        <v>70</v>
      </c>
      <c r="D84" s="59">
        <v>46539</v>
      </c>
      <c r="E84" s="63">
        <v>0</v>
      </c>
      <c r="F84" s="54">
        <v>83</v>
      </c>
      <c r="I84"/>
    </row>
    <row r="85" spans="1:9" x14ac:dyDescent="0.4">
      <c r="A85" s="13" t="s">
        <v>2324</v>
      </c>
      <c r="B85" s="55" t="s">
        <v>2325</v>
      </c>
      <c r="C85" s="13" t="s">
        <v>70</v>
      </c>
      <c r="D85" s="59">
        <v>46569</v>
      </c>
      <c r="E85" s="63">
        <v>0</v>
      </c>
      <c r="F85" s="13">
        <v>84</v>
      </c>
      <c r="I85"/>
    </row>
    <row r="86" spans="1:9" x14ac:dyDescent="0.4">
      <c r="A86" s="13" t="s">
        <v>2324</v>
      </c>
      <c r="B86" s="55" t="s">
        <v>2325</v>
      </c>
      <c r="C86" s="13" t="s">
        <v>70</v>
      </c>
      <c r="D86" s="59">
        <v>46600</v>
      </c>
      <c r="E86" s="63">
        <v>0</v>
      </c>
      <c r="F86" s="54">
        <v>85</v>
      </c>
      <c r="I86"/>
    </row>
    <row r="87" spans="1:9" x14ac:dyDescent="0.4">
      <c r="A87" s="13" t="s">
        <v>2324</v>
      </c>
      <c r="B87" s="55" t="s">
        <v>2325</v>
      </c>
      <c r="C87" s="13" t="s">
        <v>70</v>
      </c>
      <c r="D87" s="59">
        <v>46631</v>
      </c>
      <c r="E87" s="63">
        <v>0</v>
      </c>
      <c r="F87" s="13">
        <v>86</v>
      </c>
      <c r="I87"/>
    </row>
    <row r="88" spans="1:9" x14ac:dyDescent="0.4">
      <c r="A88" s="13" t="s">
        <v>2324</v>
      </c>
      <c r="B88" s="55" t="s">
        <v>2325</v>
      </c>
      <c r="C88" s="13" t="s">
        <v>70</v>
      </c>
      <c r="D88" s="59">
        <v>46661</v>
      </c>
      <c r="E88" s="63">
        <v>0</v>
      </c>
      <c r="F88" s="54">
        <v>87</v>
      </c>
      <c r="I88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46692</v>
      </c>
      <c r="E89" s="63">
        <v>0</v>
      </c>
      <c r="F89" s="13">
        <v>88</v>
      </c>
      <c r="I89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46054</v>
      </c>
      <c r="E90" s="63">
        <v>0</v>
      </c>
      <c r="F90" s="54">
        <v>89</v>
      </c>
      <c r="I90"/>
    </row>
    <row r="91" spans="1:9" x14ac:dyDescent="0.4">
      <c r="A91" s="13" t="s">
        <v>2324</v>
      </c>
      <c r="B91" s="55" t="s">
        <v>2325</v>
      </c>
      <c r="C91" s="13" t="s">
        <v>50</v>
      </c>
      <c r="D91" s="59">
        <v>46082</v>
      </c>
      <c r="E91" s="63">
        <v>0</v>
      </c>
      <c r="F91" s="13">
        <v>90</v>
      </c>
      <c r="I91"/>
    </row>
    <row r="92" spans="1:9" x14ac:dyDescent="0.4">
      <c r="A92" s="13" t="s">
        <v>2324</v>
      </c>
      <c r="B92" s="55" t="s">
        <v>2325</v>
      </c>
      <c r="C92" s="13" t="s">
        <v>50</v>
      </c>
      <c r="D92" s="59">
        <v>46113</v>
      </c>
      <c r="E92" s="63">
        <v>19050</v>
      </c>
      <c r="F92" s="54">
        <v>91</v>
      </c>
      <c r="I92"/>
    </row>
    <row r="93" spans="1:9" x14ac:dyDescent="0.4">
      <c r="A93" s="13" t="s">
        <v>2324</v>
      </c>
      <c r="B93" s="55" t="s">
        <v>2325</v>
      </c>
      <c r="C93" s="13" t="s">
        <v>50</v>
      </c>
      <c r="D93" s="59">
        <v>46143</v>
      </c>
      <c r="E93" s="63">
        <v>114300</v>
      </c>
      <c r="F93" s="13">
        <v>92</v>
      </c>
      <c r="I93"/>
    </row>
    <row r="94" spans="1:9" x14ac:dyDescent="0.4">
      <c r="A94" s="13" t="s">
        <v>2324</v>
      </c>
      <c r="B94" s="55" t="s">
        <v>2325</v>
      </c>
      <c r="C94" s="13" t="s">
        <v>50</v>
      </c>
      <c r="D94" s="59">
        <v>46174</v>
      </c>
      <c r="E94" s="63">
        <v>114300</v>
      </c>
      <c r="F94" s="54">
        <v>93</v>
      </c>
      <c r="I94"/>
    </row>
    <row r="95" spans="1:9" x14ac:dyDescent="0.4">
      <c r="A95" s="13" t="s">
        <v>2324</v>
      </c>
      <c r="B95" s="55" t="s">
        <v>2325</v>
      </c>
      <c r="C95" s="13" t="s">
        <v>50</v>
      </c>
      <c r="D95" s="59">
        <v>46204</v>
      </c>
      <c r="E95" s="63">
        <v>495300</v>
      </c>
      <c r="F95" s="13">
        <v>94</v>
      </c>
      <c r="I95"/>
    </row>
    <row r="96" spans="1:9" x14ac:dyDescent="0.4">
      <c r="A96" s="13" t="s">
        <v>2324</v>
      </c>
      <c r="B96" s="55" t="s">
        <v>2325</v>
      </c>
      <c r="C96" s="13" t="s">
        <v>50</v>
      </c>
      <c r="D96" s="59">
        <v>46235</v>
      </c>
      <c r="E96" s="63">
        <v>533400</v>
      </c>
      <c r="F96" s="54">
        <v>95</v>
      </c>
      <c r="I96"/>
    </row>
    <row r="97" spans="1:9" x14ac:dyDescent="0.4">
      <c r="A97" s="13" t="s">
        <v>2324</v>
      </c>
      <c r="B97" s="55" t="s">
        <v>2325</v>
      </c>
      <c r="C97" s="13" t="s">
        <v>50</v>
      </c>
      <c r="D97" s="59">
        <v>46266</v>
      </c>
      <c r="E97" s="63">
        <v>571500</v>
      </c>
      <c r="F97" s="13">
        <v>96</v>
      </c>
      <c r="I97"/>
    </row>
    <row r="98" spans="1:9" x14ac:dyDescent="0.4">
      <c r="A98" s="13" t="s">
        <v>2324</v>
      </c>
      <c r="B98" s="55" t="s">
        <v>2325</v>
      </c>
      <c r="C98" s="13" t="s">
        <v>50</v>
      </c>
      <c r="D98" s="59">
        <v>46296</v>
      </c>
      <c r="E98" s="63">
        <v>552450</v>
      </c>
      <c r="F98" s="54">
        <v>97</v>
      </c>
      <c r="I98"/>
    </row>
    <row r="99" spans="1:9" x14ac:dyDescent="0.4">
      <c r="A99" s="13" t="s">
        <v>2324</v>
      </c>
      <c r="B99" s="55" t="s">
        <v>2325</v>
      </c>
      <c r="C99" s="13" t="s">
        <v>50</v>
      </c>
      <c r="D99" s="59">
        <v>46327</v>
      </c>
      <c r="E99" s="63">
        <v>457200</v>
      </c>
      <c r="F99" s="13">
        <v>98</v>
      </c>
      <c r="I99"/>
    </row>
    <row r="100" spans="1:9" x14ac:dyDescent="0.4">
      <c r="A100" s="13" t="s">
        <v>2324</v>
      </c>
      <c r="B100" s="55" t="s">
        <v>2325</v>
      </c>
      <c r="C100" s="13" t="s">
        <v>50</v>
      </c>
      <c r="D100" s="59">
        <v>46357</v>
      </c>
      <c r="E100" s="63">
        <v>457200</v>
      </c>
      <c r="F100" s="54">
        <v>99</v>
      </c>
      <c r="I100"/>
    </row>
    <row r="101" spans="1:9" x14ac:dyDescent="0.4">
      <c r="A101" s="13" t="s">
        <v>2324</v>
      </c>
      <c r="B101" s="55" t="s">
        <v>2325</v>
      </c>
      <c r="C101" s="13" t="s">
        <v>50</v>
      </c>
      <c r="D101" s="59">
        <v>46388</v>
      </c>
      <c r="E101" s="63">
        <v>76200</v>
      </c>
      <c r="F101" s="13">
        <v>100</v>
      </c>
      <c r="I101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46419</v>
      </c>
      <c r="E102" s="63">
        <v>38100</v>
      </c>
      <c r="F102" s="54">
        <v>101</v>
      </c>
      <c r="I102"/>
    </row>
    <row r="103" spans="1:9" x14ac:dyDescent="0.4">
      <c r="A103" s="13" t="s">
        <v>2324</v>
      </c>
      <c r="B103" s="55" t="s">
        <v>2325</v>
      </c>
      <c r="C103" s="13" t="s">
        <v>50</v>
      </c>
      <c r="D103" s="59">
        <v>46447</v>
      </c>
      <c r="E103" s="63">
        <v>0</v>
      </c>
      <c r="F103" s="13">
        <v>102</v>
      </c>
      <c r="I103"/>
    </row>
    <row r="104" spans="1:9" x14ac:dyDescent="0.4">
      <c r="A104" s="13" t="s">
        <v>2324</v>
      </c>
      <c r="B104" s="55" t="s">
        <v>2325</v>
      </c>
      <c r="C104" s="13" t="s">
        <v>50</v>
      </c>
      <c r="D104" s="59">
        <v>46478</v>
      </c>
      <c r="E104" s="63">
        <v>0</v>
      </c>
      <c r="F104" s="54">
        <v>103</v>
      </c>
      <c r="I104"/>
    </row>
    <row r="105" spans="1:9" x14ac:dyDescent="0.4">
      <c r="A105" s="13" t="s">
        <v>2324</v>
      </c>
      <c r="B105" s="55" t="s">
        <v>2325</v>
      </c>
      <c r="C105" s="13" t="s">
        <v>50</v>
      </c>
      <c r="D105" s="59">
        <v>46508</v>
      </c>
      <c r="E105" s="63">
        <v>0</v>
      </c>
      <c r="F105" s="13">
        <v>104</v>
      </c>
      <c r="I105"/>
    </row>
    <row r="106" spans="1:9" x14ac:dyDescent="0.4">
      <c r="A106" s="13" t="s">
        <v>2324</v>
      </c>
      <c r="B106" s="55" t="s">
        <v>2325</v>
      </c>
      <c r="C106" s="13" t="s">
        <v>50</v>
      </c>
      <c r="D106" s="59">
        <v>46539</v>
      </c>
      <c r="E106" s="63">
        <v>0</v>
      </c>
      <c r="F106" s="54">
        <v>105</v>
      </c>
      <c r="I106"/>
    </row>
    <row r="107" spans="1:9" x14ac:dyDescent="0.4">
      <c r="A107" s="13" t="s">
        <v>2324</v>
      </c>
      <c r="B107" s="55" t="s">
        <v>2325</v>
      </c>
      <c r="C107" s="13" t="s">
        <v>50</v>
      </c>
      <c r="D107" s="59">
        <v>46569</v>
      </c>
      <c r="E107" s="63">
        <v>0</v>
      </c>
      <c r="F107" s="13">
        <v>106</v>
      </c>
      <c r="I107"/>
    </row>
    <row r="108" spans="1:9" x14ac:dyDescent="0.4">
      <c r="A108" s="13" t="s">
        <v>2324</v>
      </c>
      <c r="B108" s="55" t="s">
        <v>2325</v>
      </c>
      <c r="C108" s="13" t="s">
        <v>50</v>
      </c>
      <c r="D108" s="59">
        <v>46600</v>
      </c>
      <c r="E108" s="63">
        <v>0</v>
      </c>
      <c r="F108" s="54">
        <v>107</v>
      </c>
      <c r="I108"/>
    </row>
    <row r="109" spans="1:9" x14ac:dyDescent="0.4">
      <c r="A109" s="13" t="s">
        <v>2324</v>
      </c>
      <c r="B109" s="55" t="s">
        <v>2325</v>
      </c>
      <c r="C109" s="13" t="s">
        <v>50</v>
      </c>
      <c r="D109" s="59">
        <v>46631</v>
      </c>
      <c r="E109" s="63">
        <v>0</v>
      </c>
      <c r="F109" s="13">
        <v>108</v>
      </c>
      <c r="I109"/>
    </row>
    <row r="110" spans="1:9" x14ac:dyDescent="0.4">
      <c r="A110" s="13" t="s">
        <v>2324</v>
      </c>
      <c r="B110" s="55" t="s">
        <v>2325</v>
      </c>
      <c r="C110" s="13" t="s">
        <v>50</v>
      </c>
      <c r="D110" s="59">
        <v>46661</v>
      </c>
      <c r="E110" s="63">
        <v>0</v>
      </c>
      <c r="F110" s="54">
        <v>109</v>
      </c>
      <c r="I110"/>
    </row>
    <row r="111" spans="1:9" x14ac:dyDescent="0.4">
      <c r="A111" s="13" t="s">
        <v>2324</v>
      </c>
      <c r="B111" s="55" t="s">
        <v>2325</v>
      </c>
      <c r="C111" s="13" t="s">
        <v>50</v>
      </c>
      <c r="D111" s="59">
        <v>46692</v>
      </c>
      <c r="E111" s="63">
        <v>0</v>
      </c>
      <c r="F111" s="13">
        <v>110</v>
      </c>
      <c r="I111"/>
    </row>
    <row r="112" spans="1:9" x14ac:dyDescent="0.4">
      <c r="A112" s="13" t="s">
        <v>2324</v>
      </c>
      <c r="B112" s="55" t="s">
        <v>2325</v>
      </c>
      <c r="C112" s="13" t="s">
        <v>5133</v>
      </c>
      <c r="D112" s="59">
        <v>46054</v>
      </c>
      <c r="E112" s="63">
        <v>0</v>
      </c>
      <c r="F112" s="54">
        <v>111</v>
      </c>
      <c r="I112"/>
    </row>
    <row r="113" spans="1:9" x14ac:dyDescent="0.4">
      <c r="A113" s="13" t="s">
        <v>2324</v>
      </c>
      <c r="B113" s="55" t="s">
        <v>2325</v>
      </c>
      <c r="C113" s="13" t="s">
        <v>5133</v>
      </c>
      <c r="D113" s="59">
        <v>46082</v>
      </c>
      <c r="E113" s="63">
        <v>0</v>
      </c>
      <c r="F113" s="13">
        <v>112</v>
      </c>
      <c r="I113"/>
    </row>
    <row r="114" spans="1:9" x14ac:dyDescent="0.4">
      <c r="A114" s="13" t="s">
        <v>2324</v>
      </c>
      <c r="B114" s="55" t="s">
        <v>2325</v>
      </c>
      <c r="C114" s="13" t="s">
        <v>5133</v>
      </c>
      <c r="D114" s="59">
        <v>46113</v>
      </c>
      <c r="E114" s="63">
        <v>0</v>
      </c>
      <c r="F114" s="54">
        <v>113</v>
      </c>
      <c r="I114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46143</v>
      </c>
      <c r="E115" s="63">
        <v>0</v>
      </c>
      <c r="F115" s="13">
        <v>114</v>
      </c>
      <c r="I115"/>
    </row>
    <row r="116" spans="1:9" x14ac:dyDescent="0.4">
      <c r="A116" s="13" t="s">
        <v>2324</v>
      </c>
      <c r="B116" s="55" t="s">
        <v>2325</v>
      </c>
      <c r="C116" s="13" t="s">
        <v>5133</v>
      </c>
      <c r="D116" s="59">
        <v>46174</v>
      </c>
      <c r="E116" s="63">
        <v>0</v>
      </c>
      <c r="F116" s="54">
        <v>115</v>
      </c>
      <c r="I116"/>
    </row>
    <row r="117" spans="1:9" x14ac:dyDescent="0.4">
      <c r="A117" s="13" t="s">
        <v>2324</v>
      </c>
      <c r="B117" s="55" t="s">
        <v>2325</v>
      </c>
      <c r="C117" s="13" t="s">
        <v>5133</v>
      </c>
      <c r="D117" s="59">
        <v>46204</v>
      </c>
      <c r="E117" s="63">
        <v>0</v>
      </c>
      <c r="F117" s="13">
        <v>116</v>
      </c>
      <c r="I117"/>
    </row>
    <row r="118" spans="1:9" x14ac:dyDescent="0.4">
      <c r="A118" s="13" t="s">
        <v>2324</v>
      </c>
      <c r="B118" s="55" t="s">
        <v>2325</v>
      </c>
      <c r="C118" s="13" t="s">
        <v>5133</v>
      </c>
      <c r="D118" s="59">
        <v>46235</v>
      </c>
      <c r="E118" s="63">
        <v>0</v>
      </c>
      <c r="F118" s="54">
        <v>117</v>
      </c>
      <c r="I118"/>
    </row>
    <row r="119" spans="1:9" x14ac:dyDescent="0.4">
      <c r="A119" s="13" t="s">
        <v>2324</v>
      </c>
      <c r="B119" s="55" t="s">
        <v>2325</v>
      </c>
      <c r="C119" s="13" t="s">
        <v>5133</v>
      </c>
      <c r="D119" s="59">
        <v>46266</v>
      </c>
      <c r="E119" s="63">
        <v>28305</v>
      </c>
      <c r="F119" s="13">
        <v>118</v>
      </c>
      <c r="I119"/>
    </row>
    <row r="120" spans="1:9" x14ac:dyDescent="0.4">
      <c r="A120" s="13" t="s">
        <v>2324</v>
      </c>
      <c r="B120" s="55" t="s">
        <v>2325</v>
      </c>
      <c r="C120" s="13" t="s">
        <v>5133</v>
      </c>
      <c r="D120" s="59">
        <v>46296</v>
      </c>
      <c r="E120" s="63">
        <v>28305</v>
      </c>
      <c r="F120" s="54">
        <v>119</v>
      </c>
      <c r="I120"/>
    </row>
    <row r="121" spans="1:9" x14ac:dyDescent="0.4">
      <c r="A121" s="13" t="s">
        <v>2324</v>
      </c>
      <c r="B121" s="55" t="s">
        <v>2325</v>
      </c>
      <c r="C121" s="13" t="s">
        <v>5133</v>
      </c>
      <c r="D121" s="59">
        <v>46327</v>
      </c>
      <c r="E121" s="63">
        <v>37740</v>
      </c>
      <c r="F121" s="13">
        <v>120</v>
      </c>
      <c r="I121"/>
    </row>
    <row r="122" spans="1:9" x14ac:dyDescent="0.4">
      <c r="A122" s="13" t="s">
        <v>2324</v>
      </c>
      <c r="B122" s="55" t="s">
        <v>2325</v>
      </c>
      <c r="C122" s="13" t="s">
        <v>5133</v>
      </c>
      <c r="D122" s="59">
        <v>46357</v>
      </c>
      <c r="E122" s="63">
        <v>37740</v>
      </c>
      <c r="F122" s="54">
        <v>121</v>
      </c>
      <c r="I122"/>
    </row>
    <row r="123" spans="1:9" x14ac:dyDescent="0.4">
      <c r="A123" s="13" t="s">
        <v>2324</v>
      </c>
      <c r="B123" s="55" t="s">
        <v>2325</v>
      </c>
      <c r="C123" s="13" t="s">
        <v>5133</v>
      </c>
      <c r="D123" s="59">
        <v>46388</v>
      </c>
      <c r="E123" s="63">
        <v>37740</v>
      </c>
      <c r="F123" s="13">
        <v>122</v>
      </c>
      <c r="I123"/>
    </row>
    <row r="124" spans="1:9" x14ac:dyDescent="0.4">
      <c r="A124" s="13" t="s">
        <v>2324</v>
      </c>
      <c r="B124" s="55" t="s">
        <v>2325</v>
      </c>
      <c r="C124" s="13" t="s">
        <v>5133</v>
      </c>
      <c r="D124" s="59">
        <v>46419</v>
      </c>
      <c r="E124" s="63">
        <v>37740</v>
      </c>
      <c r="F124" s="54">
        <v>123</v>
      </c>
      <c r="I124"/>
    </row>
    <row r="125" spans="1:9" x14ac:dyDescent="0.4">
      <c r="A125" s="13" t="s">
        <v>2324</v>
      </c>
      <c r="B125" s="55" t="s">
        <v>2325</v>
      </c>
      <c r="C125" s="13" t="s">
        <v>5133</v>
      </c>
      <c r="D125" s="59">
        <v>46447</v>
      </c>
      <c r="E125" s="63">
        <v>37740</v>
      </c>
      <c r="F125" s="13">
        <v>124</v>
      </c>
      <c r="I125"/>
    </row>
    <row r="126" spans="1:9" x14ac:dyDescent="0.4">
      <c r="A126" s="13" t="s">
        <v>2324</v>
      </c>
      <c r="B126" s="55" t="s">
        <v>2325</v>
      </c>
      <c r="C126" s="13" t="s">
        <v>5133</v>
      </c>
      <c r="D126" s="59">
        <v>46478</v>
      </c>
      <c r="E126" s="63">
        <v>37740</v>
      </c>
      <c r="F126" s="54">
        <v>125</v>
      </c>
      <c r="I126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46508</v>
      </c>
      <c r="E127" s="63">
        <v>37740</v>
      </c>
      <c r="F127" s="13">
        <v>126</v>
      </c>
      <c r="I127"/>
    </row>
    <row r="128" spans="1:9" x14ac:dyDescent="0.4">
      <c r="A128" s="13" t="s">
        <v>2324</v>
      </c>
      <c r="B128" s="55" t="s">
        <v>2325</v>
      </c>
      <c r="C128" s="13" t="s">
        <v>5133</v>
      </c>
      <c r="D128" s="59">
        <v>46539</v>
      </c>
      <c r="E128" s="63">
        <v>37740</v>
      </c>
      <c r="F128" s="54">
        <v>127</v>
      </c>
      <c r="I128"/>
    </row>
    <row r="129" spans="1:9" x14ac:dyDescent="0.4">
      <c r="A129" s="13" t="s">
        <v>2324</v>
      </c>
      <c r="B129" s="55" t="s">
        <v>2325</v>
      </c>
      <c r="C129" s="13" t="s">
        <v>5133</v>
      </c>
      <c r="D129" s="59">
        <v>46569</v>
      </c>
      <c r="E129" s="63">
        <v>37740</v>
      </c>
      <c r="F129" s="13">
        <v>128</v>
      </c>
      <c r="I129"/>
    </row>
    <row r="130" spans="1:9" x14ac:dyDescent="0.4">
      <c r="A130" s="13" t="s">
        <v>2324</v>
      </c>
      <c r="B130" s="55" t="s">
        <v>2325</v>
      </c>
      <c r="C130" s="13" t="s">
        <v>5133</v>
      </c>
      <c r="D130" s="59">
        <v>46600</v>
      </c>
      <c r="E130" s="63">
        <v>37740</v>
      </c>
      <c r="F130" s="54">
        <v>129</v>
      </c>
      <c r="I130"/>
    </row>
    <row r="131" spans="1:9" x14ac:dyDescent="0.4">
      <c r="A131" s="13" t="s">
        <v>2324</v>
      </c>
      <c r="B131" s="55" t="s">
        <v>2325</v>
      </c>
      <c r="C131" s="13" t="s">
        <v>5133</v>
      </c>
      <c r="D131" s="59">
        <v>46631</v>
      </c>
      <c r="E131" s="63">
        <v>9435</v>
      </c>
      <c r="F131" s="13">
        <v>130</v>
      </c>
      <c r="I131"/>
    </row>
    <row r="132" spans="1:9" x14ac:dyDescent="0.4">
      <c r="A132" s="13" t="s">
        <v>2324</v>
      </c>
      <c r="B132" s="55" t="s">
        <v>2325</v>
      </c>
      <c r="C132" s="13" t="s">
        <v>5133</v>
      </c>
      <c r="D132" s="59">
        <v>46661</v>
      </c>
      <c r="E132" s="63">
        <v>9435</v>
      </c>
      <c r="F132" s="54">
        <v>131</v>
      </c>
      <c r="I132"/>
    </row>
    <row r="133" spans="1:9" x14ac:dyDescent="0.4">
      <c r="A133" s="13" t="s">
        <v>2324</v>
      </c>
      <c r="B133" s="55" t="s">
        <v>2325</v>
      </c>
      <c r="C133" s="13" t="s">
        <v>5133</v>
      </c>
      <c r="D133" s="59">
        <v>46692</v>
      </c>
      <c r="E133" s="63">
        <v>0</v>
      </c>
      <c r="F133" s="13">
        <v>132</v>
      </c>
      <c r="I133"/>
    </row>
    <row r="134" spans="1:9" x14ac:dyDescent="0.4">
      <c r="A134" s="13" t="s">
        <v>2324</v>
      </c>
      <c r="B134" s="13" t="s">
        <v>2345</v>
      </c>
      <c r="C134" s="10" t="s">
        <v>25</v>
      </c>
      <c r="D134" s="59">
        <v>46054</v>
      </c>
      <c r="E134" s="63">
        <v>0</v>
      </c>
      <c r="F134" s="54">
        <v>133</v>
      </c>
      <c r="I134"/>
    </row>
    <row r="135" spans="1:9" x14ac:dyDescent="0.4">
      <c r="A135" s="13" t="s">
        <v>2324</v>
      </c>
      <c r="B135" s="13" t="s">
        <v>2345</v>
      </c>
      <c r="C135" s="10" t="s">
        <v>25</v>
      </c>
      <c r="D135" s="59">
        <v>46082</v>
      </c>
      <c r="E135" s="6">
        <v>17820</v>
      </c>
      <c r="F135" s="13">
        <v>134</v>
      </c>
      <c r="I135"/>
    </row>
    <row r="136" spans="1:9" x14ac:dyDescent="0.4">
      <c r="A136" s="13" t="s">
        <v>2324</v>
      </c>
      <c r="B136" s="13" t="s">
        <v>2345</v>
      </c>
      <c r="C136" s="10" t="s">
        <v>25</v>
      </c>
      <c r="D136" s="59">
        <v>46113</v>
      </c>
      <c r="E136" s="6">
        <v>792990</v>
      </c>
      <c r="F136" s="54">
        <v>135</v>
      </c>
      <c r="I136"/>
    </row>
    <row r="137" spans="1:9" x14ac:dyDescent="0.4">
      <c r="A137" s="13" t="s">
        <v>2324</v>
      </c>
      <c r="B137" s="13" t="s">
        <v>2345</v>
      </c>
      <c r="C137" s="10" t="s">
        <v>25</v>
      </c>
      <c r="D137" s="59">
        <v>46143</v>
      </c>
      <c r="E137" s="6">
        <v>997920</v>
      </c>
      <c r="F137" s="13">
        <v>136</v>
      </c>
      <c r="I137"/>
    </row>
    <row r="138" spans="1:9" x14ac:dyDescent="0.4">
      <c r="A138" s="13" t="s">
        <v>2324</v>
      </c>
      <c r="B138" s="13" t="s">
        <v>2345</v>
      </c>
      <c r="C138" s="10" t="s">
        <v>25</v>
      </c>
      <c r="D138" s="59">
        <v>46174</v>
      </c>
      <c r="E138" s="6">
        <v>980100</v>
      </c>
      <c r="F138" s="54">
        <v>137</v>
      </c>
      <c r="I138"/>
    </row>
    <row r="139" spans="1:9" x14ac:dyDescent="0.4">
      <c r="A139" s="13" t="s">
        <v>2324</v>
      </c>
      <c r="B139" s="13" t="s">
        <v>2345</v>
      </c>
      <c r="C139" s="10" t="s">
        <v>25</v>
      </c>
      <c r="D139" s="59">
        <v>46204</v>
      </c>
      <c r="E139" s="6">
        <v>204930</v>
      </c>
      <c r="F139" s="13">
        <v>138</v>
      </c>
      <c r="I139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46235</v>
      </c>
      <c r="E140" s="6">
        <v>0</v>
      </c>
      <c r="F140" s="54">
        <v>139</v>
      </c>
      <c r="I140"/>
    </row>
    <row r="141" spans="1:9" x14ac:dyDescent="0.4">
      <c r="A141" s="13" t="s">
        <v>2324</v>
      </c>
      <c r="B141" s="13" t="s">
        <v>2345</v>
      </c>
      <c r="C141" s="10" t="s">
        <v>25</v>
      </c>
      <c r="D141" s="59">
        <v>46266</v>
      </c>
      <c r="E141" s="6">
        <v>0</v>
      </c>
      <c r="F141" s="13">
        <v>140</v>
      </c>
      <c r="I141"/>
    </row>
    <row r="142" spans="1:9" x14ac:dyDescent="0.4">
      <c r="A142" s="13" t="s">
        <v>2324</v>
      </c>
      <c r="B142" s="13" t="s">
        <v>2345</v>
      </c>
      <c r="C142" s="10" t="s">
        <v>25</v>
      </c>
      <c r="D142" s="59">
        <v>46296</v>
      </c>
      <c r="E142" s="6">
        <v>0</v>
      </c>
      <c r="F142" s="54">
        <v>141</v>
      </c>
      <c r="I142"/>
    </row>
    <row r="143" spans="1:9" x14ac:dyDescent="0.4">
      <c r="A143" s="13" t="s">
        <v>2324</v>
      </c>
      <c r="B143" s="13" t="s">
        <v>2345</v>
      </c>
      <c r="C143" s="10" t="s">
        <v>25</v>
      </c>
      <c r="D143" s="59">
        <v>46327</v>
      </c>
      <c r="E143" s="6">
        <v>0</v>
      </c>
      <c r="F143" s="13">
        <v>142</v>
      </c>
      <c r="I143"/>
    </row>
    <row r="144" spans="1:9" x14ac:dyDescent="0.4">
      <c r="A144" s="13" t="s">
        <v>2324</v>
      </c>
      <c r="B144" s="13" t="s">
        <v>2345</v>
      </c>
      <c r="C144" s="10" t="s">
        <v>25</v>
      </c>
      <c r="D144" s="59">
        <v>46357</v>
      </c>
      <c r="E144" s="6">
        <v>0</v>
      </c>
      <c r="F144" s="54">
        <v>143</v>
      </c>
      <c r="I144"/>
    </row>
    <row r="145" spans="1:9" x14ac:dyDescent="0.4">
      <c r="A145" s="13" t="s">
        <v>2324</v>
      </c>
      <c r="B145" s="13" t="s">
        <v>2345</v>
      </c>
      <c r="C145" s="10" t="s">
        <v>25</v>
      </c>
      <c r="D145" s="59">
        <v>46388</v>
      </c>
      <c r="E145" s="6">
        <v>0</v>
      </c>
      <c r="F145" s="13">
        <v>144</v>
      </c>
      <c r="I145"/>
    </row>
    <row r="146" spans="1:9" x14ac:dyDescent="0.4">
      <c r="A146" s="13" t="s">
        <v>2324</v>
      </c>
      <c r="B146" s="13" t="s">
        <v>2345</v>
      </c>
      <c r="C146" s="10" t="s">
        <v>25</v>
      </c>
      <c r="D146" s="59">
        <v>46419</v>
      </c>
      <c r="E146" s="6">
        <v>0</v>
      </c>
      <c r="F146" s="54">
        <v>145</v>
      </c>
      <c r="I146"/>
    </row>
    <row r="147" spans="1:9" x14ac:dyDescent="0.4">
      <c r="A147" s="13" t="s">
        <v>2324</v>
      </c>
      <c r="B147" s="13" t="s">
        <v>2345</v>
      </c>
      <c r="C147" s="10" t="s">
        <v>25</v>
      </c>
      <c r="D147" s="59">
        <v>46447</v>
      </c>
      <c r="E147" s="6">
        <v>0</v>
      </c>
      <c r="F147" s="13">
        <v>146</v>
      </c>
      <c r="I147"/>
    </row>
    <row r="148" spans="1:9" x14ac:dyDescent="0.4">
      <c r="A148" s="13" t="s">
        <v>2324</v>
      </c>
      <c r="B148" s="13" t="s">
        <v>2345</v>
      </c>
      <c r="C148" s="10" t="s">
        <v>25</v>
      </c>
      <c r="D148" s="59">
        <v>46478</v>
      </c>
      <c r="E148" s="6">
        <v>0</v>
      </c>
      <c r="F148" s="54">
        <v>147</v>
      </c>
      <c r="I148"/>
    </row>
    <row r="149" spans="1:9" x14ac:dyDescent="0.4">
      <c r="A149" s="13" t="s">
        <v>2324</v>
      </c>
      <c r="B149" s="13" t="s">
        <v>2345</v>
      </c>
      <c r="C149" s="10" t="s">
        <v>25</v>
      </c>
      <c r="D149" s="59">
        <v>46508</v>
      </c>
      <c r="E149" s="6">
        <v>0</v>
      </c>
      <c r="F149" s="13">
        <v>148</v>
      </c>
      <c r="I149"/>
    </row>
    <row r="150" spans="1:9" x14ac:dyDescent="0.4">
      <c r="A150" s="13" t="s">
        <v>2324</v>
      </c>
      <c r="B150" s="13" t="s">
        <v>2345</v>
      </c>
      <c r="C150" s="10" t="s">
        <v>25</v>
      </c>
      <c r="D150" s="59">
        <v>46539</v>
      </c>
      <c r="E150" s="6">
        <v>0</v>
      </c>
      <c r="F150" s="54">
        <v>149</v>
      </c>
      <c r="I150"/>
    </row>
    <row r="151" spans="1:9" x14ac:dyDescent="0.4">
      <c r="A151" s="13" t="s">
        <v>2324</v>
      </c>
      <c r="B151" s="13" t="s">
        <v>2345</v>
      </c>
      <c r="C151" s="10" t="s">
        <v>25</v>
      </c>
      <c r="D151" s="59">
        <v>46569</v>
      </c>
      <c r="E151" s="6">
        <v>0</v>
      </c>
      <c r="F151" s="13">
        <v>150</v>
      </c>
      <c r="I151"/>
    </row>
    <row r="152" spans="1:9" x14ac:dyDescent="0.4">
      <c r="A152" s="13" t="s">
        <v>2324</v>
      </c>
      <c r="B152" s="13" t="s">
        <v>2345</v>
      </c>
      <c r="C152" s="10" t="s">
        <v>25</v>
      </c>
      <c r="D152" s="59">
        <v>46600</v>
      </c>
      <c r="E152" s="6">
        <v>0</v>
      </c>
      <c r="F152" s="54">
        <v>151</v>
      </c>
      <c r="I152"/>
    </row>
    <row r="153" spans="1:9" x14ac:dyDescent="0.4">
      <c r="A153" s="13" t="s">
        <v>2324</v>
      </c>
      <c r="B153" s="13" t="s">
        <v>2345</v>
      </c>
      <c r="C153" s="10" t="s">
        <v>25</v>
      </c>
      <c r="D153" s="59">
        <v>46631</v>
      </c>
      <c r="E153" s="6">
        <v>0</v>
      </c>
      <c r="F153" s="13">
        <v>152</v>
      </c>
      <c r="I153"/>
    </row>
    <row r="154" spans="1:9" x14ac:dyDescent="0.4">
      <c r="A154" s="13" t="s">
        <v>2324</v>
      </c>
      <c r="B154" s="13" t="s">
        <v>2345</v>
      </c>
      <c r="C154" s="10" t="s">
        <v>25</v>
      </c>
      <c r="D154" s="59">
        <v>46661</v>
      </c>
      <c r="E154" s="6">
        <v>0</v>
      </c>
      <c r="F154" s="54">
        <v>153</v>
      </c>
      <c r="I154"/>
    </row>
    <row r="155" spans="1:9" x14ac:dyDescent="0.4">
      <c r="A155" s="13" t="s">
        <v>2324</v>
      </c>
      <c r="B155" s="13" t="s">
        <v>2345</v>
      </c>
      <c r="C155" s="10" t="s">
        <v>25</v>
      </c>
      <c r="D155" s="59">
        <v>46692</v>
      </c>
      <c r="E155" s="6">
        <v>0</v>
      </c>
      <c r="F155" s="13">
        <v>154</v>
      </c>
      <c r="I155"/>
    </row>
    <row r="156" spans="1:9" x14ac:dyDescent="0.4">
      <c r="A156" s="13" t="s">
        <v>2324</v>
      </c>
      <c r="B156" s="13" t="s">
        <v>2345</v>
      </c>
      <c r="C156" s="13" t="s">
        <v>44</v>
      </c>
      <c r="D156" s="59">
        <v>46054</v>
      </c>
      <c r="E156" s="6">
        <v>0</v>
      </c>
      <c r="F156" s="54">
        <v>155</v>
      </c>
      <c r="I156"/>
    </row>
    <row r="157" spans="1:9" x14ac:dyDescent="0.4">
      <c r="A157" s="13" t="s">
        <v>2324</v>
      </c>
      <c r="B157" s="13" t="s">
        <v>2345</v>
      </c>
      <c r="C157" s="13" t="s">
        <v>44</v>
      </c>
      <c r="D157" s="59">
        <v>46082</v>
      </c>
      <c r="E157" s="6">
        <v>51435</v>
      </c>
      <c r="F157" s="13">
        <v>156</v>
      </c>
      <c r="I157"/>
    </row>
    <row r="158" spans="1:9" x14ac:dyDescent="0.4">
      <c r="A158" s="13" t="s">
        <v>2324</v>
      </c>
      <c r="B158" s="13" t="s">
        <v>2345</v>
      </c>
      <c r="C158" s="13" t="s">
        <v>44</v>
      </c>
      <c r="D158" s="59">
        <v>46113</v>
      </c>
      <c r="E158" s="6">
        <v>137160</v>
      </c>
      <c r="F158" s="54">
        <v>157</v>
      </c>
      <c r="I158"/>
    </row>
    <row r="159" spans="1:9" x14ac:dyDescent="0.4">
      <c r="A159" s="13" t="s">
        <v>2324</v>
      </c>
      <c r="B159" s="13" t="s">
        <v>2345</v>
      </c>
      <c r="C159" s="13" t="s">
        <v>44</v>
      </c>
      <c r="D159" s="59">
        <v>46143</v>
      </c>
      <c r="E159" s="6">
        <v>968693</v>
      </c>
      <c r="F159" s="13">
        <v>158</v>
      </c>
      <c r="I159"/>
    </row>
    <row r="160" spans="1:9" x14ac:dyDescent="0.4">
      <c r="A160" s="13" t="s">
        <v>2324</v>
      </c>
      <c r="B160" s="13" t="s">
        <v>2345</v>
      </c>
      <c r="C160" s="13" t="s">
        <v>44</v>
      </c>
      <c r="D160" s="59">
        <v>46174</v>
      </c>
      <c r="E160" s="6">
        <v>1037273</v>
      </c>
      <c r="F160" s="54">
        <v>159</v>
      </c>
      <c r="I160"/>
    </row>
    <row r="161" spans="1:9" x14ac:dyDescent="0.4">
      <c r="A161" s="13" t="s">
        <v>2324</v>
      </c>
      <c r="B161" s="13" t="s">
        <v>2345</v>
      </c>
      <c r="C161" s="13" t="s">
        <v>44</v>
      </c>
      <c r="D161" s="59">
        <v>46204</v>
      </c>
      <c r="E161" s="6">
        <v>4491990</v>
      </c>
      <c r="F161" s="13">
        <v>160</v>
      </c>
      <c r="I161"/>
    </row>
    <row r="162" spans="1:9" x14ac:dyDescent="0.4">
      <c r="A162" s="13" t="s">
        <v>2324</v>
      </c>
      <c r="B162" s="13" t="s">
        <v>2345</v>
      </c>
      <c r="C162" s="13" t="s">
        <v>44</v>
      </c>
      <c r="D162" s="59">
        <v>46235</v>
      </c>
      <c r="E162" s="6">
        <v>4577715</v>
      </c>
      <c r="F162" s="54">
        <v>161</v>
      </c>
      <c r="I162"/>
    </row>
    <row r="163" spans="1:9" x14ac:dyDescent="0.4">
      <c r="A163" s="13" t="s">
        <v>2324</v>
      </c>
      <c r="B163" s="13" t="s">
        <v>2345</v>
      </c>
      <c r="C163" s="13" t="s">
        <v>44</v>
      </c>
      <c r="D163" s="59">
        <v>46266</v>
      </c>
      <c r="E163" s="6">
        <v>4586288</v>
      </c>
      <c r="F163" s="13">
        <v>162</v>
      </c>
      <c r="I163"/>
    </row>
    <row r="164" spans="1:9" x14ac:dyDescent="0.4">
      <c r="A164" s="13" t="s">
        <v>2324</v>
      </c>
      <c r="B164" s="13" t="s">
        <v>2345</v>
      </c>
      <c r="C164" s="13" t="s">
        <v>44</v>
      </c>
      <c r="D164" s="59">
        <v>46296</v>
      </c>
      <c r="E164" s="6">
        <v>4500563</v>
      </c>
      <c r="F164" s="54">
        <v>163</v>
      </c>
      <c r="I164"/>
    </row>
    <row r="165" spans="1:9" x14ac:dyDescent="0.4">
      <c r="A165" s="13" t="s">
        <v>2324</v>
      </c>
      <c r="B165" s="13" t="s">
        <v>2345</v>
      </c>
      <c r="C165" s="13" t="s">
        <v>44</v>
      </c>
      <c r="D165" s="59">
        <v>46327</v>
      </c>
      <c r="E165" s="6">
        <v>3669030</v>
      </c>
      <c r="F165" s="13">
        <v>164</v>
      </c>
      <c r="I165"/>
    </row>
    <row r="166" spans="1:9" x14ac:dyDescent="0.4">
      <c r="A166" s="13" t="s">
        <v>2324</v>
      </c>
      <c r="B166" s="13" t="s">
        <v>2345</v>
      </c>
      <c r="C166" s="13" t="s">
        <v>44</v>
      </c>
      <c r="D166" s="59">
        <v>46357</v>
      </c>
      <c r="E166" s="6">
        <v>3600450</v>
      </c>
      <c r="F166" s="54">
        <v>165</v>
      </c>
      <c r="I166"/>
    </row>
    <row r="167" spans="1:9" x14ac:dyDescent="0.4">
      <c r="A167" s="13" t="s">
        <v>2324</v>
      </c>
      <c r="B167" s="13" t="s">
        <v>2345</v>
      </c>
      <c r="C167" s="13" t="s">
        <v>44</v>
      </c>
      <c r="D167" s="59">
        <v>46388</v>
      </c>
      <c r="E167" s="6">
        <v>145733</v>
      </c>
      <c r="F167" s="13">
        <v>166</v>
      </c>
      <c r="I167"/>
    </row>
    <row r="168" spans="1:9" x14ac:dyDescent="0.4">
      <c r="A168" s="13" t="s">
        <v>2324</v>
      </c>
      <c r="B168" s="13" t="s">
        <v>2345</v>
      </c>
      <c r="C168" s="13" t="s">
        <v>44</v>
      </c>
      <c r="D168" s="59">
        <v>46419</v>
      </c>
      <c r="E168" s="6">
        <v>60008</v>
      </c>
      <c r="F168" s="54">
        <v>167</v>
      </c>
      <c r="I168"/>
    </row>
    <row r="169" spans="1:9" x14ac:dyDescent="0.4">
      <c r="A169" s="13" t="s">
        <v>2324</v>
      </c>
      <c r="B169" s="13" t="s">
        <v>2345</v>
      </c>
      <c r="C169" s="13" t="s">
        <v>44</v>
      </c>
      <c r="D169" s="59">
        <v>46447</v>
      </c>
      <c r="E169" s="6">
        <v>0</v>
      </c>
      <c r="F169" s="13">
        <v>168</v>
      </c>
      <c r="I169"/>
    </row>
    <row r="170" spans="1:9" x14ac:dyDescent="0.4">
      <c r="A170" s="13" t="s">
        <v>2324</v>
      </c>
      <c r="B170" s="13" t="s">
        <v>2345</v>
      </c>
      <c r="C170" s="13" t="s">
        <v>44</v>
      </c>
      <c r="D170" s="59">
        <v>46478</v>
      </c>
      <c r="E170" s="6">
        <v>0</v>
      </c>
      <c r="F170" s="54">
        <v>169</v>
      </c>
      <c r="I170"/>
    </row>
    <row r="171" spans="1:9" x14ac:dyDescent="0.4">
      <c r="A171" s="13" t="s">
        <v>2324</v>
      </c>
      <c r="B171" s="13" t="s">
        <v>2345</v>
      </c>
      <c r="C171" s="13" t="s">
        <v>44</v>
      </c>
      <c r="D171" s="59">
        <v>46508</v>
      </c>
      <c r="E171" s="6">
        <v>0</v>
      </c>
      <c r="F171" s="13">
        <v>170</v>
      </c>
      <c r="I171"/>
    </row>
    <row r="172" spans="1:9" x14ac:dyDescent="0.4">
      <c r="A172" s="13" t="s">
        <v>2324</v>
      </c>
      <c r="B172" s="13" t="s">
        <v>2345</v>
      </c>
      <c r="C172" s="13" t="s">
        <v>44</v>
      </c>
      <c r="D172" s="59">
        <v>46539</v>
      </c>
      <c r="E172" s="6">
        <v>0</v>
      </c>
      <c r="F172" s="54">
        <v>171</v>
      </c>
      <c r="I172"/>
    </row>
    <row r="173" spans="1:9" x14ac:dyDescent="0.4">
      <c r="A173" s="13" t="s">
        <v>2324</v>
      </c>
      <c r="B173" s="13" t="s">
        <v>2345</v>
      </c>
      <c r="C173" s="13" t="s">
        <v>44</v>
      </c>
      <c r="D173" s="59">
        <v>46569</v>
      </c>
      <c r="E173" s="6">
        <v>0</v>
      </c>
      <c r="F173" s="13">
        <v>172</v>
      </c>
      <c r="I173"/>
    </row>
    <row r="174" spans="1:9" x14ac:dyDescent="0.4">
      <c r="A174" s="13" t="s">
        <v>2324</v>
      </c>
      <c r="B174" s="13" t="s">
        <v>2345</v>
      </c>
      <c r="C174" s="13" t="s">
        <v>44</v>
      </c>
      <c r="D174" s="59">
        <v>46600</v>
      </c>
      <c r="E174" s="6">
        <v>0</v>
      </c>
      <c r="F174" s="54">
        <v>173</v>
      </c>
      <c r="I174"/>
    </row>
    <row r="175" spans="1:9" x14ac:dyDescent="0.4">
      <c r="A175" s="13" t="s">
        <v>2324</v>
      </c>
      <c r="B175" s="13" t="s">
        <v>2345</v>
      </c>
      <c r="C175" s="13" t="s">
        <v>44</v>
      </c>
      <c r="D175" s="59">
        <v>46631</v>
      </c>
      <c r="E175" s="6">
        <v>0</v>
      </c>
      <c r="F175" s="13">
        <v>174</v>
      </c>
      <c r="I175"/>
    </row>
    <row r="176" spans="1:9" x14ac:dyDescent="0.4">
      <c r="A176" s="13" t="s">
        <v>2324</v>
      </c>
      <c r="B176" s="13" t="s">
        <v>2345</v>
      </c>
      <c r="C176" s="13" t="s">
        <v>44</v>
      </c>
      <c r="D176" s="59">
        <v>46661</v>
      </c>
      <c r="E176" s="6">
        <v>0</v>
      </c>
      <c r="F176" s="54">
        <v>175</v>
      </c>
      <c r="I176"/>
    </row>
    <row r="177" spans="1:9" x14ac:dyDescent="0.4">
      <c r="A177" s="13" t="s">
        <v>2324</v>
      </c>
      <c r="B177" s="13" t="s">
        <v>2345</v>
      </c>
      <c r="C177" s="13" t="s">
        <v>44</v>
      </c>
      <c r="D177" s="59">
        <v>46692</v>
      </c>
      <c r="E177" s="6">
        <v>0</v>
      </c>
      <c r="F177" s="13">
        <v>176</v>
      </c>
      <c r="I177"/>
    </row>
    <row r="178" spans="1:9" x14ac:dyDescent="0.4">
      <c r="A178" s="13" t="s">
        <v>2324</v>
      </c>
      <c r="B178" s="13" t="s">
        <v>2345</v>
      </c>
      <c r="C178" s="13" t="s">
        <v>1944</v>
      </c>
      <c r="D178" s="59">
        <v>46054</v>
      </c>
      <c r="E178" s="6">
        <v>0</v>
      </c>
      <c r="F178" s="54">
        <v>177</v>
      </c>
      <c r="I178"/>
    </row>
    <row r="179" spans="1:9" x14ac:dyDescent="0.4">
      <c r="A179" s="13" t="s">
        <v>2324</v>
      </c>
      <c r="B179" s="13" t="s">
        <v>2345</v>
      </c>
      <c r="C179" s="13" t="s">
        <v>1944</v>
      </c>
      <c r="D179" s="59">
        <v>46082</v>
      </c>
      <c r="E179" s="6">
        <v>42458</v>
      </c>
      <c r="F179" s="13">
        <v>178</v>
      </c>
      <c r="I179"/>
    </row>
    <row r="180" spans="1:9" x14ac:dyDescent="0.4">
      <c r="A180" s="13" t="s">
        <v>2324</v>
      </c>
      <c r="B180" s="13" t="s">
        <v>2345</v>
      </c>
      <c r="C180" s="13" t="s">
        <v>1944</v>
      </c>
      <c r="D180" s="59">
        <v>46113</v>
      </c>
      <c r="E180" s="6">
        <v>42458</v>
      </c>
      <c r="F180" s="54">
        <v>179</v>
      </c>
      <c r="I180"/>
    </row>
    <row r="181" spans="1:9" x14ac:dyDescent="0.4">
      <c r="A181" s="13" t="s">
        <v>2324</v>
      </c>
      <c r="B181" s="13" t="s">
        <v>2345</v>
      </c>
      <c r="C181" s="13" t="s">
        <v>1944</v>
      </c>
      <c r="D181" s="59">
        <v>46143</v>
      </c>
      <c r="E181" s="6">
        <v>67932</v>
      </c>
      <c r="F181" s="13">
        <v>180</v>
      </c>
      <c r="I181"/>
    </row>
    <row r="182" spans="1:9" x14ac:dyDescent="0.4">
      <c r="A182" s="13" t="s">
        <v>2324</v>
      </c>
      <c r="B182" s="13" t="s">
        <v>2345</v>
      </c>
      <c r="C182" s="13" t="s">
        <v>1944</v>
      </c>
      <c r="D182" s="59">
        <v>46174</v>
      </c>
      <c r="E182" s="6">
        <v>93407</v>
      </c>
      <c r="F182" s="54">
        <v>181</v>
      </c>
      <c r="I182"/>
    </row>
    <row r="183" spans="1:9" x14ac:dyDescent="0.4">
      <c r="A183" s="13" t="s">
        <v>2324</v>
      </c>
      <c r="B183" s="13" t="s">
        <v>2345</v>
      </c>
      <c r="C183" s="13" t="s">
        <v>1944</v>
      </c>
      <c r="D183" s="59">
        <v>46204</v>
      </c>
      <c r="E183" s="6">
        <v>101898</v>
      </c>
      <c r="F183" s="13">
        <v>182</v>
      </c>
      <c r="I183"/>
    </row>
    <row r="184" spans="1:9" x14ac:dyDescent="0.4">
      <c r="A184" s="13" t="s">
        <v>2324</v>
      </c>
      <c r="B184" s="13" t="s">
        <v>2345</v>
      </c>
      <c r="C184" s="13" t="s">
        <v>1944</v>
      </c>
      <c r="D184" s="59">
        <v>46235</v>
      </c>
      <c r="E184" s="6">
        <v>106144</v>
      </c>
      <c r="F184" s="54">
        <v>183</v>
      </c>
      <c r="I184"/>
    </row>
    <row r="185" spans="1:9" x14ac:dyDescent="0.4">
      <c r="A185" s="13" t="s">
        <v>2324</v>
      </c>
      <c r="B185" s="13" t="s">
        <v>2345</v>
      </c>
      <c r="C185" s="13" t="s">
        <v>1944</v>
      </c>
      <c r="D185" s="59">
        <v>46266</v>
      </c>
      <c r="E185" s="6">
        <v>174076</v>
      </c>
      <c r="F185" s="13">
        <v>184</v>
      </c>
      <c r="I185"/>
    </row>
    <row r="186" spans="1:9" x14ac:dyDescent="0.4">
      <c r="A186" s="13" t="s">
        <v>2324</v>
      </c>
      <c r="B186" s="13" t="s">
        <v>2345</v>
      </c>
      <c r="C186" s="13" t="s">
        <v>1944</v>
      </c>
      <c r="D186" s="59">
        <v>46296</v>
      </c>
      <c r="E186" s="6">
        <v>263237</v>
      </c>
      <c r="F186" s="54">
        <v>185</v>
      </c>
      <c r="I186"/>
    </row>
    <row r="187" spans="1:9" x14ac:dyDescent="0.4">
      <c r="A187" s="13" t="s">
        <v>2324</v>
      </c>
      <c r="B187" s="13" t="s">
        <v>2345</v>
      </c>
      <c r="C187" s="13" t="s">
        <v>1944</v>
      </c>
      <c r="D187" s="59">
        <v>46327</v>
      </c>
      <c r="E187" s="6">
        <v>263237</v>
      </c>
      <c r="F187" s="13">
        <v>186</v>
      </c>
      <c r="I187"/>
    </row>
    <row r="188" spans="1:9" x14ac:dyDescent="0.4">
      <c r="A188" s="13" t="s">
        <v>2324</v>
      </c>
      <c r="B188" s="13" t="s">
        <v>2345</v>
      </c>
      <c r="C188" s="13" t="s">
        <v>1944</v>
      </c>
      <c r="D188" s="59">
        <v>46357</v>
      </c>
      <c r="E188" s="6">
        <v>263237</v>
      </c>
      <c r="F188" s="54">
        <v>187</v>
      </c>
      <c r="I188"/>
    </row>
    <row r="189" spans="1:9" x14ac:dyDescent="0.4">
      <c r="A189" s="13" t="s">
        <v>2324</v>
      </c>
      <c r="B189" s="13" t="s">
        <v>2345</v>
      </c>
      <c r="C189" s="13" t="s">
        <v>1944</v>
      </c>
      <c r="D189" s="59">
        <v>46388</v>
      </c>
      <c r="E189" s="6">
        <v>267482</v>
      </c>
      <c r="F189" s="13">
        <v>188</v>
      </c>
      <c r="I189"/>
    </row>
    <row r="190" spans="1:9" x14ac:dyDescent="0.4">
      <c r="A190" s="13" t="s">
        <v>2324</v>
      </c>
      <c r="B190" s="13" t="s">
        <v>2345</v>
      </c>
      <c r="C190" s="13" t="s">
        <v>1944</v>
      </c>
      <c r="D190" s="59">
        <v>46419</v>
      </c>
      <c r="E190" s="6">
        <v>267482</v>
      </c>
      <c r="F190" s="54">
        <v>189</v>
      </c>
      <c r="I190"/>
    </row>
    <row r="191" spans="1:9" x14ac:dyDescent="0.4">
      <c r="A191" s="13" t="s">
        <v>2324</v>
      </c>
      <c r="B191" s="13" t="s">
        <v>2345</v>
      </c>
      <c r="C191" s="13" t="s">
        <v>1944</v>
      </c>
      <c r="D191" s="59">
        <v>46447</v>
      </c>
      <c r="E191" s="6">
        <v>225025</v>
      </c>
      <c r="F191" s="13">
        <v>190</v>
      </c>
      <c r="I191"/>
    </row>
    <row r="192" spans="1:9" x14ac:dyDescent="0.4">
      <c r="A192" s="13" t="s">
        <v>2324</v>
      </c>
      <c r="B192" s="13" t="s">
        <v>2345</v>
      </c>
      <c r="C192" s="13" t="s">
        <v>1944</v>
      </c>
      <c r="D192" s="59">
        <v>46478</v>
      </c>
      <c r="E192" s="6">
        <v>225025</v>
      </c>
      <c r="F192" s="54">
        <v>191</v>
      </c>
      <c r="I192"/>
    </row>
    <row r="193" spans="1:9" x14ac:dyDescent="0.4">
      <c r="A193" s="13" t="s">
        <v>2324</v>
      </c>
      <c r="B193" s="13" t="s">
        <v>2345</v>
      </c>
      <c r="C193" s="13" t="s">
        <v>1944</v>
      </c>
      <c r="D193" s="59">
        <v>46508</v>
      </c>
      <c r="E193" s="6">
        <v>199550</v>
      </c>
      <c r="F193" s="13">
        <v>192</v>
      </c>
      <c r="I193"/>
    </row>
    <row r="194" spans="1:9" x14ac:dyDescent="0.4">
      <c r="A194" s="13" t="s">
        <v>2324</v>
      </c>
      <c r="B194" s="13" t="s">
        <v>2345</v>
      </c>
      <c r="C194" s="13" t="s">
        <v>1944</v>
      </c>
      <c r="D194" s="59">
        <v>46539</v>
      </c>
      <c r="E194" s="6">
        <v>174076</v>
      </c>
      <c r="F194" s="54">
        <v>193</v>
      </c>
      <c r="I194"/>
    </row>
    <row r="195" spans="1:9" x14ac:dyDescent="0.4">
      <c r="A195" s="13" t="s">
        <v>2324</v>
      </c>
      <c r="B195" s="13" t="s">
        <v>2345</v>
      </c>
      <c r="C195" s="13" t="s">
        <v>1944</v>
      </c>
      <c r="D195" s="59">
        <v>46569</v>
      </c>
      <c r="E195" s="6">
        <v>165584</v>
      </c>
      <c r="F195" s="13">
        <v>194</v>
      </c>
      <c r="I195"/>
    </row>
    <row r="196" spans="1:9" x14ac:dyDescent="0.4">
      <c r="A196" s="13" t="s">
        <v>2324</v>
      </c>
      <c r="B196" s="13" t="s">
        <v>2345</v>
      </c>
      <c r="C196" s="13" t="s">
        <v>1944</v>
      </c>
      <c r="D196" s="59">
        <v>46600</v>
      </c>
      <c r="E196" s="6">
        <v>161339</v>
      </c>
      <c r="F196" s="54">
        <v>195</v>
      </c>
      <c r="I196"/>
    </row>
    <row r="197" spans="1:9" x14ac:dyDescent="0.4">
      <c r="A197" s="13" t="s">
        <v>2324</v>
      </c>
      <c r="B197" s="13" t="s">
        <v>2345</v>
      </c>
      <c r="C197" s="13" t="s">
        <v>1944</v>
      </c>
      <c r="D197" s="59">
        <v>46631</v>
      </c>
      <c r="E197" s="6">
        <v>93407</v>
      </c>
      <c r="F197" s="13">
        <v>196</v>
      </c>
      <c r="I197"/>
    </row>
    <row r="198" spans="1:9" x14ac:dyDescent="0.4">
      <c r="A198" s="13" t="s">
        <v>2324</v>
      </c>
      <c r="B198" s="13" t="s">
        <v>2345</v>
      </c>
      <c r="C198" s="13" t="s">
        <v>1944</v>
      </c>
      <c r="D198" s="59">
        <v>46661</v>
      </c>
      <c r="E198" s="6">
        <v>4246</v>
      </c>
      <c r="F198" s="54">
        <v>197</v>
      </c>
      <c r="I198"/>
    </row>
    <row r="199" spans="1:9" x14ac:dyDescent="0.4">
      <c r="A199" s="13" t="s">
        <v>2324</v>
      </c>
      <c r="B199" s="13" t="s">
        <v>2345</v>
      </c>
      <c r="C199" s="13" t="s">
        <v>1944</v>
      </c>
      <c r="D199" s="59">
        <v>46692</v>
      </c>
      <c r="E199" s="6">
        <v>4246</v>
      </c>
      <c r="F199" s="13">
        <v>198</v>
      </c>
      <c r="I199"/>
    </row>
    <row r="200" spans="1:9" x14ac:dyDescent="0.4">
      <c r="A200" s="13" t="s">
        <v>2324</v>
      </c>
      <c r="B200" s="13" t="s">
        <v>2345</v>
      </c>
      <c r="C200" s="13" t="s">
        <v>70</v>
      </c>
      <c r="D200" s="59">
        <v>46054</v>
      </c>
      <c r="E200" s="6">
        <v>0</v>
      </c>
      <c r="F200" s="54">
        <v>199</v>
      </c>
      <c r="I200"/>
    </row>
    <row r="201" spans="1:9" x14ac:dyDescent="0.4">
      <c r="A201" s="13" t="s">
        <v>2324</v>
      </c>
      <c r="B201" s="13" t="s">
        <v>2345</v>
      </c>
      <c r="C201" s="13" t="s">
        <v>70</v>
      </c>
      <c r="D201" s="59">
        <v>46082</v>
      </c>
      <c r="E201" s="6">
        <v>0</v>
      </c>
      <c r="F201" s="13">
        <v>200</v>
      </c>
      <c r="I201"/>
    </row>
    <row r="202" spans="1:9" x14ac:dyDescent="0.4">
      <c r="A202" s="13" t="s">
        <v>2324</v>
      </c>
      <c r="B202" s="13" t="s">
        <v>2345</v>
      </c>
      <c r="C202" s="13" t="s">
        <v>70</v>
      </c>
      <c r="D202" s="59">
        <v>46113</v>
      </c>
      <c r="E202" s="6">
        <v>26730</v>
      </c>
      <c r="F202" s="54">
        <v>201</v>
      </c>
      <c r="I202"/>
    </row>
    <row r="203" spans="1:9" x14ac:dyDescent="0.4">
      <c r="A203" s="13" t="s">
        <v>2324</v>
      </c>
      <c r="B203" s="13" t="s">
        <v>2345</v>
      </c>
      <c r="C203" s="13" t="s">
        <v>70</v>
      </c>
      <c r="D203" s="59">
        <v>46143</v>
      </c>
      <c r="E203" s="6">
        <v>26730</v>
      </c>
      <c r="F203" s="13">
        <v>202</v>
      </c>
      <c r="I203"/>
    </row>
    <row r="204" spans="1:9" x14ac:dyDescent="0.4">
      <c r="A204" s="13" t="s">
        <v>2324</v>
      </c>
      <c r="B204" s="13" t="s">
        <v>2345</v>
      </c>
      <c r="C204" s="13" t="s">
        <v>70</v>
      </c>
      <c r="D204" s="59">
        <v>46174</v>
      </c>
      <c r="E204" s="6">
        <v>26730</v>
      </c>
      <c r="F204" s="54">
        <v>203</v>
      </c>
      <c r="I204"/>
    </row>
    <row r="205" spans="1:9" x14ac:dyDescent="0.4">
      <c r="A205" s="13" t="s">
        <v>2324</v>
      </c>
      <c r="B205" s="13" t="s">
        <v>2345</v>
      </c>
      <c r="C205" s="13" t="s">
        <v>70</v>
      </c>
      <c r="D205" s="59">
        <v>46204</v>
      </c>
      <c r="E205" s="6">
        <v>0</v>
      </c>
      <c r="F205" s="13">
        <v>204</v>
      </c>
      <c r="I205"/>
    </row>
    <row r="206" spans="1:9" x14ac:dyDescent="0.4">
      <c r="A206" s="13" t="s">
        <v>2324</v>
      </c>
      <c r="B206" s="13" t="s">
        <v>2345</v>
      </c>
      <c r="C206" s="13" t="s">
        <v>70</v>
      </c>
      <c r="D206" s="59">
        <v>46235</v>
      </c>
      <c r="E206" s="6">
        <v>0</v>
      </c>
      <c r="F206" s="54">
        <v>205</v>
      </c>
      <c r="I206"/>
    </row>
    <row r="207" spans="1:9" x14ac:dyDescent="0.4">
      <c r="A207" s="13" t="s">
        <v>2324</v>
      </c>
      <c r="B207" s="13" t="s">
        <v>2345</v>
      </c>
      <c r="C207" s="13" t="s">
        <v>70</v>
      </c>
      <c r="D207" s="59">
        <v>46266</v>
      </c>
      <c r="E207" s="6">
        <v>0</v>
      </c>
      <c r="F207" s="13">
        <v>206</v>
      </c>
      <c r="I207"/>
    </row>
    <row r="208" spans="1:9" x14ac:dyDescent="0.4">
      <c r="A208" s="13" t="s">
        <v>2324</v>
      </c>
      <c r="B208" s="13" t="s">
        <v>2345</v>
      </c>
      <c r="C208" s="13" t="s">
        <v>70</v>
      </c>
      <c r="D208" s="59">
        <v>46296</v>
      </c>
      <c r="E208" s="6">
        <v>0</v>
      </c>
      <c r="F208" s="54">
        <v>207</v>
      </c>
      <c r="I208"/>
    </row>
    <row r="209" spans="1:9" x14ac:dyDescent="0.4">
      <c r="A209" s="13" t="s">
        <v>2324</v>
      </c>
      <c r="B209" s="13" t="s">
        <v>2345</v>
      </c>
      <c r="C209" s="13" t="s">
        <v>70</v>
      </c>
      <c r="D209" s="59">
        <v>46327</v>
      </c>
      <c r="E209" s="6">
        <v>0</v>
      </c>
      <c r="F209" s="13">
        <v>208</v>
      </c>
      <c r="I209"/>
    </row>
    <row r="210" spans="1:9" x14ac:dyDescent="0.4">
      <c r="A210" s="13" t="s">
        <v>2324</v>
      </c>
      <c r="B210" s="13" t="s">
        <v>2345</v>
      </c>
      <c r="C210" s="13" t="s">
        <v>70</v>
      </c>
      <c r="D210" s="59">
        <v>46357</v>
      </c>
      <c r="E210" s="6">
        <v>0</v>
      </c>
      <c r="F210" s="54">
        <v>209</v>
      </c>
      <c r="I210"/>
    </row>
    <row r="211" spans="1:9" x14ac:dyDescent="0.4">
      <c r="A211" s="13" t="s">
        <v>2324</v>
      </c>
      <c r="B211" s="13" t="s">
        <v>2345</v>
      </c>
      <c r="C211" s="13" t="s">
        <v>70</v>
      </c>
      <c r="D211" s="59">
        <v>46388</v>
      </c>
      <c r="E211" s="6">
        <v>0</v>
      </c>
      <c r="F211" s="13">
        <v>210</v>
      </c>
      <c r="I211"/>
    </row>
    <row r="212" spans="1:9" x14ac:dyDescent="0.4">
      <c r="A212" s="13" t="s">
        <v>2324</v>
      </c>
      <c r="B212" s="13" t="s">
        <v>2345</v>
      </c>
      <c r="C212" s="13" t="s">
        <v>70</v>
      </c>
      <c r="D212" s="59">
        <v>46419</v>
      </c>
      <c r="E212" s="6">
        <v>0</v>
      </c>
      <c r="F212" s="54">
        <v>211</v>
      </c>
      <c r="I212"/>
    </row>
    <row r="213" spans="1:9" x14ac:dyDescent="0.4">
      <c r="A213" s="13" t="s">
        <v>2324</v>
      </c>
      <c r="B213" s="13" t="s">
        <v>2345</v>
      </c>
      <c r="C213" s="13" t="s">
        <v>70</v>
      </c>
      <c r="D213" s="59">
        <v>46447</v>
      </c>
      <c r="E213" s="6">
        <v>0</v>
      </c>
      <c r="F213" s="13">
        <v>212</v>
      </c>
      <c r="I213"/>
    </row>
    <row r="214" spans="1:9" x14ac:dyDescent="0.4">
      <c r="A214" s="13" t="s">
        <v>2324</v>
      </c>
      <c r="B214" s="13" t="s">
        <v>2345</v>
      </c>
      <c r="C214" s="13" t="s">
        <v>70</v>
      </c>
      <c r="D214" s="59">
        <v>46478</v>
      </c>
      <c r="E214" s="6">
        <v>0</v>
      </c>
      <c r="F214" s="54">
        <v>213</v>
      </c>
      <c r="I214"/>
    </row>
    <row r="215" spans="1:9" x14ac:dyDescent="0.4">
      <c r="A215" s="13" t="s">
        <v>2324</v>
      </c>
      <c r="B215" s="13" t="s">
        <v>2345</v>
      </c>
      <c r="C215" s="13" t="s">
        <v>70</v>
      </c>
      <c r="D215" s="59">
        <v>46508</v>
      </c>
      <c r="E215" s="6">
        <v>0</v>
      </c>
      <c r="F215" s="13">
        <v>214</v>
      </c>
      <c r="I215"/>
    </row>
    <row r="216" spans="1:9" x14ac:dyDescent="0.4">
      <c r="A216" s="13" t="s">
        <v>2324</v>
      </c>
      <c r="B216" s="13" t="s">
        <v>2345</v>
      </c>
      <c r="C216" s="13" t="s">
        <v>70</v>
      </c>
      <c r="D216" s="59">
        <v>46539</v>
      </c>
      <c r="E216" s="6">
        <v>0</v>
      </c>
      <c r="F216" s="54">
        <v>215</v>
      </c>
      <c r="I216"/>
    </row>
    <row r="217" spans="1:9" x14ac:dyDescent="0.4">
      <c r="A217" s="13" t="s">
        <v>2324</v>
      </c>
      <c r="B217" s="13" t="s">
        <v>2345</v>
      </c>
      <c r="C217" s="13" t="s">
        <v>70</v>
      </c>
      <c r="D217" s="59">
        <v>46569</v>
      </c>
      <c r="E217" s="6">
        <v>0</v>
      </c>
      <c r="F217" s="13">
        <v>216</v>
      </c>
      <c r="I217"/>
    </row>
    <row r="218" spans="1:9" x14ac:dyDescent="0.4">
      <c r="A218" s="13" t="s">
        <v>2324</v>
      </c>
      <c r="B218" s="13" t="s">
        <v>2345</v>
      </c>
      <c r="C218" s="13" t="s">
        <v>70</v>
      </c>
      <c r="D218" s="59">
        <v>46600</v>
      </c>
      <c r="E218" s="6">
        <v>0</v>
      </c>
      <c r="F218" s="54">
        <v>217</v>
      </c>
      <c r="I218"/>
    </row>
    <row r="219" spans="1:9" x14ac:dyDescent="0.4">
      <c r="A219" s="13" t="s">
        <v>2324</v>
      </c>
      <c r="B219" s="13" t="s">
        <v>2345</v>
      </c>
      <c r="C219" s="13" t="s">
        <v>70</v>
      </c>
      <c r="D219" s="59">
        <v>46631</v>
      </c>
      <c r="E219" s="6">
        <v>0</v>
      </c>
      <c r="F219" s="13">
        <v>218</v>
      </c>
      <c r="I219"/>
    </row>
    <row r="220" spans="1:9" x14ac:dyDescent="0.4">
      <c r="A220" s="13" t="s">
        <v>2324</v>
      </c>
      <c r="B220" s="13" t="s">
        <v>2345</v>
      </c>
      <c r="C220" s="13" t="s">
        <v>70</v>
      </c>
      <c r="D220" s="59">
        <v>46661</v>
      </c>
      <c r="E220" s="6">
        <v>0</v>
      </c>
      <c r="F220" s="54">
        <v>219</v>
      </c>
      <c r="I220"/>
    </row>
    <row r="221" spans="1:9" x14ac:dyDescent="0.4">
      <c r="A221" s="13" t="s">
        <v>2324</v>
      </c>
      <c r="B221" s="13" t="s">
        <v>2345</v>
      </c>
      <c r="C221" s="13" t="s">
        <v>70</v>
      </c>
      <c r="D221" s="59">
        <v>46692</v>
      </c>
      <c r="E221" s="6">
        <v>0</v>
      </c>
      <c r="F221" s="13">
        <v>220</v>
      </c>
      <c r="I221"/>
    </row>
    <row r="222" spans="1:9" x14ac:dyDescent="0.4">
      <c r="A222" s="13" t="s">
        <v>2324</v>
      </c>
      <c r="B222" s="13" t="s">
        <v>2345</v>
      </c>
      <c r="C222" s="13" t="s">
        <v>50</v>
      </c>
      <c r="D222" s="59">
        <v>46054</v>
      </c>
      <c r="E222" s="6">
        <v>0</v>
      </c>
      <c r="F222" s="54">
        <v>221</v>
      </c>
      <c r="I222"/>
    </row>
    <row r="223" spans="1:9" x14ac:dyDescent="0.4">
      <c r="A223" s="13" t="s">
        <v>2324</v>
      </c>
      <c r="B223" s="13" t="s">
        <v>2345</v>
      </c>
      <c r="C223" s="13" t="s">
        <v>50</v>
      </c>
      <c r="D223" s="59">
        <v>46082</v>
      </c>
      <c r="E223" s="6">
        <v>0</v>
      </c>
      <c r="F223" s="13">
        <v>222</v>
      </c>
      <c r="I223"/>
    </row>
    <row r="224" spans="1:9" x14ac:dyDescent="0.4">
      <c r="A224" s="13" t="s">
        <v>2324</v>
      </c>
      <c r="B224" s="13" t="s">
        <v>2345</v>
      </c>
      <c r="C224" s="13" t="s">
        <v>50</v>
      </c>
      <c r="D224" s="59">
        <v>46113</v>
      </c>
      <c r="E224" s="6">
        <v>8573</v>
      </c>
      <c r="F224" s="54">
        <v>223</v>
      </c>
      <c r="I224"/>
    </row>
    <row r="225" spans="1:9" x14ac:dyDescent="0.4">
      <c r="A225" s="13" t="s">
        <v>2324</v>
      </c>
      <c r="B225" s="13" t="s">
        <v>2345</v>
      </c>
      <c r="C225" s="13" t="s">
        <v>50</v>
      </c>
      <c r="D225" s="59">
        <v>46143</v>
      </c>
      <c r="E225" s="6">
        <v>51435</v>
      </c>
      <c r="F225" s="13">
        <v>224</v>
      </c>
      <c r="I225"/>
    </row>
    <row r="226" spans="1:9" x14ac:dyDescent="0.4">
      <c r="A226" s="13" t="s">
        <v>2324</v>
      </c>
      <c r="B226" s="13" t="s">
        <v>2345</v>
      </c>
      <c r="C226" s="13" t="s">
        <v>50</v>
      </c>
      <c r="D226" s="59">
        <v>46174</v>
      </c>
      <c r="E226" s="6">
        <v>51435</v>
      </c>
      <c r="F226" s="54">
        <v>225</v>
      </c>
      <c r="I226"/>
    </row>
    <row r="227" spans="1:9" x14ac:dyDescent="0.4">
      <c r="A227" s="13" t="s">
        <v>2324</v>
      </c>
      <c r="B227" s="13" t="s">
        <v>2345</v>
      </c>
      <c r="C227" s="13" t="s">
        <v>50</v>
      </c>
      <c r="D227" s="59">
        <v>46204</v>
      </c>
      <c r="E227" s="6">
        <v>222885</v>
      </c>
      <c r="F227" s="13">
        <v>226</v>
      </c>
      <c r="I227"/>
    </row>
    <row r="228" spans="1:9" x14ac:dyDescent="0.4">
      <c r="A228" s="13" t="s">
        <v>2324</v>
      </c>
      <c r="B228" s="13" t="s">
        <v>2345</v>
      </c>
      <c r="C228" s="13" t="s">
        <v>50</v>
      </c>
      <c r="D228" s="59">
        <v>46235</v>
      </c>
      <c r="E228" s="6">
        <v>240030</v>
      </c>
      <c r="F228" s="54">
        <v>227</v>
      </c>
      <c r="I228"/>
    </row>
    <row r="229" spans="1:9" x14ac:dyDescent="0.4">
      <c r="A229" s="13" t="s">
        <v>2324</v>
      </c>
      <c r="B229" s="13" t="s">
        <v>2345</v>
      </c>
      <c r="C229" s="13" t="s">
        <v>50</v>
      </c>
      <c r="D229" s="59">
        <v>46266</v>
      </c>
      <c r="E229" s="6">
        <v>257175</v>
      </c>
      <c r="F229" s="13">
        <v>228</v>
      </c>
      <c r="I229"/>
    </row>
    <row r="230" spans="1:9" x14ac:dyDescent="0.4">
      <c r="A230" s="13" t="s">
        <v>2324</v>
      </c>
      <c r="B230" s="13" t="s">
        <v>2345</v>
      </c>
      <c r="C230" s="13" t="s">
        <v>50</v>
      </c>
      <c r="D230" s="59">
        <v>46296</v>
      </c>
      <c r="E230" s="6">
        <v>248603</v>
      </c>
      <c r="F230" s="54">
        <v>229</v>
      </c>
      <c r="I230"/>
    </row>
    <row r="231" spans="1:9" x14ac:dyDescent="0.4">
      <c r="A231" s="13" t="s">
        <v>2324</v>
      </c>
      <c r="B231" s="13" t="s">
        <v>2345</v>
      </c>
      <c r="C231" s="13" t="s">
        <v>50</v>
      </c>
      <c r="D231" s="59">
        <v>46327</v>
      </c>
      <c r="E231" s="6">
        <v>205740</v>
      </c>
      <c r="F231" s="13">
        <v>230</v>
      </c>
      <c r="I231"/>
    </row>
    <row r="232" spans="1:9" x14ac:dyDescent="0.4">
      <c r="A232" s="13" t="s">
        <v>2324</v>
      </c>
      <c r="B232" s="13" t="s">
        <v>2345</v>
      </c>
      <c r="C232" s="13" t="s">
        <v>50</v>
      </c>
      <c r="D232" s="59">
        <v>46357</v>
      </c>
      <c r="E232" s="6">
        <v>205740</v>
      </c>
      <c r="F232" s="54">
        <v>231</v>
      </c>
      <c r="I232"/>
    </row>
    <row r="233" spans="1:9" x14ac:dyDescent="0.4">
      <c r="A233" s="13" t="s">
        <v>2324</v>
      </c>
      <c r="B233" s="13" t="s">
        <v>2345</v>
      </c>
      <c r="C233" s="13" t="s">
        <v>50</v>
      </c>
      <c r="D233" s="59">
        <v>46388</v>
      </c>
      <c r="E233" s="6">
        <v>34290</v>
      </c>
      <c r="F233" s="13">
        <v>232</v>
      </c>
      <c r="I233"/>
    </row>
    <row r="234" spans="1:9" x14ac:dyDescent="0.4">
      <c r="A234" s="13" t="s">
        <v>2324</v>
      </c>
      <c r="B234" s="13" t="s">
        <v>2345</v>
      </c>
      <c r="C234" s="13" t="s">
        <v>50</v>
      </c>
      <c r="D234" s="59">
        <v>46419</v>
      </c>
      <c r="E234" s="6">
        <v>17145</v>
      </c>
      <c r="F234" s="54">
        <v>233</v>
      </c>
      <c r="I234"/>
    </row>
    <row r="235" spans="1:9" x14ac:dyDescent="0.4">
      <c r="A235" s="13" t="s">
        <v>2324</v>
      </c>
      <c r="B235" s="13" t="s">
        <v>2345</v>
      </c>
      <c r="C235" s="13" t="s">
        <v>50</v>
      </c>
      <c r="D235" s="59">
        <v>46447</v>
      </c>
      <c r="E235" s="6">
        <v>0</v>
      </c>
      <c r="F235" s="13">
        <v>234</v>
      </c>
      <c r="I235"/>
    </row>
    <row r="236" spans="1:9" x14ac:dyDescent="0.4">
      <c r="A236" s="13" t="s">
        <v>2324</v>
      </c>
      <c r="B236" s="13" t="s">
        <v>2345</v>
      </c>
      <c r="C236" s="13" t="s">
        <v>50</v>
      </c>
      <c r="D236" s="59">
        <v>46478</v>
      </c>
      <c r="E236" s="6">
        <v>0</v>
      </c>
      <c r="F236" s="54">
        <v>235</v>
      </c>
      <c r="I236"/>
    </row>
    <row r="237" spans="1:9" x14ac:dyDescent="0.4">
      <c r="A237" s="13" t="s">
        <v>2324</v>
      </c>
      <c r="B237" s="13" t="s">
        <v>2345</v>
      </c>
      <c r="C237" s="13" t="s">
        <v>50</v>
      </c>
      <c r="D237" s="59">
        <v>46508</v>
      </c>
      <c r="E237" s="6">
        <v>0</v>
      </c>
      <c r="F237" s="13">
        <v>236</v>
      </c>
      <c r="I237"/>
    </row>
    <row r="238" spans="1:9" x14ac:dyDescent="0.4">
      <c r="A238" s="13" t="s">
        <v>2324</v>
      </c>
      <c r="B238" s="13" t="s">
        <v>2345</v>
      </c>
      <c r="C238" s="13" t="s">
        <v>50</v>
      </c>
      <c r="D238" s="59">
        <v>46539</v>
      </c>
      <c r="E238" s="6">
        <v>0</v>
      </c>
      <c r="F238" s="54">
        <v>237</v>
      </c>
      <c r="I238"/>
    </row>
    <row r="239" spans="1:9" x14ac:dyDescent="0.4">
      <c r="A239" s="13" t="s">
        <v>2324</v>
      </c>
      <c r="B239" s="13" t="s">
        <v>2345</v>
      </c>
      <c r="C239" s="13" t="s">
        <v>50</v>
      </c>
      <c r="D239" s="59">
        <v>46569</v>
      </c>
      <c r="E239" s="6">
        <v>0</v>
      </c>
      <c r="F239" s="13">
        <v>238</v>
      </c>
      <c r="I239"/>
    </row>
    <row r="240" spans="1:9" x14ac:dyDescent="0.4">
      <c r="A240" s="13" t="s">
        <v>2324</v>
      </c>
      <c r="B240" s="13" t="s">
        <v>2345</v>
      </c>
      <c r="C240" s="13" t="s">
        <v>50</v>
      </c>
      <c r="D240" s="59">
        <v>46600</v>
      </c>
      <c r="E240" s="6">
        <v>0</v>
      </c>
      <c r="F240" s="54">
        <v>239</v>
      </c>
      <c r="I240"/>
    </row>
    <row r="241" spans="1:9" x14ac:dyDescent="0.4">
      <c r="A241" s="13" t="s">
        <v>2324</v>
      </c>
      <c r="B241" s="13" t="s">
        <v>2345</v>
      </c>
      <c r="C241" s="13" t="s">
        <v>50</v>
      </c>
      <c r="D241" s="59">
        <v>46631</v>
      </c>
      <c r="E241" s="6">
        <v>0</v>
      </c>
      <c r="F241" s="13">
        <v>240</v>
      </c>
      <c r="I241"/>
    </row>
    <row r="242" spans="1:9" x14ac:dyDescent="0.4">
      <c r="A242" s="13" t="s">
        <v>2324</v>
      </c>
      <c r="B242" s="13" t="s">
        <v>2345</v>
      </c>
      <c r="C242" s="13" t="s">
        <v>50</v>
      </c>
      <c r="D242" s="59">
        <v>46661</v>
      </c>
      <c r="E242" s="6">
        <v>0</v>
      </c>
      <c r="F242" s="54">
        <v>241</v>
      </c>
      <c r="I242"/>
    </row>
    <row r="243" spans="1:9" x14ac:dyDescent="0.4">
      <c r="A243" s="13" t="s">
        <v>2324</v>
      </c>
      <c r="B243" s="13" t="s">
        <v>2345</v>
      </c>
      <c r="C243" s="13" t="s">
        <v>50</v>
      </c>
      <c r="D243" s="59">
        <v>46692</v>
      </c>
      <c r="E243" s="6">
        <v>0</v>
      </c>
      <c r="F243" s="13">
        <v>242</v>
      </c>
      <c r="I243"/>
    </row>
    <row r="244" spans="1:9" x14ac:dyDescent="0.4">
      <c r="A244" s="13" t="s">
        <v>2324</v>
      </c>
      <c r="B244" s="13" t="s">
        <v>2345</v>
      </c>
      <c r="C244" s="13" t="s">
        <v>5133</v>
      </c>
      <c r="D244" s="59">
        <v>46054</v>
      </c>
      <c r="E244" s="6">
        <v>0</v>
      </c>
      <c r="F244" s="54">
        <v>243</v>
      </c>
      <c r="I244"/>
    </row>
    <row r="245" spans="1:9" x14ac:dyDescent="0.4">
      <c r="A245" s="13" t="s">
        <v>2324</v>
      </c>
      <c r="B245" s="13" t="s">
        <v>2345</v>
      </c>
      <c r="C245" s="13" t="s">
        <v>5133</v>
      </c>
      <c r="D245" s="59">
        <v>46082</v>
      </c>
      <c r="E245" s="6">
        <v>0</v>
      </c>
      <c r="F245" s="13">
        <v>244</v>
      </c>
      <c r="I245"/>
    </row>
    <row r="246" spans="1:9" x14ac:dyDescent="0.4">
      <c r="A246" s="13" t="s">
        <v>2324</v>
      </c>
      <c r="B246" s="13" t="s">
        <v>2345</v>
      </c>
      <c r="C246" s="13" t="s">
        <v>5133</v>
      </c>
      <c r="D246" s="59">
        <v>46113</v>
      </c>
      <c r="E246" s="6">
        <v>0</v>
      </c>
      <c r="F246" s="54">
        <v>245</v>
      </c>
      <c r="I246"/>
    </row>
    <row r="247" spans="1:9" x14ac:dyDescent="0.4">
      <c r="A247" s="13" t="s">
        <v>2324</v>
      </c>
      <c r="B247" s="13" t="s">
        <v>2345</v>
      </c>
      <c r="C247" s="13" t="s">
        <v>5133</v>
      </c>
      <c r="D247" s="59">
        <v>46143</v>
      </c>
      <c r="E247" s="6">
        <v>0</v>
      </c>
      <c r="F247" s="13">
        <v>246</v>
      </c>
      <c r="I247"/>
    </row>
    <row r="248" spans="1:9" x14ac:dyDescent="0.4">
      <c r="A248" s="13" t="s">
        <v>2324</v>
      </c>
      <c r="B248" s="13" t="s">
        <v>2345</v>
      </c>
      <c r="C248" s="13" t="s">
        <v>5133</v>
      </c>
      <c r="D248" s="59">
        <v>46174</v>
      </c>
      <c r="E248" s="6">
        <v>0</v>
      </c>
      <c r="F248" s="54">
        <v>247</v>
      </c>
      <c r="I248"/>
    </row>
    <row r="249" spans="1:9" x14ac:dyDescent="0.4">
      <c r="A249" s="13" t="s">
        <v>2324</v>
      </c>
      <c r="B249" s="13" t="s">
        <v>2345</v>
      </c>
      <c r="C249" s="13" t="s">
        <v>5133</v>
      </c>
      <c r="D249" s="59">
        <v>46204</v>
      </c>
      <c r="E249" s="6">
        <v>0</v>
      </c>
      <c r="F249" s="13">
        <v>248</v>
      </c>
      <c r="I249"/>
    </row>
    <row r="250" spans="1:9" x14ac:dyDescent="0.4">
      <c r="A250" s="13" t="s">
        <v>2324</v>
      </c>
      <c r="B250" s="13" t="s">
        <v>2345</v>
      </c>
      <c r="C250" s="13" t="s">
        <v>5133</v>
      </c>
      <c r="D250" s="59">
        <v>46235</v>
      </c>
      <c r="E250" s="6">
        <v>0</v>
      </c>
      <c r="F250" s="54">
        <v>249</v>
      </c>
      <c r="I250"/>
    </row>
    <row r="251" spans="1:9" x14ac:dyDescent="0.4">
      <c r="A251" s="13" t="s">
        <v>2324</v>
      </c>
      <c r="B251" s="13" t="s">
        <v>2345</v>
      </c>
      <c r="C251" s="13" t="s">
        <v>5133</v>
      </c>
      <c r="D251" s="59">
        <v>46266</v>
      </c>
      <c r="E251" s="6">
        <v>12737</v>
      </c>
      <c r="F251" s="13">
        <v>250</v>
      </c>
      <c r="I251"/>
    </row>
    <row r="252" spans="1:9" x14ac:dyDescent="0.4">
      <c r="A252" s="13" t="s">
        <v>2324</v>
      </c>
      <c r="B252" s="13" t="s">
        <v>2345</v>
      </c>
      <c r="C252" s="13" t="s">
        <v>5133</v>
      </c>
      <c r="D252" s="59">
        <v>46296</v>
      </c>
      <c r="E252" s="6">
        <v>12737</v>
      </c>
      <c r="F252" s="54">
        <v>251</v>
      </c>
      <c r="I252"/>
    </row>
    <row r="253" spans="1:9" x14ac:dyDescent="0.4">
      <c r="A253" s="13" t="s">
        <v>2324</v>
      </c>
      <c r="B253" s="13" t="s">
        <v>2345</v>
      </c>
      <c r="C253" s="13" t="s">
        <v>5133</v>
      </c>
      <c r="D253" s="59">
        <v>46327</v>
      </c>
      <c r="E253" s="6">
        <v>16983</v>
      </c>
      <c r="F253" s="13">
        <v>252</v>
      </c>
      <c r="I253"/>
    </row>
    <row r="254" spans="1:9" x14ac:dyDescent="0.4">
      <c r="A254" s="13" t="s">
        <v>2324</v>
      </c>
      <c r="B254" s="13" t="s">
        <v>2345</v>
      </c>
      <c r="C254" s="13" t="s">
        <v>5133</v>
      </c>
      <c r="D254" s="59">
        <v>46357</v>
      </c>
      <c r="E254" s="6">
        <v>16983</v>
      </c>
      <c r="F254" s="54">
        <v>253</v>
      </c>
      <c r="I254"/>
    </row>
    <row r="255" spans="1:9" x14ac:dyDescent="0.4">
      <c r="A255" s="13" t="s">
        <v>2324</v>
      </c>
      <c r="B255" s="13" t="s">
        <v>2345</v>
      </c>
      <c r="C255" s="13" t="s">
        <v>5133</v>
      </c>
      <c r="D255" s="59">
        <v>46388</v>
      </c>
      <c r="E255" s="6">
        <v>16983</v>
      </c>
      <c r="F255" s="13">
        <v>254</v>
      </c>
      <c r="I255"/>
    </row>
    <row r="256" spans="1:9" x14ac:dyDescent="0.4">
      <c r="A256" s="13" t="s">
        <v>2324</v>
      </c>
      <c r="B256" s="13" t="s">
        <v>2345</v>
      </c>
      <c r="C256" s="13" t="s">
        <v>5133</v>
      </c>
      <c r="D256" s="59">
        <v>46419</v>
      </c>
      <c r="E256" s="6">
        <v>16983</v>
      </c>
      <c r="F256" s="54">
        <v>255</v>
      </c>
      <c r="I256"/>
    </row>
    <row r="257" spans="1:9" x14ac:dyDescent="0.4">
      <c r="A257" s="13" t="s">
        <v>2324</v>
      </c>
      <c r="B257" s="13" t="s">
        <v>2345</v>
      </c>
      <c r="C257" s="13" t="s">
        <v>5133</v>
      </c>
      <c r="D257" s="59">
        <v>46447</v>
      </c>
      <c r="E257" s="6">
        <v>16983</v>
      </c>
      <c r="F257" s="13">
        <v>256</v>
      </c>
      <c r="I257"/>
    </row>
    <row r="258" spans="1:9" x14ac:dyDescent="0.4">
      <c r="A258" s="13" t="s">
        <v>2324</v>
      </c>
      <c r="B258" s="13" t="s">
        <v>2345</v>
      </c>
      <c r="C258" s="13" t="s">
        <v>5133</v>
      </c>
      <c r="D258" s="59">
        <v>46478</v>
      </c>
      <c r="E258" s="6">
        <v>16983</v>
      </c>
      <c r="F258" s="54">
        <v>257</v>
      </c>
      <c r="I258"/>
    </row>
    <row r="259" spans="1:9" x14ac:dyDescent="0.4">
      <c r="A259" s="13" t="s">
        <v>2324</v>
      </c>
      <c r="B259" s="13" t="s">
        <v>2345</v>
      </c>
      <c r="C259" s="13" t="s">
        <v>5133</v>
      </c>
      <c r="D259" s="59">
        <v>46508</v>
      </c>
      <c r="E259" s="6">
        <v>16983</v>
      </c>
      <c r="F259" s="13">
        <v>258</v>
      </c>
      <c r="I259"/>
    </row>
    <row r="260" spans="1:9" x14ac:dyDescent="0.4">
      <c r="A260" s="13" t="s">
        <v>2324</v>
      </c>
      <c r="B260" s="13" t="s">
        <v>2345</v>
      </c>
      <c r="C260" s="13" t="s">
        <v>5133</v>
      </c>
      <c r="D260" s="59">
        <v>46539</v>
      </c>
      <c r="E260" s="6">
        <v>16983</v>
      </c>
      <c r="F260" s="54">
        <v>259</v>
      </c>
      <c r="I260"/>
    </row>
    <row r="261" spans="1:9" x14ac:dyDescent="0.4">
      <c r="A261" s="13" t="s">
        <v>2324</v>
      </c>
      <c r="B261" s="13" t="s">
        <v>2345</v>
      </c>
      <c r="C261" s="13" t="s">
        <v>5133</v>
      </c>
      <c r="D261" s="59">
        <v>46569</v>
      </c>
      <c r="E261" s="6">
        <v>16983</v>
      </c>
      <c r="F261" s="13">
        <v>260</v>
      </c>
      <c r="I261"/>
    </row>
    <row r="262" spans="1:9" x14ac:dyDescent="0.4">
      <c r="A262" s="13" t="s">
        <v>2324</v>
      </c>
      <c r="B262" s="13" t="s">
        <v>2345</v>
      </c>
      <c r="C262" s="13" t="s">
        <v>5133</v>
      </c>
      <c r="D262" s="59">
        <v>46600</v>
      </c>
      <c r="E262" s="6">
        <v>16983</v>
      </c>
      <c r="F262" s="54">
        <v>261</v>
      </c>
      <c r="I262"/>
    </row>
    <row r="263" spans="1:9" x14ac:dyDescent="0.4">
      <c r="A263" s="13" t="s">
        <v>2324</v>
      </c>
      <c r="B263" s="13" t="s">
        <v>2345</v>
      </c>
      <c r="C263" s="13" t="s">
        <v>5133</v>
      </c>
      <c r="D263" s="59">
        <v>46631</v>
      </c>
      <c r="E263" s="6">
        <v>4246</v>
      </c>
      <c r="F263" s="13">
        <v>262</v>
      </c>
      <c r="I263"/>
    </row>
    <row r="264" spans="1:9" x14ac:dyDescent="0.4">
      <c r="A264" s="13" t="s">
        <v>2324</v>
      </c>
      <c r="B264" s="13" t="s">
        <v>2345</v>
      </c>
      <c r="C264" s="13" t="s">
        <v>5133</v>
      </c>
      <c r="D264" s="59">
        <v>46661</v>
      </c>
      <c r="E264" s="6">
        <v>4246</v>
      </c>
      <c r="F264" s="54">
        <v>263</v>
      </c>
      <c r="H264" s="20"/>
    </row>
    <row r="265" spans="1:9" x14ac:dyDescent="0.4">
      <c r="A265" s="13" t="s">
        <v>2324</v>
      </c>
      <c r="B265" s="13" t="s">
        <v>2345</v>
      </c>
      <c r="C265" s="13" t="s">
        <v>5133</v>
      </c>
      <c r="D265" s="59">
        <v>46692</v>
      </c>
      <c r="E265" s="6">
        <v>0</v>
      </c>
      <c r="F265" s="13">
        <v>264</v>
      </c>
      <c r="H265" s="20"/>
    </row>
    <row r="266" spans="1:9" x14ac:dyDescent="0.4">
      <c r="H266" s="20"/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ADE-6005-4001-B65B-868BB052F546}">
  <sheetPr>
    <tabColor theme="7" tint="0.59999389629810485"/>
  </sheetPr>
  <dimension ref="A1:R266"/>
  <sheetViews>
    <sheetView zoomScale="70" zoomScaleNormal="70" workbookViewId="0">
      <selection activeCell="O10" sqref="O10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9" width="10.625" bestFit="1" customWidth="1"/>
    <col min="10" max="10" width="21" customWidth="1"/>
    <col min="11" max="11" width="18.5" bestFit="1" customWidth="1"/>
    <col min="12" max="13" width="10.625" bestFit="1" customWidth="1"/>
    <col min="14" max="14" width="9.125" bestFit="1" customWidth="1"/>
    <col min="15" max="15" width="31.875" customWidth="1"/>
    <col min="16" max="16" width="22.875" customWidth="1"/>
    <col min="17" max="17" width="9.125" bestFit="1" customWidth="1"/>
    <col min="18" max="18" width="10.625" bestFit="1" customWidth="1"/>
  </cols>
  <sheetData>
    <row r="1" spans="1:1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/>
      <c r="I1" s="61"/>
    </row>
    <row r="2" spans="1:18" x14ac:dyDescent="0.4">
      <c r="A2" s="13" t="s">
        <v>2324</v>
      </c>
      <c r="B2" s="55" t="s">
        <v>2325</v>
      </c>
      <c r="C2" s="10" t="s">
        <v>25</v>
      </c>
      <c r="D2" s="59">
        <v>46023</v>
      </c>
      <c r="E2" s="63">
        <v>0</v>
      </c>
      <c r="F2" s="54">
        <v>1</v>
      </c>
      <c r="H2" s="62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x14ac:dyDescent="0.4">
      <c r="A3" s="13" t="s">
        <v>2324</v>
      </c>
      <c r="B3" s="55" t="s">
        <v>2325</v>
      </c>
      <c r="C3" s="10" t="s">
        <v>25</v>
      </c>
      <c r="D3" s="59">
        <v>46054</v>
      </c>
      <c r="E3" s="63">
        <v>336600</v>
      </c>
      <c r="F3" s="13">
        <v>2</v>
      </c>
      <c r="H3" s="62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x14ac:dyDescent="0.4">
      <c r="A4" s="13" t="s">
        <v>2324</v>
      </c>
      <c r="B4" s="55" t="s">
        <v>2325</v>
      </c>
      <c r="C4" s="10" t="s">
        <v>25</v>
      </c>
      <c r="D4" s="59">
        <v>46082</v>
      </c>
      <c r="E4" s="63">
        <v>376200</v>
      </c>
      <c r="F4" s="54">
        <v>3</v>
      </c>
      <c r="H4" s="62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x14ac:dyDescent="0.4">
      <c r="A5" s="13" t="s">
        <v>2324</v>
      </c>
      <c r="B5" s="55" t="s">
        <v>2325</v>
      </c>
      <c r="C5" s="10" t="s">
        <v>25</v>
      </c>
      <c r="D5" s="59">
        <v>46113</v>
      </c>
      <c r="E5" s="63">
        <v>2118600</v>
      </c>
      <c r="F5" s="13">
        <v>4</v>
      </c>
      <c r="H5" s="62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x14ac:dyDescent="0.4">
      <c r="A6" s="13" t="s">
        <v>2324</v>
      </c>
      <c r="B6" s="55" t="s">
        <v>2325</v>
      </c>
      <c r="C6" s="10" t="s">
        <v>25</v>
      </c>
      <c r="D6" s="59">
        <v>46143</v>
      </c>
      <c r="E6" s="63">
        <v>1782000</v>
      </c>
      <c r="F6" s="54">
        <v>5</v>
      </c>
      <c r="H6" s="62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 x14ac:dyDescent="0.4">
      <c r="A7" s="13" t="s">
        <v>2324</v>
      </c>
      <c r="B7" s="55" t="s">
        <v>2325</v>
      </c>
      <c r="C7" s="10" t="s">
        <v>25</v>
      </c>
      <c r="D7" s="59">
        <v>46174</v>
      </c>
      <c r="E7" s="63">
        <v>1742400</v>
      </c>
      <c r="F7" s="13">
        <v>6</v>
      </c>
      <c r="H7" s="62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x14ac:dyDescent="0.4">
      <c r="A8" s="13" t="s">
        <v>2324</v>
      </c>
      <c r="B8" s="55" t="s">
        <v>2325</v>
      </c>
      <c r="C8" s="10" t="s">
        <v>25</v>
      </c>
      <c r="D8" s="59">
        <v>46204</v>
      </c>
      <c r="E8" s="63">
        <v>0</v>
      </c>
      <c r="F8" s="54">
        <v>7</v>
      </c>
      <c r="H8" s="62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18" x14ac:dyDescent="0.4">
      <c r="A9" s="13" t="s">
        <v>2324</v>
      </c>
      <c r="B9" s="55" t="s">
        <v>2325</v>
      </c>
      <c r="C9" s="10" t="s">
        <v>25</v>
      </c>
      <c r="D9" s="59">
        <v>46235</v>
      </c>
      <c r="E9" s="63">
        <v>0</v>
      </c>
      <c r="F9" s="13">
        <v>8</v>
      </c>
      <c r="H9" s="62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 x14ac:dyDescent="0.4">
      <c r="A10" s="13" t="s">
        <v>2324</v>
      </c>
      <c r="B10" s="55" t="s">
        <v>2325</v>
      </c>
      <c r="C10" s="10" t="s">
        <v>25</v>
      </c>
      <c r="D10" s="59">
        <v>46266</v>
      </c>
      <c r="E10" s="63">
        <v>0</v>
      </c>
      <c r="F10" s="54">
        <v>9</v>
      </c>
      <c r="H10" s="62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 x14ac:dyDescent="0.4">
      <c r="A11" s="13" t="s">
        <v>2324</v>
      </c>
      <c r="B11" s="55" t="s">
        <v>2325</v>
      </c>
      <c r="C11" s="10" t="s">
        <v>25</v>
      </c>
      <c r="D11" s="59">
        <v>46296</v>
      </c>
      <c r="E11" s="63">
        <v>0</v>
      </c>
      <c r="F11" s="13">
        <v>10</v>
      </c>
      <c r="H11" s="62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 x14ac:dyDescent="0.4">
      <c r="A12" s="13" t="s">
        <v>2324</v>
      </c>
      <c r="B12" s="55" t="s">
        <v>2325</v>
      </c>
      <c r="C12" s="10" t="s">
        <v>25</v>
      </c>
      <c r="D12" s="59">
        <v>46327</v>
      </c>
      <c r="E12" s="63">
        <v>0</v>
      </c>
      <c r="F12" s="54">
        <v>11</v>
      </c>
      <c r="H12" s="62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x14ac:dyDescent="0.4">
      <c r="A13" s="13" t="s">
        <v>2324</v>
      </c>
      <c r="B13" s="55" t="s">
        <v>2325</v>
      </c>
      <c r="C13" s="10" t="s">
        <v>25</v>
      </c>
      <c r="D13" s="59">
        <v>46357</v>
      </c>
      <c r="E13" s="63">
        <v>0</v>
      </c>
      <c r="F13" s="13">
        <v>12</v>
      </c>
      <c r="H13" s="62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18" x14ac:dyDescent="0.4">
      <c r="A14" s="13" t="s">
        <v>2324</v>
      </c>
      <c r="B14" s="55" t="s">
        <v>2325</v>
      </c>
      <c r="C14" s="10" t="s">
        <v>25</v>
      </c>
      <c r="D14" s="59">
        <v>46388</v>
      </c>
      <c r="E14" s="63">
        <v>0</v>
      </c>
      <c r="F14" s="54">
        <v>13</v>
      </c>
      <c r="H14" s="62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 x14ac:dyDescent="0.4">
      <c r="A15" s="13" t="s">
        <v>2324</v>
      </c>
      <c r="B15" s="55" t="s">
        <v>2325</v>
      </c>
      <c r="C15" s="10" t="s">
        <v>25</v>
      </c>
      <c r="D15" s="59">
        <v>46419</v>
      </c>
      <c r="E15" s="63">
        <v>0</v>
      </c>
      <c r="F15" s="13">
        <v>14</v>
      </c>
      <c r="H15" s="62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18" x14ac:dyDescent="0.4">
      <c r="A16" s="13" t="s">
        <v>2324</v>
      </c>
      <c r="B16" s="55" t="s">
        <v>2325</v>
      </c>
      <c r="C16" s="10" t="s">
        <v>25</v>
      </c>
      <c r="D16" s="59">
        <v>46447</v>
      </c>
      <c r="E16" s="63">
        <v>0</v>
      </c>
      <c r="F16" s="54">
        <v>15</v>
      </c>
      <c r="H16" s="62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x14ac:dyDescent="0.4">
      <c r="A17" s="13" t="s">
        <v>2324</v>
      </c>
      <c r="B17" s="55" t="s">
        <v>2325</v>
      </c>
      <c r="C17" s="10" t="s">
        <v>25</v>
      </c>
      <c r="D17" s="59">
        <v>46478</v>
      </c>
      <c r="E17" s="63">
        <v>0</v>
      </c>
      <c r="F17" s="13">
        <v>16</v>
      </c>
      <c r="H17" s="62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x14ac:dyDescent="0.4">
      <c r="A18" s="13" t="s">
        <v>2324</v>
      </c>
      <c r="B18" s="55" t="s">
        <v>2325</v>
      </c>
      <c r="C18" s="10" t="s">
        <v>25</v>
      </c>
      <c r="D18" s="59">
        <v>46508</v>
      </c>
      <c r="E18" s="63">
        <v>0</v>
      </c>
      <c r="F18" s="54">
        <v>17</v>
      </c>
      <c r="H18" s="62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x14ac:dyDescent="0.4">
      <c r="A19" s="13" t="s">
        <v>2324</v>
      </c>
      <c r="B19" s="55" t="s">
        <v>2325</v>
      </c>
      <c r="C19" s="10" t="s">
        <v>25</v>
      </c>
      <c r="D19" s="59">
        <v>46539</v>
      </c>
      <c r="E19" s="63">
        <v>0</v>
      </c>
      <c r="F19" s="13">
        <v>18</v>
      </c>
      <c r="H19" s="62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x14ac:dyDescent="0.4">
      <c r="A20" s="13" t="s">
        <v>2324</v>
      </c>
      <c r="B20" s="55" t="s">
        <v>2325</v>
      </c>
      <c r="C20" s="10" t="s">
        <v>25</v>
      </c>
      <c r="D20" s="59">
        <v>46569</v>
      </c>
      <c r="E20" s="63">
        <v>0</v>
      </c>
      <c r="F20" s="54">
        <v>19</v>
      </c>
      <c r="H20" s="62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x14ac:dyDescent="0.4">
      <c r="A21" s="13" t="s">
        <v>2324</v>
      </c>
      <c r="B21" s="55" t="s">
        <v>2325</v>
      </c>
      <c r="C21" s="10" t="s">
        <v>25</v>
      </c>
      <c r="D21" s="59">
        <v>46600</v>
      </c>
      <c r="E21" s="63">
        <v>0</v>
      </c>
      <c r="F21" s="13">
        <v>20</v>
      </c>
      <c r="H21" s="62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x14ac:dyDescent="0.4">
      <c r="A22" s="13" t="s">
        <v>2324</v>
      </c>
      <c r="B22" s="55" t="s">
        <v>2325</v>
      </c>
      <c r="C22" s="10" t="s">
        <v>25</v>
      </c>
      <c r="D22" s="59">
        <v>46631</v>
      </c>
      <c r="E22" s="63">
        <v>0</v>
      </c>
      <c r="F22" s="54">
        <v>21</v>
      </c>
      <c r="H22" s="62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x14ac:dyDescent="0.4">
      <c r="A23" s="13" t="s">
        <v>2324</v>
      </c>
      <c r="B23" s="55" t="s">
        <v>2325</v>
      </c>
      <c r="C23" s="10" t="s">
        <v>25</v>
      </c>
      <c r="D23" s="59">
        <v>46661</v>
      </c>
      <c r="E23" s="63">
        <v>0</v>
      </c>
      <c r="F23" s="13">
        <v>22</v>
      </c>
      <c r="H23" s="62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x14ac:dyDescent="0.4">
      <c r="A24" s="13" t="s">
        <v>2324</v>
      </c>
      <c r="B24" s="55" t="s">
        <v>2325</v>
      </c>
      <c r="C24" s="13" t="s">
        <v>44</v>
      </c>
      <c r="D24" s="59">
        <v>46023</v>
      </c>
      <c r="E24" s="63">
        <v>0</v>
      </c>
      <c r="F24" s="54">
        <v>23</v>
      </c>
      <c r="H24" s="62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x14ac:dyDescent="0.4">
      <c r="A25" s="13" t="s">
        <v>2324</v>
      </c>
      <c r="B25" s="55" t="s">
        <v>2325</v>
      </c>
      <c r="C25" s="13" t="s">
        <v>44</v>
      </c>
      <c r="D25" s="59">
        <v>46054</v>
      </c>
      <c r="E25" s="63">
        <v>95250</v>
      </c>
      <c r="F25" s="13">
        <v>24</v>
      </c>
      <c r="H25" s="62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x14ac:dyDescent="0.4">
      <c r="A26" s="13" t="s">
        <v>2324</v>
      </c>
      <c r="B26" s="55" t="s">
        <v>2325</v>
      </c>
      <c r="C26" s="13" t="s">
        <v>44</v>
      </c>
      <c r="D26" s="59">
        <v>46082</v>
      </c>
      <c r="E26" s="63">
        <v>209550</v>
      </c>
      <c r="F26" s="54">
        <v>25</v>
      </c>
      <c r="H26" s="62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x14ac:dyDescent="0.4">
      <c r="A27" s="13" t="s">
        <v>2324</v>
      </c>
      <c r="B27" s="55" t="s">
        <v>2325</v>
      </c>
      <c r="C27" s="13" t="s">
        <v>44</v>
      </c>
      <c r="D27" s="59">
        <v>46113</v>
      </c>
      <c r="E27" s="63">
        <v>400050</v>
      </c>
      <c r="F27" s="13">
        <v>26</v>
      </c>
      <c r="H27" s="62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x14ac:dyDescent="0.4">
      <c r="A28" s="13" t="s">
        <v>2324</v>
      </c>
      <c r="B28" s="55" t="s">
        <v>2325</v>
      </c>
      <c r="C28" s="13" t="s">
        <v>44</v>
      </c>
      <c r="D28" s="59">
        <v>46143</v>
      </c>
      <c r="E28" s="63">
        <v>2247900</v>
      </c>
      <c r="F28" s="54">
        <v>27</v>
      </c>
      <c r="H28" s="62"/>
      <c r="I28" s="20"/>
      <c r="J28" s="20"/>
      <c r="K28" s="20"/>
      <c r="L28" s="20"/>
      <c r="M28" s="20"/>
      <c r="N28" s="20"/>
      <c r="O28" s="20"/>
      <c r="P28" s="20"/>
    </row>
    <row r="29" spans="1:18" x14ac:dyDescent="0.4">
      <c r="A29" s="13" t="s">
        <v>2324</v>
      </c>
      <c r="B29" s="55" t="s">
        <v>2325</v>
      </c>
      <c r="C29" s="13" t="s">
        <v>44</v>
      </c>
      <c r="D29" s="59">
        <v>46174</v>
      </c>
      <c r="E29" s="63">
        <v>2400300</v>
      </c>
      <c r="F29" s="13">
        <v>28</v>
      </c>
      <c r="H29" s="62"/>
      <c r="I29" s="20"/>
      <c r="J29" s="20"/>
      <c r="K29" s="20"/>
      <c r="L29" s="20"/>
      <c r="M29" s="20"/>
      <c r="N29" s="20"/>
      <c r="O29" s="20"/>
      <c r="P29" s="20"/>
    </row>
    <row r="30" spans="1:18" x14ac:dyDescent="0.4">
      <c r="A30" s="13" t="s">
        <v>2324</v>
      </c>
      <c r="B30" s="55" t="s">
        <v>2325</v>
      </c>
      <c r="C30" s="13" t="s">
        <v>44</v>
      </c>
      <c r="D30" s="59">
        <v>46204</v>
      </c>
      <c r="E30" s="63">
        <v>10058400</v>
      </c>
      <c r="F30" s="54">
        <v>29</v>
      </c>
      <c r="H30" s="62"/>
      <c r="I30" s="20"/>
    </row>
    <row r="31" spans="1:18" x14ac:dyDescent="0.4">
      <c r="A31" s="13" t="s">
        <v>2324</v>
      </c>
      <c r="B31" s="55" t="s">
        <v>2325</v>
      </c>
      <c r="C31" s="13" t="s">
        <v>44</v>
      </c>
      <c r="D31" s="59">
        <v>46235</v>
      </c>
      <c r="E31" s="63">
        <v>9963150</v>
      </c>
      <c r="F31" s="13">
        <v>30</v>
      </c>
      <c r="H31" s="62"/>
      <c r="I31" s="20"/>
    </row>
    <row r="32" spans="1:18" x14ac:dyDescent="0.4">
      <c r="A32" s="13" t="s">
        <v>2324</v>
      </c>
      <c r="B32" s="55" t="s">
        <v>2325</v>
      </c>
      <c r="C32" s="13" t="s">
        <v>44</v>
      </c>
      <c r="D32" s="59">
        <v>46266</v>
      </c>
      <c r="E32" s="63">
        <v>9848850</v>
      </c>
      <c r="F32" s="54">
        <v>31</v>
      </c>
      <c r="H32" s="62"/>
      <c r="I32" s="20"/>
    </row>
    <row r="33" spans="1:9" x14ac:dyDescent="0.4">
      <c r="A33" s="13" t="s">
        <v>2324</v>
      </c>
      <c r="B33" s="55" t="s">
        <v>2325</v>
      </c>
      <c r="C33" s="13" t="s">
        <v>44</v>
      </c>
      <c r="D33" s="59">
        <v>46296</v>
      </c>
      <c r="E33" s="63">
        <v>9658350</v>
      </c>
      <c r="F33" s="13">
        <v>32</v>
      </c>
      <c r="H33" s="62"/>
      <c r="I33" s="20"/>
    </row>
    <row r="34" spans="1:9" x14ac:dyDescent="0.4">
      <c r="A34" s="13" t="s">
        <v>2324</v>
      </c>
      <c r="B34" s="55" t="s">
        <v>2325</v>
      </c>
      <c r="C34" s="13" t="s">
        <v>44</v>
      </c>
      <c r="D34" s="59">
        <v>46327</v>
      </c>
      <c r="E34" s="63">
        <v>7810500</v>
      </c>
      <c r="F34" s="54">
        <v>33</v>
      </c>
      <c r="H34" s="62"/>
      <c r="I34" s="20"/>
    </row>
    <row r="35" spans="1:9" x14ac:dyDescent="0.4">
      <c r="A35" s="13" t="s">
        <v>2324</v>
      </c>
      <c r="B35" s="55" t="s">
        <v>2325</v>
      </c>
      <c r="C35" s="13" t="s">
        <v>44</v>
      </c>
      <c r="D35" s="59">
        <v>46357</v>
      </c>
      <c r="E35" s="63">
        <v>7658100</v>
      </c>
      <c r="F35" s="13">
        <v>34</v>
      </c>
      <c r="H35" s="62"/>
      <c r="I35" s="20"/>
    </row>
    <row r="36" spans="1:9" x14ac:dyDescent="0.4">
      <c r="A36" s="13" t="s">
        <v>2324</v>
      </c>
      <c r="B36" s="55" t="s">
        <v>2325</v>
      </c>
      <c r="C36" s="13" t="s">
        <v>44</v>
      </c>
      <c r="D36" s="59">
        <v>46388</v>
      </c>
      <c r="E36" s="63">
        <v>0</v>
      </c>
      <c r="F36" s="54">
        <v>35</v>
      </c>
      <c r="H36" s="62"/>
      <c r="I36" s="20"/>
    </row>
    <row r="37" spans="1:9" x14ac:dyDescent="0.4">
      <c r="A37" s="13" t="s">
        <v>2324</v>
      </c>
      <c r="B37" s="55" t="s">
        <v>2325</v>
      </c>
      <c r="C37" s="13" t="s">
        <v>44</v>
      </c>
      <c r="D37" s="59">
        <v>46419</v>
      </c>
      <c r="E37" s="63">
        <v>0</v>
      </c>
      <c r="F37" s="13">
        <v>36</v>
      </c>
      <c r="H37" s="62"/>
      <c r="I37" s="20"/>
    </row>
    <row r="38" spans="1:9" x14ac:dyDescent="0.4">
      <c r="A38" s="13" t="s">
        <v>2324</v>
      </c>
      <c r="B38" s="55" t="s">
        <v>2325</v>
      </c>
      <c r="C38" s="13" t="s">
        <v>44</v>
      </c>
      <c r="D38" s="59">
        <v>46447</v>
      </c>
      <c r="E38" s="63">
        <v>0</v>
      </c>
      <c r="F38" s="54">
        <v>37</v>
      </c>
      <c r="H38" s="62"/>
      <c r="I38" s="20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46478</v>
      </c>
      <c r="E39" s="63">
        <v>0</v>
      </c>
      <c r="F39" s="13">
        <v>38</v>
      </c>
      <c r="H39" s="62"/>
      <c r="I39" s="20"/>
    </row>
    <row r="40" spans="1:9" x14ac:dyDescent="0.4">
      <c r="A40" s="13" t="s">
        <v>2324</v>
      </c>
      <c r="B40" s="55" t="s">
        <v>2325</v>
      </c>
      <c r="C40" s="13" t="s">
        <v>44</v>
      </c>
      <c r="D40" s="59">
        <v>46508</v>
      </c>
      <c r="E40" s="63">
        <v>0</v>
      </c>
      <c r="F40" s="54">
        <v>39</v>
      </c>
      <c r="H40" s="62"/>
      <c r="I40" s="20"/>
    </row>
    <row r="41" spans="1:9" x14ac:dyDescent="0.4">
      <c r="A41" s="13" t="s">
        <v>2324</v>
      </c>
      <c r="B41" s="55" t="s">
        <v>2325</v>
      </c>
      <c r="C41" s="13" t="s">
        <v>44</v>
      </c>
      <c r="D41" s="59">
        <v>46539</v>
      </c>
      <c r="E41" s="63">
        <v>0</v>
      </c>
      <c r="F41" s="13">
        <v>40</v>
      </c>
      <c r="H41" s="62"/>
      <c r="I41" s="20"/>
    </row>
    <row r="42" spans="1:9" x14ac:dyDescent="0.4">
      <c r="A42" s="13" t="s">
        <v>2324</v>
      </c>
      <c r="B42" s="55" t="s">
        <v>2325</v>
      </c>
      <c r="C42" s="13" t="s">
        <v>44</v>
      </c>
      <c r="D42" s="59">
        <v>46569</v>
      </c>
      <c r="E42" s="63">
        <v>0</v>
      </c>
      <c r="F42" s="54">
        <v>41</v>
      </c>
      <c r="H42" s="62"/>
      <c r="I42" s="20"/>
    </row>
    <row r="43" spans="1:9" x14ac:dyDescent="0.4">
      <c r="A43" s="13" t="s">
        <v>2324</v>
      </c>
      <c r="B43" s="55" t="s">
        <v>2325</v>
      </c>
      <c r="C43" s="13" t="s">
        <v>44</v>
      </c>
      <c r="D43" s="59">
        <v>46600</v>
      </c>
      <c r="E43" s="63">
        <v>0</v>
      </c>
      <c r="F43" s="13">
        <v>42</v>
      </c>
      <c r="H43" s="62"/>
      <c r="I43" s="20"/>
    </row>
    <row r="44" spans="1:9" x14ac:dyDescent="0.4">
      <c r="A44" s="13" t="s">
        <v>2324</v>
      </c>
      <c r="B44" s="55" t="s">
        <v>2325</v>
      </c>
      <c r="C44" s="13" t="s">
        <v>44</v>
      </c>
      <c r="D44" s="59">
        <v>46631</v>
      </c>
      <c r="E44" s="63">
        <v>0</v>
      </c>
      <c r="F44" s="54">
        <v>43</v>
      </c>
      <c r="H44" s="62"/>
      <c r="I44" s="20"/>
    </row>
    <row r="45" spans="1:9" x14ac:dyDescent="0.4">
      <c r="A45" s="13" t="s">
        <v>2324</v>
      </c>
      <c r="B45" s="55" t="s">
        <v>2325</v>
      </c>
      <c r="C45" s="13" t="s">
        <v>44</v>
      </c>
      <c r="D45" s="59">
        <v>46661</v>
      </c>
      <c r="E45" s="63">
        <v>0</v>
      </c>
      <c r="F45" s="13">
        <v>44</v>
      </c>
      <c r="H45" s="62"/>
      <c r="I45" s="20"/>
    </row>
    <row r="46" spans="1:9" x14ac:dyDescent="0.4">
      <c r="A46" s="13" t="s">
        <v>2324</v>
      </c>
      <c r="B46" s="55" t="s">
        <v>2325</v>
      </c>
      <c r="C46" s="13" t="s">
        <v>1944</v>
      </c>
      <c r="D46" s="59">
        <v>46023</v>
      </c>
      <c r="E46" s="63">
        <v>0</v>
      </c>
      <c r="F46" s="54">
        <v>45</v>
      </c>
      <c r="H46" s="62"/>
      <c r="I46" s="20"/>
    </row>
    <row r="47" spans="1:9" x14ac:dyDescent="0.4">
      <c r="A47" s="13" t="s">
        <v>2324</v>
      </c>
      <c r="B47" s="55" t="s">
        <v>2325</v>
      </c>
      <c r="C47" s="13" t="s">
        <v>1944</v>
      </c>
      <c r="D47" s="59">
        <v>46054</v>
      </c>
      <c r="E47" s="63">
        <v>0</v>
      </c>
      <c r="F47" s="13">
        <v>46</v>
      </c>
      <c r="H47" s="62"/>
      <c r="I47" s="20"/>
    </row>
    <row r="48" spans="1:9" x14ac:dyDescent="0.4">
      <c r="A48" s="13" t="s">
        <v>2324</v>
      </c>
      <c r="B48" s="55" t="s">
        <v>2325</v>
      </c>
      <c r="C48" s="13" t="s">
        <v>1944</v>
      </c>
      <c r="D48" s="59">
        <v>46082</v>
      </c>
      <c r="E48" s="63">
        <v>94350</v>
      </c>
      <c r="F48" s="54">
        <v>47</v>
      </c>
      <c r="H48" s="62"/>
      <c r="I48" s="20"/>
    </row>
    <row r="49" spans="1:9" x14ac:dyDescent="0.4">
      <c r="A49" s="13" t="s">
        <v>2324</v>
      </c>
      <c r="B49" s="55" t="s">
        <v>2325</v>
      </c>
      <c r="C49" s="13" t="s">
        <v>1944</v>
      </c>
      <c r="D49" s="59">
        <v>46113</v>
      </c>
      <c r="E49" s="63">
        <v>94350</v>
      </c>
      <c r="F49" s="13">
        <v>48</v>
      </c>
      <c r="H49" s="62"/>
      <c r="I49" s="20"/>
    </row>
    <row r="50" spans="1:9" x14ac:dyDescent="0.4">
      <c r="A50" s="13" t="s">
        <v>2324</v>
      </c>
      <c r="B50" s="55" t="s">
        <v>2325</v>
      </c>
      <c r="C50" s="13" t="s">
        <v>1944</v>
      </c>
      <c r="D50" s="59">
        <v>46143</v>
      </c>
      <c r="E50" s="63">
        <v>150960</v>
      </c>
      <c r="F50" s="54">
        <v>49</v>
      </c>
      <c r="H50" s="62"/>
      <c r="I50" s="20"/>
    </row>
    <row r="51" spans="1:9" x14ac:dyDescent="0.4">
      <c r="A51" s="13" t="s">
        <v>2324</v>
      </c>
      <c r="B51" s="55" t="s">
        <v>2325</v>
      </c>
      <c r="C51" s="13" t="s">
        <v>1944</v>
      </c>
      <c r="D51" s="59">
        <v>46174</v>
      </c>
      <c r="E51" s="63">
        <v>207570</v>
      </c>
      <c r="F51" s="13">
        <v>50</v>
      </c>
      <c r="H51" s="62"/>
      <c r="I51" s="20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46204</v>
      </c>
      <c r="E52" s="63">
        <v>226440</v>
      </c>
      <c r="F52" s="54">
        <v>51</v>
      </c>
      <c r="H52" s="62"/>
      <c r="I52" s="20"/>
    </row>
    <row r="53" spans="1:9" x14ac:dyDescent="0.4">
      <c r="A53" s="13" t="s">
        <v>2324</v>
      </c>
      <c r="B53" s="55" t="s">
        <v>2325</v>
      </c>
      <c r="C53" s="13" t="s">
        <v>1944</v>
      </c>
      <c r="D53" s="59">
        <v>46235</v>
      </c>
      <c r="E53" s="63">
        <v>235875</v>
      </c>
      <c r="F53" s="13">
        <v>52</v>
      </c>
      <c r="H53" s="62"/>
      <c r="I53" s="20"/>
    </row>
    <row r="54" spans="1:9" x14ac:dyDescent="0.4">
      <c r="A54" s="13" t="s">
        <v>2324</v>
      </c>
      <c r="B54" s="55" t="s">
        <v>2325</v>
      </c>
      <c r="C54" s="13" t="s">
        <v>1944</v>
      </c>
      <c r="D54" s="59">
        <v>46266</v>
      </c>
      <c r="E54" s="63">
        <v>386835</v>
      </c>
      <c r="F54" s="54">
        <v>53</v>
      </c>
      <c r="H54" s="62"/>
      <c r="I54" s="20"/>
    </row>
    <row r="55" spans="1:9" x14ac:dyDescent="0.4">
      <c r="A55" s="13" t="s">
        <v>2324</v>
      </c>
      <c r="B55" s="55" t="s">
        <v>2325</v>
      </c>
      <c r="C55" s="13" t="s">
        <v>1944</v>
      </c>
      <c r="D55" s="59">
        <v>46296</v>
      </c>
      <c r="E55" s="63">
        <v>584970</v>
      </c>
      <c r="F55" s="13">
        <v>54</v>
      </c>
      <c r="H55" s="62"/>
      <c r="I55" s="20"/>
    </row>
    <row r="56" spans="1:9" x14ac:dyDescent="0.4">
      <c r="A56" s="13" t="s">
        <v>2324</v>
      </c>
      <c r="B56" s="55" t="s">
        <v>2325</v>
      </c>
      <c r="C56" s="13" t="s">
        <v>1944</v>
      </c>
      <c r="D56" s="59">
        <v>46327</v>
      </c>
      <c r="E56" s="63">
        <v>584970</v>
      </c>
      <c r="F56" s="54">
        <v>55</v>
      </c>
      <c r="H56" s="62"/>
      <c r="I56" s="20"/>
    </row>
    <row r="57" spans="1:9" x14ac:dyDescent="0.4">
      <c r="A57" s="13" t="s">
        <v>2324</v>
      </c>
      <c r="B57" s="55" t="s">
        <v>2325</v>
      </c>
      <c r="C57" s="13" t="s">
        <v>1944</v>
      </c>
      <c r="D57" s="59">
        <v>46357</v>
      </c>
      <c r="E57" s="63">
        <v>584970</v>
      </c>
      <c r="F57" s="13">
        <v>56</v>
      </c>
      <c r="H57" s="62"/>
      <c r="I57" s="20"/>
    </row>
    <row r="58" spans="1:9" x14ac:dyDescent="0.4">
      <c r="A58" s="13" t="s">
        <v>2324</v>
      </c>
      <c r="B58" s="55" t="s">
        <v>2325</v>
      </c>
      <c r="C58" s="13" t="s">
        <v>1944</v>
      </c>
      <c r="D58" s="59">
        <v>46388</v>
      </c>
      <c r="E58" s="63">
        <v>584970</v>
      </c>
      <c r="F58" s="54">
        <v>57</v>
      </c>
      <c r="H58" s="62"/>
      <c r="I58" s="20"/>
    </row>
    <row r="59" spans="1:9" x14ac:dyDescent="0.4">
      <c r="A59" s="13" t="s">
        <v>2324</v>
      </c>
      <c r="B59" s="55" t="s">
        <v>2325</v>
      </c>
      <c r="C59" s="13" t="s">
        <v>1944</v>
      </c>
      <c r="D59" s="59">
        <v>46419</v>
      </c>
      <c r="E59" s="63">
        <v>584970</v>
      </c>
      <c r="F59" s="13">
        <v>58</v>
      </c>
      <c r="H59" s="62"/>
      <c r="I59" s="20"/>
    </row>
    <row r="60" spans="1:9" x14ac:dyDescent="0.4">
      <c r="A60" s="13" t="s">
        <v>2324</v>
      </c>
      <c r="B60" s="55" t="s">
        <v>2325</v>
      </c>
      <c r="C60" s="13" t="s">
        <v>1944</v>
      </c>
      <c r="D60" s="59">
        <v>46447</v>
      </c>
      <c r="E60" s="63">
        <v>490620</v>
      </c>
      <c r="F60" s="54">
        <v>59</v>
      </c>
      <c r="H60" s="62"/>
      <c r="I60" s="20"/>
    </row>
    <row r="61" spans="1:9" x14ac:dyDescent="0.4">
      <c r="A61" s="13" t="s">
        <v>2324</v>
      </c>
      <c r="B61" s="55" t="s">
        <v>2325</v>
      </c>
      <c r="C61" s="13" t="s">
        <v>1944</v>
      </c>
      <c r="D61" s="59">
        <v>46478</v>
      </c>
      <c r="E61" s="63">
        <v>490620</v>
      </c>
      <c r="F61" s="13">
        <v>60</v>
      </c>
      <c r="H61" s="62"/>
      <c r="I61" s="20"/>
    </row>
    <row r="62" spans="1:9" x14ac:dyDescent="0.4">
      <c r="A62" s="13" t="s">
        <v>2324</v>
      </c>
      <c r="B62" s="55" t="s">
        <v>2325</v>
      </c>
      <c r="C62" s="13" t="s">
        <v>1944</v>
      </c>
      <c r="D62" s="59">
        <v>46508</v>
      </c>
      <c r="E62" s="63">
        <v>434010</v>
      </c>
      <c r="F62" s="54">
        <v>61</v>
      </c>
      <c r="H62" s="62"/>
      <c r="I62" s="20"/>
    </row>
    <row r="63" spans="1:9" x14ac:dyDescent="0.4">
      <c r="A63" s="13" t="s">
        <v>2324</v>
      </c>
      <c r="B63" s="55" t="s">
        <v>2325</v>
      </c>
      <c r="C63" s="13" t="s">
        <v>1944</v>
      </c>
      <c r="D63" s="59">
        <v>46539</v>
      </c>
      <c r="E63" s="63">
        <v>377400</v>
      </c>
      <c r="F63" s="13">
        <v>62</v>
      </c>
      <c r="H63" s="62"/>
      <c r="I63" s="20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46569</v>
      </c>
      <c r="E64" s="63">
        <v>358530</v>
      </c>
      <c r="F64" s="54">
        <v>63</v>
      </c>
      <c r="H64" s="62"/>
      <c r="I64" s="20"/>
    </row>
    <row r="65" spans="1:9" x14ac:dyDescent="0.4">
      <c r="A65" s="13" t="s">
        <v>2324</v>
      </c>
      <c r="B65" s="55" t="s">
        <v>2325</v>
      </c>
      <c r="C65" s="13" t="s">
        <v>1944</v>
      </c>
      <c r="D65" s="59">
        <v>46600</v>
      </c>
      <c r="E65" s="63">
        <v>349095</v>
      </c>
      <c r="F65" s="13">
        <v>64</v>
      </c>
      <c r="H65" s="62"/>
      <c r="I65" s="20"/>
    </row>
    <row r="66" spans="1:9" x14ac:dyDescent="0.4">
      <c r="A66" s="13" t="s">
        <v>2324</v>
      </c>
      <c r="B66" s="55" t="s">
        <v>2325</v>
      </c>
      <c r="C66" s="13" t="s">
        <v>1944</v>
      </c>
      <c r="D66" s="59">
        <v>46631</v>
      </c>
      <c r="E66" s="63">
        <v>198135</v>
      </c>
      <c r="F66" s="54">
        <v>65</v>
      </c>
      <c r="H66" s="62"/>
      <c r="I66" s="20"/>
    </row>
    <row r="67" spans="1:9" x14ac:dyDescent="0.4">
      <c r="A67" s="13" t="s">
        <v>2324</v>
      </c>
      <c r="B67" s="55" t="s">
        <v>2325</v>
      </c>
      <c r="C67" s="13" t="s">
        <v>1944</v>
      </c>
      <c r="D67" s="59">
        <v>46661</v>
      </c>
      <c r="E67" s="63">
        <v>0</v>
      </c>
      <c r="F67" s="13">
        <v>66</v>
      </c>
      <c r="H67" s="62"/>
      <c r="I67" s="20"/>
    </row>
    <row r="68" spans="1:9" x14ac:dyDescent="0.4">
      <c r="A68" s="13" t="s">
        <v>2324</v>
      </c>
      <c r="B68" s="55" t="s">
        <v>2325</v>
      </c>
      <c r="C68" s="13" t="s">
        <v>70</v>
      </c>
      <c r="D68" s="59">
        <v>46023</v>
      </c>
      <c r="E68" s="63">
        <v>0</v>
      </c>
      <c r="F68" s="54">
        <v>67</v>
      </c>
      <c r="H68" s="62"/>
      <c r="I68" s="20"/>
    </row>
    <row r="69" spans="1:9" x14ac:dyDescent="0.4">
      <c r="A69" s="13" t="s">
        <v>2324</v>
      </c>
      <c r="B69" s="55" t="s">
        <v>2325</v>
      </c>
      <c r="C69" s="13" t="s">
        <v>70</v>
      </c>
      <c r="D69" s="59">
        <v>46054</v>
      </c>
      <c r="E69" s="63">
        <v>0</v>
      </c>
      <c r="F69" s="13">
        <v>68</v>
      </c>
      <c r="H69" s="62"/>
      <c r="I69" s="20"/>
    </row>
    <row r="70" spans="1:9" x14ac:dyDescent="0.4">
      <c r="A70" s="13" t="s">
        <v>2324</v>
      </c>
      <c r="B70" s="55" t="s">
        <v>2325</v>
      </c>
      <c r="C70" s="13" t="s">
        <v>70</v>
      </c>
      <c r="D70" s="59">
        <v>46082</v>
      </c>
      <c r="E70" s="63">
        <v>0</v>
      </c>
      <c r="F70" s="54">
        <v>69</v>
      </c>
      <c r="H70" s="62"/>
      <c r="I70" s="20"/>
    </row>
    <row r="71" spans="1:9" x14ac:dyDescent="0.4">
      <c r="A71" s="13" t="s">
        <v>2324</v>
      </c>
      <c r="B71" s="55" t="s">
        <v>2325</v>
      </c>
      <c r="C71" s="13" t="s">
        <v>70</v>
      </c>
      <c r="D71" s="59">
        <v>46113</v>
      </c>
      <c r="E71" s="63">
        <v>59400</v>
      </c>
      <c r="F71" s="13">
        <v>70</v>
      </c>
      <c r="H71" s="62"/>
      <c r="I71" s="20"/>
    </row>
    <row r="72" spans="1:9" x14ac:dyDescent="0.4">
      <c r="A72" s="13" t="s">
        <v>2324</v>
      </c>
      <c r="B72" s="55" t="s">
        <v>2325</v>
      </c>
      <c r="C72" s="13" t="s">
        <v>70</v>
      </c>
      <c r="D72" s="59">
        <v>46143</v>
      </c>
      <c r="E72" s="63">
        <v>59400</v>
      </c>
      <c r="F72" s="54">
        <v>71</v>
      </c>
      <c r="H72" s="62"/>
      <c r="I72" s="20"/>
    </row>
    <row r="73" spans="1:9" x14ac:dyDescent="0.4">
      <c r="A73" s="13" t="s">
        <v>2324</v>
      </c>
      <c r="B73" s="55" t="s">
        <v>2325</v>
      </c>
      <c r="C73" s="13" t="s">
        <v>70</v>
      </c>
      <c r="D73" s="59">
        <v>46174</v>
      </c>
      <c r="E73" s="63">
        <v>59400</v>
      </c>
      <c r="F73" s="13">
        <v>72</v>
      </c>
      <c r="H73" s="62"/>
      <c r="I73" s="20"/>
    </row>
    <row r="74" spans="1:9" x14ac:dyDescent="0.4">
      <c r="A74" s="13" t="s">
        <v>2324</v>
      </c>
      <c r="B74" s="55" t="s">
        <v>2325</v>
      </c>
      <c r="C74" s="13" t="s">
        <v>70</v>
      </c>
      <c r="D74" s="59">
        <v>46204</v>
      </c>
      <c r="E74" s="63">
        <v>0</v>
      </c>
      <c r="F74" s="54">
        <v>73</v>
      </c>
      <c r="H74" s="62"/>
      <c r="I74" s="20"/>
    </row>
    <row r="75" spans="1:9" x14ac:dyDescent="0.4">
      <c r="A75" s="13" t="s">
        <v>2324</v>
      </c>
      <c r="B75" s="55" t="s">
        <v>2325</v>
      </c>
      <c r="C75" s="13" t="s">
        <v>70</v>
      </c>
      <c r="D75" s="59">
        <v>46235</v>
      </c>
      <c r="E75" s="63">
        <v>0</v>
      </c>
      <c r="F75" s="13">
        <v>74</v>
      </c>
      <c r="H75" s="62"/>
      <c r="I75" s="20"/>
    </row>
    <row r="76" spans="1:9" x14ac:dyDescent="0.4">
      <c r="A76" s="13" t="s">
        <v>2324</v>
      </c>
      <c r="B76" s="55" t="s">
        <v>2325</v>
      </c>
      <c r="C76" s="13" t="s">
        <v>70</v>
      </c>
      <c r="D76" s="59">
        <v>46266</v>
      </c>
      <c r="E76" s="63">
        <v>0</v>
      </c>
      <c r="F76" s="54">
        <v>75</v>
      </c>
      <c r="H76" s="62"/>
      <c r="I76" s="20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46296</v>
      </c>
      <c r="E77" s="63">
        <v>0</v>
      </c>
      <c r="F77" s="13">
        <v>76</v>
      </c>
      <c r="H77" s="62"/>
      <c r="I77" s="20"/>
    </row>
    <row r="78" spans="1:9" x14ac:dyDescent="0.4">
      <c r="A78" s="13" t="s">
        <v>2324</v>
      </c>
      <c r="B78" s="55" t="s">
        <v>2325</v>
      </c>
      <c r="C78" s="13" t="s">
        <v>70</v>
      </c>
      <c r="D78" s="59">
        <v>46327</v>
      </c>
      <c r="E78" s="63">
        <v>0</v>
      </c>
      <c r="F78" s="54">
        <v>77</v>
      </c>
      <c r="H78" s="62"/>
      <c r="I78" s="20"/>
    </row>
    <row r="79" spans="1:9" x14ac:dyDescent="0.4">
      <c r="A79" s="13" t="s">
        <v>2324</v>
      </c>
      <c r="B79" s="55" t="s">
        <v>2325</v>
      </c>
      <c r="C79" s="13" t="s">
        <v>70</v>
      </c>
      <c r="D79" s="59">
        <v>46357</v>
      </c>
      <c r="E79" s="63">
        <v>0</v>
      </c>
      <c r="F79" s="13">
        <v>78</v>
      </c>
      <c r="H79" s="62"/>
      <c r="I79" s="20"/>
    </row>
    <row r="80" spans="1:9" x14ac:dyDescent="0.4">
      <c r="A80" s="13" t="s">
        <v>2324</v>
      </c>
      <c r="B80" s="55" t="s">
        <v>2325</v>
      </c>
      <c r="C80" s="13" t="s">
        <v>70</v>
      </c>
      <c r="D80" s="59">
        <v>46388</v>
      </c>
      <c r="E80" s="63">
        <v>0</v>
      </c>
      <c r="F80" s="54">
        <v>79</v>
      </c>
      <c r="H80" s="62"/>
      <c r="I80" s="20"/>
    </row>
    <row r="81" spans="1:9" x14ac:dyDescent="0.4">
      <c r="A81" s="13" t="s">
        <v>2324</v>
      </c>
      <c r="B81" s="55" t="s">
        <v>2325</v>
      </c>
      <c r="C81" s="13" t="s">
        <v>70</v>
      </c>
      <c r="D81" s="59">
        <v>46419</v>
      </c>
      <c r="E81" s="63">
        <v>0</v>
      </c>
      <c r="F81" s="13">
        <v>80</v>
      </c>
      <c r="H81" s="62"/>
      <c r="I81" s="20"/>
    </row>
    <row r="82" spans="1:9" x14ac:dyDescent="0.4">
      <c r="A82" s="13" t="s">
        <v>2324</v>
      </c>
      <c r="B82" s="55" t="s">
        <v>2325</v>
      </c>
      <c r="C82" s="13" t="s">
        <v>70</v>
      </c>
      <c r="D82" s="59">
        <v>46447</v>
      </c>
      <c r="E82" s="63">
        <v>0</v>
      </c>
      <c r="F82" s="54">
        <v>81</v>
      </c>
      <c r="H82" s="62"/>
      <c r="I82" s="20"/>
    </row>
    <row r="83" spans="1:9" x14ac:dyDescent="0.4">
      <c r="A83" s="13" t="s">
        <v>2324</v>
      </c>
      <c r="B83" s="55" t="s">
        <v>2325</v>
      </c>
      <c r="C83" s="13" t="s">
        <v>70</v>
      </c>
      <c r="D83" s="59">
        <v>46478</v>
      </c>
      <c r="E83" s="63">
        <v>0</v>
      </c>
      <c r="F83" s="13">
        <v>82</v>
      </c>
      <c r="H83" s="62"/>
      <c r="I83" s="20"/>
    </row>
    <row r="84" spans="1:9" x14ac:dyDescent="0.4">
      <c r="A84" s="13" t="s">
        <v>2324</v>
      </c>
      <c r="B84" s="55" t="s">
        <v>2325</v>
      </c>
      <c r="C84" s="13" t="s">
        <v>70</v>
      </c>
      <c r="D84" s="59">
        <v>46508</v>
      </c>
      <c r="E84" s="63">
        <v>0</v>
      </c>
      <c r="F84" s="54">
        <v>83</v>
      </c>
      <c r="H84" s="62"/>
      <c r="I84" s="20"/>
    </row>
    <row r="85" spans="1:9" x14ac:dyDescent="0.4">
      <c r="A85" s="13" t="s">
        <v>2324</v>
      </c>
      <c r="B85" s="55" t="s">
        <v>2325</v>
      </c>
      <c r="C85" s="13" t="s">
        <v>70</v>
      </c>
      <c r="D85" s="59">
        <v>46539</v>
      </c>
      <c r="E85" s="63">
        <v>0</v>
      </c>
      <c r="F85" s="13">
        <v>84</v>
      </c>
      <c r="H85" s="62"/>
      <c r="I85" s="20"/>
    </row>
    <row r="86" spans="1:9" x14ac:dyDescent="0.4">
      <c r="A86" s="13" t="s">
        <v>2324</v>
      </c>
      <c r="B86" s="55" t="s">
        <v>2325</v>
      </c>
      <c r="C86" s="13" t="s">
        <v>70</v>
      </c>
      <c r="D86" s="59">
        <v>46569</v>
      </c>
      <c r="E86" s="63">
        <v>0</v>
      </c>
      <c r="F86" s="54">
        <v>85</v>
      </c>
      <c r="H86" s="62"/>
      <c r="I86" s="20"/>
    </row>
    <row r="87" spans="1:9" x14ac:dyDescent="0.4">
      <c r="A87" s="13" t="s">
        <v>2324</v>
      </c>
      <c r="B87" s="55" t="s">
        <v>2325</v>
      </c>
      <c r="C87" s="13" t="s">
        <v>70</v>
      </c>
      <c r="D87" s="59">
        <v>46600</v>
      </c>
      <c r="E87" s="63">
        <v>0</v>
      </c>
      <c r="F87" s="13">
        <v>86</v>
      </c>
      <c r="H87" s="62"/>
      <c r="I87" s="20"/>
    </row>
    <row r="88" spans="1:9" x14ac:dyDescent="0.4">
      <c r="A88" s="13" t="s">
        <v>2324</v>
      </c>
      <c r="B88" s="55" t="s">
        <v>2325</v>
      </c>
      <c r="C88" s="13" t="s">
        <v>70</v>
      </c>
      <c r="D88" s="59">
        <v>46631</v>
      </c>
      <c r="E88" s="63">
        <v>0</v>
      </c>
      <c r="F88" s="54">
        <v>87</v>
      </c>
      <c r="H88" s="62"/>
      <c r="I88" s="20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46661</v>
      </c>
      <c r="E89" s="63">
        <v>0</v>
      </c>
      <c r="F89" s="13">
        <v>88</v>
      </c>
      <c r="H89" s="62"/>
      <c r="I89" s="20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46023</v>
      </c>
      <c r="E90" s="63">
        <v>0</v>
      </c>
      <c r="F90" s="54">
        <v>89</v>
      </c>
      <c r="H90" s="62"/>
      <c r="I90" s="20"/>
    </row>
    <row r="91" spans="1:9" x14ac:dyDescent="0.4">
      <c r="A91" s="13" t="s">
        <v>2324</v>
      </c>
      <c r="B91" s="55" t="s">
        <v>2325</v>
      </c>
      <c r="C91" s="13" t="s">
        <v>50</v>
      </c>
      <c r="D91" s="59">
        <v>46054</v>
      </c>
      <c r="E91" s="63">
        <v>19050</v>
      </c>
      <c r="F91" s="13">
        <v>90</v>
      </c>
      <c r="H91" s="62"/>
      <c r="I91" s="20"/>
    </row>
    <row r="92" spans="1:9" x14ac:dyDescent="0.4">
      <c r="A92" s="13" t="s">
        <v>2324</v>
      </c>
      <c r="B92" s="55" t="s">
        <v>2325</v>
      </c>
      <c r="C92" s="13" t="s">
        <v>50</v>
      </c>
      <c r="D92" s="59">
        <v>46082</v>
      </c>
      <c r="E92" s="63">
        <v>19050</v>
      </c>
      <c r="F92" s="54">
        <v>91</v>
      </c>
      <c r="H92" s="62"/>
      <c r="I92" s="20"/>
    </row>
    <row r="93" spans="1:9" x14ac:dyDescent="0.4">
      <c r="A93" s="13" t="s">
        <v>2324</v>
      </c>
      <c r="B93" s="55" t="s">
        <v>2325</v>
      </c>
      <c r="C93" s="13" t="s">
        <v>50</v>
      </c>
      <c r="D93" s="59">
        <v>46113</v>
      </c>
      <c r="E93" s="63">
        <v>38100</v>
      </c>
      <c r="F93" s="13">
        <v>92</v>
      </c>
      <c r="H93" s="62"/>
      <c r="I93" s="20"/>
    </row>
    <row r="94" spans="1:9" x14ac:dyDescent="0.4">
      <c r="A94" s="13" t="s">
        <v>2324</v>
      </c>
      <c r="B94" s="55" t="s">
        <v>2325</v>
      </c>
      <c r="C94" s="13" t="s">
        <v>50</v>
      </c>
      <c r="D94" s="59">
        <v>46143</v>
      </c>
      <c r="E94" s="63">
        <v>133350</v>
      </c>
      <c r="F94" s="54">
        <v>93</v>
      </c>
      <c r="H94" s="62"/>
      <c r="I94" s="20"/>
    </row>
    <row r="95" spans="1:9" x14ac:dyDescent="0.4">
      <c r="A95" s="13" t="s">
        <v>2324</v>
      </c>
      <c r="B95" s="55" t="s">
        <v>2325</v>
      </c>
      <c r="C95" s="13" t="s">
        <v>50</v>
      </c>
      <c r="D95" s="59">
        <v>46174</v>
      </c>
      <c r="E95" s="63">
        <v>133350</v>
      </c>
      <c r="F95" s="13">
        <v>94</v>
      </c>
      <c r="H95" s="62"/>
      <c r="I95" s="20"/>
    </row>
    <row r="96" spans="1:9" x14ac:dyDescent="0.4">
      <c r="A96" s="13" t="s">
        <v>2324</v>
      </c>
      <c r="B96" s="55" t="s">
        <v>2325</v>
      </c>
      <c r="C96" s="13" t="s">
        <v>50</v>
      </c>
      <c r="D96" s="59">
        <v>46204</v>
      </c>
      <c r="E96" s="63">
        <v>514350</v>
      </c>
      <c r="F96" s="54">
        <v>95</v>
      </c>
      <c r="H96" s="62"/>
      <c r="I96" s="20"/>
    </row>
    <row r="97" spans="1:9" x14ac:dyDescent="0.4">
      <c r="A97" s="13" t="s">
        <v>2324</v>
      </c>
      <c r="B97" s="55" t="s">
        <v>2325</v>
      </c>
      <c r="C97" s="13" t="s">
        <v>50</v>
      </c>
      <c r="D97" s="59">
        <v>46235</v>
      </c>
      <c r="E97" s="63">
        <v>495300</v>
      </c>
      <c r="F97" s="13">
        <v>96</v>
      </c>
      <c r="H97" s="62"/>
      <c r="I97" s="20"/>
    </row>
    <row r="98" spans="1:9" x14ac:dyDescent="0.4">
      <c r="A98" s="13" t="s">
        <v>2324</v>
      </c>
      <c r="B98" s="55" t="s">
        <v>2325</v>
      </c>
      <c r="C98" s="13" t="s">
        <v>50</v>
      </c>
      <c r="D98" s="59">
        <v>46266</v>
      </c>
      <c r="E98" s="63">
        <v>495300</v>
      </c>
      <c r="F98" s="54">
        <v>97</v>
      </c>
      <c r="H98" s="62"/>
      <c r="I98" s="20"/>
    </row>
    <row r="99" spans="1:9" x14ac:dyDescent="0.4">
      <c r="A99" s="13" t="s">
        <v>2324</v>
      </c>
      <c r="B99" s="55" t="s">
        <v>2325</v>
      </c>
      <c r="C99" s="13" t="s">
        <v>50</v>
      </c>
      <c r="D99" s="59">
        <v>46296</v>
      </c>
      <c r="E99" s="63">
        <v>476250</v>
      </c>
      <c r="F99" s="13">
        <v>98</v>
      </c>
      <c r="H99" s="62"/>
      <c r="I99" s="20"/>
    </row>
    <row r="100" spans="1:9" x14ac:dyDescent="0.4">
      <c r="A100" s="13" t="s">
        <v>2324</v>
      </c>
      <c r="B100" s="55" t="s">
        <v>2325</v>
      </c>
      <c r="C100" s="13" t="s">
        <v>50</v>
      </c>
      <c r="D100" s="59">
        <v>46327</v>
      </c>
      <c r="E100" s="63">
        <v>381000</v>
      </c>
      <c r="F100" s="54">
        <v>99</v>
      </c>
      <c r="H100" s="62"/>
      <c r="I100" s="20"/>
    </row>
    <row r="101" spans="1:9" x14ac:dyDescent="0.4">
      <c r="A101" s="13" t="s">
        <v>2324</v>
      </c>
      <c r="B101" s="55" t="s">
        <v>2325</v>
      </c>
      <c r="C101" s="13" t="s">
        <v>50</v>
      </c>
      <c r="D101" s="59">
        <v>46357</v>
      </c>
      <c r="E101" s="63">
        <v>381000</v>
      </c>
      <c r="F101" s="13">
        <v>100</v>
      </c>
      <c r="H101" s="62"/>
      <c r="I101" s="20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46388</v>
      </c>
      <c r="E102" s="63">
        <v>0</v>
      </c>
      <c r="F102" s="54">
        <v>101</v>
      </c>
      <c r="H102" s="62"/>
      <c r="I102" s="20"/>
    </row>
    <row r="103" spans="1:9" x14ac:dyDescent="0.4">
      <c r="A103" s="13" t="s">
        <v>2324</v>
      </c>
      <c r="B103" s="55" t="s">
        <v>2325</v>
      </c>
      <c r="C103" s="13" t="s">
        <v>50</v>
      </c>
      <c r="D103" s="59">
        <v>46419</v>
      </c>
      <c r="E103" s="63">
        <v>0</v>
      </c>
      <c r="F103" s="13">
        <v>102</v>
      </c>
      <c r="H103" s="62"/>
      <c r="I103" s="20"/>
    </row>
    <row r="104" spans="1:9" x14ac:dyDescent="0.4">
      <c r="A104" s="13" t="s">
        <v>2324</v>
      </c>
      <c r="B104" s="55" t="s">
        <v>2325</v>
      </c>
      <c r="C104" s="13" t="s">
        <v>50</v>
      </c>
      <c r="D104" s="59">
        <v>46447</v>
      </c>
      <c r="E104" s="63">
        <v>0</v>
      </c>
      <c r="F104" s="54">
        <v>103</v>
      </c>
      <c r="H104" s="62"/>
      <c r="I104" s="20"/>
    </row>
    <row r="105" spans="1:9" x14ac:dyDescent="0.4">
      <c r="A105" s="13" t="s">
        <v>2324</v>
      </c>
      <c r="B105" s="55" t="s">
        <v>2325</v>
      </c>
      <c r="C105" s="13" t="s">
        <v>50</v>
      </c>
      <c r="D105" s="59">
        <v>46478</v>
      </c>
      <c r="E105" s="63">
        <v>0</v>
      </c>
      <c r="F105" s="13">
        <v>104</v>
      </c>
      <c r="H105" s="62"/>
      <c r="I105" s="20"/>
    </row>
    <row r="106" spans="1:9" x14ac:dyDescent="0.4">
      <c r="A106" s="13" t="s">
        <v>2324</v>
      </c>
      <c r="B106" s="55" t="s">
        <v>2325</v>
      </c>
      <c r="C106" s="13" t="s">
        <v>50</v>
      </c>
      <c r="D106" s="59">
        <v>46508</v>
      </c>
      <c r="E106" s="63">
        <v>0</v>
      </c>
      <c r="F106" s="54">
        <v>105</v>
      </c>
      <c r="H106" s="62"/>
      <c r="I106" s="20"/>
    </row>
    <row r="107" spans="1:9" x14ac:dyDescent="0.4">
      <c r="A107" s="13" t="s">
        <v>2324</v>
      </c>
      <c r="B107" s="55" t="s">
        <v>2325</v>
      </c>
      <c r="C107" s="13" t="s">
        <v>50</v>
      </c>
      <c r="D107" s="59">
        <v>46539</v>
      </c>
      <c r="E107" s="63">
        <v>0</v>
      </c>
      <c r="F107" s="13">
        <v>106</v>
      </c>
      <c r="H107" s="62"/>
      <c r="I107" s="20"/>
    </row>
    <row r="108" spans="1:9" x14ac:dyDescent="0.4">
      <c r="A108" s="13" t="s">
        <v>2324</v>
      </c>
      <c r="B108" s="55" t="s">
        <v>2325</v>
      </c>
      <c r="C108" s="13" t="s">
        <v>50</v>
      </c>
      <c r="D108" s="59">
        <v>46569</v>
      </c>
      <c r="E108" s="63">
        <v>0</v>
      </c>
      <c r="F108" s="54">
        <v>107</v>
      </c>
      <c r="H108" s="62"/>
      <c r="I108" s="20"/>
    </row>
    <row r="109" spans="1:9" x14ac:dyDescent="0.4">
      <c r="A109" s="13" t="s">
        <v>2324</v>
      </c>
      <c r="B109" s="55" t="s">
        <v>2325</v>
      </c>
      <c r="C109" s="13" t="s">
        <v>50</v>
      </c>
      <c r="D109" s="59">
        <v>46600</v>
      </c>
      <c r="E109" s="63">
        <v>0</v>
      </c>
      <c r="F109" s="13">
        <v>108</v>
      </c>
      <c r="H109" s="62"/>
      <c r="I109" s="20"/>
    </row>
    <row r="110" spans="1:9" x14ac:dyDescent="0.4">
      <c r="A110" s="13" t="s">
        <v>2324</v>
      </c>
      <c r="B110" s="55" t="s">
        <v>2325</v>
      </c>
      <c r="C110" s="13" t="s">
        <v>50</v>
      </c>
      <c r="D110" s="59">
        <v>46631</v>
      </c>
      <c r="E110" s="63">
        <v>0</v>
      </c>
      <c r="F110" s="54">
        <v>109</v>
      </c>
      <c r="H110" s="62"/>
      <c r="I110" s="20"/>
    </row>
    <row r="111" spans="1:9" x14ac:dyDescent="0.4">
      <c r="A111" s="13" t="s">
        <v>2324</v>
      </c>
      <c r="B111" s="55" t="s">
        <v>2325</v>
      </c>
      <c r="C111" s="13" t="s">
        <v>50</v>
      </c>
      <c r="D111" s="59">
        <v>46661</v>
      </c>
      <c r="E111" s="63">
        <v>0</v>
      </c>
      <c r="F111" s="13">
        <v>110</v>
      </c>
      <c r="H111" s="62"/>
      <c r="I111" s="20"/>
    </row>
    <row r="112" spans="1:9" x14ac:dyDescent="0.4">
      <c r="A112" s="13" t="s">
        <v>2324</v>
      </c>
      <c r="B112" s="55" t="s">
        <v>2325</v>
      </c>
      <c r="C112" s="13" t="s">
        <v>5133</v>
      </c>
      <c r="D112" s="59">
        <v>46023</v>
      </c>
      <c r="E112" s="63">
        <v>0</v>
      </c>
      <c r="F112" s="54">
        <v>111</v>
      </c>
      <c r="H112" s="62"/>
      <c r="I112" s="20"/>
    </row>
    <row r="113" spans="1:9" x14ac:dyDescent="0.4">
      <c r="A113" s="13" t="s">
        <v>2324</v>
      </c>
      <c r="B113" s="55" t="s">
        <v>2325</v>
      </c>
      <c r="C113" s="13" t="s">
        <v>5133</v>
      </c>
      <c r="D113" s="59">
        <v>46054</v>
      </c>
      <c r="E113" s="63">
        <v>0</v>
      </c>
      <c r="F113" s="13">
        <v>112</v>
      </c>
      <c r="H113" s="62"/>
      <c r="I113" s="20"/>
    </row>
    <row r="114" spans="1:9" x14ac:dyDescent="0.4">
      <c r="A114" s="13" t="s">
        <v>2324</v>
      </c>
      <c r="B114" s="55" t="s">
        <v>2325</v>
      </c>
      <c r="C114" s="13" t="s">
        <v>5133</v>
      </c>
      <c r="D114" s="59">
        <v>46082</v>
      </c>
      <c r="E114" s="63">
        <v>0</v>
      </c>
      <c r="F114" s="54">
        <v>113</v>
      </c>
      <c r="H114" s="62"/>
      <c r="I114" s="20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46113</v>
      </c>
      <c r="E115" s="63">
        <v>0</v>
      </c>
      <c r="F115" s="13">
        <v>114</v>
      </c>
      <c r="H115" s="62"/>
      <c r="I115" s="20"/>
    </row>
    <row r="116" spans="1:9" x14ac:dyDescent="0.4">
      <c r="A116" s="13" t="s">
        <v>2324</v>
      </c>
      <c r="B116" s="55" t="s">
        <v>2325</v>
      </c>
      <c r="C116" s="13" t="s">
        <v>5133</v>
      </c>
      <c r="D116" s="59">
        <v>46143</v>
      </c>
      <c r="E116" s="63">
        <v>0</v>
      </c>
      <c r="F116" s="54">
        <v>115</v>
      </c>
      <c r="H116" s="62"/>
      <c r="I116" s="20"/>
    </row>
    <row r="117" spans="1:9" x14ac:dyDescent="0.4">
      <c r="A117" s="13" t="s">
        <v>2324</v>
      </c>
      <c r="B117" s="55" t="s">
        <v>2325</v>
      </c>
      <c r="C117" s="13" t="s">
        <v>5133</v>
      </c>
      <c r="D117" s="59">
        <v>46174</v>
      </c>
      <c r="E117" s="63">
        <v>0</v>
      </c>
      <c r="F117" s="13">
        <v>116</v>
      </c>
      <c r="H117" s="62"/>
      <c r="I117" s="20"/>
    </row>
    <row r="118" spans="1:9" x14ac:dyDescent="0.4">
      <c r="A118" s="13" t="s">
        <v>2324</v>
      </c>
      <c r="B118" s="55" t="s">
        <v>2325</v>
      </c>
      <c r="C118" s="13" t="s">
        <v>5133</v>
      </c>
      <c r="D118" s="59">
        <v>46204</v>
      </c>
      <c r="E118" s="63">
        <v>0</v>
      </c>
      <c r="F118" s="54">
        <v>117</v>
      </c>
      <c r="H118" s="62"/>
      <c r="I118" s="20"/>
    </row>
    <row r="119" spans="1:9" x14ac:dyDescent="0.4">
      <c r="A119" s="13" t="s">
        <v>2324</v>
      </c>
      <c r="B119" s="55" t="s">
        <v>2325</v>
      </c>
      <c r="C119" s="13" t="s">
        <v>5133</v>
      </c>
      <c r="D119" s="59">
        <v>46235</v>
      </c>
      <c r="E119" s="63">
        <v>0</v>
      </c>
      <c r="F119" s="13">
        <v>118</v>
      </c>
      <c r="H119" s="62"/>
      <c r="I119" s="20"/>
    </row>
    <row r="120" spans="1:9" x14ac:dyDescent="0.4">
      <c r="A120" s="13" t="s">
        <v>2324</v>
      </c>
      <c r="B120" s="55" t="s">
        <v>2325</v>
      </c>
      <c r="C120" s="13" t="s">
        <v>5133</v>
      </c>
      <c r="D120" s="59">
        <v>46266</v>
      </c>
      <c r="E120" s="63">
        <v>28305</v>
      </c>
      <c r="F120" s="54">
        <v>119</v>
      </c>
      <c r="H120" s="62"/>
      <c r="I120" s="20"/>
    </row>
    <row r="121" spans="1:9" x14ac:dyDescent="0.4">
      <c r="A121" s="13" t="s">
        <v>2324</v>
      </c>
      <c r="B121" s="55" t="s">
        <v>2325</v>
      </c>
      <c r="C121" s="13" t="s">
        <v>5133</v>
      </c>
      <c r="D121" s="59">
        <v>46296</v>
      </c>
      <c r="E121" s="63">
        <v>28305</v>
      </c>
      <c r="F121" s="13">
        <v>120</v>
      </c>
      <c r="H121" s="62"/>
      <c r="I121" s="20"/>
    </row>
    <row r="122" spans="1:9" x14ac:dyDescent="0.4">
      <c r="A122" s="13" t="s">
        <v>2324</v>
      </c>
      <c r="B122" s="55" t="s">
        <v>2325</v>
      </c>
      <c r="C122" s="13" t="s">
        <v>5133</v>
      </c>
      <c r="D122" s="59">
        <v>46327</v>
      </c>
      <c r="E122" s="63">
        <v>37740</v>
      </c>
      <c r="F122" s="54">
        <v>121</v>
      </c>
      <c r="H122" s="62"/>
      <c r="I122" s="20"/>
    </row>
    <row r="123" spans="1:9" x14ac:dyDescent="0.4">
      <c r="A123" s="13" t="s">
        <v>2324</v>
      </c>
      <c r="B123" s="55" t="s">
        <v>2325</v>
      </c>
      <c r="C123" s="13" t="s">
        <v>5133</v>
      </c>
      <c r="D123" s="59">
        <v>46357</v>
      </c>
      <c r="E123" s="63">
        <v>37740</v>
      </c>
      <c r="F123" s="13">
        <v>122</v>
      </c>
      <c r="H123" s="62"/>
      <c r="I123" s="20"/>
    </row>
    <row r="124" spans="1:9" x14ac:dyDescent="0.4">
      <c r="A124" s="13" t="s">
        <v>2324</v>
      </c>
      <c r="B124" s="55" t="s">
        <v>2325</v>
      </c>
      <c r="C124" s="13" t="s">
        <v>5133</v>
      </c>
      <c r="D124" s="59">
        <v>46388</v>
      </c>
      <c r="E124" s="63">
        <v>37740</v>
      </c>
      <c r="F124" s="54">
        <v>123</v>
      </c>
      <c r="H124" s="62"/>
      <c r="I124" s="20"/>
    </row>
    <row r="125" spans="1:9" x14ac:dyDescent="0.4">
      <c r="A125" s="13" t="s">
        <v>2324</v>
      </c>
      <c r="B125" s="55" t="s">
        <v>2325</v>
      </c>
      <c r="C125" s="13" t="s">
        <v>5133</v>
      </c>
      <c r="D125" s="59">
        <v>46419</v>
      </c>
      <c r="E125" s="63">
        <v>37740</v>
      </c>
      <c r="F125" s="13">
        <v>124</v>
      </c>
      <c r="H125" s="62"/>
      <c r="I125" s="20"/>
    </row>
    <row r="126" spans="1:9" x14ac:dyDescent="0.4">
      <c r="A126" s="13" t="s">
        <v>2324</v>
      </c>
      <c r="B126" s="55" t="s">
        <v>2325</v>
      </c>
      <c r="C126" s="13" t="s">
        <v>5133</v>
      </c>
      <c r="D126" s="59">
        <v>46447</v>
      </c>
      <c r="E126" s="63">
        <v>37740</v>
      </c>
      <c r="F126" s="54">
        <v>125</v>
      </c>
      <c r="H126" s="62"/>
      <c r="I126" s="20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46478</v>
      </c>
      <c r="E127" s="63">
        <v>37740</v>
      </c>
      <c r="F127" s="13">
        <v>126</v>
      </c>
      <c r="H127" s="62"/>
      <c r="I127" s="20"/>
    </row>
    <row r="128" spans="1:9" x14ac:dyDescent="0.4">
      <c r="A128" s="13" t="s">
        <v>2324</v>
      </c>
      <c r="B128" s="55" t="s">
        <v>2325</v>
      </c>
      <c r="C128" s="13" t="s">
        <v>5133</v>
      </c>
      <c r="D128" s="59">
        <v>46508</v>
      </c>
      <c r="E128" s="63">
        <v>37740</v>
      </c>
      <c r="F128" s="54">
        <v>127</v>
      </c>
      <c r="H128" s="62"/>
      <c r="I128" s="20"/>
    </row>
    <row r="129" spans="1:9" x14ac:dyDescent="0.4">
      <c r="A129" s="13" t="s">
        <v>2324</v>
      </c>
      <c r="B129" s="55" t="s">
        <v>2325</v>
      </c>
      <c r="C129" s="13" t="s">
        <v>5133</v>
      </c>
      <c r="D129" s="59">
        <v>46539</v>
      </c>
      <c r="E129" s="63">
        <v>37740</v>
      </c>
      <c r="F129" s="13">
        <v>128</v>
      </c>
      <c r="H129" s="62"/>
      <c r="I129" s="20"/>
    </row>
    <row r="130" spans="1:9" x14ac:dyDescent="0.4">
      <c r="A130" s="13" t="s">
        <v>2324</v>
      </c>
      <c r="B130" s="55" t="s">
        <v>2325</v>
      </c>
      <c r="C130" s="13" t="s">
        <v>5133</v>
      </c>
      <c r="D130" s="59">
        <v>46569</v>
      </c>
      <c r="E130" s="63">
        <v>37740</v>
      </c>
      <c r="F130" s="54">
        <v>129</v>
      </c>
      <c r="H130" s="62"/>
      <c r="I130" s="20"/>
    </row>
    <row r="131" spans="1:9" x14ac:dyDescent="0.4">
      <c r="A131" s="13" t="s">
        <v>2324</v>
      </c>
      <c r="B131" s="55" t="s">
        <v>2325</v>
      </c>
      <c r="C131" s="13" t="s">
        <v>5133</v>
      </c>
      <c r="D131" s="59">
        <v>46600</v>
      </c>
      <c r="E131" s="63">
        <v>37740</v>
      </c>
      <c r="F131" s="13">
        <v>130</v>
      </c>
      <c r="H131" s="62"/>
      <c r="I131" s="20"/>
    </row>
    <row r="132" spans="1:9" x14ac:dyDescent="0.4">
      <c r="A132" s="13" t="s">
        <v>2324</v>
      </c>
      <c r="B132" s="55" t="s">
        <v>2325</v>
      </c>
      <c r="C132" s="13" t="s">
        <v>5133</v>
      </c>
      <c r="D132" s="59">
        <v>46631</v>
      </c>
      <c r="E132" s="63">
        <v>9435</v>
      </c>
      <c r="F132" s="54">
        <v>131</v>
      </c>
      <c r="H132" s="62"/>
      <c r="I132" s="20"/>
    </row>
    <row r="133" spans="1:9" x14ac:dyDescent="0.4">
      <c r="A133" s="13" t="s">
        <v>2324</v>
      </c>
      <c r="B133" s="55" t="s">
        <v>2325</v>
      </c>
      <c r="C133" s="13" t="s">
        <v>5133</v>
      </c>
      <c r="D133" s="59">
        <v>46661</v>
      </c>
      <c r="E133" s="63">
        <v>9435</v>
      </c>
      <c r="F133" s="13">
        <v>132</v>
      </c>
      <c r="H133" s="62"/>
      <c r="I133" s="20"/>
    </row>
    <row r="134" spans="1:9" x14ac:dyDescent="0.4">
      <c r="A134" s="13" t="s">
        <v>2324</v>
      </c>
      <c r="B134" s="13" t="s">
        <v>2345</v>
      </c>
      <c r="C134" s="10" t="s">
        <v>25</v>
      </c>
      <c r="D134" s="59">
        <v>46023</v>
      </c>
      <c r="E134" s="63">
        <v>0</v>
      </c>
      <c r="F134" s="54">
        <v>133</v>
      </c>
      <c r="H134" s="61"/>
    </row>
    <row r="135" spans="1:9" x14ac:dyDescent="0.4">
      <c r="A135" s="13" t="s">
        <v>2324</v>
      </c>
      <c r="B135" s="13" t="s">
        <v>2345</v>
      </c>
      <c r="C135" s="10" t="s">
        <v>25</v>
      </c>
      <c r="D135" s="59">
        <v>46054</v>
      </c>
      <c r="E135" s="6">
        <v>151470</v>
      </c>
      <c r="F135" s="13">
        <v>134</v>
      </c>
      <c r="H135" s="61"/>
    </row>
    <row r="136" spans="1:9" x14ac:dyDescent="0.4">
      <c r="A136" s="13" t="s">
        <v>2324</v>
      </c>
      <c r="B136" s="13" t="s">
        <v>2345</v>
      </c>
      <c r="C136" s="10" t="s">
        <v>25</v>
      </c>
      <c r="D136" s="59">
        <v>46082</v>
      </c>
      <c r="E136" s="6">
        <v>169290</v>
      </c>
      <c r="F136" s="54">
        <v>135</v>
      </c>
      <c r="H136" s="61"/>
    </row>
    <row r="137" spans="1:9" x14ac:dyDescent="0.4">
      <c r="A137" s="13" t="s">
        <v>2324</v>
      </c>
      <c r="B137" s="13" t="s">
        <v>2345</v>
      </c>
      <c r="C137" s="10" t="s">
        <v>25</v>
      </c>
      <c r="D137" s="59">
        <v>46113</v>
      </c>
      <c r="E137" s="6">
        <v>953370</v>
      </c>
      <c r="F137" s="13">
        <v>136</v>
      </c>
      <c r="H137" s="61"/>
    </row>
    <row r="138" spans="1:9" x14ac:dyDescent="0.4">
      <c r="A138" s="13" t="s">
        <v>2324</v>
      </c>
      <c r="B138" s="13" t="s">
        <v>2345</v>
      </c>
      <c r="C138" s="10" t="s">
        <v>25</v>
      </c>
      <c r="D138" s="59">
        <v>46143</v>
      </c>
      <c r="E138" s="6">
        <v>801900</v>
      </c>
      <c r="F138" s="54">
        <v>137</v>
      </c>
      <c r="H138" s="61"/>
    </row>
    <row r="139" spans="1:9" x14ac:dyDescent="0.4">
      <c r="A139" s="13" t="s">
        <v>2324</v>
      </c>
      <c r="B139" s="13" t="s">
        <v>2345</v>
      </c>
      <c r="C139" s="10" t="s">
        <v>25</v>
      </c>
      <c r="D139" s="59">
        <v>46174</v>
      </c>
      <c r="E139" s="6">
        <v>784080</v>
      </c>
      <c r="F139" s="13">
        <v>138</v>
      </c>
      <c r="H139" s="61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46204</v>
      </c>
      <c r="E140" s="6">
        <v>0</v>
      </c>
      <c r="F140" s="54">
        <v>139</v>
      </c>
      <c r="H140" s="61"/>
    </row>
    <row r="141" spans="1:9" x14ac:dyDescent="0.4">
      <c r="A141" s="13" t="s">
        <v>2324</v>
      </c>
      <c r="B141" s="13" t="s">
        <v>2345</v>
      </c>
      <c r="C141" s="10" t="s">
        <v>25</v>
      </c>
      <c r="D141" s="59">
        <v>46235</v>
      </c>
      <c r="E141" s="6">
        <v>0</v>
      </c>
      <c r="F141" s="13">
        <v>140</v>
      </c>
      <c r="H141" s="61"/>
    </row>
    <row r="142" spans="1:9" x14ac:dyDescent="0.4">
      <c r="A142" s="13" t="s">
        <v>2324</v>
      </c>
      <c r="B142" s="13" t="s">
        <v>2345</v>
      </c>
      <c r="C142" s="10" t="s">
        <v>25</v>
      </c>
      <c r="D142" s="59">
        <v>46266</v>
      </c>
      <c r="E142" s="6">
        <v>0</v>
      </c>
      <c r="F142" s="54">
        <v>141</v>
      </c>
      <c r="H142" s="61"/>
    </row>
    <row r="143" spans="1:9" x14ac:dyDescent="0.4">
      <c r="A143" s="13" t="s">
        <v>2324</v>
      </c>
      <c r="B143" s="13" t="s">
        <v>2345</v>
      </c>
      <c r="C143" s="10" t="s">
        <v>25</v>
      </c>
      <c r="D143" s="59">
        <v>46296</v>
      </c>
      <c r="E143" s="6">
        <v>0</v>
      </c>
      <c r="F143" s="13">
        <v>142</v>
      </c>
      <c r="H143" s="61"/>
    </row>
    <row r="144" spans="1:9" x14ac:dyDescent="0.4">
      <c r="A144" s="13" t="s">
        <v>2324</v>
      </c>
      <c r="B144" s="13" t="s">
        <v>2345</v>
      </c>
      <c r="C144" s="10" t="s">
        <v>25</v>
      </c>
      <c r="D144" s="59">
        <v>46327</v>
      </c>
      <c r="E144" s="6">
        <v>0</v>
      </c>
      <c r="F144" s="54">
        <v>143</v>
      </c>
      <c r="H144" s="61"/>
    </row>
    <row r="145" spans="1:8" x14ac:dyDescent="0.4">
      <c r="A145" s="13" t="s">
        <v>2324</v>
      </c>
      <c r="B145" s="13" t="s">
        <v>2345</v>
      </c>
      <c r="C145" s="10" t="s">
        <v>25</v>
      </c>
      <c r="D145" s="59">
        <v>46357</v>
      </c>
      <c r="E145" s="6">
        <v>0</v>
      </c>
      <c r="F145" s="13">
        <v>144</v>
      </c>
      <c r="H145" s="61"/>
    </row>
    <row r="146" spans="1:8" x14ac:dyDescent="0.4">
      <c r="A146" s="13" t="s">
        <v>2324</v>
      </c>
      <c r="B146" s="13" t="s">
        <v>2345</v>
      </c>
      <c r="C146" s="10" t="s">
        <v>25</v>
      </c>
      <c r="D146" s="59">
        <v>46388</v>
      </c>
      <c r="E146" s="6">
        <v>0</v>
      </c>
      <c r="F146" s="54">
        <v>145</v>
      </c>
      <c r="H146" s="61"/>
    </row>
    <row r="147" spans="1:8" x14ac:dyDescent="0.4">
      <c r="A147" s="13" t="s">
        <v>2324</v>
      </c>
      <c r="B147" s="13" t="s">
        <v>2345</v>
      </c>
      <c r="C147" s="10" t="s">
        <v>25</v>
      </c>
      <c r="D147" s="59">
        <v>46419</v>
      </c>
      <c r="E147" s="6">
        <v>0</v>
      </c>
      <c r="F147" s="13">
        <v>146</v>
      </c>
      <c r="H147" s="61"/>
    </row>
    <row r="148" spans="1:8" x14ac:dyDescent="0.4">
      <c r="A148" s="13" t="s">
        <v>2324</v>
      </c>
      <c r="B148" s="13" t="s">
        <v>2345</v>
      </c>
      <c r="C148" s="10" t="s">
        <v>25</v>
      </c>
      <c r="D148" s="59">
        <v>46447</v>
      </c>
      <c r="E148" s="6">
        <v>0</v>
      </c>
      <c r="F148" s="54">
        <v>147</v>
      </c>
      <c r="H148" s="61"/>
    </row>
    <row r="149" spans="1:8" x14ac:dyDescent="0.4">
      <c r="A149" s="13" t="s">
        <v>2324</v>
      </c>
      <c r="B149" s="13" t="s">
        <v>2345</v>
      </c>
      <c r="C149" s="10" t="s">
        <v>25</v>
      </c>
      <c r="D149" s="59">
        <v>46478</v>
      </c>
      <c r="E149" s="6">
        <v>0</v>
      </c>
      <c r="F149" s="13">
        <v>148</v>
      </c>
      <c r="H149" s="61"/>
    </row>
    <row r="150" spans="1:8" x14ac:dyDescent="0.4">
      <c r="A150" s="13" t="s">
        <v>2324</v>
      </c>
      <c r="B150" s="13" t="s">
        <v>2345</v>
      </c>
      <c r="C150" s="10" t="s">
        <v>25</v>
      </c>
      <c r="D150" s="59">
        <v>46508</v>
      </c>
      <c r="E150" s="6">
        <v>0</v>
      </c>
      <c r="F150" s="54">
        <v>149</v>
      </c>
      <c r="H150" s="61"/>
    </row>
    <row r="151" spans="1:8" x14ac:dyDescent="0.4">
      <c r="A151" s="13" t="s">
        <v>2324</v>
      </c>
      <c r="B151" s="13" t="s">
        <v>2345</v>
      </c>
      <c r="C151" s="10" t="s">
        <v>25</v>
      </c>
      <c r="D151" s="59">
        <v>46539</v>
      </c>
      <c r="E151" s="6">
        <v>0</v>
      </c>
      <c r="F151" s="13">
        <v>150</v>
      </c>
      <c r="H151" s="61"/>
    </row>
    <row r="152" spans="1:8" x14ac:dyDescent="0.4">
      <c r="A152" s="13" t="s">
        <v>2324</v>
      </c>
      <c r="B152" s="13" t="s">
        <v>2345</v>
      </c>
      <c r="C152" s="10" t="s">
        <v>25</v>
      </c>
      <c r="D152" s="59">
        <v>46569</v>
      </c>
      <c r="E152" s="6">
        <v>0</v>
      </c>
      <c r="F152" s="54">
        <v>151</v>
      </c>
      <c r="H152" s="61"/>
    </row>
    <row r="153" spans="1:8" x14ac:dyDescent="0.4">
      <c r="A153" s="13" t="s">
        <v>2324</v>
      </c>
      <c r="B153" s="13" t="s">
        <v>2345</v>
      </c>
      <c r="C153" s="10" t="s">
        <v>25</v>
      </c>
      <c r="D153" s="59">
        <v>46600</v>
      </c>
      <c r="E153" s="6">
        <v>0</v>
      </c>
      <c r="F153" s="13">
        <v>152</v>
      </c>
      <c r="H153" s="61"/>
    </row>
    <row r="154" spans="1:8" x14ac:dyDescent="0.4">
      <c r="A154" s="13" t="s">
        <v>2324</v>
      </c>
      <c r="B154" s="13" t="s">
        <v>2345</v>
      </c>
      <c r="C154" s="10" t="s">
        <v>25</v>
      </c>
      <c r="D154" s="59">
        <v>46631</v>
      </c>
      <c r="E154" s="6">
        <v>0</v>
      </c>
      <c r="F154" s="54">
        <v>153</v>
      </c>
      <c r="H154" s="61"/>
    </row>
    <row r="155" spans="1:8" x14ac:dyDescent="0.4">
      <c r="A155" s="13" t="s">
        <v>2324</v>
      </c>
      <c r="B155" s="13" t="s">
        <v>2345</v>
      </c>
      <c r="C155" s="10" t="s">
        <v>25</v>
      </c>
      <c r="D155" s="59">
        <v>46661</v>
      </c>
      <c r="E155" s="6">
        <v>0</v>
      </c>
      <c r="F155" s="13">
        <v>154</v>
      </c>
      <c r="H155" s="61"/>
    </row>
    <row r="156" spans="1:8" x14ac:dyDescent="0.4">
      <c r="A156" s="13" t="s">
        <v>2324</v>
      </c>
      <c r="B156" s="13" t="s">
        <v>2345</v>
      </c>
      <c r="C156" s="13" t="s">
        <v>44</v>
      </c>
      <c r="D156" s="59">
        <v>46023</v>
      </c>
      <c r="E156" s="6">
        <v>0</v>
      </c>
      <c r="F156" s="54">
        <v>155</v>
      </c>
      <c r="H156" s="61"/>
    </row>
    <row r="157" spans="1:8" x14ac:dyDescent="0.4">
      <c r="A157" s="13" t="s">
        <v>2324</v>
      </c>
      <c r="B157" s="13" t="s">
        <v>2345</v>
      </c>
      <c r="C157" s="13" t="s">
        <v>44</v>
      </c>
      <c r="D157" s="59">
        <v>46054</v>
      </c>
      <c r="E157" s="6">
        <v>42862.5</v>
      </c>
      <c r="F157" s="13">
        <v>156</v>
      </c>
      <c r="H157" s="61"/>
    </row>
    <row r="158" spans="1:8" x14ac:dyDescent="0.4">
      <c r="A158" s="13" t="s">
        <v>2324</v>
      </c>
      <c r="B158" s="13" t="s">
        <v>2345</v>
      </c>
      <c r="C158" s="13" t="s">
        <v>44</v>
      </c>
      <c r="D158" s="59">
        <v>46082</v>
      </c>
      <c r="E158" s="6">
        <v>94297.5</v>
      </c>
      <c r="F158" s="54">
        <v>157</v>
      </c>
      <c r="H158" s="61"/>
    </row>
    <row r="159" spans="1:8" x14ac:dyDescent="0.4">
      <c r="A159" s="13" t="s">
        <v>2324</v>
      </c>
      <c r="B159" s="13" t="s">
        <v>2345</v>
      </c>
      <c r="C159" s="13" t="s">
        <v>44</v>
      </c>
      <c r="D159" s="59">
        <v>46113</v>
      </c>
      <c r="E159" s="6">
        <v>180022.5</v>
      </c>
      <c r="F159" s="13">
        <v>158</v>
      </c>
      <c r="H159" s="61"/>
    </row>
    <row r="160" spans="1:8" x14ac:dyDescent="0.4">
      <c r="A160" s="13" t="s">
        <v>2324</v>
      </c>
      <c r="B160" s="13" t="s">
        <v>2345</v>
      </c>
      <c r="C160" s="13" t="s">
        <v>44</v>
      </c>
      <c r="D160" s="59">
        <v>46143</v>
      </c>
      <c r="E160" s="6">
        <v>1011555</v>
      </c>
      <c r="F160" s="54">
        <v>159</v>
      </c>
      <c r="H160" s="61"/>
    </row>
    <row r="161" spans="1:8" x14ac:dyDescent="0.4">
      <c r="A161" s="13" t="s">
        <v>2324</v>
      </c>
      <c r="B161" s="13" t="s">
        <v>2345</v>
      </c>
      <c r="C161" s="13" t="s">
        <v>44</v>
      </c>
      <c r="D161" s="59">
        <v>46174</v>
      </c>
      <c r="E161" s="6">
        <v>1080135</v>
      </c>
      <c r="F161" s="13">
        <v>160</v>
      </c>
      <c r="H161" s="61"/>
    </row>
    <row r="162" spans="1:8" x14ac:dyDescent="0.4">
      <c r="A162" s="13" t="s">
        <v>2324</v>
      </c>
      <c r="B162" s="13" t="s">
        <v>2345</v>
      </c>
      <c r="C162" s="13" t="s">
        <v>44</v>
      </c>
      <c r="D162" s="59">
        <v>46204</v>
      </c>
      <c r="E162" s="6">
        <v>4526280</v>
      </c>
      <c r="F162" s="54">
        <v>161</v>
      </c>
      <c r="H162" s="61"/>
    </row>
    <row r="163" spans="1:8" x14ac:dyDescent="0.4">
      <c r="A163" s="13" t="s">
        <v>2324</v>
      </c>
      <c r="B163" s="13" t="s">
        <v>2345</v>
      </c>
      <c r="C163" s="13" t="s">
        <v>44</v>
      </c>
      <c r="D163" s="59">
        <v>46235</v>
      </c>
      <c r="E163" s="6">
        <v>4483417.5</v>
      </c>
      <c r="F163" s="13">
        <v>162</v>
      </c>
      <c r="H163" s="61"/>
    </row>
    <row r="164" spans="1:8" x14ac:dyDescent="0.4">
      <c r="A164" s="13" t="s">
        <v>2324</v>
      </c>
      <c r="B164" s="13" t="s">
        <v>2345</v>
      </c>
      <c r="C164" s="13" t="s">
        <v>44</v>
      </c>
      <c r="D164" s="59">
        <v>46266</v>
      </c>
      <c r="E164" s="6">
        <v>4431982.5</v>
      </c>
      <c r="F164" s="54">
        <v>163</v>
      </c>
      <c r="H164" s="61"/>
    </row>
    <row r="165" spans="1:8" x14ac:dyDescent="0.4">
      <c r="A165" s="13" t="s">
        <v>2324</v>
      </c>
      <c r="B165" s="13" t="s">
        <v>2345</v>
      </c>
      <c r="C165" s="13" t="s">
        <v>44</v>
      </c>
      <c r="D165" s="59">
        <v>46296</v>
      </c>
      <c r="E165" s="6">
        <v>4346257.5</v>
      </c>
      <c r="F165" s="13">
        <v>164</v>
      </c>
      <c r="H165" s="61"/>
    </row>
    <row r="166" spans="1:8" x14ac:dyDescent="0.4">
      <c r="A166" s="13" t="s">
        <v>2324</v>
      </c>
      <c r="B166" s="13" t="s">
        <v>2345</v>
      </c>
      <c r="C166" s="13" t="s">
        <v>44</v>
      </c>
      <c r="D166" s="59">
        <v>46327</v>
      </c>
      <c r="E166" s="6">
        <v>3514725</v>
      </c>
      <c r="F166" s="54">
        <v>165</v>
      </c>
      <c r="H166" s="61"/>
    </row>
    <row r="167" spans="1:8" x14ac:dyDescent="0.4">
      <c r="A167" s="13" t="s">
        <v>2324</v>
      </c>
      <c r="B167" s="13" t="s">
        <v>2345</v>
      </c>
      <c r="C167" s="13" t="s">
        <v>44</v>
      </c>
      <c r="D167" s="59">
        <v>46357</v>
      </c>
      <c r="E167" s="6">
        <v>3446145</v>
      </c>
      <c r="F167" s="13">
        <v>166</v>
      </c>
      <c r="H167" s="61"/>
    </row>
    <row r="168" spans="1:8" x14ac:dyDescent="0.4">
      <c r="A168" s="13" t="s">
        <v>2324</v>
      </c>
      <c r="B168" s="13" t="s">
        <v>2345</v>
      </c>
      <c r="C168" s="13" t="s">
        <v>44</v>
      </c>
      <c r="D168" s="59">
        <v>46388</v>
      </c>
      <c r="E168" s="6">
        <v>0</v>
      </c>
      <c r="F168" s="54">
        <v>167</v>
      </c>
      <c r="H168" s="61"/>
    </row>
    <row r="169" spans="1:8" x14ac:dyDescent="0.4">
      <c r="A169" s="13" t="s">
        <v>2324</v>
      </c>
      <c r="B169" s="13" t="s">
        <v>2345</v>
      </c>
      <c r="C169" s="13" t="s">
        <v>44</v>
      </c>
      <c r="D169" s="59">
        <v>46419</v>
      </c>
      <c r="E169" s="6">
        <v>0</v>
      </c>
      <c r="F169" s="13">
        <v>168</v>
      </c>
      <c r="H169" s="61"/>
    </row>
    <row r="170" spans="1:8" x14ac:dyDescent="0.4">
      <c r="A170" s="13" t="s">
        <v>2324</v>
      </c>
      <c r="B170" s="13" t="s">
        <v>2345</v>
      </c>
      <c r="C170" s="13" t="s">
        <v>44</v>
      </c>
      <c r="D170" s="59">
        <v>46447</v>
      </c>
      <c r="E170" s="6">
        <v>0</v>
      </c>
      <c r="F170" s="54">
        <v>169</v>
      </c>
      <c r="H170" s="61"/>
    </row>
    <row r="171" spans="1:8" x14ac:dyDescent="0.4">
      <c r="A171" s="13" t="s">
        <v>2324</v>
      </c>
      <c r="B171" s="13" t="s">
        <v>2345</v>
      </c>
      <c r="C171" s="13" t="s">
        <v>44</v>
      </c>
      <c r="D171" s="59">
        <v>46478</v>
      </c>
      <c r="E171" s="6">
        <v>0</v>
      </c>
      <c r="F171" s="13">
        <v>170</v>
      </c>
      <c r="H171" s="61"/>
    </row>
    <row r="172" spans="1:8" x14ac:dyDescent="0.4">
      <c r="A172" s="13" t="s">
        <v>2324</v>
      </c>
      <c r="B172" s="13" t="s">
        <v>2345</v>
      </c>
      <c r="C172" s="13" t="s">
        <v>44</v>
      </c>
      <c r="D172" s="59">
        <v>46508</v>
      </c>
      <c r="E172" s="6">
        <v>0</v>
      </c>
      <c r="F172" s="54">
        <v>171</v>
      </c>
      <c r="H172" s="61"/>
    </row>
    <row r="173" spans="1:8" x14ac:dyDescent="0.4">
      <c r="A173" s="13" t="s">
        <v>2324</v>
      </c>
      <c r="B173" s="13" t="s">
        <v>2345</v>
      </c>
      <c r="C173" s="13" t="s">
        <v>44</v>
      </c>
      <c r="D173" s="59">
        <v>46539</v>
      </c>
      <c r="E173" s="6">
        <v>0</v>
      </c>
      <c r="F173" s="13">
        <v>172</v>
      </c>
      <c r="H173" s="61"/>
    </row>
    <row r="174" spans="1:8" x14ac:dyDescent="0.4">
      <c r="A174" s="13" t="s">
        <v>2324</v>
      </c>
      <c r="B174" s="13" t="s">
        <v>2345</v>
      </c>
      <c r="C174" s="13" t="s">
        <v>44</v>
      </c>
      <c r="D174" s="59">
        <v>46569</v>
      </c>
      <c r="E174" s="6">
        <v>0</v>
      </c>
      <c r="F174" s="54">
        <v>173</v>
      </c>
      <c r="H174" s="61"/>
    </row>
    <row r="175" spans="1:8" x14ac:dyDescent="0.4">
      <c r="A175" s="13" t="s">
        <v>2324</v>
      </c>
      <c r="B175" s="13" t="s">
        <v>2345</v>
      </c>
      <c r="C175" s="13" t="s">
        <v>44</v>
      </c>
      <c r="D175" s="59">
        <v>46600</v>
      </c>
      <c r="E175" s="6">
        <v>0</v>
      </c>
      <c r="F175" s="13">
        <v>174</v>
      </c>
      <c r="H175" s="61"/>
    </row>
    <row r="176" spans="1:8" x14ac:dyDescent="0.4">
      <c r="A176" s="13" t="s">
        <v>2324</v>
      </c>
      <c r="B176" s="13" t="s">
        <v>2345</v>
      </c>
      <c r="C176" s="13" t="s">
        <v>44</v>
      </c>
      <c r="D176" s="59">
        <v>46631</v>
      </c>
      <c r="E176" s="6">
        <v>0</v>
      </c>
      <c r="F176" s="54">
        <v>175</v>
      </c>
      <c r="H176" s="61"/>
    </row>
    <row r="177" spans="1:8" x14ac:dyDescent="0.4">
      <c r="A177" s="13" t="s">
        <v>2324</v>
      </c>
      <c r="B177" s="13" t="s">
        <v>2345</v>
      </c>
      <c r="C177" s="13" t="s">
        <v>44</v>
      </c>
      <c r="D177" s="59">
        <v>46661</v>
      </c>
      <c r="E177" s="6">
        <v>0</v>
      </c>
      <c r="F177" s="13">
        <v>176</v>
      </c>
      <c r="H177" s="61"/>
    </row>
    <row r="178" spans="1:8" x14ac:dyDescent="0.4">
      <c r="A178" s="13" t="s">
        <v>2324</v>
      </c>
      <c r="B178" s="13" t="s">
        <v>2345</v>
      </c>
      <c r="C178" s="13" t="s">
        <v>1944</v>
      </c>
      <c r="D178" s="59">
        <v>46023</v>
      </c>
      <c r="E178" s="6">
        <v>0</v>
      </c>
      <c r="F178" s="54">
        <v>177</v>
      </c>
      <c r="H178" s="61"/>
    </row>
    <row r="179" spans="1:8" x14ac:dyDescent="0.4">
      <c r="A179" s="13" t="s">
        <v>2324</v>
      </c>
      <c r="B179" s="13" t="s">
        <v>2345</v>
      </c>
      <c r="C179" s="13" t="s">
        <v>1944</v>
      </c>
      <c r="D179" s="59">
        <v>46054</v>
      </c>
      <c r="E179" s="6">
        <v>0</v>
      </c>
      <c r="F179" s="13">
        <v>178</v>
      </c>
      <c r="H179" s="61"/>
    </row>
    <row r="180" spans="1:8" x14ac:dyDescent="0.4">
      <c r="A180" s="13" t="s">
        <v>2324</v>
      </c>
      <c r="B180" s="13" t="s">
        <v>2345</v>
      </c>
      <c r="C180" s="13" t="s">
        <v>1944</v>
      </c>
      <c r="D180" s="59">
        <v>46082</v>
      </c>
      <c r="E180" s="6">
        <v>42457.5</v>
      </c>
      <c r="F180" s="54">
        <v>179</v>
      </c>
      <c r="H180" s="61"/>
    </row>
    <row r="181" spans="1:8" x14ac:dyDescent="0.4">
      <c r="A181" s="13" t="s">
        <v>2324</v>
      </c>
      <c r="B181" s="13" t="s">
        <v>2345</v>
      </c>
      <c r="C181" s="13" t="s">
        <v>1944</v>
      </c>
      <c r="D181" s="59">
        <v>46113</v>
      </c>
      <c r="E181" s="6">
        <v>42457.5</v>
      </c>
      <c r="F181" s="13">
        <v>180</v>
      </c>
      <c r="H181" s="61"/>
    </row>
    <row r="182" spans="1:8" x14ac:dyDescent="0.4">
      <c r="A182" s="13" t="s">
        <v>2324</v>
      </c>
      <c r="B182" s="13" t="s">
        <v>2345</v>
      </c>
      <c r="C182" s="13" t="s">
        <v>1944</v>
      </c>
      <c r="D182" s="59">
        <v>46143</v>
      </c>
      <c r="E182" s="6">
        <v>67932</v>
      </c>
      <c r="F182" s="54">
        <v>181</v>
      </c>
      <c r="H182" s="61"/>
    </row>
    <row r="183" spans="1:8" x14ac:dyDescent="0.4">
      <c r="A183" s="13" t="s">
        <v>2324</v>
      </c>
      <c r="B183" s="13" t="s">
        <v>2345</v>
      </c>
      <c r="C183" s="13" t="s">
        <v>1944</v>
      </c>
      <c r="D183" s="59">
        <v>46174</v>
      </c>
      <c r="E183" s="6">
        <v>93406.5</v>
      </c>
      <c r="F183" s="13">
        <v>182</v>
      </c>
      <c r="H183" s="61"/>
    </row>
    <row r="184" spans="1:8" x14ac:dyDescent="0.4">
      <c r="A184" s="13" t="s">
        <v>2324</v>
      </c>
      <c r="B184" s="13" t="s">
        <v>2345</v>
      </c>
      <c r="C184" s="13" t="s">
        <v>1944</v>
      </c>
      <c r="D184" s="59">
        <v>46204</v>
      </c>
      <c r="E184" s="6">
        <v>101898</v>
      </c>
      <c r="F184" s="54">
        <v>183</v>
      </c>
      <c r="H184" s="61"/>
    </row>
    <row r="185" spans="1:8" x14ac:dyDescent="0.4">
      <c r="A185" s="13" t="s">
        <v>2324</v>
      </c>
      <c r="B185" s="13" t="s">
        <v>2345</v>
      </c>
      <c r="C185" s="13" t="s">
        <v>1944</v>
      </c>
      <c r="D185" s="59">
        <v>46235</v>
      </c>
      <c r="E185" s="6">
        <v>106143.75</v>
      </c>
      <c r="F185" s="13">
        <v>184</v>
      </c>
      <c r="H185" s="61"/>
    </row>
    <row r="186" spans="1:8" x14ac:dyDescent="0.4">
      <c r="A186" s="13" t="s">
        <v>2324</v>
      </c>
      <c r="B186" s="13" t="s">
        <v>2345</v>
      </c>
      <c r="C186" s="13" t="s">
        <v>1944</v>
      </c>
      <c r="D186" s="59">
        <v>46266</v>
      </c>
      <c r="E186" s="6">
        <v>174075.75</v>
      </c>
      <c r="F186" s="54">
        <v>185</v>
      </c>
      <c r="H186" s="61"/>
    </row>
    <row r="187" spans="1:8" x14ac:dyDescent="0.4">
      <c r="A187" s="13" t="s">
        <v>2324</v>
      </c>
      <c r="B187" s="13" t="s">
        <v>2345</v>
      </c>
      <c r="C187" s="13" t="s">
        <v>1944</v>
      </c>
      <c r="D187" s="59">
        <v>46296</v>
      </c>
      <c r="E187" s="6">
        <v>263236.5</v>
      </c>
      <c r="F187" s="13">
        <v>186</v>
      </c>
      <c r="H187" s="61"/>
    </row>
    <row r="188" spans="1:8" x14ac:dyDescent="0.4">
      <c r="A188" s="13" t="s">
        <v>2324</v>
      </c>
      <c r="B188" s="13" t="s">
        <v>2345</v>
      </c>
      <c r="C188" s="13" t="s">
        <v>1944</v>
      </c>
      <c r="D188" s="59">
        <v>46327</v>
      </c>
      <c r="E188" s="6">
        <v>263236.5</v>
      </c>
      <c r="F188" s="54">
        <v>187</v>
      </c>
      <c r="H188" s="61"/>
    </row>
    <row r="189" spans="1:8" x14ac:dyDescent="0.4">
      <c r="A189" s="13" t="s">
        <v>2324</v>
      </c>
      <c r="B189" s="13" t="s">
        <v>2345</v>
      </c>
      <c r="C189" s="13" t="s">
        <v>1944</v>
      </c>
      <c r="D189" s="59">
        <v>46357</v>
      </c>
      <c r="E189" s="6">
        <v>263236.5</v>
      </c>
      <c r="F189" s="13">
        <v>188</v>
      </c>
      <c r="H189" s="61"/>
    </row>
    <row r="190" spans="1:8" x14ac:dyDescent="0.4">
      <c r="A190" s="13" t="s">
        <v>2324</v>
      </c>
      <c r="B190" s="13" t="s">
        <v>2345</v>
      </c>
      <c r="C190" s="13" t="s">
        <v>1944</v>
      </c>
      <c r="D190" s="59">
        <v>46388</v>
      </c>
      <c r="E190" s="6">
        <v>263236.5</v>
      </c>
      <c r="F190" s="54">
        <v>189</v>
      </c>
      <c r="H190" s="61"/>
    </row>
    <row r="191" spans="1:8" x14ac:dyDescent="0.4">
      <c r="A191" s="13" t="s">
        <v>2324</v>
      </c>
      <c r="B191" s="13" t="s">
        <v>2345</v>
      </c>
      <c r="C191" s="13" t="s">
        <v>1944</v>
      </c>
      <c r="D191" s="59">
        <v>46419</v>
      </c>
      <c r="E191" s="6">
        <v>263236.5</v>
      </c>
      <c r="F191" s="13">
        <v>190</v>
      </c>
      <c r="H191" s="61"/>
    </row>
    <row r="192" spans="1:8" x14ac:dyDescent="0.4">
      <c r="A192" s="13" t="s">
        <v>2324</v>
      </c>
      <c r="B192" s="13" t="s">
        <v>2345</v>
      </c>
      <c r="C192" s="13" t="s">
        <v>1944</v>
      </c>
      <c r="D192" s="59">
        <v>46447</v>
      </c>
      <c r="E192" s="6">
        <v>220779</v>
      </c>
      <c r="F192" s="54">
        <v>191</v>
      </c>
      <c r="H192" s="61"/>
    </row>
    <row r="193" spans="1:8" x14ac:dyDescent="0.4">
      <c r="A193" s="13" t="s">
        <v>2324</v>
      </c>
      <c r="B193" s="13" t="s">
        <v>2345</v>
      </c>
      <c r="C193" s="13" t="s">
        <v>1944</v>
      </c>
      <c r="D193" s="59">
        <v>46478</v>
      </c>
      <c r="E193" s="6">
        <v>220779</v>
      </c>
      <c r="F193" s="13">
        <v>192</v>
      </c>
      <c r="H193" s="61"/>
    </row>
    <row r="194" spans="1:8" x14ac:dyDescent="0.4">
      <c r="A194" s="13" t="s">
        <v>2324</v>
      </c>
      <c r="B194" s="13" t="s">
        <v>2345</v>
      </c>
      <c r="C194" s="13" t="s">
        <v>1944</v>
      </c>
      <c r="D194" s="59">
        <v>46508</v>
      </c>
      <c r="E194" s="6">
        <v>195304.5</v>
      </c>
      <c r="F194" s="54">
        <v>193</v>
      </c>
      <c r="H194" s="61"/>
    </row>
    <row r="195" spans="1:8" x14ac:dyDescent="0.4">
      <c r="A195" s="13" t="s">
        <v>2324</v>
      </c>
      <c r="B195" s="13" t="s">
        <v>2345</v>
      </c>
      <c r="C195" s="13" t="s">
        <v>1944</v>
      </c>
      <c r="D195" s="59">
        <v>46539</v>
      </c>
      <c r="E195" s="6">
        <v>169830</v>
      </c>
      <c r="F195" s="13">
        <v>194</v>
      </c>
      <c r="H195" s="61"/>
    </row>
    <row r="196" spans="1:8" x14ac:dyDescent="0.4">
      <c r="A196" s="13" t="s">
        <v>2324</v>
      </c>
      <c r="B196" s="13" t="s">
        <v>2345</v>
      </c>
      <c r="C196" s="13" t="s">
        <v>1944</v>
      </c>
      <c r="D196" s="59">
        <v>46569</v>
      </c>
      <c r="E196" s="6">
        <v>161338.5</v>
      </c>
      <c r="F196" s="54">
        <v>195</v>
      </c>
      <c r="H196" s="61"/>
    </row>
    <row r="197" spans="1:8" x14ac:dyDescent="0.4">
      <c r="A197" s="13" t="s">
        <v>2324</v>
      </c>
      <c r="B197" s="13" t="s">
        <v>2345</v>
      </c>
      <c r="C197" s="13" t="s">
        <v>1944</v>
      </c>
      <c r="D197" s="59">
        <v>46600</v>
      </c>
      <c r="E197" s="6">
        <v>157092.75</v>
      </c>
      <c r="F197" s="13">
        <v>196</v>
      </c>
      <c r="H197" s="61"/>
    </row>
    <row r="198" spans="1:8" x14ac:dyDescent="0.4">
      <c r="A198" s="13" t="s">
        <v>2324</v>
      </c>
      <c r="B198" s="13" t="s">
        <v>2345</v>
      </c>
      <c r="C198" s="13" t="s">
        <v>1944</v>
      </c>
      <c r="D198" s="59">
        <v>46631</v>
      </c>
      <c r="E198" s="6">
        <v>89160.75</v>
      </c>
      <c r="F198" s="54">
        <v>197</v>
      </c>
      <c r="H198" s="20"/>
    </row>
    <row r="199" spans="1:8" x14ac:dyDescent="0.4">
      <c r="A199" s="13" t="s">
        <v>2324</v>
      </c>
      <c r="B199" s="13" t="s">
        <v>2345</v>
      </c>
      <c r="C199" s="13" t="s">
        <v>1944</v>
      </c>
      <c r="D199" s="59">
        <v>46661</v>
      </c>
      <c r="E199" s="6">
        <v>0</v>
      </c>
      <c r="F199" s="13">
        <v>198</v>
      </c>
      <c r="H199" s="20"/>
    </row>
    <row r="200" spans="1:8" x14ac:dyDescent="0.4">
      <c r="A200" s="13" t="s">
        <v>2324</v>
      </c>
      <c r="B200" s="13" t="s">
        <v>2345</v>
      </c>
      <c r="C200" s="13" t="s">
        <v>70</v>
      </c>
      <c r="D200" s="59">
        <v>46023</v>
      </c>
      <c r="E200" s="6">
        <v>0</v>
      </c>
      <c r="F200" s="54">
        <v>199</v>
      </c>
      <c r="H200" s="20"/>
    </row>
    <row r="201" spans="1:8" x14ac:dyDescent="0.4">
      <c r="A201" s="13" t="s">
        <v>2324</v>
      </c>
      <c r="B201" s="13" t="s">
        <v>2345</v>
      </c>
      <c r="C201" s="13" t="s">
        <v>70</v>
      </c>
      <c r="D201" s="59">
        <v>46054</v>
      </c>
      <c r="E201" s="6">
        <v>0</v>
      </c>
      <c r="F201" s="13">
        <v>200</v>
      </c>
      <c r="H201" s="20"/>
    </row>
    <row r="202" spans="1:8" x14ac:dyDescent="0.4">
      <c r="A202" s="13" t="s">
        <v>2324</v>
      </c>
      <c r="B202" s="13" t="s">
        <v>2345</v>
      </c>
      <c r="C202" s="13" t="s">
        <v>70</v>
      </c>
      <c r="D202" s="59">
        <v>46082</v>
      </c>
      <c r="E202" s="6">
        <v>0</v>
      </c>
      <c r="F202" s="54">
        <v>201</v>
      </c>
      <c r="H202" s="20"/>
    </row>
    <row r="203" spans="1:8" x14ac:dyDescent="0.4">
      <c r="A203" s="13" t="s">
        <v>2324</v>
      </c>
      <c r="B203" s="13" t="s">
        <v>2345</v>
      </c>
      <c r="C203" s="13" t="s">
        <v>70</v>
      </c>
      <c r="D203" s="59">
        <v>46113</v>
      </c>
      <c r="E203" s="6">
        <v>26730</v>
      </c>
      <c r="F203" s="13">
        <v>202</v>
      </c>
      <c r="H203" s="20"/>
    </row>
    <row r="204" spans="1:8" x14ac:dyDescent="0.4">
      <c r="A204" s="13" t="s">
        <v>2324</v>
      </c>
      <c r="B204" s="13" t="s">
        <v>2345</v>
      </c>
      <c r="C204" s="13" t="s">
        <v>70</v>
      </c>
      <c r="D204" s="59">
        <v>46143</v>
      </c>
      <c r="E204" s="6">
        <v>26730</v>
      </c>
      <c r="F204" s="54">
        <v>203</v>
      </c>
      <c r="H204" s="20"/>
    </row>
    <row r="205" spans="1:8" x14ac:dyDescent="0.4">
      <c r="A205" s="13" t="s">
        <v>2324</v>
      </c>
      <c r="B205" s="13" t="s">
        <v>2345</v>
      </c>
      <c r="C205" s="13" t="s">
        <v>70</v>
      </c>
      <c r="D205" s="59">
        <v>46174</v>
      </c>
      <c r="E205" s="6">
        <v>26730</v>
      </c>
      <c r="F205" s="13">
        <v>204</v>
      </c>
      <c r="H205" s="20"/>
    </row>
    <row r="206" spans="1:8" x14ac:dyDescent="0.4">
      <c r="A206" s="13" t="s">
        <v>2324</v>
      </c>
      <c r="B206" s="13" t="s">
        <v>2345</v>
      </c>
      <c r="C206" s="13" t="s">
        <v>70</v>
      </c>
      <c r="D206" s="59">
        <v>46204</v>
      </c>
      <c r="E206" s="6">
        <v>0</v>
      </c>
      <c r="F206" s="54">
        <v>205</v>
      </c>
      <c r="H206" s="20"/>
    </row>
    <row r="207" spans="1:8" x14ac:dyDescent="0.4">
      <c r="A207" s="13" t="s">
        <v>2324</v>
      </c>
      <c r="B207" s="13" t="s">
        <v>2345</v>
      </c>
      <c r="C207" s="13" t="s">
        <v>70</v>
      </c>
      <c r="D207" s="59">
        <v>46235</v>
      </c>
      <c r="E207" s="6">
        <v>0</v>
      </c>
      <c r="F207" s="13">
        <v>206</v>
      </c>
      <c r="H207" s="20"/>
    </row>
    <row r="208" spans="1:8" x14ac:dyDescent="0.4">
      <c r="A208" s="13" t="s">
        <v>2324</v>
      </c>
      <c r="B208" s="13" t="s">
        <v>2345</v>
      </c>
      <c r="C208" s="13" t="s">
        <v>70</v>
      </c>
      <c r="D208" s="59">
        <v>46266</v>
      </c>
      <c r="E208" s="6">
        <v>0</v>
      </c>
      <c r="F208" s="54">
        <v>207</v>
      </c>
      <c r="H208" s="20"/>
    </row>
    <row r="209" spans="1:8" x14ac:dyDescent="0.4">
      <c r="A209" s="13" t="s">
        <v>2324</v>
      </c>
      <c r="B209" s="13" t="s">
        <v>2345</v>
      </c>
      <c r="C209" s="13" t="s">
        <v>70</v>
      </c>
      <c r="D209" s="59">
        <v>46296</v>
      </c>
      <c r="E209" s="6">
        <v>0</v>
      </c>
      <c r="F209" s="13">
        <v>208</v>
      </c>
      <c r="H209" s="20"/>
    </row>
    <row r="210" spans="1:8" x14ac:dyDescent="0.4">
      <c r="A210" s="13" t="s">
        <v>2324</v>
      </c>
      <c r="B210" s="13" t="s">
        <v>2345</v>
      </c>
      <c r="C210" s="13" t="s">
        <v>70</v>
      </c>
      <c r="D210" s="59">
        <v>46327</v>
      </c>
      <c r="E210" s="6">
        <v>0</v>
      </c>
      <c r="F210" s="54">
        <v>209</v>
      </c>
      <c r="H210" s="20"/>
    </row>
    <row r="211" spans="1:8" x14ac:dyDescent="0.4">
      <c r="A211" s="13" t="s">
        <v>2324</v>
      </c>
      <c r="B211" s="13" t="s">
        <v>2345</v>
      </c>
      <c r="C211" s="13" t="s">
        <v>70</v>
      </c>
      <c r="D211" s="59">
        <v>46357</v>
      </c>
      <c r="E211" s="6">
        <v>0</v>
      </c>
      <c r="F211" s="13">
        <v>210</v>
      </c>
      <c r="H211" s="20"/>
    </row>
    <row r="212" spans="1:8" x14ac:dyDescent="0.4">
      <c r="A212" s="13" t="s">
        <v>2324</v>
      </c>
      <c r="B212" s="13" t="s">
        <v>2345</v>
      </c>
      <c r="C212" s="13" t="s">
        <v>70</v>
      </c>
      <c r="D212" s="59">
        <v>46388</v>
      </c>
      <c r="E212" s="6">
        <v>0</v>
      </c>
      <c r="F212" s="54">
        <v>211</v>
      </c>
      <c r="H212" s="20"/>
    </row>
    <row r="213" spans="1:8" x14ac:dyDescent="0.4">
      <c r="A213" s="13" t="s">
        <v>2324</v>
      </c>
      <c r="B213" s="13" t="s">
        <v>2345</v>
      </c>
      <c r="C213" s="13" t="s">
        <v>70</v>
      </c>
      <c r="D213" s="59">
        <v>46419</v>
      </c>
      <c r="E213" s="6">
        <v>0</v>
      </c>
      <c r="F213" s="13">
        <v>212</v>
      </c>
      <c r="H213" s="20"/>
    </row>
    <row r="214" spans="1:8" x14ac:dyDescent="0.4">
      <c r="A214" s="13" t="s">
        <v>2324</v>
      </c>
      <c r="B214" s="13" t="s">
        <v>2345</v>
      </c>
      <c r="C214" s="13" t="s">
        <v>70</v>
      </c>
      <c r="D214" s="59">
        <v>46447</v>
      </c>
      <c r="E214" s="6">
        <v>0</v>
      </c>
      <c r="F214" s="54">
        <v>213</v>
      </c>
      <c r="H214" s="20"/>
    </row>
    <row r="215" spans="1:8" x14ac:dyDescent="0.4">
      <c r="A215" s="13" t="s">
        <v>2324</v>
      </c>
      <c r="B215" s="13" t="s">
        <v>2345</v>
      </c>
      <c r="C215" s="13" t="s">
        <v>70</v>
      </c>
      <c r="D215" s="59">
        <v>46478</v>
      </c>
      <c r="E215" s="6">
        <v>0</v>
      </c>
      <c r="F215" s="13">
        <v>214</v>
      </c>
      <c r="H215" s="20"/>
    </row>
    <row r="216" spans="1:8" x14ac:dyDescent="0.4">
      <c r="A216" s="13" t="s">
        <v>2324</v>
      </c>
      <c r="B216" s="13" t="s">
        <v>2345</v>
      </c>
      <c r="C216" s="13" t="s">
        <v>70</v>
      </c>
      <c r="D216" s="59">
        <v>46508</v>
      </c>
      <c r="E216" s="6">
        <v>0</v>
      </c>
      <c r="F216" s="54">
        <v>215</v>
      </c>
      <c r="H216" s="20"/>
    </row>
    <row r="217" spans="1:8" x14ac:dyDescent="0.4">
      <c r="A217" s="13" t="s">
        <v>2324</v>
      </c>
      <c r="B217" s="13" t="s">
        <v>2345</v>
      </c>
      <c r="C217" s="13" t="s">
        <v>70</v>
      </c>
      <c r="D217" s="59">
        <v>46539</v>
      </c>
      <c r="E217" s="6">
        <v>0</v>
      </c>
      <c r="F217" s="13">
        <v>216</v>
      </c>
      <c r="H217" s="20"/>
    </row>
    <row r="218" spans="1:8" x14ac:dyDescent="0.4">
      <c r="A218" s="13" t="s">
        <v>2324</v>
      </c>
      <c r="B218" s="13" t="s">
        <v>2345</v>
      </c>
      <c r="C218" s="13" t="s">
        <v>70</v>
      </c>
      <c r="D218" s="59">
        <v>46569</v>
      </c>
      <c r="E218" s="6">
        <v>0</v>
      </c>
      <c r="F218" s="54">
        <v>217</v>
      </c>
      <c r="H218" s="20"/>
    </row>
    <row r="219" spans="1:8" x14ac:dyDescent="0.4">
      <c r="A219" s="13" t="s">
        <v>2324</v>
      </c>
      <c r="B219" s="13" t="s">
        <v>2345</v>
      </c>
      <c r="C219" s="13" t="s">
        <v>70</v>
      </c>
      <c r="D219" s="59">
        <v>46600</v>
      </c>
      <c r="E219" s="6">
        <v>0</v>
      </c>
      <c r="F219" s="13">
        <v>218</v>
      </c>
      <c r="H219" s="20"/>
    </row>
    <row r="220" spans="1:8" x14ac:dyDescent="0.4">
      <c r="A220" s="13" t="s">
        <v>2324</v>
      </c>
      <c r="B220" s="13" t="s">
        <v>2345</v>
      </c>
      <c r="C220" s="13" t="s">
        <v>70</v>
      </c>
      <c r="D220" s="59">
        <v>46631</v>
      </c>
      <c r="E220" s="6">
        <v>0</v>
      </c>
      <c r="F220" s="54">
        <v>219</v>
      </c>
      <c r="H220" s="20"/>
    </row>
    <row r="221" spans="1:8" x14ac:dyDescent="0.4">
      <c r="A221" s="13" t="s">
        <v>2324</v>
      </c>
      <c r="B221" s="13" t="s">
        <v>2345</v>
      </c>
      <c r="C221" s="13" t="s">
        <v>70</v>
      </c>
      <c r="D221" s="59">
        <v>46661</v>
      </c>
      <c r="E221" s="6">
        <v>0</v>
      </c>
      <c r="F221" s="13">
        <v>220</v>
      </c>
      <c r="H221" s="20"/>
    </row>
    <row r="222" spans="1:8" x14ac:dyDescent="0.4">
      <c r="A222" s="13" t="s">
        <v>2324</v>
      </c>
      <c r="B222" s="13" t="s">
        <v>2345</v>
      </c>
      <c r="C222" s="13" t="s">
        <v>50</v>
      </c>
      <c r="D222" s="59">
        <v>46023</v>
      </c>
      <c r="E222" s="6">
        <v>0</v>
      </c>
      <c r="F222" s="54">
        <v>221</v>
      </c>
      <c r="H222" s="20"/>
    </row>
    <row r="223" spans="1:8" x14ac:dyDescent="0.4">
      <c r="A223" s="13" t="s">
        <v>2324</v>
      </c>
      <c r="B223" s="13" t="s">
        <v>2345</v>
      </c>
      <c r="C223" s="13" t="s">
        <v>50</v>
      </c>
      <c r="D223" s="59">
        <v>46054</v>
      </c>
      <c r="E223" s="6">
        <v>8572.5</v>
      </c>
      <c r="F223" s="13">
        <v>222</v>
      </c>
      <c r="H223" s="20"/>
    </row>
    <row r="224" spans="1:8" x14ac:dyDescent="0.4">
      <c r="A224" s="13" t="s">
        <v>2324</v>
      </c>
      <c r="B224" s="13" t="s">
        <v>2345</v>
      </c>
      <c r="C224" s="13" t="s">
        <v>50</v>
      </c>
      <c r="D224" s="59">
        <v>46082</v>
      </c>
      <c r="E224" s="6">
        <v>8572.5</v>
      </c>
      <c r="F224" s="54">
        <v>223</v>
      </c>
      <c r="H224" s="20"/>
    </row>
    <row r="225" spans="1:8" x14ac:dyDescent="0.4">
      <c r="A225" s="13" t="s">
        <v>2324</v>
      </c>
      <c r="B225" s="13" t="s">
        <v>2345</v>
      </c>
      <c r="C225" s="13" t="s">
        <v>50</v>
      </c>
      <c r="D225" s="59">
        <v>46113</v>
      </c>
      <c r="E225" s="6">
        <v>17145</v>
      </c>
      <c r="F225" s="13">
        <v>224</v>
      </c>
      <c r="H225" s="20"/>
    </row>
    <row r="226" spans="1:8" x14ac:dyDescent="0.4">
      <c r="A226" s="13" t="s">
        <v>2324</v>
      </c>
      <c r="B226" s="13" t="s">
        <v>2345</v>
      </c>
      <c r="C226" s="13" t="s">
        <v>50</v>
      </c>
      <c r="D226" s="59">
        <v>46143</v>
      </c>
      <c r="E226" s="6">
        <v>60007.5</v>
      </c>
      <c r="F226" s="54">
        <v>225</v>
      </c>
      <c r="H226" s="20"/>
    </row>
    <row r="227" spans="1:8" x14ac:dyDescent="0.4">
      <c r="A227" s="13" t="s">
        <v>2324</v>
      </c>
      <c r="B227" s="13" t="s">
        <v>2345</v>
      </c>
      <c r="C227" s="13" t="s">
        <v>50</v>
      </c>
      <c r="D227" s="59">
        <v>46174</v>
      </c>
      <c r="E227" s="6">
        <v>60007.5</v>
      </c>
      <c r="F227" s="13">
        <v>226</v>
      </c>
      <c r="H227" s="20"/>
    </row>
    <row r="228" spans="1:8" x14ac:dyDescent="0.4">
      <c r="A228" s="13" t="s">
        <v>2324</v>
      </c>
      <c r="B228" s="13" t="s">
        <v>2345</v>
      </c>
      <c r="C228" s="13" t="s">
        <v>50</v>
      </c>
      <c r="D228" s="59">
        <v>46204</v>
      </c>
      <c r="E228" s="6">
        <v>231457.5</v>
      </c>
      <c r="F228" s="54">
        <v>227</v>
      </c>
      <c r="H228" s="20"/>
    </row>
    <row r="229" spans="1:8" x14ac:dyDescent="0.4">
      <c r="A229" s="13" t="s">
        <v>2324</v>
      </c>
      <c r="B229" s="13" t="s">
        <v>2345</v>
      </c>
      <c r="C229" s="13" t="s">
        <v>50</v>
      </c>
      <c r="D229" s="59">
        <v>46235</v>
      </c>
      <c r="E229" s="6">
        <v>222885</v>
      </c>
      <c r="F229" s="13">
        <v>228</v>
      </c>
      <c r="H229" s="20"/>
    </row>
    <row r="230" spans="1:8" x14ac:dyDescent="0.4">
      <c r="A230" s="13" t="s">
        <v>2324</v>
      </c>
      <c r="B230" s="13" t="s">
        <v>2345</v>
      </c>
      <c r="C230" s="13" t="s">
        <v>50</v>
      </c>
      <c r="D230" s="59">
        <v>46266</v>
      </c>
      <c r="E230" s="6">
        <v>222885</v>
      </c>
      <c r="F230" s="54">
        <v>229</v>
      </c>
      <c r="H230" s="20"/>
    </row>
    <row r="231" spans="1:8" x14ac:dyDescent="0.4">
      <c r="A231" s="13" t="s">
        <v>2324</v>
      </c>
      <c r="B231" s="13" t="s">
        <v>2345</v>
      </c>
      <c r="C231" s="13" t="s">
        <v>50</v>
      </c>
      <c r="D231" s="59">
        <v>46296</v>
      </c>
      <c r="E231" s="6">
        <v>214312.5</v>
      </c>
      <c r="F231" s="13">
        <v>230</v>
      </c>
      <c r="H231" s="20"/>
    </row>
    <row r="232" spans="1:8" x14ac:dyDescent="0.4">
      <c r="A232" s="13" t="s">
        <v>2324</v>
      </c>
      <c r="B232" s="13" t="s">
        <v>2345</v>
      </c>
      <c r="C232" s="13" t="s">
        <v>50</v>
      </c>
      <c r="D232" s="59">
        <v>46327</v>
      </c>
      <c r="E232" s="6">
        <v>171450</v>
      </c>
      <c r="F232" s="54">
        <v>231</v>
      </c>
      <c r="H232" s="20"/>
    </row>
    <row r="233" spans="1:8" x14ac:dyDescent="0.4">
      <c r="A233" s="13" t="s">
        <v>2324</v>
      </c>
      <c r="B233" s="13" t="s">
        <v>2345</v>
      </c>
      <c r="C233" s="13" t="s">
        <v>50</v>
      </c>
      <c r="D233" s="59">
        <v>46357</v>
      </c>
      <c r="E233" s="6">
        <v>171450</v>
      </c>
      <c r="F233" s="13">
        <v>232</v>
      </c>
      <c r="H233" s="20"/>
    </row>
    <row r="234" spans="1:8" x14ac:dyDescent="0.4">
      <c r="A234" s="13" t="s">
        <v>2324</v>
      </c>
      <c r="B234" s="13" t="s">
        <v>2345</v>
      </c>
      <c r="C234" s="13" t="s">
        <v>50</v>
      </c>
      <c r="D234" s="59">
        <v>46388</v>
      </c>
      <c r="E234" s="6">
        <v>0</v>
      </c>
      <c r="F234" s="54">
        <v>233</v>
      </c>
      <c r="H234" s="20"/>
    </row>
    <row r="235" spans="1:8" x14ac:dyDescent="0.4">
      <c r="A235" s="13" t="s">
        <v>2324</v>
      </c>
      <c r="B235" s="13" t="s">
        <v>2345</v>
      </c>
      <c r="C235" s="13" t="s">
        <v>50</v>
      </c>
      <c r="D235" s="59">
        <v>46419</v>
      </c>
      <c r="E235" s="6">
        <v>0</v>
      </c>
      <c r="F235" s="13">
        <v>234</v>
      </c>
      <c r="H235" s="20"/>
    </row>
    <row r="236" spans="1:8" x14ac:dyDescent="0.4">
      <c r="A236" s="13" t="s">
        <v>2324</v>
      </c>
      <c r="B236" s="13" t="s">
        <v>2345</v>
      </c>
      <c r="C236" s="13" t="s">
        <v>50</v>
      </c>
      <c r="D236" s="59">
        <v>46447</v>
      </c>
      <c r="E236" s="6">
        <v>0</v>
      </c>
      <c r="F236" s="54">
        <v>235</v>
      </c>
      <c r="H236" s="20"/>
    </row>
    <row r="237" spans="1:8" x14ac:dyDescent="0.4">
      <c r="A237" s="13" t="s">
        <v>2324</v>
      </c>
      <c r="B237" s="13" t="s">
        <v>2345</v>
      </c>
      <c r="C237" s="13" t="s">
        <v>50</v>
      </c>
      <c r="D237" s="59">
        <v>46478</v>
      </c>
      <c r="E237" s="6">
        <v>0</v>
      </c>
      <c r="F237" s="13">
        <v>236</v>
      </c>
      <c r="H237" s="20"/>
    </row>
    <row r="238" spans="1:8" x14ac:dyDescent="0.4">
      <c r="A238" s="13" t="s">
        <v>2324</v>
      </c>
      <c r="B238" s="13" t="s">
        <v>2345</v>
      </c>
      <c r="C238" s="13" t="s">
        <v>50</v>
      </c>
      <c r="D238" s="59">
        <v>46508</v>
      </c>
      <c r="E238" s="6">
        <v>0</v>
      </c>
      <c r="F238" s="54">
        <v>237</v>
      </c>
      <c r="H238" s="20"/>
    </row>
    <row r="239" spans="1:8" x14ac:dyDescent="0.4">
      <c r="A239" s="13" t="s">
        <v>2324</v>
      </c>
      <c r="B239" s="13" t="s">
        <v>2345</v>
      </c>
      <c r="C239" s="13" t="s">
        <v>50</v>
      </c>
      <c r="D239" s="59">
        <v>46539</v>
      </c>
      <c r="E239" s="6">
        <v>0</v>
      </c>
      <c r="F239" s="13">
        <v>238</v>
      </c>
      <c r="H239" s="20"/>
    </row>
    <row r="240" spans="1:8" x14ac:dyDescent="0.4">
      <c r="A240" s="13" t="s">
        <v>2324</v>
      </c>
      <c r="B240" s="13" t="s">
        <v>2345</v>
      </c>
      <c r="C240" s="13" t="s">
        <v>50</v>
      </c>
      <c r="D240" s="59">
        <v>46569</v>
      </c>
      <c r="E240" s="6">
        <v>0</v>
      </c>
      <c r="F240" s="54">
        <v>239</v>
      </c>
      <c r="H240" s="20"/>
    </row>
    <row r="241" spans="1:8" x14ac:dyDescent="0.4">
      <c r="A241" s="13" t="s">
        <v>2324</v>
      </c>
      <c r="B241" s="13" t="s">
        <v>2345</v>
      </c>
      <c r="C241" s="13" t="s">
        <v>50</v>
      </c>
      <c r="D241" s="59">
        <v>46600</v>
      </c>
      <c r="E241" s="6">
        <v>0</v>
      </c>
      <c r="F241" s="13">
        <v>240</v>
      </c>
      <c r="H241" s="20"/>
    </row>
    <row r="242" spans="1:8" x14ac:dyDescent="0.4">
      <c r="A242" s="13" t="s">
        <v>2324</v>
      </c>
      <c r="B242" s="13" t="s">
        <v>2345</v>
      </c>
      <c r="C242" s="13" t="s">
        <v>50</v>
      </c>
      <c r="D242" s="59">
        <v>46631</v>
      </c>
      <c r="E242" s="6">
        <v>0</v>
      </c>
      <c r="F242" s="54">
        <v>241</v>
      </c>
      <c r="H242" s="20"/>
    </row>
    <row r="243" spans="1:8" x14ac:dyDescent="0.4">
      <c r="A243" s="13" t="s">
        <v>2324</v>
      </c>
      <c r="B243" s="13" t="s">
        <v>2345</v>
      </c>
      <c r="C243" s="13" t="s">
        <v>50</v>
      </c>
      <c r="D243" s="59">
        <v>46661</v>
      </c>
      <c r="E243" s="6">
        <v>0</v>
      </c>
      <c r="F243" s="13">
        <v>242</v>
      </c>
      <c r="H243" s="20"/>
    </row>
    <row r="244" spans="1:8" x14ac:dyDescent="0.4">
      <c r="A244" s="13" t="s">
        <v>2324</v>
      </c>
      <c r="B244" s="13" t="s">
        <v>2345</v>
      </c>
      <c r="C244" s="13" t="s">
        <v>5133</v>
      </c>
      <c r="D244" s="59">
        <v>46023</v>
      </c>
      <c r="E244" s="6">
        <v>0</v>
      </c>
      <c r="F244" s="54">
        <v>243</v>
      </c>
      <c r="H244" s="20"/>
    </row>
    <row r="245" spans="1:8" x14ac:dyDescent="0.4">
      <c r="A245" s="13" t="s">
        <v>2324</v>
      </c>
      <c r="B245" s="13" t="s">
        <v>2345</v>
      </c>
      <c r="C245" s="13" t="s">
        <v>5133</v>
      </c>
      <c r="D245" s="59">
        <v>46054</v>
      </c>
      <c r="E245" s="6">
        <v>0</v>
      </c>
      <c r="F245" s="13">
        <v>244</v>
      </c>
      <c r="H245" s="20"/>
    </row>
    <row r="246" spans="1:8" x14ac:dyDescent="0.4">
      <c r="A246" s="13" t="s">
        <v>2324</v>
      </c>
      <c r="B246" s="13" t="s">
        <v>2345</v>
      </c>
      <c r="C246" s="13" t="s">
        <v>5133</v>
      </c>
      <c r="D246" s="59">
        <v>46082</v>
      </c>
      <c r="E246" s="6">
        <v>0</v>
      </c>
      <c r="F246" s="54">
        <v>245</v>
      </c>
      <c r="H246" s="20"/>
    </row>
    <row r="247" spans="1:8" x14ac:dyDescent="0.4">
      <c r="A247" s="13" t="s">
        <v>2324</v>
      </c>
      <c r="B247" s="13" t="s">
        <v>2345</v>
      </c>
      <c r="C247" s="13" t="s">
        <v>5133</v>
      </c>
      <c r="D247" s="59">
        <v>46113</v>
      </c>
      <c r="E247" s="6">
        <v>0</v>
      </c>
      <c r="F247" s="13">
        <v>246</v>
      </c>
      <c r="H247" s="20"/>
    </row>
    <row r="248" spans="1:8" x14ac:dyDescent="0.4">
      <c r="A248" s="13" t="s">
        <v>2324</v>
      </c>
      <c r="B248" s="13" t="s">
        <v>2345</v>
      </c>
      <c r="C248" s="13" t="s">
        <v>5133</v>
      </c>
      <c r="D248" s="59">
        <v>46143</v>
      </c>
      <c r="E248" s="6">
        <v>0</v>
      </c>
      <c r="F248" s="54">
        <v>247</v>
      </c>
      <c r="H248" s="20"/>
    </row>
    <row r="249" spans="1:8" x14ac:dyDescent="0.4">
      <c r="A249" s="13" t="s">
        <v>2324</v>
      </c>
      <c r="B249" s="13" t="s">
        <v>2345</v>
      </c>
      <c r="C249" s="13" t="s">
        <v>5133</v>
      </c>
      <c r="D249" s="59">
        <v>46174</v>
      </c>
      <c r="E249" s="6">
        <v>0</v>
      </c>
      <c r="F249" s="13">
        <v>248</v>
      </c>
      <c r="H249" s="20"/>
    </row>
    <row r="250" spans="1:8" x14ac:dyDescent="0.4">
      <c r="A250" s="13" t="s">
        <v>2324</v>
      </c>
      <c r="B250" s="13" t="s">
        <v>2345</v>
      </c>
      <c r="C250" s="13" t="s">
        <v>5133</v>
      </c>
      <c r="D250" s="59">
        <v>46204</v>
      </c>
      <c r="E250" s="6">
        <v>0</v>
      </c>
      <c r="F250" s="54">
        <v>249</v>
      </c>
      <c r="H250" s="20"/>
    </row>
    <row r="251" spans="1:8" x14ac:dyDescent="0.4">
      <c r="A251" s="13" t="s">
        <v>2324</v>
      </c>
      <c r="B251" s="13" t="s">
        <v>2345</v>
      </c>
      <c r="C251" s="13" t="s">
        <v>5133</v>
      </c>
      <c r="D251" s="59">
        <v>46235</v>
      </c>
      <c r="E251" s="6">
        <v>0</v>
      </c>
      <c r="F251" s="13">
        <v>250</v>
      </c>
      <c r="H251" s="20"/>
    </row>
    <row r="252" spans="1:8" x14ac:dyDescent="0.4">
      <c r="A252" s="13" t="s">
        <v>2324</v>
      </c>
      <c r="B252" s="13" t="s">
        <v>2345</v>
      </c>
      <c r="C252" s="13" t="s">
        <v>5133</v>
      </c>
      <c r="D252" s="59">
        <v>46266</v>
      </c>
      <c r="E252" s="6">
        <v>12737.25</v>
      </c>
      <c r="F252" s="54">
        <v>251</v>
      </c>
      <c r="H252" s="20"/>
    </row>
    <row r="253" spans="1:8" x14ac:dyDescent="0.4">
      <c r="A253" s="13" t="s">
        <v>2324</v>
      </c>
      <c r="B253" s="13" t="s">
        <v>2345</v>
      </c>
      <c r="C253" s="13" t="s">
        <v>5133</v>
      </c>
      <c r="D253" s="59">
        <v>46296</v>
      </c>
      <c r="E253" s="6">
        <v>12737.25</v>
      </c>
      <c r="F253" s="13">
        <v>252</v>
      </c>
      <c r="H253" s="20"/>
    </row>
    <row r="254" spans="1:8" x14ac:dyDescent="0.4">
      <c r="A254" s="13" t="s">
        <v>2324</v>
      </c>
      <c r="B254" s="13" t="s">
        <v>2345</v>
      </c>
      <c r="C254" s="13" t="s">
        <v>5133</v>
      </c>
      <c r="D254" s="59">
        <v>46327</v>
      </c>
      <c r="E254" s="6">
        <v>16983</v>
      </c>
      <c r="F254" s="54">
        <v>253</v>
      </c>
      <c r="H254" s="20"/>
    </row>
    <row r="255" spans="1:8" x14ac:dyDescent="0.4">
      <c r="A255" s="13" t="s">
        <v>2324</v>
      </c>
      <c r="B255" s="13" t="s">
        <v>2345</v>
      </c>
      <c r="C255" s="13" t="s">
        <v>5133</v>
      </c>
      <c r="D255" s="59">
        <v>46357</v>
      </c>
      <c r="E255" s="6">
        <v>16983</v>
      </c>
      <c r="F255" s="13">
        <v>254</v>
      </c>
      <c r="H255" s="20"/>
    </row>
    <row r="256" spans="1:8" x14ac:dyDescent="0.4">
      <c r="A256" s="13" t="s">
        <v>2324</v>
      </c>
      <c r="B256" s="13" t="s">
        <v>2345</v>
      </c>
      <c r="C256" s="13" t="s">
        <v>5133</v>
      </c>
      <c r="D256" s="59">
        <v>46388</v>
      </c>
      <c r="E256" s="6">
        <v>16983</v>
      </c>
      <c r="F256" s="54">
        <v>255</v>
      </c>
      <c r="H256" s="20"/>
    </row>
    <row r="257" spans="1:8" x14ac:dyDescent="0.4">
      <c r="A257" s="13" t="s">
        <v>2324</v>
      </c>
      <c r="B257" s="13" t="s">
        <v>2345</v>
      </c>
      <c r="C257" s="13" t="s">
        <v>5133</v>
      </c>
      <c r="D257" s="59">
        <v>46419</v>
      </c>
      <c r="E257" s="6">
        <v>16983</v>
      </c>
      <c r="F257" s="13">
        <v>256</v>
      </c>
      <c r="H257" s="20"/>
    </row>
    <row r="258" spans="1:8" x14ac:dyDescent="0.4">
      <c r="A258" s="13" t="s">
        <v>2324</v>
      </c>
      <c r="B258" s="13" t="s">
        <v>2345</v>
      </c>
      <c r="C258" s="13" t="s">
        <v>5133</v>
      </c>
      <c r="D258" s="59">
        <v>46447</v>
      </c>
      <c r="E258" s="6">
        <v>16983</v>
      </c>
      <c r="F258" s="54">
        <v>257</v>
      </c>
      <c r="H258" s="20"/>
    </row>
    <row r="259" spans="1:8" x14ac:dyDescent="0.4">
      <c r="A259" s="13" t="s">
        <v>2324</v>
      </c>
      <c r="B259" s="13" t="s">
        <v>2345</v>
      </c>
      <c r="C259" s="13" t="s">
        <v>5133</v>
      </c>
      <c r="D259" s="59">
        <v>46478</v>
      </c>
      <c r="E259" s="6">
        <v>16983</v>
      </c>
      <c r="F259" s="13">
        <v>258</v>
      </c>
      <c r="H259" s="20"/>
    </row>
    <row r="260" spans="1:8" x14ac:dyDescent="0.4">
      <c r="A260" s="13" t="s">
        <v>2324</v>
      </c>
      <c r="B260" s="13" t="s">
        <v>2345</v>
      </c>
      <c r="C260" s="13" t="s">
        <v>5133</v>
      </c>
      <c r="D260" s="59">
        <v>46508</v>
      </c>
      <c r="E260" s="6">
        <v>16983</v>
      </c>
      <c r="F260" s="54">
        <v>259</v>
      </c>
      <c r="H260" s="20"/>
    </row>
    <row r="261" spans="1:8" x14ac:dyDescent="0.4">
      <c r="A261" s="13" t="s">
        <v>2324</v>
      </c>
      <c r="B261" s="13" t="s">
        <v>2345</v>
      </c>
      <c r="C261" s="13" t="s">
        <v>5133</v>
      </c>
      <c r="D261" s="59">
        <v>46539</v>
      </c>
      <c r="E261" s="6">
        <v>16983</v>
      </c>
      <c r="F261" s="13">
        <v>260</v>
      </c>
      <c r="H261" s="20"/>
    </row>
    <row r="262" spans="1:8" x14ac:dyDescent="0.4">
      <c r="A262" s="13" t="s">
        <v>2324</v>
      </c>
      <c r="B262" s="13" t="s">
        <v>2345</v>
      </c>
      <c r="C262" s="13" t="s">
        <v>5133</v>
      </c>
      <c r="D262" s="59">
        <v>46569</v>
      </c>
      <c r="E262" s="6">
        <v>16983</v>
      </c>
      <c r="F262" s="54">
        <v>261</v>
      </c>
      <c r="H262" s="20"/>
    </row>
    <row r="263" spans="1:8" x14ac:dyDescent="0.4">
      <c r="A263" s="13" t="s">
        <v>2324</v>
      </c>
      <c r="B263" s="13" t="s">
        <v>2345</v>
      </c>
      <c r="C263" s="13" t="s">
        <v>5133</v>
      </c>
      <c r="D263" s="59">
        <v>46600</v>
      </c>
      <c r="E263" s="6">
        <v>16983</v>
      </c>
      <c r="F263" s="13">
        <v>262</v>
      </c>
      <c r="H263" s="20"/>
    </row>
    <row r="264" spans="1:8" x14ac:dyDescent="0.4">
      <c r="A264" s="13" t="s">
        <v>2324</v>
      </c>
      <c r="B264" s="13" t="s">
        <v>2345</v>
      </c>
      <c r="C264" s="13" t="s">
        <v>5133</v>
      </c>
      <c r="D264" s="59">
        <v>46631</v>
      </c>
      <c r="E264" s="6">
        <v>4245.75</v>
      </c>
      <c r="F264" s="54">
        <v>263</v>
      </c>
      <c r="H264" s="20"/>
    </row>
    <row r="265" spans="1:8" x14ac:dyDescent="0.4">
      <c r="A265" s="13" t="s">
        <v>2324</v>
      </c>
      <c r="B265" s="13" t="s">
        <v>2345</v>
      </c>
      <c r="C265" s="13" t="s">
        <v>5133</v>
      </c>
      <c r="D265" s="59">
        <v>46661</v>
      </c>
      <c r="E265" s="6">
        <v>4245.75</v>
      </c>
      <c r="F265" s="13">
        <v>264</v>
      </c>
      <c r="H265" s="20"/>
    </row>
    <row r="266" spans="1:8" x14ac:dyDescent="0.4">
      <c r="H266" s="20"/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8950-1E17-4EEB-9DD6-438AAB44A081}">
  <sheetPr>
    <tabColor theme="7" tint="0.59999389629810485"/>
  </sheetPr>
  <dimension ref="A1:R266"/>
  <sheetViews>
    <sheetView zoomScale="70" zoomScaleNormal="70" workbookViewId="0">
      <selection activeCell="J11" sqref="J11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9" width="10.625" bestFit="1" customWidth="1"/>
    <col min="10" max="10" width="21" customWidth="1"/>
    <col min="11" max="11" width="18.5" bestFit="1" customWidth="1"/>
    <col min="12" max="13" width="10.625" bestFit="1" customWidth="1"/>
    <col min="14" max="14" width="9.125" bestFit="1" customWidth="1"/>
    <col min="15" max="15" width="31.875" customWidth="1"/>
    <col min="16" max="16" width="22.875" customWidth="1"/>
    <col min="17" max="17" width="9.125" bestFit="1" customWidth="1"/>
    <col min="18" max="18" width="10.625" bestFit="1" customWidth="1"/>
  </cols>
  <sheetData>
    <row r="1" spans="1:1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/>
    </row>
    <row r="2" spans="1:18" x14ac:dyDescent="0.4">
      <c r="A2" s="13" t="s">
        <v>2324</v>
      </c>
      <c r="B2" s="55" t="s">
        <v>2325</v>
      </c>
      <c r="C2" s="10" t="s">
        <v>25</v>
      </c>
      <c r="D2" s="59">
        <v>45992</v>
      </c>
      <c r="E2" s="6">
        <v>0</v>
      </c>
      <c r="F2" s="54">
        <v>1</v>
      </c>
      <c r="H2" s="62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x14ac:dyDescent="0.4">
      <c r="A3" s="13" t="s">
        <v>2324</v>
      </c>
      <c r="B3" s="55" t="s">
        <v>2325</v>
      </c>
      <c r="C3" s="10" t="s">
        <v>25</v>
      </c>
      <c r="D3" s="59">
        <v>46023</v>
      </c>
      <c r="E3" s="6">
        <v>930600</v>
      </c>
      <c r="F3" s="13">
        <v>2</v>
      </c>
      <c r="H3" s="62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x14ac:dyDescent="0.4">
      <c r="A4" s="13" t="s">
        <v>2324</v>
      </c>
      <c r="B4" s="55" t="s">
        <v>2325</v>
      </c>
      <c r="C4" s="10" t="s">
        <v>25</v>
      </c>
      <c r="D4" s="59">
        <v>46054</v>
      </c>
      <c r="E4" s="6">
        <v>1267200</v>
      </c>
      <c r="F4" s="54">
        <v>3</v>
      </c>
      <c r="H4" s="62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x14ac:dyDescent="0.4">
      <c r="A5" s="13" t="s">
        <v>2324</v>
      </c>
      <c r="B5" s="55" t="s">
        <v>2325</v>
      </c>
      <c r="C5" s="10" t="s">
        <v>25</v>
      </c>
      <c r="D5" s="59">
        <v>46082</v>
      </c>
      <c r="E5" s="6">
        <v>1306800</v>
      </c>
      <c r="F5" s="13">
        <v>4</v>
      </c>
      <c r="H5" s="62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x14ac:dyDescent="0.4">
      <c r="A6" s="13" t="s">
        <v>2324</v>
      </c>
      <c r="B6" s="55" t="s">
        <v>2325</v>
      </c>
      <c r="C6" s="10" t="s">
        <v>25</v>
      </c>
      <c r="D6" s="59">
        <v>46113</v>
      </c>
      <c r="E6" s="6">
        <v>732600</v>
      </c>
      <c r="F6" s="54">
        <v>5</v>
      </c>
      <c r="H6" s="62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 x14ac:dyDescent="0.4">
      <c r="A7" s="13" t="s">
        <v>2324</v>
      </c>
      <c r="B7" s="55" t="s">
        <v>2325</v>
      </c>
      <c r="C7" s="10" t="s">
        <v>25</v>
      </c>
      <c r="D7" s="59">
        <v>46143</v>
      </c>
      <c r="E7" s="6">
        <v>396000</v>
      </c>
      <c r="F7" s="13">
        <v>6</v>
      </c>
      <c r="H7" s="62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x14ac:dyDescent="0.4">
      <c r="A8" s="13" t="s">
        <v>2324</v>
      </c>
      <c r="B8" s="55" t="s">
        <v>2325</v>
      </c>
      <c r="C8" s="10" t="s">
        <v>25</v>
      </c>
      <c r="D8" s="59">
        <v>46174</v>
      </c>
      <c r="E8" s="6">
        <v>356400</v>
      </c>
      <c r="F8" s="54">
        <v>7</v>
      </c>
      <c r="H8" s="62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18" x14ac:dyDescent="0.4">
      <c r="A9" s="13" t="s">
        <v>2324</v>
      </c>
      <c r="B9" s="55" t="s">
        <v>2325</v>
      </c>
      <c r="C9" s="10" t="s">
        <v>25</v>
      </c>
      <c r="D9" s="59">
        <v>46204</v>
      </c>
      <c r="E9" s="6">
        <v>0</v>
      </c>
      <c r="F9" s="13">
        <v>8</v>
      </c>
      <c r="H9" s="62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 x14ac:dyDescent="0.4">
      <c r="A10" s="13" t="s">
        <v>2324</v>
      </c>
      <c r="B10" s="55" t="s">
        <v>2325</v>
      </c>
      <c r="C10" s="10" t="s">
        <v>25</v>
      </c>
      <c r="D10" s="59">
        <v>46235</v>
      </c>
      <c r="E10" s="6">
        <v>0</v>
      </c>
      <c r="F10" s="54">
        <v>9</v>
      </c>
      <c r="H10" s="62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 x14ac:dyDescent="0.4">
      <c r="A11" s="13" t="s">
        <v>2324</v>
      </c>
      <c r="B11" s="55" t="s">
        <v>2325</v>
      </c>
      <c r="C11" s="10" t="s">
        <v>25</v>
      </c>
      <c r="D11" s="59">
        <v>46266</v>
      </c>
      <c r="E11" s="6">
        <v>0</v>
      </c>
      <c r="F11" s="13">
        <v>10</v>
      </c>
      <c r="H11" s="62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 x14ac:dyDescent="0.4">
      <c r="A12" s="13" t="s">
        <v>2324</v>
      </c>
      <c r="B12" s="55" t="s">
        <v>2325</v>
      </c>
      <c r="C12" s="10" t="s">
        <v>25</v>
      </c>
      <c r="D12" s="59">
        <v>46296</v>
      </c>
      <c r="E12" s="6">
        <v>0</v>
      </c>
      <c r="F12" s="54">
        <v>11</v>
      </c>
      <c r="H12" s="62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x14ac:dyDescent="0.4">
      <c r="A13" s="13" t="s">
        <v>2324</v>
      </c>
      <c r="B13" s="55" t="s">
        <v>2325</v>
      </c>
      <c r="C13" s="10" t="s">
        <v>25</v>
      </c>
      <c r="D13" s="59">
        <v>46327</v>
      </c>
      <c r="E13" s="6">
        <v>0</v>
      </c>
      <c r="F13" s="13">
        <v>12</v>
      </c>
      <c r="H13" s="62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18" x14ac:dyDescent="0.4">
      <c r="A14" s="13" t="s">
        <v>2324</v>
      </c>
      <c r="B14" s="55" t="s">
        <v>2325</v>
      </c>
      <c r="C14" s="10" t="s">
        <v>25</v>
      </c>
      <c r="D14" s="59">
        <v>46357</v>
      </c>
      <c r="E14" s="6">
        <v>0</v>
      </c>
      <c r="F14" s="54">
        <v>13</v>
      </c>
      <c r="H14" s="62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 x14ac:dyDescent="0.4">
      <c r="A15" s="13" t="s">
        <v>2324</v>
      </c>
      <c r="B15" s="55" t="s">
        <v>2325</v>
      </c>
      <c r="C15" s="10" t="s">
        <v>25</v>
      </c>
      <c r="D15" s="59">
        <v>46388</v>
      </c>
      <c r="E15" s="6">
        <v>0</v>
      </c>
      <c r="F15" s="13">
        <v>14</v>
      </c>
      <c r="H15" s="62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18" x14ac:dyDescent="0.4">
      <c r="A16" s="13" t="s">
        <v>2324</v>
      </c>
      <c r="B16" s="55" t="s">
        <v>2325</v>
      </c>
      <c r="C16" s="10" t="s">
        <v>25</v>
      </c>
      <c r="D16" s="59">
        <v>46419</v>
      </c>
      <c r="E16" s="6">
        <v>0</v>
      </c>
      <c r="F16" s="54">
        <v>15</v>
      </c>
      <c r="H16" s="62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x14ac:dyDescent="0.4">
      <c r="A17" s="13" t="s">
        <v>2324</v>
      </c>
      <c r="B17" s="55" t="s">
        <v>2325</v>
      </c>
      <c r="C17" s="10" t="s">
        <v>25</v>
      </c>
      <c r="D17" s="59">
        <v>46447</v>
      </c>
      <c r="E17" s="6">
        <v>0</v>
      </c>
      <c r="F17" s="13">
        <v>16</v>
      </c>
      <c r="H17" s="62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x14ac:dyDescent="0.4">
      <c r="A18" s="13" t="s">
        <v>2324</v>
      </c>
      <c r="B18" s="55" t="s">
        <v>2325</v>
      </c>
      <c r="C18" s="10" t="s">
        <v>25</v>
      </c>
      <c r="D18" s="59">
        <v>46478</v>
      </c>
      <c r="E18" s="6">
        <v>0</v>
      </c>
      <c r="F18" s="54">
        <v>17</v>
      </c>
      <c r="H18" s="62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x14ac:dyDescent="0.4">
      <c r="A19" s="13" t="s">
        <v>2324</v>
      </c>
      <c r="B19" s="55" t="s">
        <v>2325</v>
      </c>
      <c r="C19" s="10" t="s">
        <v>25</v>
      </c>
      <c r="D19" s="59">
        <v>46508</v>
      </c>
      <c r="E19" s="6">
        <v>0</v>
      </c>
      <c r="F19" s="13">
        <v>18</v>
      </c>
      <c r="H19" s="62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x14ac:dyDescent="0.4">
      <c r="A20" s="13" t="s">
        <v>2324</v>
      </c>
      <c r="B20" s="55" t="s">
        <v>2325</v>
      </c>
      <c r="C20" s="10" t="s">
        <v>25</v>
      </c>
      <c r="D20" s="59">
        <v>46539</v>
      </c>
      <c r="E20" s="6">
        <v>0</v>
      </c>
      <c r="F20" s="54">
        <v>19</v>
      </c>
      <c r="H20" s="62"/>
      <c r="I20" s="20"/>
      <c r="J20" s="20"/>
      <c r="K20" s="20"/>
      <c r="L20" s="20"/>
      <c r="M20" s="20"/>
      <c r="N20" s="20"/>
      <c r="O20" s="20"/>
      <c r="P20" s="20"/>
    </row>
    <row r="21" spans="1:18" x14ac:dyDescent="0.4">
      <c r="A21" s="13" t="s">
        <v>2324</v>
      </c>
      <c r="B21" s="55" t="s">
        <v>2325</v>
      </c>
      <c r="C21" s="10" t="s">
        <v>25</v>
      </c>
      <c r="D21" s="59">
        <v>46569</v>
      </c>
      <c r="E21" s="6">
        <v>0</v>
      </c>
      <c r="F21" s="13">
        <v>20</v>
      </c>
      <c r="H21" s="62"/>
      <c r="I21" s="20"/>
      <c r="J21" s="20"/>
      <c r="K21" s="20"/>
      <c r="L21" s="20"/>
      <c r="M21" s="20"/>
      <c r="N21" s="20"/>
      <c r="O21" s="20"/>
      <c r="P21" s="20"/>
    </row>
    <row r="22" spans="1:18" x14ac:dyDescent="0.4">
      <c r="A22" s="13" t="s">
        <v>2324</v>
      </c>
      <c r="B22" s="55" t="s">
        <v>2325</v>
      </c>
      <c r="C22" s="10" t="s">
        <v>25</v>
      </c>
      <c r="D22" s="59">
        <v>46600</v>
      </c>
      <c r="E22" s="6">
        <v>0</v>
      </c>
      <c r="F22" s="54">
        <v>21</v>
      </c>
      <c r="H22" s="62"/>
      <c r="I22" s="20"/>
      <c r="J22" s="20"/>
      <c r="K22" s="20"/>
      <c r="L22" s="20"/>
      <c r="M22" s="20"/>
      <c r="N22" s="20"/>
      <c r="O22" s="20"/>
      <c r="P22" s="20"/>
    </row>
    <row r="23" spans="1:18" x14ac:dyDescent="0.4">
      <c r="A23" s="13" t="s">
        <v>2324</v>
      </c>
      <c r="B23" s="55" t="s">
        <v>2325</v>
      </c>
      <c r="C23" s="10" t="s">
        <v>25</v>
      </c>
      <c r="D23" s="59">
        <v>46631</v>
      </c>
      <c r="E23" s="6">
        <v>0</v>
      </c>
      <c r="F23" s="13">
        <v>22</v>
      </c>
      <c r="H23" s="62"/>
      <c r="I23" s="20"/>
      <c r="J23" s="20"/>
      <c r="K23" s="20"/>
      <c r="L23" s="20"/>
      <c r="M23" s="20"/>
      <c r="N23" s="20"/>
      <c r="O23" s="20"/>
      <c r="P23" s="20"/>
    </row>
    <row r="24" spans="1:18" x14ac:dyDescent="0.4">
      <c r="A24" s="13" t="s">
        <v>2324</v>
      </c>
      <c r="B24" s="55" t="s">
        <v>2325</v>
      </c>
      <c r="C24" s="13" t="s">
        <v>44</v>
      </c>
      <c r="D24" s="59">
        <v>45992</v>
      </c>
      <c r="E24" s="6">
        <v>0</v>
      </c>
      <c r="F24" s="54">
        <v>23</v>
      </c>
      <c r="H24" s="62"/>
      <c r="I24" s="20"/>
      <c r="J24" s="20"/>
      <c r="K24" s="20"/>
      <c r="L24" s="20"/>
      <c r="M24" s="20"/>
      <c r="N24" s="20"/>
      <c r="O24" s="20"/>
      <c r="P24" s="20"/>
    </row>
    <row r="25" spans="1:18" x14ac:dyDescent="0.4">
      <c r="A25" s="13" t="s">
        <v>2324</v>
      </c>
      <c r="B25" s="55" t="s">
        <v>2325</v>
      </c>
      <c r="C25" s="13" t="s">
        <v>44</v>
      </c>
      <c r="D25" s="59">
        <v>46023</v>
      </c>
      <c r="E25" s="6">
        <v>4876800</v>
      </c>
      <c r="F25" s="13">
        <v>24</v>
      </c>
      <c r="H25" s="62"/>
      <c r="I25" s="20"/>
      <c r="J25" s="20"/>
      <c r="K25" s="20"/>
      <c r="L25" s="20"/>
      <c r="M25" s="20"/>
      <c r="N25" s="20"/>
      <c r="O25" s="20"/>
      <c r="P25" s="20"/>
    </row>
    <row r="26" spans="1:18" x14ac:dyDescent="0.4">
      <c r="A26" s="13" t="s">
        <v>2324</v>
      </c>
      <c r="B26" s="55" t="s">
        <v>2325</v>
      </c>
      <c r="C26" s="13" t="s">
        <v>44</v>
      </c>
      <c r="D26" s="59">
        <v>46054</v>
      </c>
      <c r="E26" s="6">
        <v>4991100</v>
      </c>
      <c r="F26" s="54">
        <v>25</v>
      </c>
      <c r="H26" s="62"/>
      <c r="I26" s="20"/>
      <c r="J26" s="20"/>
      <c r="K26" s="20"/>
      <c r="L26" s="20"/>
      <c r="M26" s="20"/>
      <c r="N26" s="20"/>
      <c r="O26" s="20"/>
      <c r="P26" s="20"/>
    </row>
    <row r="27" spans="1:18" x14ac:dyDescent="0.4">
      <c r="A27" s="13" t="s">
        <v>2324</v>
      </c>
      <c r="B27" s="55" t="s">
        <v>2325</v>
      </c>
      <c r="C27" s="13" t="s">
        <v>44</v>
      </c>
      <c r="D27" s="59">
        <v>46082</v>
      </c>
      <c r="E27" s="6">
        <v>5124450</v>
      </c>
      <c r="F27" s="13">
        <v>26</v>
      </c>
      <c r="H27" s="62"/>
      <c r="I27" s="20"/>
      <c r="J27" s="20"/>
      <c r="K27" s="20"/>
      <c r="L27" s="20"/>
      <c r="M27" s="20"/>
      <c r="N27" s="20"/>
      <c r="O27" s="20"/>
      <c r="P27" s="20"/>
    </row>
    <row r="28" spans="1:18" x14ac:dyDescent="0.4">
      <c r="A28" s="13" t="s">
        <v>2324</v>
      </c>
      <c r="B28" s="55" t="s">
        <v>2325</v>
      </c>
      <c r="C28" s="13" t="s">
        <v>44</v>
      </c>
      <c r="D28" s="59">
        <v>46113</v>
      </c>
      <c r="E28" s="6">
        <v>5334000</v>
      </c>
      <c r="F28" s="54">
        <v>27</v>
      </c>
      <c r="H28" s="62"/>
      <c r="I28" s="20"/>
      <c r="J28" s="20"/>
      <c r="K28" s="20"/>
      <c r="L28" s="20"/>
      <c r="M28" s="20"/>
      <c r="N28" s="20"/>
      <c r="O28" s="20"/>
      <c r="P28" s="20"/>
    </row>
    <row r="29" spans="1:18" x14ac:dyDescent="0.4">
      <c r="A29" s="13" t="s">
        <v>2324</v>
      </c>
      <c r="B29" s="55" t="s">
        <v>2325</v>
      </c>
      <c r="C29" s="13" t="s">
        <v>44</v>
      </c>
      <c r="D29" s="59">
        <v>46143</v>
      </c>
      <c r="E29" s="6">
        <v>7181850</v>
      </c>
      <c r="F29" s="13">
        <v>28</v>
      </c>
      <c r="H29" s="62"/>
      <c r="I29" s="20"/>
      <c r="J29" s="20"/>
      <c r="K29" s="20"/>
      <c r="L29" s="20"/>
      <c r="M29" s="20"/>
      <c r="N29" s="20"/>
      <c r="O29" s="20"/>
      <c r="P29" s="20"/>
    </row>
    <row r="30" spans="1:18" x14ac:dyDescent="0.4">
      <c r="A30" s="13" t="s">
        <v>2324</v>
      </c>
      <c r="B30" s="55" t="s">
        <v>2325</v>
      </c>
      <c r="C30" s="13" t="s">
        <v>44</v>
      </c>
      <c r="D30" s="59">
        <v>46174</v>
      </c>
      <c r="E30" s="6">
        <v>7334250</v>
      </c>
      <c r="F30" s="54">
        <v>29</v>
      </c>
      <c r="H30" s="62"/>
      <c r="I30" s="20"/>
    </row>
    <row r="31" spans="1:18" x14ac:dyDescent="0.4">
      <c r="A31" s="13" t="s">
        <v>2324</v>
      </c>
      <c r="B31" s="55" t="s">
        <v>2325</v>
      </c>
      <c r="C31" s="13" t="s">
        <v>44</v>
      </c>
      <c r="D31" s="59">
        <v>46204</v>
      </c>
      <c r="E31" s="6">
        <v>4191000</v>
      </c>
      <c r="F31" s="13">
        <v>30</v>
      </c>
      <c r="H31" s="62"/>
      <c r="I31" s="20"/>
    </row>
    <row r="32" spans="1:18" x14ac:dyDescent="0.4">
      <c r="A32" s="13" t="s">
        <v>2324</v>
      </c>
      <c r="B32" s="55" t="s">
        <v>2325</v>
      </c>
      <c r="C32" s="13" t="s">
        <v>44</v>
      </c>
      <c r="D32" s="59">
        <v>46235</v>
      </c>
      <c r="E32" s="6">
        <v>4076700</v>
      </c>
      <c r="F32" s="54">
        <v>31</v>
      </c>
      <c r="H32" s="62"/>
      <c r="I32" s="20"/>
    </row>
    <row r="33" spans="1:9" x14ac:dyDescent="0.4">
      <c r="A33" s="13" t="s">
        <v>2324</v>
      </c>
      <c r="B33" s="55" t="s">
        <v>2325</v>
      </c>
      <c r="C33" s="13" t="s">
        <v>44</v>
      </c>
      <c r="D33" s="59">
        <v>46266</v>
      </c>
      <c r="E33" s="6">
        <v>3943350</v>
      </c>
      <c r="F33" s="13">
        <v>32</v>
      </c>
      <c r="H33" s="62"/>
      <c r="I33" s="20"/>
    </row>
    <row r="34" spans="1:9" x14ac:dyDescent="0.4">
      <c r="A34" s="13" t="s">
        <v>2324</v>
      </c>
      <c r="B34" s="55" t="s">
        <v>2325</v>
      </c>
      <c r="C34" s="13" t="s">
        <v>44</v>
      </c>
      <c r="D34" s="59">
        <v>46296</v>
      </c>
      <c r="E34" s="6">
        <v>3733800</v>
      </c>
      <c r="F34" s="54">
        <v>33</v>
      </c>
      <c r="H34" s="62"/>
      <c r="I34" s="20"/>
    </row>
    <row r="35" spans="1:9" x14ac:dyDescent="0.4">
      <c r="A35" s="13" t="s">
        <v>2324</v>
      </c>
      <c r="B35" s="55" t="s">
        <v>2325</v>
      </c>
      <c r="C35" s="13" t="s">
        <v>44</v>
      </c>
      <c r="D35" s="59">
        <v>46327</v>
      </c>
      <c r="E35" s="6">
        <v>1885950</v>
      </c>
      <c r="F35" s="13">
        <v>34</v>
      </c>
      <c r="H35" s="62"/>
      <c r="I35" s="20"/>
    </row>
    <row r="36" spans="1:9" x14ac:dyDescent="0.4">
      <c r="A36" s="13" t="s">
        <v>2324</v>
      </c>
      <c r="B36" s="55" t="s">
        <v>2325</v>
      </c>
      <c r="C36" s="13" t="s">
        <v>44</v>
      </c>
      <c r="D36" s="59">
        <v>46357</v>
      </c>
      <c r="E36" s="6">
        <v>1733550</v>
      </c>
      <c r="F36" s="54">
        <v>35</v>
      </c>
      <c r="H36" s="62"/>
      <c r="I36" s="20"/>
    </row>
    <row r="37" spans="1:9" x14ac:dyDescent="0.4">
      <c r="A37" s="13" t="s">
        <v>2324</v>
      </c>
      <c r="B37" s="55" t="s">
        <v>2325</v>
      </c>
      <c r="C37" s="13" t="s">
        <v>44</v>
      </c>
      <c r="D37" s="59">
        <v>46388</v>
      </c>
      <c r="E37" s="6">
        <v>0</v>
      </c>
      <c r="F37" s="13">
        <v>36</v>
      </c>
      <c r="H37" s="62"/>
      <c r="I37" s="20"/>
    </row>
    <row r="38" spans="1:9" x14ac:dyDescent="0.4">
      <c r="A38" s="13" t="s">
        <v>2324</v>
      </c>
      <c r="B38" s="55" t="s">
        <v>2325</v>
      </c>
      <c r="C38" s="13" t="s">
        <v>44</v>
      </c>
      <c r="D38" s="59">
        <v>46419</v>
      </c>
      <c r="E38" s="6">
        <v>0</v>
      </c>
      <c r="F38" s="54">
        <v>37</v>
      </c>
      <c r="H38" s="62"/>
      <c r="I38" s="20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46447</v>
      </c>
      <c r="E39" s="6">
        <v>0</v>
      </c>
      <c r="F39" s="13">
        <v>38</v>
      </c>
      <c r="H39" s="62"/>
      <c r="I39" s="20"/>
    </row>
    <row r="40" spans="1:9" x14ac:dyDescent="0.4">
      <c r="A40" s="13" t="s">
        <v>2324</v>
      </c>
      <c r="B40" s="55" t="s">
        <v>2325</v>
      </c>
      <c r="C40" s="13" t="s">
        <v>44</v>
      </c>
      <c r="D40" s="59">
        <v>46478</v>
      </c>
      <c r="E40" s="6">
        <v>0</v>
      </c>
      <c r="F40" s="54">
        <v>39</v>
      </c>
      <c r="H40" s="62"/>
      <c r="I40" s="20"/>
    </row>
    <row r="41" spans="1:9" x14ac:dyDescent="0.4">
      <c r="A41" s="13" t="s">
        <v>2324</v>
      </c>
      <c r="B41" s="55" t="s">
        <v>2325</v>
      </c>
      <c r="C41" s="13" t="s">
        <v>44</v>
      </c>
      <c r="D41" s="59">
        <v>46508</v>
      </c>
      <c r="E41" s="6">
        <v>0</v>
      </c>
      <c r="F41" s="13">
        <v>40</v>
      </c>
      <c r="H41" s="62"/>
      <c r="I41" s="20"/>
    </row>
    <row r="42" spans="1:9" x14ac:dyDescent="0.4">
      <c r="A42" s="13" t="s">
        <v>2324</v>
      </c>
      <c r="B42" s="55" t="s">
        <v>2325</v>
      </c>
      <c r="C42" s="13" t="s">
        <v>44</v>
      </c>
      <c r="D42" s="59">
        <v>46539</v>
      </c>
      <c r="E42" s="6">
        <v>0</v>
      </c>
      <c r="F42" s="54">
        <v>41</v>
      </c>
      <c r="H42" s="62"/>
      <c r="I42" s="20"/>
    </row>
    <row r="43" spans="1:9" x14ac:dyDescent="0.4">
      <c r="A43" s="13" t="s">
        <v>2324</v>
      </c>
      <c r="B43" s="55" t="s">
        <v>2325</v>
      </c>
      <c r="C43" s="13" t="s">
        <v>44</v>
      </c>
      <c r="D43" s="59">
        <v>46569</v>
      </c>
      <c r="E43" s="6">
        <v>0</v>
      </c>
      <c r="F43" s="13">
        <v>42</v>
      </c>
      <c r="H43" s="62"/>
      <c r="I43" s="20"/>
    </row>
    <row r="44" spans="1:9" x14ac:dyDescent="0.4">
      <c r="A44" s="13" t="s">
        <v>2324</v>
      </c>
      <c r="B44" s="55" t="s">
        <v>2325</v>
      </c>
      <c r="C44" s="13" t="s">
        <v>44</v>
      </c>
      <c r="D44" s="59">
        <v>46600</v>
      </c>
      <c r="E44" s="6">
        <v>0</v>
      </c>
      <c r="F44" s="54">
        <v>43</v>
      </c>
      <c r="H44" s="62"/>
      <c r="I44" s="20"/>
    </row>
    <row r="45" spans="1:9" x14ac:dyDescent="0.4">
      <c r="A45" s="13" t="s">
        <v>2324</v>
      </c>
      <c r="B45" s="55" t="s">
        <v>2325</v>
      </c>
      <c r="C45" s="13" t="s">
        <v>44</v>
      </c>
      <c r="D45" s="59">
        <v>46631</v>
      </c>
      <c r="E45" s="6">
        <v>0</v>
      </c>
      <c r="F45" s="13">
        <v>44</v>
      </c>
      <c r="H45" s="62"/>
      <c r="I45" s="20"/>
    </row>
    <row r="46" spans="1:9" x14ac:dyDescent="0.4">
      <c r="A46" s="13" t="s">
        <v>2324</v>
      </c>
      <c r="B46" s="55" t="s">
        <v>2325</v>
      </c>
      <c r="C46" s="13" t="s">
        <v>1944</v>
      </c>
      <c r="D46" s="59">
        <v>45992</v>
      </c>
      <c r="E46" s="6">
        <v>0</v>
      </c>
      <c r="F46" s="54">
        <v>45</v>
      </c>
      <c r="H46" s="62"/>
      <c r="I46" s="20"/>
    </row>
    <row r="47" spans="1:9" x14ac:dyDescent="0.4">
      <c r="A47" s="13" t="s">
        <v>2324</v>
      </c>
      <c r="B47" s="55" t="s">
        <v>2325</v>
      </c>
      <c r="C47" s="13" t="s">
        <v>1944</v>
      </c>
      <c r="D47" s="59">
        <v>46023</v>
      </c>
      <c r="E47" s="6">
        <v>9435</v>
      </c>
      <c r="F47" s="13">
        <v>46</v>
      </c>
      <c r="H47" s="62"/>
      <c r="I47" s="20"/>
    </row>
    <row r="48" spans="1:9" x14ac:dyDescent="0.4">
      <c r="A48" s="13" t="s">
        <v>2324</v>
      </c>
      <c r="B48" s="55" t="s">
        <v>2325</v>
      </c>
      <c r="C48" s="13" t="s">
        <v>1944</v>
      </c>
      <c r="D48" s="59">
        <v>46054</v>
      </c>
      <c r="E48" s="6">
        <v>9435</v>
      </c>
      <c r="F48" s="54">
        <v>47</v>
      </c>
      <c r="H48" s="62"/>
      <c r="I48" s="20"/>
    </row>
    <row r="49" spans="1:9" x14ac:dyDescent="0.4">
      <c r="A49" s="13" t="s">
        <v>2324</v>
      </c>
      <c r="B49" s="55" t="s">
        <v>2325</v>
      </c>
      <c r="C49" s="13" t="s">
        <v>1944</v>
      </c>
      <c r="D49" s="59">
        <v>46082</v>
      </c>
      <c r="E49" s="6">
        <v>103785</v>
      </c>
      <c r="F49" s="13">
        <v>48</v>
      </c>
      <c r="H49" s="62"/>
      <c r="I49" s="20"/>
    </row>
    <row r="50" spans="1:9" x14ac:dyDescent="0.4">
      <c r="A50" s="13" t="s">
        <v>2324</v>
      </c>
      <c r="B50" s="55" t="s">
        <v>2325</v>
      </c>
      <c r="C50" s="13" t="s">
        <v>1944</v>
      </c>
      <c r="D50" s="59">
        <v>46113</v>
      </c>
      <c r="E50" s="6">
        <v>103785</v>
      </c>
      <c r="F50" s="54">
        <v>49</v>
      </c>
      <c r="H50" s="62"/>
      <c r="I50" s="20"/>
    </row>
    <row r="51" spans="1:9" x14ac:dyDescent="0.4">
      <c r="A51" s="13" t="s">
        <v>2324</v>
      </c>
      <c r="B51" s="55" t="s">
        <v>2325</v>
      </c>
      <c r="C51" s="13" t="s">
        <v>1944</v>
      </c>
      <c r="D51" s="59">
        <v>46143</v>
      </c>
      <c r="E51" s="6">
        <v>160395</v>
      </c>
      <c r="F51" s="13">
        <v>50</v>
      </c>
      <c r="H51" s="62"/>
      <c r="I51" s="20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46174</v>
      </c>
      <c r="E52" s="6">
        <v>217005</v>
      </c>
      <c r="F52" s="54">
        <v>51</v>
      </c>
      <c r="H52" s="62"/>
      <c r="I52" s="20"/>
    </row>
    <row r="53" spans="1:9" x14ac:dyDescent="0.4">
      <c r="A53" s="13" t="s">
        <v>2324</v>
      </c>
      <c r="B53" s="55" t="s">
        <v>2325</v>
      </c>
      <c r="C53" s="13" t="s">
        <v>1944</v>
      </c>
      <c r="D53" s="59">
        <v>46204</v>
      </c>
      <c r="E53" s="6">
        <v>235875</v>
      </c>
      <c r="F53" s="13">
        <v>52</v>
      </c>
      <c r="H53" s="62"/>
      <c r="I53" s="20"/>
    </row>
    <row r="54" spans="1:9" x14ac:dyDescent="0.4">
      <c r="A54" s="13" t="s">
        <v>2324</v>
      </c>
      <c r="B54" s="55" t="s">
        <v>2325</v>
      </c>
      <c r="C54" s="13" t="s">
        <v>1944</v>
      </c>
      <c r="D54" s="59">
        <v>46235</v>
      </c>
      <c r="E54" s="6">
        <v>245310</v>
      </c>
      <c r="F54" s="54">
        <v>53</v>
      </c>
      <c r="H54" s="62"/>
      <c r="I54" s="20"/>
    </row>
    <row r="55" spans="1:9" x14ac:dyDescent="0.4">
      <c r="A55" s="13" t="s">
        <v>2324</v>
      </c>
      <c r="B55" s="55" t="s">
        <v>2325</v>
      </c>
      <c r="C55" s="13" t="s">
        <v>1944</v>
      </c>
      <c r="D55" s="59">
        <v>46266</v>
      </c>
      <c r="E55" s="6">
        <v>396270</v>
      </c>
      <c r="F55" s="13">
        <v>54</v>
      </c>
      <c r="H55" s="62"/>
      <c r="I55" s="20"/>
    </row>
    <row r="56" spans="1:9" x14ac:dyDescent="0.4">
      <c r="A56" s="13" t="s">
        <v>2324</v>
      </c>
      <c r="B56" s="55" t="s">
        <v>2325</v>
      </c>
      <c r="C56" s="13" t="s">
        <v>1944</v>
      </c>
      <c r="D56" s="59">
        <v>46296</v>
      </c>
      <c r="E56" s="6">
        <v>594405</v>
      </c>
      <c r="F56" s="54">
        <v>55</v>
      </c>
      <c r="H56" s="62"/>
      <c r="I56" s="20"/>
    </row>
    <row r="57" spans="1:9" x14ac:dyDescent="0.4">
      <c r="A57" s="13" t="s">
        <v>2324</v>
      </c>
      <c r="B57" s="55" t="s">
        <v>2325</v>
      </c>
      <c r="C57" s="13" t="s">
        <v>1944</v>
      </c>
      <c r="D57" s="59">
        <v>46327</v>
      </c>
      <c r="E57" s="6">
        <v>594405</v>
      </c>
      <c r="F57" s="13">
        <v>56</v>
      </c>
      <c r="H57" s="62"/>
      <c r="I57" s="20"/>
    </row>
    <row r="58" spans="1:9" x14ac:dyDescent="0.4">
      <c r="A58" s="13" t="s">
        <v>2324</v>
      </c>
      <c r="B58" s="55" t="s">
        <v>2325</v>
      </c>
      <c r="C58" s="13" t="s">
        <v>1944</v>
      </c>
      <c r="D58" s="59">
        <v>46357</v>
      </c>
      <c r="E58" s="6">
        <v>594405</v>
      </c>
      <c r="F58" s="54">
        <v>57</v>
      </c>
      <c r="H58" s="62"/>
      <c r="I58" s="20"/>
    </row>
    <row r="59" spans="1:9" x14ac:dyDescent="0.4">
      <c r="A59" s="13" t="s">
        <v>2324</v>
      </c>
      <c r="B59" s="55" t="s">
        <v>2325</v>
      </c>
      <c r="C59" s="13" t="s">
        <v>1944</v>
      </c>
      <c r="D59" s="59">
        <v>46388</v>
      </c>
      <c r="E59" s="6">
        <v>584970</v>
      </c>
      <c r="F59" s="13">
        <v>58</v>
      </c>
      <c r="H59" s="62"/>
      <c r="I59" s="20"/>
    </row>
    <row r="60" spans="1:9" x14ac:dyDescent="0.4">
      <c r="A60" s="13" t="s">
        <v>2324</v>
      </c>
      <c r="B60" s="55" t="s">
        <v>2325</v>
      </c>
      <c r="C60" s="13" t="s">
        <v>1944</v>
      </c>
      <c r="D60" s="59">
        <v>46419</v>
      </c>
      <c r="E60" s="6">
        <v>584970</v>
      </c>
      <c r="F60" s="54">
        <v>59</v>
      </c>
      <c r="H60" s="62"/>
      <c r="I60" s="20"/>
    </row>
    <row r="61" spans="1:9" x14ac:dyDescent="0.4">
      <c r="A61" s="13" t="s">
        <v>2324</v>
      </c>
      <c r="B61" s="55" t="s">
        <v>2325</v>
      </c>
      <c r="C61" s="13" t="s">
        <v>1944</v>
      </c>
      <c r="D61" s="59">
        <v>46447</v>
      </c>
      <c r="E61" s="6">
        <v>490620</v>
      </c>
      <c r="F61" s="13">
        <v>60</v>
      </c>
      <c r="H61" s="62"/>
      <c r="I61" s="20"/>
    </row>
    <row r="62" spans="1:9" x14ac:dyDescent="0.4">
      <c r="A62" s="13" t="s">
        <v>2324</v>
      </c>
      <c r="B62" s="55" t="s">
        <v>2325</v>
      </c>
      <c r="C62" s="13" t="s">
        <v>1944</v>
      </c>
      <c r="D62" s="59">
        <v>46478</v>
      </c>
      <c r="E62" s="6">
        <v>490620</v>
      </c>
      <c r="F62" s="54">
        <v>61</v>
      </c>
      <c r="H62" s="62"/>
      <c r="I62" s="20"/>
    </row>
    <row r="63" spans="1:9" x14ac:dyDescent="0.4">
      <c r="A63" s="13" t="s">
        <v>2324</v>
      </c>
      <c r="B63" s="55" t="s">
        <v>2325</v>
      </c>
      <c r="C63" s="13" t="s">
        <v>1944</v>
      </c>
      <c r="D63" s="59">
        <v>46508</v>
      </c>
      <c r="E63" s="6">
        <v>434010</v>
      </c>
      <c r="F63" s="13">
        <v>62</v>
      </c>
      <c r="H63" s="62"/>
      <c r="I63" s="20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46539</v>
      </c>
      <c r="E64" s="6">
        <v>377400</v>
      </c>
      <c r="F64" s="54">
        <v>63</v>
      </c>
      <c r="H64" s="62"/>
      <c r="I64" s="20"/>
    </row>
    <row r="65" spans="1:9" x14ac:dyDescent="0.4">
      <c r="A65" s="13" t="s">
        <v>2324</v>
      </c>
      <c r="B65" s="55" t="s">
        <v>2325</v>
      </c>
      <c r="C65" s="13" t="s">
        <v>1944</v>
      </c>
      <c r="D65" s="59">
        <v>46569</v>
      </c>
      <c r="E65" s="6">
        <v>358530</v>
      </c>
      <c r="F65" s="13">
        <v>64</v>
      </c>
      <c r="H65" s="62"/>
      <c r="I65" s="20"/>
    </row>
    <row r="66" spans="1:9" x14ac:dyDescent="0.4">
      <c r="A66" s="13" t="s">
        <v>2324</v>
      </c>
      <c r="B66" s="55" t="s">
        <v>2325</v>
      </c>
      <c r="C66" s="13" t="s">
        <v>1944</v>
      </c>
      <c r="D66" s="59">
        <v>46600</v>
      </c>
      <c r="E66" s="6">
        <v>349095</v>
      </c>
      <c r="F66" s="54">
        <v>65</v>
      </c>
      <c r="H66" s="62"/>
      <c r="I66" s="20"/>
    </row>
    <row r="67" spans="1:9" x14ac:dyDescent="0.4">
      <c r="A67" s="13" t="s">
        <v>2324</v>
      </c>
      <c r="B67" s="55" t="s">
        <v>2325</v>
      </c>
      <c r="C67" s="13" t="s">
        <v>1944</v>
      </c>
      <c r="D67" s="59">
        <v>46631</v>
      </c>
      <c r="E67" s="6">
        <v>198135</v>
      </c>
      <c r="F67" s="13">
        <v>66</v>
      </c>
      <c r="H67" s="62"/>
      <c r="I67" s="20"/>
    </row>
    <row r="68" spans="1:9" x14ac:dyDescent="0.4">
      <c r="A68" s="13" t="s">
        <v>2324</v>
      </c>
      <c r="B68" s="55" t="s">
        <v>2325</v>
      </c>
      <c r="C68" s="13" t="s">
        <v>70</v>
      </c>
      <c r="D68" s="59">
        <v>45992</v>
      </c>
      <c r="E68" s="6">
        <v>0</v>
      </c>
      <c r="F68" s="54">
        <v>67</v>
      </c>
      <c r="H68" s="62"/>
      <c r="I68" s="20"/>
    </row>
    <row r="69" spans="1:9" x14ac:dyDescent="0.4">
      <c r="A69" s="13" t="s">
        <v>2324</v>
      </c>
      <c r="B69" s="55" t="s">
        <v>2325</v>
      </c>
      <c r="C69" s="13" t="s">
        <v>70</v>
      </c>
      <c r="D69" s="59">
        <v>46023</v>
      </c>
      <c r="E69" s="6">
        <v>19800</v>
      </c>
      <c r="F69" s="13">
        <v>68</v>
      </c>
      <c r="H69" s="62"/>
      <c r="I69" s="20"/>
    </row>
    <row r="70" spans="1:9" x14ac:dyDescent="0.4">
      <c r="A70" s="13" t="s">
        <v>2324</v>
      </c>
      <c r="B70" s="55" t="s">
        <v>2325</v>
      </c>
      <c r="C70" s="13" t="s">
        <v>70</v>
      </c>
      <c r="D70" s="59">
        <v>46054</v>
      </c>
      <c r="E70" s="6">
        <v>19800</v>
      </c>
      <c r="F70" s="54">
        <v>69</v>
      </c>
      <c r="H70" s="62"/>
      <c r="I70" s="20"/>
    </row>
    <row r="71" spans="1:9" x14ac:dyDescent="0.4">
      <c r="A71" s="13" t="s">
        <v>2324</v>
      </c>
      <c r="B71" s="55" t="s">
        <v>2325</v>
      </c>
      <c r="C71" s="13" t="s">
        <v>70</v>
      </c>
      <c r="D71" s="59">
        <v>46082</v>
      </c>
      <c r="E71" s="6">
        <v>19800</v>
      </c>
      <c r="F71" s="13">
        <v>70</v>
      </c>
      <c r="H71" s="62"/>
      <c r="I71" s="20"/>
    </row>
    <row r="72" spans="1:9" x14ac:dyDescent="0.4">
      <c r="A72" s="13" t="s">
        <v>2324</v>
      </c>
      <c r="B72" s="55" t="s">
        <v>2325</v>
      </c>
      <c r="C72" s="13" t="s">
        <v>70</v>
      </c>
      <c r="D72" s="59">
        <v>46113</v>
      </c>
      <c r="E72" s="6">
        <v>19800</v>
      </c>
      <c r="F72" s="54">
        <v>71</v>
      </c>
      <c r="H72" s="62"/>
      <c r="I72" s="20"/>
    </row>
    <row r="73" spans="1:9" x14ac:dyDescent="0.4">
      <c r="A73" s="13" t="s">
        <v>2324</v>
      </c>
      <c r="B73" s="55" t="s">
        <v>2325</v>
      </c>
      <c r="C73" s="13" t="s">
        <v>70</v>
      </c>
      <c r="D73" s="59">
        <v>46143</v>
      </c>
      <c r="E73" s="6">
        <v>19800</v>
      </c>
      <c r="F73" s="13">
        <v>72</v>
      </c>
      <c r="H73" s="62"/>
      <c r="I73" s="20"/>
    </row>
    <row r="74" spans="1:9" x14ac:dyDescent="0.4">
      <c r="A74" s="13" t="s">
        <v>2324</v>
      </c>
      <c r="B74" s="55" t="s">
        <v>2325</v>
      </c>
      <c r="C74" s="13" t="s">
        <v>70</v>
      </c>
      <c r="D74" s="59">
        <v>46174</v>
      </c>
      <c r="E74" s="6">
        <v>19800</v>
      </c>
      <c r="F74" s="54">
        <v>73</v>
      </c>
      <c r="H74" s="62"/>
      <c r="I74" s="20"/>
    </row>
    <row r="75" spans="1:9" x14ac:dyDescent="0.4">
      <c r="A75" s="13" t="s">
        <v>2324</v>
      </c>
      <c r="B75" s="55" t="s">
        <v>2325</v>
      </c>
      <c r="C75" s="13" t="s">
        <v>70</v>
      </c>
      <c r="D75" s="59">
        <v>46204</v>
      </c>
      <c r="E75" s="6">
        <v>0</v>
      </c>
      <c r="F75" s="13">
        <v>74</v>
      </c>
      <c r="H75" s="62"/>
      <c r="I75" s="20"/>
    </row>
    <row r="76" spans="1:9" x14ac:dyDescent="0.4">
      <c r="A76" s="13" t="s">
        <v>2324</v>
      </c>
      <c r="B76" s="55" t="s">
        <v>2325</v>
      </c>
      <c r="C76" s="13" t="s">
        <v>70</v>
      </c>
      <c r="D76" s="59">
        <v>46235</v>
      </c>
      <c r="E76" s="6">
        <v>0</v>
      </c>
      <c r="F76" s="54">
        <v>75</v>
      </c>
      <c r="H76" s="62"/>
      <c r="I76" s="20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46266</v>
      </c>
      <c r="E77" s="6">
        <v>0</v>
      </c>
      <c r="F77" s="13">
        <v>76</v>
      </c>
      <c r="H77" s="62"/>
      <c r="I77" s="20"/>
    </row>
    <row r="78" spans="1:9" x14ac:dyDescent="0.4">
      <c r="A78" s="13" t="s">
        <v>2324</v>
      </c>
      <c r="B78" s="55" t="s">
        <v>2325</v>
      </c>
      <c r="C78" s="13" t="s">
        <v>70</v>
      </c>
      <c r="D78" s="59">
        <v>46296</v>
      </c>
      <c r="E78" s="6">
        <v>0</v>
      </c>
      <c r="F78" s="54">
        <v>77</v>
      </c>
      <c r="H78" s="62"/>
      <c r="I78" s="20"/>
    </row>
    <row r="79" spans="1:9" x14ac:dyDescent="0.4">
      <c r="A79" s="13" t="s">
        <v>2324</v>
      </c>
      <c r="B79" s="55" t="s">
        <v>2325</v>
      </c>
      <c r="C79" s="13" t="s">
        <v>70</v>
      </c>
      <c r="D79" s="59">
        <v>46327</v>
      </c>
      <c r="E79" s="6">
        <v>0</v>
      </c>
      <c r="F79" s="13">
        <v>78</v>
      </c>
      <c r="H79" s="62"/>
      <c r="I79" s="20"/>
    </row>
    <row r="80" spans="1:9" x14ac:dyDescent="0.4">
      <c r="A80" s="13" t="s">
        <v>2324</v>
      </c>
      <c r="B80" s="55" t="s">
        <v>2325</v>
      </c>
      <c r="C80" s="13" t="s">
        <v>70</v>
      </c>
      <c r="D80" s="59">
        <v>46357</v>
      </c>
      <c r="E80" s="6">
        <v>0</v>
      </c>
      <c r="F80" s="54">
        <v>79</v>
      </c>
      <c r="H80" s="62"/>
      <c r="I80" s="20"/>
    </row>
    <row r="81" spans="1:9" x14ac:dyDescent="0.4">
      <c r="A81" s="13" t="s">
        <v>2324</v>
      </c>
      <c r="B81" s="55" t="s">
        <v>2325</v>
      </c>
      <c r="C81" s="13" t="s">
        <v>70</v>
      </c>
      <c r="D81" s="59">
        <v>46388</v>
      </c>
      <c r="E81" s="6">
        <v>0</v>
      </c>
      <c r="F81" s="13">
        <v>80</v>
      </c>
      <c r="H81" s="62"/>
      <c r="I81" s="20"/>
    </row>
    <row r="82" spans="1:9" x14ac:dyDescent="0.4">
      <c r="A82" s="13" t="s">
        <v>2324</v>
      </c>
      <c r="B82" s="55" t="s">
        <v>2325</v>
      </c>
      <c r="C82" s="13" t="s">
        <v>70</v>
      </c>
      <c r="D82" s="59">
        <v>46419</v>
      </c>
      <c r="E82" s="6">
        <v>0</v>
      </c>
      <c r="F82" s="54">
        <v>81</v>
      </c>
      <c r="H82" s="62"/>
      <c r="I82" s="20"/>
    </row>
    <row r="83" spans="1:9" x14ac:dyDescent="0.4">
      <c r="A83" s="13" t="s">
        <v>2324</v>
      </c>
      <c r="B83" s="55" t="s">
        <v>2325</v>
      </c>
      <c r="C83" s="13" t="s">
        <v>70</v>
      </c>
      <c r="D83" s="59">
        <v>46447</v>
      </c>
      <c r="E83" s="6">
        <v>0</v>
      </c>
      <c r="F83" s="13">
        <v>82</v>
      </c>
      <c r="H83" s="62"/>
      <c r="I83" s="20"/>
    </row>
    <row r="84" spans="1:9" x14ac:dyDescent="0.4">
      <c r="A84" s="13" t="s">
        <v>2324</v>
      </c>
      <c r="B84" s="55" t="s">
        <v>2325</v>
      </c>
      <c r="C84" s="13" t="s">
        <v>70</v>
      </c>
      <c r="D84" s="59">
        <v>46478</v>
      </c>
      <c r="E84" s="6">
        <v>0</v>
      </c>
      <c r="F84" s="54">
        <v>83</v>
      </c>
      <c r="H84" s="62"/>
      <c r="I84" s="20"/>
    </row>
    <row r="85" spans="1:9" x14ac:dyDescent="0.4">
      <c r="A85" s="13" t="s">
        <v>2324</v>
      </c>
      <c r="B85" s="55" t="s">
        <v>2325</v>
      </c>
      <c r="C85" s="13" t="s">
        <v>70</v>
      </c>
      <c r="D85" s="59">
        <v>46508</v>
      </c>
      <c r="E85" s="6">
        <v>0</v>
      </c>
      <c r="F85" s="13">
        <v>84</v>
      </c>
      <c r="H85" s="62"/>
      <c r="I85" s="20"/>
    </row>
    <row r="86" spans="1:9" x14ac:dyDescent="0.4">
      <c r="A86" s="13" t="s">
        <v>2324</v>
      </c>
      <c r="B86" s="55" t="s">
        <v>2325</v>
      </c>
      <c r="C86" s="13" t="s">
        <v>70</v>
      </c>
      <c r="D86" s="59">
        <v>46539</v>
      </c>
      <c r="E86" s="6">
        <v>0</v>
      </c>
      <c r="F86" s="54">
        <v>85</v>
      </c>
      <c r="H86" s="62"/>
      <c r="I86" s="20"/>
    </row>
    <row r="87" spans="1:9" x14ac:dyDescent="0.4">
      <c r="A87" s="13" t="s">
        <v>2324</v>
      </c>
      <c r="B87" s="55" t="s">
        <v>2325</v>
      </c>
      <c r="C87" s="13" t="s">
        <v>70</v>
      </c>
      <c r="D87" s="59">
        <v>46569</v>
      </c>
      <c r="E87" s="6">
        <v>0</v>
      </c>
      <c r="F87" s="13">
        <v>86</v>
      </c>
      <c r="H87" s="62"/>
      <c r="I87" s="20"/>
    </row>
    <row r="88" spans="1:9" x14ac:dyDescent="0.4">
      <c r="A88" s="13" t="s">
        <v>2324</v>
      </c>
      <c r="B88" s="55" t="s">
        <v>2325</v>
      </c>
      <c r="C88" s="13" t="s">
        <v>70</v>
      </c>
      <c r="D88" s="59">
        <v>46600</v>
      </c>
      <c r="E88" s="6">
        <v>0</v>
      </c>
      <c r="F88" s="54">
        <v>87</v>
      </c>
      <c r="H88" s="62"/>
      <c r="I88" s="20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46631</v>
      </c>
      <c r="E89" s="6">
        <v>0</v>
      </c>
      <c r="F89" s="13">
        <v>88</v>
      </c>
      <c r="H89" s="62"/>
      <c r="I89" s="20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45992</v>
      </c>
      <c r="E90" s="6">
        <v>0</v>
      </c>
      <c r="F90" s="54">
        <v>89</v>
      </c>
      <c r="H90" s="62"/>
      <c r="I90" s="20"/>
    </row>
    <row r="91" spans="1:9" x14ac:dyDescent="0.4">
      <c r="A91" s="13" t="s">
        <v>2324</v>
      </c>
      <c r="B91" s="55" t="s">
        <v>2325</v>
      </c>
      <c r="C91" s="13" t="s">
        <v>50</v>
      </c>
      <c r="D91" s="59">
        <v>46023</v>
      </c>
      <c r="E91" s="6">
        <v>228600</v>
      </c>
      <c r="F91" s="13">
        <v>90</v>
      </c>
      <c r="H91" s="62"/>
      <c r="I91" s="20"/>
    </row>
    <row r="92" spans="1:9" x14ac:dyDescent="0.4">
      <c r="A92" s="13" t="s">
        <v>2324</v>
      </c>
      <c r="B92" s="55" t="s">
        <v>2325</v>
      </c>
      <c r="C92" s="13" t="s">
        <v>50</v>
      </c>
      <c r="D92" s="59">
        <v>46054</v>
      </c>
      <c r="E92" s="6">
        <v>247650</v>
      </c>
      <c r="F92" s="54">
        <v>91</v>
      </c>
      <c r="H92" s="62"/>
      <c r="I92" s="20"/>
    </row>
    <row r="93" spans="1:9" x14ac:dyDescent="0.4">
      <c r="A93" s="13" t="s">
        <v>2324</v>
      </c>
      <c r="B93" s="55" t="s">
        <v>2325</v>
      </c>
      <c r="C93" s="13" t="s">
        <v>50</v>
      </c>
      <c r="D93" s="59">
        <v>46082</v>
      </c>
      <c r="E93" s="6">
        <v>247650</v>
      </c>
      <c r="F93" s="13">
        <v>92</v>
      </c>
      <c r="H93" s="62"/>
      <c r="I93" s="20"/>
    </row>
    <row r="94" spans="1:9" x14ac:dyDescent="0.4">
      <c r="A94" s="13" t="s">
        <v>2324</v>
      </c>
      <c r="B94" s="55" t="s">
        <v>2325</v>
      </c>
      <c r="C94" s="13" t="s">
        <v>50</v>
      </c>
      <c r="D94" s="59">
        <v>46113</v>
      </c>
      <c r="E94" s="6">
        <v>266700</v>
      </c>
      <c r="F94" s="54">
        <v>93</v>
      </c>
      <c r="H94" s="62"/>
      <c r="I94" s="20"/>
    </row>
    <row r="95" spans="1:9" x14ac:dyDescent="0.4">
      <c r="A95" s="13" t="s">
        <v>2324</v>
      </c>
      <c r="B95" s="55" t="s">
        <v>2325</v>
      </c>
      <c r="C95" s="13" t="s">
        <v>50</v>
      </c>
      <c r="D95" s="59">
        <v>46143</v>
      </c>
      <c r="E95" s="6">
        <v>361950</v>
      </c>
      <c r="F95" s="13">
        <v>94</v>
      </c>
      <c r="H95" s="62"/>
      <c r="I95" s="20"/>
    </row>
    <row r="96" spans="1:9" x14ac:dyDescent="0.4">
      <c r="A96" s="13" t="s">
        <v>2324</v>
      </c>
      <c r="B96" s="55" t="s">
        <v>2325</v>
      </c>
      <c r="C96" s="13" t="s">
        <v>50</v>
      </c>
      <c r="D96" s="59">
        <v>46174</v>
      </c>
      <c r="E96" s="6">
        <v>361950</v>
      </c>
      <c r="F96" s="54">
        <v>95</v>
      </c>
      <c r="H96" s="62"/>
      <c r="I96" s="20"/>
    </row>
    <row r="97" spans="1:9" x14ac:dyDescent="0.4">
      <c r="A97" s="13" t="s">
        <v>2324</v>
      </c>
      <c r="B97" s="55" t="s">
        <v>2325</v>
      </c>
      <c r="C97" s="13" t="s">
        <v>50</v>
      </c>
      <c r="D97" s="59">
        <v>46204</v>
      </c>
      <c r="E97" s="6">
        <v>266700</v>
      </c>
      <c r="F97" s="13">
        <v>96</v>
      </c>
      <c r="H97" s="62"/>
      <c r="I97" s="20"/>
    </row>
    <row r="98" spans="1:9" x14ac:dyDescent="0.4">
      <c r="A98" s="13" t="s">
        <v>2324</v>
      </c>
      <c r="B98" s="55" t="s">
        <v>2325</v>
      </c>
      <c r="C98" s="13" t="s">
        <v>50</v>
      </c>
      <c r="D98" s="59">
        <v>46235</v>
      </c>
      <c r="E98" s="6">
        <v>247650</v>
      </c>
      <c r="F98" s="54">
        <v>97</v>
      </c>
      <c r="H98" s="62"/>
      <c r="I98" s="20"/>
    </row>
    <row r="99" spans="1:9" x14ac:dyDescent="0.4">
      <c r="A99" s="13" t="s">
        <v>2324</v>
      </c>
      <c r="B99" s="55" t="s">
        <v>2325</v>
      </c>
      <c r="C99" s="13" t="s">
        <v>50</v>
      </c>
      <c r="D99" s="59">
        <v>46266</v>
      </c>
      <c r="E99" s="6">
        <v>247650</v>
      </c>
      <c r="F99" s="13">
        <v>98</v>
      </c>
      <c r="H99" s="62"/>
      <c r="I99" s="20"/>
    </row>
    <row r="100" spans="1:9" x14ac:dyDescent="0.4">
      <c r="A100" s="13" t="s">
        <v>2324</v>
      </c>
      <c r="B100" s="55" t="s">
        <v>2325</v>
      </c>
      <c r="C100" s="13" t="s">
        <v>50</v>
      </c>
      <c r="D100" s="59">
        <v>46296</v>
      </c>
      <c r="E100" s="6">
        <v>228600</v>
      </c>
      <c r="F100" s="54">
        <v>99</v>
      </c>
      <c r="H100" s="62"/>
      <c r="I100" s="20"/>
    </row>
    <row r="101" spans="1:9" x14ac:dyDescent="0.4">
      <c r="A101" s="13" t="s">
        <v>2324</v>
      </c>
      <c r="B101" s="55" t="s">
        <v>2325</v>
      </c>
      <c r="C101" s="13" t="s">
        <v>50</v>
      </c>
      <c r="D101" s="59">
        <v>46327</v>
      </c>
      <c r="E101" s="6">
        <v>133350</v>
      </c>
      <c r="F101" s="13">
        <v>100</v>
      </c>
      <c r="H101" s="62"/>
      <c r="I101" s="20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46357</v>
      </c>
      <c r="E102" s="6">
        <v>133350</v>
      </c>
      <c r="F102" s="54">
        <v>101</v>
      </c>
      <c r="H102" s="62"/>
      <c r="I102" s="20"/>
    </row>
    <row r="103" spans="1:9" x14ac:dyDescent="0.4">
      <c r="A103" s="13" t="s">
        <v>2324</v>
      </c>
      <c r="B103" s="55" t="s">
        <v>2325</v>
      </c>
      <c r="C103" s="13" t="s">
        <v>50</v>
      </c>
      <c r="D103" s="59">
        <v>46388</v>
      </c>
      <c r="E103" s="6">
        <v>0</v>
      </c>
      <c r="F103" s="13">
        <v>102</v>
      </c>
      <c r="H103" s="62"/>
      <c r="I103" s="20"/>
    </row>
    <row r="104" spans="1:9" x14ac:dyDescent="0.4">
      <c r="A104" s="13" t="s">
        <v>2324</v>
      </c>
      <c r="B104" s="55" t="s">
        <v>2325</v>
      </c>
      <c r="C104" s="13" t="s">
        <v>50</v>
      </c>
      <c r="D104" s="59">
        <v>46419</v>
      </c>
      <c r="E104" s="6">
        <v>0</v>
      </c>
      <c r="F104" s="54">
        <v>103</v>
      </c>
      <c r="H104" s="62"/>
      <c r="I104" s="20"/>
    </row>
    <row r="105" spans="1:9" x14ac:dyDescent="0.4">
      <c r="A105" s="13" t="s">
        <v>2324</v>
      </c>
      <c r="B105" s="55" t="s">
        <v>2325</v>
      </c>
      <c r="C105" s="13" t="s">
        <v>50</v>
      </c>
      <c r="D105" s="59">
        <v>46447</v>
      </c>
      <c r="E105" s="6">
        <v>0</v>
      </c>
      <c r="F105" s="13">
        <v>104</v>
      </c>
      <c r="H105" s="62"/>
      <c r="I105" s="20"/>
    </row>
    <row r="106" spans="1:9" x14ac:dyDescent="0.4">
      <c r="A106" s="13" t="s">
        <v>2324</v>
      </c>
      <c r="B106" s="55" t="s">
        <v>2325</v>
      </c>
      <c r="C106" s="13" t="s">
        <v>50</v>
      </c>
      <c r="D106" s="59">
        <v>46478</v>
      </c>
      <c r="E106" s="6">
        <v>0</v>
      </c>
      <c r="F106" s="54">
        <v>105</v>
      </c>
      <c r="H106" s="62"/>
      <c r="I106" s="20"/>
    </row>
    <row r="107" spans="1:9" x14ac:dyDescent="0.4">
      <c r="A107" s="13" t="s">
        <v>2324</v>
      </c>
      <c r="B107" s="55" t="s">
        <v>2325</v>
      </c>
      <c r="C107" s="13" t="s">
        <v>50</v>
      </c>
      <c r="D107" s="59">
        <v>46508</v>
      </c>
      <c r="E107" s="6">
        <v>0</v>
      </c>
      <c r="F107" s="13">
        <v>106</v>
      </c>
      <c r="H107" s="62"/>
      <c r="I107" s="20"/>
    </row>
    <row r="108" spans="1:9" x14ac:dyDescent="0.4">
      <c r="A108" s="13" t="s">
        <v>2324</v>
      </c>
      <c r="B108" s="55" t="s">
        <v>2325</v>
      </c>
      <c r="C108" s="13" t="s">
        <v>50</v>
      </c>
      <c r="D108" s="59">
        <v>46539</v>
      </c>
      <c r="E108" s="6">
        <v>0</v>
      </c>
      <c r="F108" s="54">
        <v>107</v>
      </c>
      <c r="H108" s="62"/>
      <c r="I108" s="20"/>
    </row>
    <row r="109" spans="1:9" x14ac:dyDescent="0.4">
      <c r="A109" s="13" t="s">
        <v>2324</v>
      </c>
      <c r="B109" s="55" t="s">
        <v>2325</v>
      </c>
      <c r="C109" s="13" t="s">
        <v>50</v>
      </c>
      <c r="D109" s="59">
        <v>46569</v>
      </c>
      <c r="E109" s="6">
        <v>0</v>
      </c>
      <c r="F109" s="13">
        <v>108</v>
      </c>
      <c r="H109" s="62"/>
      <c r="I109" s="20"/>
    </row>
    <row r="110" spans="1:9" x14ac:dyDescent="0.4">
      <c r="A110" s="13" t="s">
        <v>2324</v>
      </c>
      <c r="B110" s="55" t="s">
        <v>2325</v>
      </c>
      <c r="C110" s="13" t="s">
        <v>50</v>
      </c>
      <c r="D110" s="59">
        <v>46600</v>
      </c>
      <c r="E110" s="6">
        <v>0</v>
      </c>
      <c r="F110" s="54">
        <v>109</v>
      </c>
      <c r="H110" s="62"/>
      <c r="I110" s="20"/>
    </row>
    <row r="111" spans="1:9" x14ac:dyDescent="0.4">
      <c r="A111" s="13" t="s">
        <v>2324</v>
      </c>
      <c r="B111" s="55" t="s">
        <v>2325</v>
      </c>
      <c r="C111" s="13" t="s">
        <v>50</v>
      </c>
      <c r="D111" s="59">
        <v>46631</v>
      </c>
      <c r="E111" s="6">
        <v>0</v>
      </c>
      <c r="F111" s="13">
        <v>110</v>
      </c>
      <c r="H111" s="62"/>
      <c r="I111" s="20"/>
    </row>
    <row r="112" spans="1:9" x14ac:dyDescent="0.4">
      <c r="A112" s="13" t="s">
        <v>2324</v>
      </c>
      <c r="B112" s="55" t="s">
        <v>2325</v>
      </c>
      <c r="C112" s="13" t="s">
        <v>5133</v>
      </c>
      <c r="D112" s="59">
        <v>45992</v>
      </c>
      <c r="E112" s="6">
        <v>0</v>
      </c>
      <c r="F112" s="54">
        <v>111</v>
      </c>
      <c r="H112" s="62"/>
      <c r="I112" s="20"/>
    </row>
    <row r="113" spans="1:9" x14ac:dyDescent="0.4">
      <c r="A113" s="13" t="s">
        <v>2324</v>
      </c>
      <c r="B113" s="55" t="s">
        <v>2325</v>
      </c>
      <c r="C113" s="13" t="s">
        <v>5133</v>
      </c>
      <c r="D113" s="59">
        <v>46023</v>
      </c>
      <c r="E113" s="6">
        <v>0</v>
      </c>
      <c r="F113" s="13">
        <v>112</v>
      </c>
      <c r="H113" s="62"/>
      <c r="I113" s="20"/>
    </row>
    <row r="114" spans="1:9" x14ac:dyDescent="0.4">
      <c r="A114" s="13" t="s">
        <v>2324</v>
      </c>
      <c r="B114" s="55" t="s">
        <v>2325</v>
      </c>
      <c r="C114" s="13" t="s">
        <v>5133</v>
      </c>
      <c r="D114" s="59">
        <v>46054</v>
      </c>
      <c r="E114" s="6">
        <v>0</v>
      </c>
      <c r="F114" s="54">
        <v>113</v>
      </c>
      <c r="H114" s="62"/>
      <c r="I114" s="20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46082</v>
      </c>
      <c r="E115" s="6">
        <v>0</v>
      </c>
      <c r="F115" s="13">
        <v>114</v>
      </c>
      <c r="H115" s="62"/>
      <c r="I115" s="20"/>
    </row>
    <row r="116" spans="1:9" x14ac:dyDescent="0.4">
      <c r="A116" s="13" t="s">
        <v>2324</v>
      </c>
      <c r="B116" s="55" t="s">
        <v>2325</v>
      </c>
      <c r="C116" s="13" t="s">
        <v>5133</v>
      </c>
      <c r="D116" s="59">
        <v>46113</v>
      </c>
      <c r="E116" s="6">
        <v>0</v>
      </c>
      <c r="F116" s="54">
        <v>115</v>
      </c>
      <c r="H116" s="62"/>
      <c r="I116" s="20"/>
    </row>
    <row r="117" spans="1:9" x14ac:dyDescent="0.4">
      <c r="A117" s="13" t="s">
        <v>2324</v>
      </c>
      <c r="B117" s="55" t="s">
        <v>2325</v>
      </c>
      <c r="C117" s="13" t="s">
        <v>5133</v>
      </c>
      <c r="D117" s="59">
        <v>46143</v>
      </c>
      <c r="E117" s="6">
        <v>0</v>
      </c>
      <c r="F117" s="13">
        <v>116</v>
      </c>
      <c r="H117" s="62"/>
      <c r="I117" s="20"/>
    </row>
    <row r="118" spans="1:9" x14ac:dyDescent="0.4">
      <c r="A118" s="13" t="s">
        <v>2324</v>
      </c>
      <c r="B118" s="55" t="s">
        <v>2325</v>
      </c>
      <c r="C118" s="13" t="s">
        <v>5133</v>
      </c>
      <c r="D118" s="59">
        <v>46174</v>
      </c>
      <c r="E118" s="6">
        <v>0</v>
      </c>
      <c r="F118" s="54">
        <v>117</v>
      </c>
      <c r="H118" s="62"/>
      <c r="I118" s="20"/>
    </row>
    <row r="119" spans="1:9" x14ac:dyDescent="0.4">
      <c r="A119" s="13" t="s">
        <v>2324</v>
      </c>
      <c r="B119" s="55" t="s">
        <v>2325</v>
      </c>
      <c r="C119" s="13" t="s">
        <v>5133</v>
      </c>
      <c r="D119" s="59">
        <v>46204</v>
      </c>
      <c r="E119" s="6">
        <v>0</v>
      </c>
      <c r="F119" s="13">
        <v>118</v>
      </c>
      <c r="H119" s="62"/>
      <c r="I119" s="20"/>
    </row>
    <row r="120" spans="1:9" x14ac:dyDescent="0.4">
      <c r="A120" s="13" t="s">
        <v>2324</v>
      </c>
      <c r="B120" s="55" t="s">
        <v>2325</v>
      </c>
      <c r="C120" s="13" t="s">
        <v>5133</v>
      </c>
      <c r="D120" s="59">
        <v>46235</v>
      </c>
      <c r="E120" s="6">
        <v>0</v>
      </c>
      <c r="F120" s="54">
        <v>119</v>
      </c>
      <c r="H120" s="62"/>
      <c r="I120" s="20"/>
    </row>
    <row r="121" spans="1:9" x14ac:dyDescent="0.4">
      <c r="A121" s="13" t="s">
        <v>2324</v>
      </c>
      <c r="B121" s="55" t="s">
        <v>2325</v>
      </c>
      <c r="C121" s="13" t="s">
        <v>5133</v>
      </c>
      <c r="D121" s="59">
        <v>46266</v>
      </c>
      <c r="E121" s="6">
        <v>28305</v>
      </c>
      <c r="F121" s="13">
        <v>120</v>
      </c>
      <c r="H121" s="62"/>
      <c r="I121" s="20"/>
    </row>
    <row r="122" spans="1:9" x14ac:dyDescent="0.4">
      <c r="A122" s="13" t="s">
        <v>2324</v>
      </c>
      <c r="B122" s="55" t="s">
        <v>2325</v>
      </c>
      <c r="C122" s="13" t="s">
        <v>5133</v>
      </c>
      <c r="D122" s="59">
        <v>46296</v>
      </c>
      <c r="E122" s="6">
        <v>28305</v>
      </c>
      <c r="F122" s="54">
        <v>121</v>
      </c>
      <c r="H122" s="62"/>
      <c r="I122" s="20"/>
    </row>
    <row r="123" spans="1:9" x14ac:dyDescent="0.4">
      <c r="A123" s="13" t="s">
        <v>2324</v>
      </c>
      <c r="B123" s="55" t="s">
        <v>2325</v>
      </c>
      <c r="C123" s="13" t="s">
        <v>5133</v>
      </c>
      <c r="D123" s="59">
        <v>46327</v>
      </c>
      <c r="E123" s="6">
        <v>37740</v>
      </c>
      <c r="F123" s="13">
        <v>122</v>
      </c>
      <c r="H123" s="62"/>
      <c r="I123" s="20"/>
    </row>
    <row r="124" spans="1:9" x14ac:dyDescent="0.4">
      <c r="A124" s="13" t="s">
        <v>2324</v>
      </c>
      <c r="B124" s="55" t="s">
        <v>2325</v>
      </c>
      <c r="C124" s="13" t="s">
        <v>5133</v>
      </c>
      <c r="D124" s="59">
        <v>46357</v>
      </c>
      <c r="E124" s="6">
        <v>37740</v>
      </c>
      <c r="F124" s="54">
        <v>123</v>
      </c>
      <c r="H124" s="62"/>
      <c r="I124" s="20"/>
    </row>
    <row r="125" spans="1:9" x14ac:dyDescent="0.4">
      <c r="A125" s="13" t="s">
        <v>2324</v>
      </c>
      <c r="B125" s="55" t="s">
        <v>2325</v>
      </c>
      <c r="C125" s="13" t="s">
        <v>5133</v>
      </c>
      <c r="D125" s="59">
        <v>46388</v>
      </c>
      <c r="E125" s="6">
        <v>37740</v>
      </c>
      <c r="F125" s="13">
        <v>124</v>
      </c>
      <c r="H125" s="62"/>
      <c r="I125" s="20"/>
    </row>
    <row r="126" spans="1:9" x14ac:dyDescent="0.4">
      <c r="A126" s="13" t="s">
        <v>2324</v>
      </c>
      <c r="B126" s="55" t="s">
        <v>2325</v>
      </c>
      <c r="C126" s="13" t="s">
        <v>5133</v>
      </c>
      <c r="D126" s="59">
        <v>46419</v>
      </c>
      <c r="E126" s="6">
        <v>37740</v>
      </c>
      <c r="F126" s="54">
        <v>125</v>
      </c>
      <c r="H126" s="62"/>
      <c r="I126" s="20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46447</v>
      </c>
      <c r="E127" s="6">
        <v>37740</v>
      </c>
      <c r="F127" s="13">
        <v>126</v>
      </c>
      <c r="H127" s="62"/>
      <c r="I127" s="20"/>
    </row>
    <row r="128" spans="1:9" x14ac:dyDescent="0.4">
      <c r="A128" s="13" t="s">
        <v>2324</v>
      </c>
      <c r="B128" s="55" t="s">
        <v>2325</v>
      </c>
      <c r="C128" s="13" t="s">
        <v>5133</v>
      </c>
      <c r="D128" s="59">
        <v>46478</v>
      </c>
      <c r="E128" s="6">
        <v>37740</v>
      </c>
      <c r="F128" s="54">
        <v>127</v>
      </c>
      <c r="H128" s="62"/>
      <c r="I128" s="20"/>
    </row>
    <row r="129" spans="1:9" x14ac:dyDescent="0.4">
      <c r="A129" s="13" t="s">
        <v>2324</v>
      </c>
      <c r="B129" s="55" t="s">
        <v>2325</v>
      </c>
      <c r="C129" s="13" t="s">
        <v>5133</v>
      </c>
      <c r="D129" s="59">
        <v>46508</v>
      </c>
      <c r="E129" s="6">
        <v>37740</v>
      </c>
      <c r="F129" s="13">
        <v>128</v>
      </c>
      <c r="H129" s="62"/>
      <c r="I129" s="20"/>
    </row>
    <row r="130" spans="1:9" x14ac:dyDescent="0.4">
      <c r="A130" s="13" t="s">
        <v>2324</v>
      </c>
      <c r="B130" s="55" t="s">
        <v>2325</v>
      </c>
      <c r="C130" s="13" t="s">
        <v>5133</v>
      </c>
      <c r="D130" s="59">
        <v>46539</v>
      </c>
      <c r="E130" s="6">
        <v>37740</v>
      </c>
      <c r="F130" s="54">
        <v>129</v>
      </c>
      <c r="H130" s="62"/>
      <c r="I130" s="20"/>
    </row>
    <row r="131" spans="1:9" x14ac:dyDescent="0.4">
      <c r="A131" s="13" t="s">
        <v>2324</v>
      </c>
      <c r="B131" s="55" t="s">
        <v>2325</v>
      </c>
      <c r="C131" s="13" t="s">
        <v>5133</v>
      </c>
      <c r="D131" s="59">
        <v>46569</v>
      </c>
      <c r="E131" s="6">
        <v>37740</v>
      </c>
      <c r="F131" s="13">
        <v>130</v>
      </c>
      <c r="H131" s="62"/>
    </row>
    <row r="132" spans="1:9" x14ac:dyDescent="0.4">
      <c r="A132" s="13" t="s">
        <v>2324</v>
      </c>
      <c r="B132" s="55" t="s">
        <v>2325</v>
      </c>
      <c r="C132" s="13" t="s">
        <v>5133</v>
      </c>
      <c r="D132" s="59">
        <v>46600</v>
      </c>
      <c r="E132" s="6">
        <v>37740</v>
      </c>
      <c r="F132" s="54">
        <v>131</v>
      </c>
      <c r="H132" s="62"/>
    </row>
    <row r="133" spans="1:9" x14ac:dyDescent="0.4">
      <c r="A133" s="13" t="s">
        <v>2324</v>
      </c>
      <c r="B133" s="55" t="s">
        <v>2325</v>
      </c>
      <c r="C133" s="13" t="s">
        <v>5133</v>
      </c>
      <c r="D133" s="59">
        <v>46631</v>
      </c>
      <c r="E133" s="6">
        <v>9435</v>
      </c>
      <c r="F133" s="13">
        <v>132</v>
      </c>
      <c r="H133" s="62"/>
    </row>
    <row r="134" spans="1:9" x14ac:dyDescent="0.4">
      <c r="A134" s="13" t="s">
        <v>2324</v>
      </c>
      <c r="B134" s="13" t="s">
        <v>2345</v>
      </c>
      <c r="C134" s="10" t="s">
        <v>25</v>
      </c>
      <c r="D134" s="59">
        <v>45992</v>
      </c>
      <c r="E134" s="6">
        <v>0</v>
      </c>
      <c r="F134" s="54">
        <v>133</v>
      </c>
      <c r="H134" s="61"/>
    </row>
    <row r="135" spans="1:9" x14ac:dyDescent="0.4">
      <c r="A135" s="13" t="s">
        <v>2324</v>
      </c>
      <c r="B135" s="13" t="s">
        <v>2345</v>
      </c>
      <c r="C135" s="10" t="s">
        <v>25</v>
      </c>
      <c r="D135" s="59">
        <v>46023</v>
      </c>
      <c r="E135" s="6">
        <v>418770</v>
      </c>
      <c r="F135" s="13">
        <v>134</v>
      </c>
      <c r="H135" s="61"/>
    </row>
    <row r="136" spans="1:9" x14ac:dyDescent="0.4">
      <c r="A136" s="13" t="s">
        <v>2324</v>
      </c>
      <c r="B136" s="13" t="s">
        <v>2345</v>
      </c>
      <c r="C136" s="10" t="s">
        <v>25</v>
      </c>
      <c r="D136" s="59">
        <v>46054</v>
      </c>
      <c r="E136" s="6">
        <v>570240</v>
      </c>
      <c r="F136" s="54">
        <v>135</v>
      </c>
      <c r="H136" s="61"/>
    </row>
    <row r="137" spans="1:9" x14ac:dyDescent="0.4">
      <c r="A137" s="13" t="s">
        <v>2324</v>
      </c>
      <c r="B137" s="13" t="s">
        <v>2345</v>
      </c>
      <c r="C137" s="10" t="s">
        <v>25</v>
      </c>
      <c r="D137" s="59">
        <v>46082</v>
      </c>
      <c r="E137" s="6">
        <v>588060</v>
      </c>
      <c r="F137" s="13">
        <v>136</v>
      </c>
      <c r="H137" s="61"/>
    </row>
    <row r="138" spans="1:9" x14ac:dyDescent="0.4">
      <c r="A138" s="13" t="s">
        <v>2324</v>
      </c>
      <c r="B138" s="13" t="s">
        <v>2345</v>
      </c>
      <c r="C138" s="10" t="s">
        <v>25</v>
      </c>
      <c r="D138" s="59">
        <v>46113</v>
      </c>
      <c r="E138" s="6">
        <v>329670</v>
      </c>
      <c r="F138" s="54">
        <v>137</v>
      </c>
      <c r="H138" s="61"/>
    </row>
    <row r="139" spans="1:9" x14ac:dyDescent="0.4">
      <c r="A139" s="13" t="s">
        <v>2324</v>
      </c>
      <c r="B139" s="13" t="s">
        <v>2345</v>
      </c>
      <c r="C139" s="10" t="s">
        <v>25</v>
      </c>
      <c r="D139" s="59">
        <v>46143</v>
      </c>
      <c r="E139" s="6">
        <v>178200</v>
      </c>
      <c r="F139" s="13">
        <v>138</v>
      </c>
      <c r="H139" s="61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46174</v>
      </c>
      <c r="E140" s="6">
        <v>160380</v>
      </c>
      <c r="F140" s="54">
        <v>139</v>
      </c>
      <c r="H140" s="61"/>
    </row>
    <row r="141" spans="1:9" x14ac:dyDescent="0.4">
      <c r="A141" s="13" t="s">
        <v>2324</v>
      </c>
      <c r="B141" s="13" t="s">
        <v>2345</v>
      </c>
      <c r="C141" s="10" t="s">
        <v>25</v>
      </c>
      <c r="D141" s="59">
        <v>46204</v>
      </c>
      <c r="E141" s="6">
        <v>0</v>
      </c>
      <c r="F141" s="13">
        <v>140</v>
      </c>
      <c r="H141" s="61"/>
    </row>
    <row r="142" spans="1:9" x14ac:dyDescent="0.4">
      <c r="A142" s="13" t="s">
        <v>2324</v>
      </c>
      <c r="B142" s="13" t="s">
        <v>2345</v>
      </c>
      <c r="C142" s="10" t="s">
        <v>25</v>
      </c>
      <c r="D142" s="59">
        <v>46235</v>
      </c>
      <c r="E142" s="6">
        <v>0</v>
      </c>
      <c r="F142" s="54">
        <v>141</v>
      </c>
      <c r="H142" s="61"/>
    </row>
    <row r="143" spans="1:9" x14ac:dyDescent="0.4">
      <c r="A143" s="13" t="s">
        <v>2324</v>
      </c>
      <c r="B143" s="13" t="s">
        <v>2345</v>
      </c>
      <c r="C143" s="10" t="s">
        <v>25</v>
      </c>
      <c r="D143" s="59">
        <v>46266</v>
      </c>
      <c r="E143" s="6">
        <v>0</v>
      </c>
      <c r="F143" s="13">
        <v>142</v>
      </c>
      <c r="H143" s="61"/>
    </row>
    <row r="144" spans="1:9" x14ac:dyDescent="0.4">
      <c r="A144" s="13" t="s">
        <v>2324</v>
      </c>
      <c r="B144" s="13" t="s">
        <v>2345</v>
      </c>
      <c r="C144" s="10" t="s">
        <v>25</v>
      </c>
      <c r="D144" s="59">
        <v>46296</v>
      </c>
      <c r="E144" s="6">
        <v>0</v>
      </c>
      <c r="F144" s="54">
        <v>143</v>
      </c>
      <c r="H144" s="61"/>
    </row>
    <row r="145" spans="1:8" x14ac:dyDescent="0.4">
      <c r="A145" s="13" t="s">
        <v>2324</v>
      </c>
      <c r="B145" s="13" t="s">
        <v>2345</v>
      </c>
      <c r="C145" s="10" t="s">
        <v>25</v>
      </c>
      <c r="D145" s="59">
        <v>46327</v>
      </c>
      <c r="E145" s="6">
        <v>0</v>
      </c>
      <c r="F145" s="13">
        <v>144</v>
      </c>
      <c r="H145" s="61"/>
    </row>
    <row r="146" spans="1:8" x14ac:dyDescent="0.4">
      <c r="A146" s="13" t="s">
        <v>2324</v>
      </c>
      <c r="B146" s="13" t="s">
        <v>2345</v>
      </c>
      <c r="C146" s="10" t="s">
        <v>25</v>
      </c>
      <c r="D146" s="59">
        <v>46357</v>
      </c>
      <c r="E146" s="6">
        <v>0</v>
      </c>
      <c r="F146" s="54">
        <v>145</v>
      </c>
      <c r="H146" s="61"/>
    </row>
    <row r="147" spans="1:8" x14ac:dyDescent="0.4">
      <c r="A147" s="13" t="s">
        <v>2324</v>
      </c>
      <c r="B147" s="13" t="s">
        <v>2345</v>
      </c>
      <c r="C147" s="10" t="s">
        <v>25</v>
      </c>
      <c r="D147" s="59">
        <v>46388</v>
      </c>
      <c r="E147" s="6">
        <v>0</v>
      </c>
      <c r="F147" s="13">
        <v>146</v>
      </c>
      <c r="H147" s="61"/>
    </row>
    <row r="148" spans="1:8" x14ac:dyDescent="0.4">
      <c r="A148" s="13" t="s">
        <v>2324</v>
      </c>
      <c r="B148" s="13" t="s">
        <v>2345</v>
      </c>
      <c r="C148" s="10" t="s">
        <v>25</v>
      </c>
      <c r="D148" s="59">
        <v>46419</v>
      </c>
      <c r="E148" s="6">
        <v>0</v>
      </c>
      <c r="F148" s="54">
        <v>147</v>
      </c>
      <c r="H148" s="61"/>
    </row>
    <row r="149" spans="1:8" x14ac:dyDescent="0.4">
      <c r="A149" s="13" t="s">
        <v>2324</v>
      </c>
      <c r="B149" s="13" t="s">
        <v>2345</v>
      </c>
      <c r="C149" s="10" t="s">
        <v>25</v>
      </c>
      <c r="D149" s="59">
        <v>46447</v>
      </c>
      <c r="E149" s="6">
        <v>0</v>
      </c>
      <c r="F149" s="13">
        <v>148</v>
      </c>
      <c r="H149" s="61"/>
    </row>
    <row r="150" spans="1:8" x14ac:dyDescent="0.4">
      <c r="A150" s="13" t="s">
        <v>2324</v>
      </c>
      <c r="B150" s="13" t="s">
        <v>2345</v>
      </c>
      <c r="C150" s="10" t="s">
        <v>25</v>
      </c>
      <c r="D150" s="59">
        <v>46478</v>
      </c>
      <c r="E150" s="6">
        <v>0</v>
      </c>
      <c r="F150" s="54">
        <v>149</v>
      </c>
      <c r="H150" s="61"/>
    </row>
    <row r="151" spans="1:8" x14ac:dyDescent="0.4">
      <c r="A151" s="13" t="s">
        <v>2324</v>
      </c>
      <c r="B151" s="13" t="s">
        <v>2345</v>
      </c>
      <c r="C151" s="10" t="s">
        <v>25</v>
      </c>
      <c r="D151" s="59">
        <v>46508</v>
      </c>
      <c r="E151" s="6">
        <v>0</v>
      </c>
      <c r="F151" s="13">
        <v>150</v>
      </c>
      <c r="H151" s="61"/>
    </row>
    <row r="152" spans="1:8" x14ac:dyDescent="0.4">
      <c r="A152" s="13" t="s">
        <v>2324</v>
      </c>
      <c r="B152" s="13" t="s">
        <v>2345</v>
      </c>
      <c r="C152" s="10" t="s">
        <v>25</v>
      </c>
      <c r="D152" s="59">
        <v>46539</v>
      </c>
      <c r="E152" s="6">
        <v>0</v>
      </c>
      <c r="F152" s="54">
        <v>151</v>
      </c>
      <c r="H152" s="61"/>
    </row>
    <row r="153" spans="1:8" x14ac:dyDescent="0.4">
      <c r="A153" s="13" t="s">
        <v>2324</v>
      </c>
      <c r="B153" s="13" t="s">
        <v>2345</v>
      </c>
      <c r="C153" s="10" t="s">
        <v>25</v>
      </c>
      <c r="D153" s="59">
        <v>46569</v>
      </c>
      <c r="E153" s="6">
        <v>0</v>
      </c>
      <c r="F153" s="13">
        <v>152</v>
      </c>
      <c r="H153" s="61"/>
    </row>
    <row r="154" spans="1:8" x14ac:dyDescent="0.4">
      <c r="A154" s="13" t="s">
        <v>2324</v>
      </c>
      <c r="B154" s="13" t="s">
        <v>2345</v>
      </c>
      <c r="C154" s="10" t="s">
        <v>25</v>
      </c>
      <c r="D154" s="59">
        <v>46600</v>
      </c>
      <c r="E154" s="6">
        <v>0</v>
      </c>
      <c r="F154" s="54">
        <v>153</v>
      </c>
      <c r="H154" s="61"/>
    </row>
    <row r="155" spans="1:8" x14ac:dyDescent="0.4">
      <c r="A155" s="13" t="s">
        <v>2324</v>
      </c>
      <c r="B155" s="13" t="s">
        <v>2345</v>
      </c>
      <c r="C155" s="10" t="s">
        <v>25</v>
      </c>
      <c r="D155" s="59">
        <v>46631</v>
      </c>
      <c r="E155" s="6">
        <v>0</v>
      </c>
      <c r="F155" s="13">
        <v>154</v>
      </c>
      <c r="H155" s="61"/>
    </row>
    <row r="156" spans="1:8" x14ac:dyDescent="0.4">
      <c r="A156" s="13" t="s">
        <v>2324</v>
      </c>
      <c r="B156" s="13" t="s">
        <v>2345</v>
      </c>
      <c r="C156" s="13" t="s">
        <v>44</v>
      </c>
      <c r="D156" s="59">
        <v>45992</v>
      </c>
      <c r="E156" s="6">
        <v>0</v>
      </c>
      <c r="F156" s="54">
        <v>155</v>
      </c>
      <c r="H156" s="61"/>
    </row>
    <row r="157" spans="1:8" x14ac:dyDescent="0.4">
      <c r="A157" s="13" t="s">
        <v>2324</v>
      </c>
      <c r="B157" s="13" t="s">
        <v>2345</v>
      </c>
      <c r="C157" s="13" t="s">
        <v>44</v>
      </c>
      <c r="D157" s="59">
        <v>46023</v>
      </c>
      <c r="E157" s="6">
        <v>2194560</v>
      </c>
      <c r="F157" s="13">
        <v>156</v>
      </c>
      <c r="H157" s="61"/>
    </row>
    <row r="158" spans="1:8" x14ac:dyDescent="0.4">
      <c r="A158" s="13" t="s">
        <v>2324</v>
      </c>
      <c r="B158" s="13" t="s">
        <v>2345</v>
      </c>
      <c r="C158" s="13" t="s">
        <v>44</v>
      </c>
      <c r="D158" s="59">
        <v>46054</v>
      </c>
      <c r="E158" s="6">
        <v>2245995</v>
      </c>
      <c r="F158" s="54">
        <v>157</v>
      </c>
      <c r="H158" s="61"/>
    </row>
    <row r="159" spans="1:8" x14ac:dyDescent="0.4">
      <c r="A159" s="13" t="s">
        <v>2324</v>
      </c>
      <c r="B159" s="13" t="s">
        <v>2345</v>
      </c>
      <c r="C159" s="13" t="s">
        <v>44</v>
      </c>
      <c r="D159" s="59">
        <v>46082</v>
      </c>
      <c r="E159" s="6">
        <v>2306002</v>
      </c>
      <c r="F159" s="13">
        <v>158</v>
      </c>
      <c r="H159" s="61"/>
    </row>
    <row r="160" spans="1:8" x14ac:dyDescent="0.4">
      <c r="A160" s="13" t="s">
        <v>2324</v>
      </c>
      <c r="B160" s="13" t="s">
        <v>2345</v>
      </c>
      <c r="C160" s="13" t="s">
        <v>44</v>
      </c>
      <c r="D160" s="59">
        <v>46113</v>
      </c>
      <c r="E160" s="6">
        <v>2400300</v>
      </c>
      <c r="F160" s="54">
        <v>159</v>
      </c>
      <c r="H160" s="61"/>
    </row>
    <row r="161" spans="1:8" x14ac:dyDescent="0.4">
      <c r="A161" s="13" t="s">
        <v>2324</v>
      </c>
      <c r="B161" s="13" t="s">
        <v>2345</v>
      </c>
      <c r="C161" s="13" t="s">
        <v>44</v>
      </c>
      <c r="D161" s="59">
        <v>46143</v>
      </c>
      <c r="E161" s="6">
        <v>3231832</v>
      </c>
      <c r="F161" s="13">
        <v>160</v>
      </c>
      <c r="H161" s="61"/>
    </row>
    <row r="162" spans="1:8" x14ac:dyDescent="0.4">
      <c r="A162" s="13" t="s">
        <v>2324</v>
      </c>
      <c r="B162" s="13" t="s">
        <v>2345</v>
      </c>
      <c r="C162" s="13" t="s">
        <v>44</v>
      </c>
      <c r="D162" s="59">
        <v>46174</v>
      </c>
      <c r="E162" s="6">
        <v>3300412</v>
      </c>
      <c r="F162" s="54">
        <v>161</v>
      </c>
      <c r="H162" s="61"/>
    </row>
    <row r="163" spans="1:8" x14ac:dyDescent="0.4">
      <c r="A163" s="13" t="s">
        <v>2324</v>
      </c>
      <c r="B163" s="13" t="s">
        <v>2345</v>
      </c>
      <c r="C163" s="13" t="s">
        <v>44</v>
      </c>
      <c r="D163" s="59">
        <v>46204</v>
      </c>
      <c r="E163" s="6">
        <v>1885950</v>
      </c>
      <c r="F163" s="13">
        <v>162</v>
      </c>
      <c r="H163" s="61"/>
    </row>
    <row r="164" spans="1:8" x14ac:dyDescent="0.4">
      <c r="A164" s="13" t="s">
        <v>2324</v>
      </c>
      <c r="B164" s="13" t="s">
        <v>2345</v>
      </c>
      <c r="C164" s="13" t="s">
        <v>44</v>
      </c>
      <c r="D164" s="59">
        <v>46235</v>
      </c>
      <c r="E164" s="6">
        <v>1834515</v>
      </c>
      <c r="F164" s="54">
        <v>163</v>
      </c>
      <c r="H164" s="61"/>
    </row>
    <row r="165" spans="1:8" x14ac:dyDescent="0.4">
      <c r="A165" s="13" t="s">
        <v>2324</v>
      </c>
      <c r="B165" s="13" t="s">
        <v>2345</v>
      </c>
      <c r="C165" s="13" t="s">
        <v>44</v>
      </c>
      <c r="D165" s="59">
        <v>46266</v>
      </c>
      <c r="E165" s="6">
        <v>1774507</v>
      </c>
      <c r="F165" s="13">
        <v>164</v>
      </c>
      <c r="H165" s="61"/>
    </row>
    <row r="166" spans="1:8" x14ac:dyDescent="0.4">
      <c r="A166" s="13" t="s">
        <v>2324</v>
      </c>
      <c r="B166" s="13" t="s">
        <v>2345</v>
      </c>
      <c r="C166" s="13" t="s">
        <v>44</v>
      </c>
      <c r="D166" s="59">
        <v>46296</v>
      </c>
      <c r="E166" s="6">
        <v>1680210</v>
      </c>
      <c r="F166" s="54">
        <v>165</v>
      </c>
      <c r="H166" s="61"/>
    </row>
    <row r="167" spans="1:8" x14ac:dyDescent="0.4">
      <c r="A167" s="13" t="s">
        <v>2324</v>
      </c>
      <c r="B167" s="13" t="s">
        <v>2345</v>
      </c>
      <c r="C167" s="13" t="s">
        <v>44</v>
      </c>
      <c r="D167" s="59">
        <v>46327</v>
      </c>
      <c r="E167" s="6">
        <v>848677</v>
      </c>
      <c r="F167" s="13">
        <v>166</v>
      </c>
      <c r="H167" s="61"/>
    </row>
    <row r="168" spans="1:8" x14ac:dyDescent="0.4">
      <c r="A168" s="13" t="s">
        <v>2324</v>
      </c>
      <c r="B168" s="13" t="s">
        <v>2345</v>
      </c>
      <c r="C168" s="13" t="s">
        <v>44</v>
      </c>
      <c r="D168" s="59">
        <v>46357</v>
      </c>
      <c r="E168" s="6">
        <v>780097</v>
      </c>
      <c r="F168" s="54">
        <v>167</v>
      </c>
      <c r="H168" s="61"/>
    </row>
    <row r="169" spans="1:8" x14ac:dyDescent="0.4">
      <c r="A169" s="13" t="s">
        <v>2324</v>
      </c>
      <c r="B169" s="13" t="s">
        <v>2345</v>
      </c>
      <c r="C169" s="13" t="s">
        <v>44</v>
      </c>
      <c r="D169" s="59">
        <v>46388</v>
      </c>
      <c r="E169" s="6">
        <v>0</v>
      </c>
      <c r="F169" s="13">
        <v>168</v>
      </c>
      <c r="H169" s="61"/>
    </row>
    <row r="170" spans="1:8" x14ac:dyDescent="0.4">
      <c r="A170" s="13" t="s">
        <v>2324</v>
      </c>
      <c r="B170" s="13" t="s">
        <v>2345</v>
      </c>
      <c r="C170" s="13" t="s">
        <v>44</v>
      </c>
      <c r="D170" s="59">
        <v>46419</v>
      </c>
      <c r="E170" s="6">
        <v>0</v>
      </c>
      <c r="F170" s="54">
        <v>169</v>
      </c>
      <c r="H170" s="61"/>
    </row>
    <row r="171" spans="1:8" x14ac:dyDescent="0.4">
      <c r="A171" s="13" t="s">
        <v>2324</v>
      </c>
      <c r="B171" s="13" t="s">
        <v>2345</v>
      </c>
      <c r="C171" s="13" t="s">
        <v>44</v>
      </c>
      <c r="D171" s="59">
        <v>46447</v>
      </c>
      <c r="E171" s="6">
        <v>0</v>
      </c>
      <c r="F171" s="13">
        <v>170</v>
      </c>
      <c r="H171" s="61"/>
    </row>
    <row r="172" spans="1:8" x14ac:dyDescent="0.4">
      <c r="A172" s="13" t="s">
        <v>2324</v>
      </c>
      <c r="B172" s="13" t="s">
        <v>2345</v>
      </c>
      <c r="C172" s="13" t="s">
        <v>44</v>
      </c>
      <c r="D172" s="59">
        <v>46478</v>
      </c>
      <c r="E172" s="6">
        <v>0</v>
      </c>
      <c r="F172" s="54">
        <v>171</v>
      </c>
      <c r="H172" s="61"/>
    </row>
    <row r="173" spans="1:8" x14ac:dyDescent="0.4">
      <c r="A173" s="13" t="s">
        <v>2324</v>
      </c>
      <c r="B173" s="13" t="s">
        <v>2345</v>
      </c>
      <c r="C173" s="13" t="s">
        <v>44</v>
      </c>
      <c r="D173" s="59">
        <v>46508</v>
      </c>
      <c r="E173" s="6">
        <v>0</v>
      </c>
      <c r="F173" s="13">
        <v>172</v>
      </c>
      <c r="H173" s="61"/>
    </row>
    <row r="174" spans="1:8" x14ac:dyDescent="0.4">
      <c r="A174" s="13" t="s">
        <v>2324</v>
      </c>
      <c r="B174" s="13" t="s">
        <v>2345</v>
      </c>
      <c r="C174" s="13" t="s">
        <v>44</v>
      </c>
      <c r="D174" s="59">
        <v>46539</v>
      </c>
      <c r="E174" s="6">
        <v>0</v>
      </c>
      <c r="F174" s="54">
        <v>173</v>
      </c>
      <c r="H174" s="61"/>
    </row>
    <row r="175" spans="1:8" x14ac:dyDescent="0.4">
      <c r="A175" s="13" t="s">
        <v>2324</v>
      </c>
      <c r="B175" s="13" t="s">
        <v>2345</v>
      </c>
      <c r="C175" s="13" t="s">
        <v>44</v>
      </c>
      <c r="D175" s="59">
        <v>46569</v>
      </c>
      <c r="E175" s="6">
        <v>0</v>
      </c>
      <c r="F175" s="13">
        <v>174</v>
      </c>
      <c r="H175" s="61"/>
    </row>
    <row r="176" spans="1:8" x14ac:dyDescent="0.4">
      <c r="A176" s="13" t="s">
        <v>2324</v>
      </c>
      <c r="B176" s="13" t="s">
        <v>2345</v>
      </c>
      <c r="C176" s="13" t="s">
        <v>44</v>
      </c>
      <c r="D176" s="59">
        <v>46600</v>
      </c>
      <c r="E176" s="6">
        <v>0</v>
      </c>
      <c r="F176" s="54">
        <v>175</v>
      </c>
      <c r="H176" s="61"/>
    </row>
    <row r="177" spans="1:8" x14ac:dyDescent="0.4">
      <c r="A177" s="13" t="s">
        <v>2324</v>
      </c>
      <c r="B177" s="13" t="s">
        <v>2345</v>
      </c>
      <c r="C177" s="13" t="s">
        <v>44</v>
      </c>
      <c r="D177" s="59">
        <v>46631</v>
      </c>
      <c r="E177" s="6">
        <v>0</v>
      </c>
      <c r="F177" s="13">
        <v>176</v>
      </c>
      <c r="H177" s="61"/>
    </row>
    <row r="178" spans="1:8" x14ac:dyDescent="0.4">
      <c r="A178" s="13" t="s">
        <v>2324</v>
      </c>
      <c r="B178" s="13" t="s">
        <v>2345</v>
      </c>
      <c r="C178" s="13" t="s">
        <v>1944</v>
      </c>
      <c r="D178" s="59">
        <v>45992</v>
      </c>
      <c r="E178" s="6">
        <v>0</v>
      </c>
      <c r="F178" s="54">
        <v>177</v>
      </c>
      <c r="H178" s="61"/>
    </row>
    <row r="179" spans="1:8" x14ac:dyDescent="0.4">
      <c r="A179" s="13" t="s">
        <v>2324</v>
      </c>
      <c r="B179" s="13" t="s">
        <v>2345</v>
      </c>
      <c r="C179" s="13" t="s">
        <v>1944</v>
      </c>
      <c r="D179" s="59">
        <v>46023</v>
      </c>
      <c r="E179" s="6">
        <v>4245</v>
      </c>
      <c r="F179" s="13">
        <v>178</v>
      </c>
      <c r="H179" s="61"/>
    </row>
    <row r="180" spans="1:8" x14ac:dyDescent="0.4">
      <c r="A180" s="13" t="s">
        <v>2324</v>
      </c>
      <c r="B180" s="13" t="s">
        <v>2345</v>
      </c>
      <c r="C180" s="13" t="s">
        <v>1944</v>
      </c>
      <c r="D180" s="59">
        <v>46054</v>
      </c>
      <c r="E180" s="6">
        <v>4245</v>
      </c>
      <c r="F180" s="54">
        <v>179</v>
      </c>
      <c r="H180" s="61"/>
    </row>
    <row r="181" spans="1:8" x14ac:dyDescent="0.4">
      <c r="A181" s="13" t="s">
        <v>2324</v>
      </c>
      <c r="B181" s="13" t="s">
        <v>2345</v>
      </c>
      <c r="C181" s="13" t="s">
        <v>1944</v>
      </c>
      <c r="D181" s="59">
        <v>46082</v>
      </c>
      <c r="E181" s="6">
        <v>46703</v>
      </c>
      <c r="F181" s="13">
        <v>180</v>
      </c>
      <c r="H181" s="61"/>
    </row>
    <row r="182" spans="1:8" x14ac:dyDescent="0.4">
      <c r="A182" s="13" t="s">
        <v>2324</v>
      </c>
      <c r="B182" s="13" t="s">
        <v>2345</v>
      </c>
      <c r="C182" s="13" t="s">
        <v>1944</v>
      </c>
      <c r="D182" s="59">
        <v>46113</v>
      </c>
      <c r="E182" s="6">
        <v>46703</v>
      </c>
      <c r="F182" s="54">
        <v>181</v>
      </c>
      <c r="H182" s="61"/>
    </row>
    <row r="183" spans="1:8" x14ac:dyDescent="0.4">
      <c r="A183" s="13" t="s">
        <v>2324</v>
      </c>
      <c r="B183" s="13" t="s">
        <v>2345</v>
      </c>
      <c r="C183" s="13" t="s">
        <v>1944</v>
      </c>
      <c r="D183" s="59">
        <v>46143</v>
      </c>
      <c r="E183" s="6">
        <v>72177</v>
      </c>
      <c r="F183" s="13">
        <v>182</v>
      </c>
      <c r="H183" s="61"/>
    </row>
    <row r="184" spans="1:8" x14ac:dyDescent="0.4">
      <c r="A184" s="13" t="s">
        <v>2324</v>
      </c>
      <c r="B184" s="13" t="s">
        <v>2345</v>
      </c>
      <c r="C184" s="13" t="s">
        <v>1944</v>
      </c>
      <c r="D184" s="59">
        <v>46174</v>
      </c>
      <c r="E184" s="6">
        <v>97652</v>
      </c>
      <c r="F184" s="54">
        <v>183</v>
      </c>
      <c r="H184" s="61"/>
    </row>
    <row r="185" spans="1:8" x14ac:dyDescent="0.4">
      <c r="A185" s="13" t="s">
        <v>2324</v>
      </c>
      <c r="B185" s="13" t="s">
        <v>2345</v>
      </c>
      <c r="C185" s="13" t="s">
        <v>1944</v>
      </c>
      <c r="D185" s="59">
        <v>46204</v>
      </c>
      <c r="E185" s="6">
        <v>106143</v>
      </c>
      <c r="F185" s="13">
        <v>184</v>
      </c>
      <c r="H185" s="61"/>
    </row>
    <row r="186" spans="1:8" x14ac:dyDescent="0.4">
      <c r="A186" s="13" t="s">
        <v>2324</v>
      </c>
      <c r="B186" s="13" t="s">
        <v>2345</v>
      </c>
      <c r="C186" s="13" t="s">
        <v>1944</v>
      </c>
      <c r="D186" s="59">
        <v>46235</v>
      </c>
      <c r="E186" s="6">
        <v>110389</v>
      </c>
      <c r="F186" s="54">
        <v>185</v>
      </c>
      <c r="H186" s="61"/>
    </row>
    <row r="187" spans="1:8" x14ac:dyDescent="0.4">
      <c r="A187" s="13" t="s">
        <v>2324</v>
      </c>
      <c r="B187" s="13" t="s">
        <v>2345</v>
      </c>
      <c r="C187" s="13" t="s">
        <v>1944</v>
      </c>
      <c r="D187" s="59">
        <v>46266</v>
      </c>
      <c r="E187" s="6">
        <v>178321</v>
      </c>
      <c r="F187" s="13">
        <v>186</v>
      </c>
      <c r="H187" s="61"/>
    </row>
    <row r="188" spans="1:8" x14ac:dyDescent="0.4">
      <c r="A188" s="13" t="s">
        <v>2324</v>
      </c>
      <c r="B188" s="13" t="s">
        <v>2345</v>
      </c>
      <c r="C188" s="13" t="s">
        <v>1944</v>
      </c>
      <c r="D188" s="59">
        <v>46296</v>
      </c>
      <c r="E188" s="6">
        <v>267482</v>
      </c>
      <c r="F188" s="54">
        <v>187</v>
      </c>
      <c r="H188" s="61"/>
    </row>
    <row r="189" spans="1:8" x14ac:dyDescent="0.4">
      <c r="A189" s="13" t="s">
        <v>2324</v>
      </c>
      <c r="B189" s="13" t="s">
        <v>2345</v>
      </c>
      <c r="C189" s="13" t="s">
        <v>1944</v>
      </c>
      <c r="D189" s="59">
        <v>46327</v>
      </c>
      <c r="E189" s="6">
        <v>267482</v>
      </c>
      <c r="F189" s="13">
        <v>188</v>
      </c>
      <c r="H189" s="61"/>
    </row>
    <row r="190" spans="1:8" x14ac:dyDescent="0.4">
      <c r="A190" s="13" t="s">
        <v>2324</v>
      </c>
      <c r="B190" s="13" t="s">
        <v>2345</v>
      </c>
      <c r="C190" s="13" t="s">
        <v>1944</v>
      </c>
      <c r="D190" s="59">
        <v>46357</v>
      </c>
      <c r="E190" s="6">
        <v>267482</v>
      </c>
      <c r="F190" s="54">
        <v>189</v>
      </c>
      <c r="H190" s="61"/>
    </row>
    <row r="191" spans="1:8" x14ac:dyDescent="0.4">
      <c r="A191" s="13" t="s">
        <v>2324</v>
      </c>
      <c r="B191" s="13" t="s">
        <v>2345</v>
      </c>
      <c r="C191" s="13" t="s">
        <v>1944</v>
      </c>
      <c r="D191" s="59">
        <v>46388</v>
      </c>
      <c r="E191" s="6">
        <v>263236</v>
      </c>
      <c r="F191" s="13">
        <v>190</v>
      </c>
      <c r="H191" s="61"/>
    </row>
    <row r="192" spans="1:8" x14ac:dyDescent="0.4">
      <c r="A192" s="13" t="s">
        <v>2324</v>
      </c>
      <c r="B192" s="13" t="s">
        <v>2345</v>
      </c>
      <c r="C192" s="13" t="s">
        <v>1944</v>
      </c>
      <c r="D192" s="59">
        <v>46419</v>
      </c>
      <c r="E192" s="6">
        <v>263236</v>
      </c>
      <c r="F192" s="54">
        <v>191</v>
      </c>
      <c r="H192" s="61"/>
    </row>
    <row r="193" spans="1:8" x14ac:dyDescent="0.4">
      <c r="A193" s="13" t="s">
        <v>2324</v>
      </c>
      <c r="B193" s="13" t="s">
        <v>2345</v>
      </c>
      <c r="C193" s="13" t="s">
        <v>1944</v>
      </c>
      <c r="D193" s="59">
        <v>46447</v>
      </c>
      <c r="E193" s="6">
        <v>220779</v>
      </c>
      <c r="F193" s="13">
        <v>192</v>
      </c>
      <c r="H193" s="61"/>
    </row>
    <row r="194" spans="1:8" x14ac:dyDescent="0.4">
      <c r="A194" s="13" t="s">
        <v>2324</v>
      </c>
      <c r="B194" s="13" t="s">
        <v>2345</v>
      </c>
      <c r="C194" s="13" t="s">
        <v>1944</v>
      </c>
      <c r="D194" s="59">
        <v>46478</v>
      </c>
      <c r="E194" s="6">
        <v>220779</v>
      </c>
      <c r="F194" s="54">
        <v>193</v>
      </c>
      <c r="H194" s="61"/>
    </row>
    <row r="195" spans="1:8" x14ac:dyDescent="0.4">
      <c r="A195" s="13" t="s">
        <v>2324</v>
      </c>
      <c r="B195" s="13" t="s">
        <v>2345</v>
      </c>
      <c r="C195" s="13" t="s">
        <v>1944</v>
      </c>
      <c r="D195" s="59">
        <v>46508</v>
      </c>
      <c r="E195" s="6">
        <v>195304</v>
      </c>
      <c r="F195" s="13">
        <v>194</v>
      </c>
      <c r="H195" s="61"/>
    </row>
    <row r="196" spans="1:8" x14ac:dyDescent="0.4">
      <c r="A196" s="13" t="s">
        <v>2324</v>
      </c>
      <c r="B196" s="13" t="s">
        <v>2345</v>
      </c>
      <c r="C196" s="13" t="s">
        <v>1944</v>
      </c>
      <c r="D196" s="59">
        <v>46539</v>
      </c>
      <c r="E196" s="6">
        <v>169830</v>
      </c>
      <c r="F196" s="54">
        <v>195</v>
      </c>
      <c r="H196" s="61"/>
    </row>
    <row r="197" spans="1:8" x14ac:dyDescent="0.4">
      <c r="A197" s="13" t="s">
        <v>2324</v>
      </c>
      <c r="B197" s="13" t="s">
        <v>2345</v>
      </c>
      <c r="C197" s="13" t="s">
        <v>1944</v>
      </c>
      <c r="D197" s="59">
        <v>46569</v>
      </c>
      <c r="E197" s="6">
        <v>161338</v>
      </c>
      <c r="F197" s="13">
        <v>196</v>
      </c>
      <c r="H197" s="61"/>
    </row>
    <row r="198" spans="1:8" x14ac:dyDescent="0.4">
      <c r="A198" s="13" t="s">
        <v>2324</v>
      </c>
      <c r="B198" s="13" t="s">
        <v>2345</v>
      </c>
      <c r="C198" s="13" t="s">
        <v>1944</v>
      </c>
      <c r="D198" s="59">
        <v>46600</v>
      </c>
      <c r="E198" s="6">
        <v>157092</v>
      </c>
      <c r="F198" s="54">
        <v>197</v>
      </c>
      <c r="H198" s="20"/>
    </row>
    <row r="199" spans="1:8" x14ac:dyDescent="0.4">
      <c r="A199" s="13" t="s">
        <v>2324</v>
      </c>
      <c r="B199" s="13" t="s">
        <v>2345</v>
      </c>
      <c r="C199" s="13" t="s">
        <v>1944</v>
      </c>
      <c r="D199" s="59">
        <v>46631</v>
      </c>
      <c r="E199" s="6">
        <v>89160</v>
      </c>
      <c r="F199" s="13">
        <v>198</v>
      </c>
      <c r="H199" s="20"/>
    </row>
    <row r="200" spans="1:8" x14ac:dyDescent="0.4">
      <c r="A200" s="13" t="s">
        <v>2324</v>
      </c>
      <c r="B200" s="13" t="s">
        <v>2345</v>
      </c>
      <c r="C200" s="13" t="s">
        <v>70</v>
      </c>
      <c r="D200" s="59">
        <v>45992</v>
      </c>
      <c r="E200" s="6">
        <v>0</v>
      </c>
      <c r="F200" s="54">
        <v>199</v>
      </c>
      <c r="H200" s="20"/>
    </row>
    <row r="201" spans="1:8" x14ac:dyDescent="0.4">
      <c r="A201" s="13" t="s">
        <v>2324</v>
      </c>
      <c r="B201" s="13" t="s">
        <v>2345</v>
      </c>
      <c r="C201" s="13" t="s">
        <v>70</v>
      </c>
      <c r="D201" s="59">
        <v>46023</v>
      </c>
      <c r="E201" s="6">
        <v>8910</v>
      </c>
      <c r="F201" s="13">
        <v>200</v>
      </c>
      <c r="H201" s="20"/>
    </row>
    <row r="202" spans="1:8" x14ac:dyDescent="0.4">
      <c r="A202" s="13" t="s">
        <v>2324</v>
      </c>
      <c r="B202" s="13" t="s">
        <v>2345</v>
      </c>
      <c r="C202" s="13" t="s">
        <v>70</v>
      </c>
      <c r="D202" s="59">
        <v>46054</v>
      </c>
      <c r="E202" s="6">
        <v>8910</v>
      </c>
      <c r="F202" s="54">
        <v>201</v>
      </c>
      <c r="H202" s="20"/>
    </row>
    <row r="203" spans="1:8" x14ac:dyDescent="0.4">
      <c r="A203" s="13" t="s">
        <v>2324</v>
      </c>
      <c r="B203" s="13" t="s">
        <v>2345</v>
      </c>
      <c r="C203" s="13" t="s">
        <v>70</v>
      </c>
      <c r="D203" s="59">
        <v>46082</v>
      </c>
      <c r="E203" s="6">
        <v>8910</v>
      </c>
      <c r="F203" s="13">
        <v>202</v>
      </c>
      <c r="H203" s="20"/>
    </row>
    <row r="204" spans="1:8" x14ac:dyDescent="0.4">
      <c r="A204" s="13" t="s">
        <v>2324</v>
      </c>
      <c r="B204" s="13" t="s">
        <v>2345</v>
      </c>
      <c r="C204" s="13" t="s">
        <v>70</v>
      </c>
      <c r="D204" s="59">
        <v>46113</v>
      </c>
      <c r="E204" s="6">
        <v>8910</v>
      </c>
      <c r="F204" s="54">
        <v>203</v>
      </c>
      <c r="H204" s="20"/>
    </row>
    <row r="205" spans="1:8" x14ac:dyDescent="0.4">
      <c r="A205" s="13" t="s">
        <v>2324</v>
      </c>
      <c r="B205" s="13" t="s">
        <v>2345</v>
      </c>
      <c r="C205" s="13" t="s">
        <v>70</v>
      </c>
      <c r="D205" s="59">
        <v>46143</v>
      </c>
      <c r="E205" s="6">
        <v>8910</v>
      </c>
      <c r="F205" s="13">
        <v>204</v>
      </c>
      <c r="H205" s="20"/>
    </row>
    <row r="206" spans="1:8" x14ac:dyDescent="0.4">
      <c r="A206" s="13" t="s">
        <v>2324</v>
      </c>
      <c r="B206" s="13" t="s">
        <v>2345</v>
      </c>
      <c r="C206" s="13" t="s">
        <v>70</v>
      </c>
      <c r="D206" s="59">
        <v>46174</v>
      </c>
      <c r="E206" s="6">
        <v>8910</v>
      </c>
      <c r="F206" s="54">
        <v>205</v>
      </c>
      <c r="H206" s="20"/>
    </row>
    <row r="207" spans="1:8" x14ac:dyDescent="0.4">
      <c r="A207" s="13" t="s">
        <v>2324</v>
      </c>
      <c r="B207" s="13" t="s">
        <v>2345</v>
      </c>
      <c r="C207" s="13" t="s">
        <v>70</v>
      </c>
      <c r="D207" s="59">
        <v>46204</v>
      </c>
      <c r="E207" s="6">
        <v>0</v>
      </c>
      <c r="F207" s="13">
        <v>206</v>
      </c>
      <c r="H207" s="20"/>
    </row>
    <row r="208" spans="1:8" x14ac:dyDescent="0.4">
      <c r="A208" s="13" t="s">
        <v>2324</v>
      </c>
      <c r="B208" s="13" t="s">
        <v>2345</v>
      </c>
      <c r="C208" s="13" t="s">
        <v>70</v>
      </c>
      <c r="D208" s="59">
        <v>46235</v>
      </c>
      <c r="E208" s="6">
        <v>0</v>
      </c>
      <c r="F208" s="54">
        <v>207</v>
      </c>
      <c r="H208" s="20"/>
    </row>
    <row r="209" spans="1:8" x14ac:dyDescent="0.4">
      <c r="A209" s="13" t="s">
        <v>2324</v>
      </c>
      <c r="B209" s="13" t="s">
        <v>2345</v>
      </c>
      <c r="C209" s="13" t="s">
        <v>70</v>
      </c>
      <c r="D209" s="59">
        <v>46266</v>
      </c>
      <c r="E209" s="6">
        <v>0</v>
      </c>
      <c r="F209" s="13">
        <v>208</v>
      </c>
      <c r="H209" s="20"/>
    </row>
    <row r="210" spans="1:8" x14ac:dyDescent="0.4">
      <c r="A210" s="13" t="s">
        <v>2324</v>
      </c>
      <c r="B210" s="13" t="s">
        <v>2345</v>
      </c>
      <c r="C210" s="13" t="s">
        <v>70</v>
      </c>
      <c r="D210" s="59">
        <v>46296</v>
      </c>
      <c r="E210" s="6">
        <v>0</v>
      </c>
      <c r="F210" s="54">
        <v>209</v>
      </c>
      <c r="H210" s="20"/>
    </row>
    <row r="211" spans="1:8" x14ac:dyDescent="0.4">
      <c r="A211" s="13" t="s">
        <v>2324</v>
      </c>
      <c r="B211" s="13" t="s">
        <v>2345</v>
      </c>
      <c r="C211" s="13" t="s">
        <v>70</v>
      </c>
      <c r="D211" s="59">
        <v>46327</v>
      </c>
      <c r="E211" s="6">
        <v>0</v>
      </c>
      <c r="F211" s="13">
        <v>210</v>
      </c>
      <c r="H211" s="20"/>
    </row>
    <row r="212" spans="1:8" x14ac:dyDescent="0.4">
      <c r="A212" s="13" t="s">
        <v>2324</v>
      </c>
      <c r="B212" s="13" t="s">
        <v>2345</v>
      </c>
      <c r="C212" s="13" t="s">
        <v>70</v>
      </c>
      <c r="D212" s="59">
        <v>46357</v>
      </c>
      <c r="E212" s="6">
        <v>0</v>
      </c>
      <c r="F212" s="54">
        <v>211</v>
      </c>
      <c r="H212" s="20"/>
    </row>
    <row r="213" spans="1:8" x14ac:dyDescent="0.4">
      <c r="A213" s="13" t="s">
        <v>2324</v>
      </c>
      <c r="B213" s="13" t="s">
        <v>2345</v>
      </c>
      <c r="C213" s="13" t="s">
        <v>70</v>
      </c>
      <c r="D213" s="59">
        <v>46388</v>
      </c>
      <c r="E213" s="6">
        <v>0</v>
      </c>
      <c r="F213" s="13">
        <v>212</v>
      </c>
      <c r="H213" s="20"/>
    </row>
    <row r="214" spans="1:8" x14ac:dyDescent="0.4">
      <c r="A214" s="13" t="s">
        <v>2324</v>
      </c>
      <c r="B214" s="13" t="s">
        <v>2345</v>
      </c>
      <c r="C214" s="13" t="s">
        <v>70</v>
      </c>
      <c r="D214" s="59">
        <v>46419</v>
      </c>
      <c r="E214" s="6">
        <v>0</v>
      </c>
      <c r="F214" s="54">
        <v>213</v>
      </c>
      <c r="H214" s="20"/>
    </row>
    <row r="215" spans="1:8" x14ac:dyDescent="0.4">
      <c r="A215" s="13" t="s">
        <v>2324</v>
      </c>
      <c r="B215" s="13" t="s">
        <v>2345</v>
      </c>
      <c r="C215" s="13" t="s">
        <v>70</v>
      </c>
      <c r="D215" s="59">
        <v>46447</v>
      </c>
      <c r="E215" s="6">
        <v>0</v>
      </c>
      <c r="F215" s="13">
        <v>214</v>
      </c>
      <c r="H215" s="20"/>
    </row>
    <row r="216" spans="1:8" x14ac:dyDescent="0.4">
      <c r="A216" s="13" t="s">
        <v>2324</v>
      </c>
      <c r="B216" s="13" t="s">
        <v>2345</v>
      </c>
      <c r="C216" s="13" t="s">
        <v>70</v>
      </c>
      <c r="D216" s="59">
        <v>46478</v>
      </c>
      <c r="E216" s="6">
        <v>0</v>
      </c>
      <c r="F216" s="54">
        <v>215</v>
      </c>
      <c r="H216" s="20"/>
    </row>
    <row r="217" spans="1:8" x14ac:dyDescent="0.4">
      <c r="A217" s="13" t="s">
        <v>2324</v>
      </c>
      <c r="B217" s="13" t="s">
        <v>2345</v>
      </c>
      <c r="C217" s="13" t="s">
        <v>70</v>
      </c>
      <c r="D217" s="59">
        <v>46508</v>
      </c>
      <c r="E217" s="6">
        <v>0</v>
      </c>
      <c r="F217" s="13">
        <v>216</v>
      </c>
      <c r="H217" s="20"/>
    </row>
    <row r="218" spans="1:8" x14ac:dyDescent="0.4">
      <c r="A218" s="13" t="s">
        <v>2324</v>
      </c>
      <c r="B218" s="13" t="s">
        <v>2345</v>
      </c>
      <c r="C218" s="13" t="s">
        <v>70</v>
      </c>
      <c r="D218" s="59">
        <v>46539</v>
      </c>
      <c r="E218" s="6">
        <v>0</v>
      </c>
      <c r="F218" s="54">
        <v>217</v>
      </c>
      <c r="H218" s="20"/>
    </row>
    <row r="219" spans="1:8" x14ac:dyDescent="0.4">
      <c r="A219" s="13" t="s">
        <v>2324</v>
      </c>
      <c r="B219" s="13" t="s">
        <v>2345</v>
      </c>
      <c r="C219" s="13" t="s">
        <v>70</v>
      </c>
      <c r="D219" s="59">
        <v>46569</v>
      </c>
      <c r="E219" s="6">
        <v>0</v>
      </c>
      <c r="F219" s="13">
        <v>218</v>
      </c>
      <c r="H219" s="20"/>
    </row>
    <row r="220" spans="1:8" x14ac:dyDescent="0.4">
      <c r="A220" s="13" t="s">
        <v>2324</v>
      </c>
      <c r="B220" s="13" t="s">
        <v>2345</v>
      </c>
      <c r="C220" s="13" t="s">
        <v>70</v>
      </c>
      <c r="D220" s="59">
        <v>46600</v>
      </c>
      <c r="E220" s="6">
        <v>0</v>
      </c>
      <c r="F220" s="54">
        <v>219</v>
      </c>
      <c r="H220" s="20"/>
    </row>
    <row r="221" spans="1:8" x14ac:dyDescent="0.4">
      <c r="A221" s="13" t="s">
        <v>2324</v>
      </c>
      <c r="B221" s="13" t="s">
        <v>2345</v>
      </c>
      <c r="C221" s="13" t="s">
        <v>70</v>
      </c>
      <c r="D221" s="59">
        <v>46631</v>
      </c>
      <c r="E221" s="6">
        <v>0</v>
      </c>
      <c r="F221" s="13">
        <v>220</v>
      </c>
      <c r="H221" s="20"/>
    </row>
    <row r="222" spans="1:8" x14ac:dyDescent="0.4">
      <c r="A222" s="13" t="s">
        <v>2324</v>
      </c>
      <c r="B222" s="13" t="s">
        <v>2345</v>
      </c>
      <c r="C222" s="13" t="s">
        <v>50</v>
      </c>
      <c r="D222" s="59">
        <v>45992</v>
      </c>
      <c r="E222" s="6">
        <v>0</v>
      </c>
      <c r="F222" s="54">
        <v>221</v>
      </c>
      <c r="H222" s="20"/>
    </row>
    <row r="223" spans="1:8" x14ac:dyDescent="0.4">
      <c r="A223" s="13" t="s">
        <v>2324</v>
      </c>
      <c r="B223" s="13" t="s">
        <v>2345</v>
      </c>
      <c r="C223" s="13" t="s">
        <v>50</v>
      </c>
      <c r="D223" s="59">
        <v>46023</v>
      </c>
      <c r="E223" s="6">
        <v>102870</v>
      </c>
      <c r="F223" s="13">
        <v>222</v>
      </c>
      <c r="H223" s="20"/>
    </row>
    <row r="224" spans="1:8" x14ac:dyDescent="0.4">
      <c r="A224" s="13" t="s">
        <v>2324</v>
      </c>
      <c r="B224" s="13" t="s">
        <v>2345</v>
      </c>
      <c r="C224" s="13" t="s">
        <v>50</v>
      </c>
      <c r="D224" s="59">
        <v>46054</v>
      </c>
      <c r="E224" s="6">
        <v>111442</v>
      </c>
      <c r="F224" s="54">
        <v>223</v>
      </c>
      <c r="H224" s="20"/>
    </row>
    <row r="225" spans="1:8" x14ac:dyDescent="0.4">
      <c r="A225" s="13" t="s">
        <v>2324</v>
      </c>
      <c r="B225" s="13" t="s">
        <v>2345</v>
      </c>
      <c r="C225" s="13" t="s">
        <v>50</v>
      </c>
      <c r="D225" s="59">
        <v>46082</v>
      </c>
      <c r="E225" s="6">
        <v>111442</v>
      </c>
      <c r="F225" s="13">
        <v>224</v>
      </c>
      <c r="H225" s="20"/>
    </row>
    <row r="226" spans="1:8" x14ac:dyDescent="0.4">
      <c r="A226" s="13" t="s">
        <v>2324</v>
      </c>
      <c r="B226" s="13" t="s">
        <v>2345</v>
      </c>
      <c r="C226" s="13" t="s">
        <v>50</v>
      </c>
      <c r="D226" s="59">
        <v>46113</v>
      </c>
      <c r="E226" s="6">
        <v>120015</v>
      </c>
      <c r="F226" s="54">
        <v>225</v>
      </c>
      <c r="H226" s="20"/>
    </row>
    <row r="227" spans="1:8" x14ac:dyDescent="0.4">
      <c r="A227" s="13" t="s">
        <v>2324</v>
      </c>
      <c r="B227" s="13" t="s">
        <v>2345</v>
      </c>
      <c r="C227" s="13" t="s">
        <v>50</v>
      </c>
      <c r="D227" s="59">
        <v>46143</v>
      </c>
      <c r="E227" s="6">
        <v>162877</v>
      </c>
      <c r="F227" s="13">
        <v>226</v>
      </c>
      <c r="H227" s="20"/>
    </row>
    <row r="228" spans="1:8" x14ac:dyDescent="0.4">
      <c r="A228" s="13" t="s">
        <v>2324</v>
      </c>
      <c r="B228" s="13" t="s">
        <v>2345</v>
      </c>
      <c r="C228" s="13" t="s">
        <v>50</v>
      </c>
      <c r="D228" s="59">
        <v>46174</v>
      </c>
      <c r="E228" s="6">
        <v>162877</v>
      </c>
      <c r="F228" s="54">
        <v>227</v>
      </c>
      <c r="H228" s="20"/>
    </row>
    <row r="229" spans="1:8" x14ac:dyDescent="0.4">
      <c r="A229" s="13" t="s">
        <v>2324</v>
      </c>
      <c r="B229" s="13" t="s">
        <v>2345</v>
      </c>
      <c r="C229" s="13" t="s">
        <v>50</v>
      </c>
      <c r="D229" s="59">
        <v>46204</v>
      </c>
      <c r="E229" s="6">
        <v>120015</v>
      </c>
      <c r="F229" s="13">
        <v>228</v>
      </c>
      <c r="H229" s="20"/>
    </row>
    <row r="230" spans="1:8" x14ac:dyDescent="0.4">
      <c r="A230" s="13" t="s">
        <v>2324</v>
      </c>
      <c r="B230" s="13" t="s">
        <v>2345</v>
      </c>
      <c r="C230" s="13" t="s">
        <v>50</v>
      </c>
      <c r="D230" s="59">
        <v>46235</v>
      </c>
      <c r="E230" s="6">
        <v>111442</v>
      </c>
      <c r="F230" s="54">
        <v>229</v>
      </c>
      <c r="H230" s="20"/>
    </row>
    <row r="231" spans="1:8" x14ac:dyDescent="0.4">
      <c r="A231" s="13" t="s">
        <v>2324</v>
      </c>
      <c r="B231" s="13" t="s">
        <v>2345</v>
      </c>
      <c r="C231" s="13" t="s">
        <v>50</v>
      </c>
      <c r="D231" s="59">
        <v>46266</v>
      </c>
      <c r="E231" s="6">
        <v>111442</v>
      </c>
      <c r="F231" s="13">
        <v>230</v>
      </c>
      <c r="H231" s="20"/>
    </row>
    <row r="232" spans="1:8" x14ac:dyDescent="0.4">
      <c r="A232" s="13" t="s">
        <v>2324</v>
      </c>
      <c r="B232" s="13" t="s">
        <v>2345</v>
      </c>
      <c r="C232" s="13" t="s">
        <v>50</v>
      </c>
      <c r="D232" s="59">
        <v>46296</v>
      </c>
      <c r="E232" s="6">
        <v>102870</v>
      </c>
      <c r="F232" s="54">
        <v>231</v>
      </c>
      <c r="H232" s="20"/>
    </row>
    <row r="233" spans="1:8" x14ac:dyDescent="0.4">
      <c r="A233" s="13" t="s">
        <v>2324</v>
      </c>
      <c r="B233" s="13" t="s">
        <v>2345</v>
      </c>
      <c r="C233" s="13" t="s">
        <v>50</v>
      </c>
      <c r="D233" s="59">
        <v>46327</v>
      </c>
      <c r="E233" s="6">
        <v>60007</v>
      </c>
      <c r="F233" s="13">
        <v>232</v>
      </c>
      <c r="H233" s="20"/>
    </row>
    <row r="234" spans="1:8" x14ac:dyDescent="0.4">
      <c r="A234" s="13" t="s">
        <v>2324</v>
      </c>
      <c r="B234" s="13" t="s">
        <v>2345</v>
      </c>
      <c r="C234" s="13" t="s">
        <v>50</v>
      </c>
      <c r="D234" s="59">
        <v>46357</v>
      </c>
      <c r="E234" s="6">
        <v>60007</v>
      </c>
      <c r="F234" s="54">
        <v>233</v>
      </c>
      <c r="H234" s="20"/>
    </row>
    <row r="235" spans="1:8" x14ac:dyDescent="0.4">
      <c r="A235" s="13" t="s">
        <v>2324</v>
      </c>
      <c r="B235" s="13" t="s">
        <v>2345</v>
      </c>
      <c r="C235" s="13" t="s">
        <v>50</v>
      </c>
      <c r="D235" s="59">
        <v>46388</v>
      </c>
      <c r="E235" s="6">
        <v>0</v>
      </c>
      <c r="F235" s="13">
        <v>234</v>
      </c>
      <c r="H235" s="20"/>
    </row>
    <row r="236" spans="1:8" x14ac:dyDescent="0.4">
      <c r="A236" s="13" t="s">
        <v>2324</v>
      </c>
      <c r="B236" s="13" t="s">
        <v>2345</v>
      </c>
      <c r="C236" s="13" t="s">
        <v>50</v>
      </c>
      <c r="D236" s="59">
        <v>46419</v>
      </c>
      <c r="E236" s="6">
        <v>0</v>
      </c>
      <c r="F236" s="54">
        <v>235</v>
      </c>
      <c r="H236" s="20"/>
    </row>
    <row r="237" spans="1:8" x14ac:dyDescent="0.4">
      <c r="A237" s="13" t="s">
        <v>2324</v>
      </c>
      <c r="B237" s="13" t="s">
        <v>2345</v>
      </c>
      <c r="C237" s="13" t="s">
        <v>50</v>
      </c>
      <c r="D237" s="59">
        <v>46447</v>
      </c>
      <c r="E237" s="6">
        <v>0</v>
      </c>
      <c r="F237" s="13">
        <v>236</v>
      </c>
      <c r="H237" s="20"/>
    </row>
    <row r="238" spans="1:8" x14ac:dyDescent="0.4">
      <c r="A238" s="13" t="s">
        <v>2324</v>
      </c>
      <c r="B238" s="13" t="s">
        <v>2345</v>
      </c>
      <c r="C238" s="13" t="s">
        <v>50</v>
      </c>
      <c r="D238" s="59">
        <v>46478</v>
      </c>
      <c r="E238" s="6">
        <v>0</v>
      </c>
      <c r="F238" s="54">
        <v>237</v>
      </c>
      <c r="H238" s="20"/>
    </row>
    <row r="239" spans="1:8" x14ac:dyDescent="0.4">
      <c r="A239" s="13" t="s">
        <v>2324</v>
      </c>
      <c r="B239" s="13" t="s">
        <v>2345</v>
      </c>
      <c r="C239" s="13" t="s">
        <v>50</v>
      </c>
      <c r="D239" s="59">
        <v>46508</v>
      </c>
      <c r="E239" s="6">
        <v>0</v>
      </c>
      <c r="F239" s="13">
        <v>238</v>
      </c>
      <c r="H239" s="20"/>
    </row>
    <row r="240" spans="1:8" x14ac:dyDescent="0.4">
      <c r="A240" s="13" t="s">
        <v>2324</v>
      </c>
      <c r="B240" s="13" t="s">
        <v>2345</v>
      </c>
      <c r="C240" s="13" t="s">
        <v>50</v>
      </c>
      <c r="D240" s="59">
        <v>46539</v>
      </c>
      <c r="E240" s="6">
        <v>0</v>
      </c>
      <c r="F240" s="54">
        <v>239</v>
      </c>
      <c r="H240" s="20"/>
    </row>
    <row r="241" spans="1:8" x14ac:dyDescent="0.4">
      <c r="A241" s="13" t="s">
        <v>2324</v>
      </c>
      <c r="B241" s="13" t="s">
        <v>2345</v>
      </c>
      <c r="C241" s="13" t="s">
        <v>50</v>
      </c>
      <c r="D241" s="59">
        <v>46569</v>
      </c>
      <c r="E241" s="6">
        <v>0</v>
      </c>
      <c r="F241" s="13">
        <v>240</v>
      </c>
      <c r="H241" s="20"/>
    </row>
    <row r="242" spans="1:8" x14ac:dyDescent="0.4">
      <c r="A242" s="13" t="s">
        <v>2324</v>
      </c>
      <c r="B242" s="13" t="s">
        <v>2345</v>
      </c>
      <c r="C242" s="13" t="s">
        <v>50</v>
      </c>
      <c r="D242" s="59">
        <v>46600</v>
      </c>
      <c r="E242" s="6">
        <v>0</v>
      </c>
      <c r="F242" s="54">
        <v>241</v>
      </c>
      <c r="H242" s="20"/>
    </row>
    <row r="243" spans="1:8" x14ac:dyDescent="0.4">
      <c r="A243" s="13" t="s">
        <v>2324</v>
      </c>
      <c r="B243" s="13" t="s">
        <v>2345</v>
      </c>
      <c r="C243" s="13" t="s">
        <v>50</v>
      </c>
      <c r="D243" s="59">
        <v>46631</v>
      </c>
      <c r="E243" s="6">
        <v>0</v>
      </c>
      <c r="F243" s="13">
        <v>242</v>
      </c>
      <c r="H243" s="20"/>
    </row>
    <row r="244" spans="1:8" x14ac:dyDescent="0.4">
      <c r="A244" s="13" t="s">
        <v>2324</v>
      </c>
      <c r="B244" s="13" t="s">
        <v>2345</v>
      </c>
      <c r="C244" s="13" t="s">
        <v>5133</v>
      </c>
      <c r="D244" s="59">
        <v>45992</v>
      </c>
      <c r="E244" s="6">
        <v>0</v>
      </c>
      <c r="F244" s="54">
        <v>243</v>
      </c>
      <c r="H244" s="20"/>
    </row>
    <row r="245" spans="1:8" x14ac:dyDescent="0.4">
      <c r="A245" s="13" t="s">
        <v>2324</v>
      </c>
      <c r="B245" s="13" t="s">
        <v>2345</v>
      </c>
      <c r="C245" s="13" t="s">
        <v>5133</v>
      </c>
      <c r="D245" s="59">
        <v>46023</v>
      </c>
      <c r="E245" s="6">
        <v>0</v>
      </c>
      <c r="F245" s="13">
        <v>244</v>
      </c>
      <c r="H245" s="20"/>
    </row>
    <row r="246" spans="1:8" x14ac:dyDescent="0.4">
      <c r="A246" s="13" t="s">
        <v>2324</v>
      </c>
      <c r="B246" s="13" t="s">
        <v>2345</v>
      </c>
      <c r="C246" s="13" t="s">
        <v>5133</v>
      </c>
      <c r="D246" s="59">
        <v>46054</v>
      </c>
      <c r="E246" s="6">
        <v>0</v>
      </c>
      <c r="F246" s="54">
        <v>245</v>
      </c>
      <c r="H246" s="20"/>
    </row>
    <row r="247" spans="1:8" x14ac:dyDescent="0.4">
      <c r="A247" s="13" t="s">
        <v>2324</v>
      </c>
      <c r="B247" s="13" t="s">
        <v>2345</v>
      </c>
      <c r="C247" s="13" t="s">
        <v>5133</v>
      </c>
      <c r="D247" s="59">
        <v>46082</v>
      </c>
      <c r="E247" s="6">
        <v>0</v>
      </c>
      <c r="F247" s="13">
        <v>246</v>
      </c>
      <c r="H247" s="20"/>
    </row>
    <row r="248" spans="1:8" x14ac:dyDescent="0.4">
      <c r="A248" s="13" t="s">
        <v>2324</v>
      </c>
      <c r="B248" s="13" t="s">
        <v>2345</v>
      </c>
      <c r="C248" s="13" t="s">
        <v>5133</v>
      </c>
      <c r="D248" s="59">
        <v>46113</v>
      </c>
      <c r="E248" s="6">
        <v>0</v>
      </c>
      <c r="F248" s="54">
        <v>247</v>
      </c>
      <c r="H248" s="20"/>
    </row>
    <row r="249" spans="1:8" x14ac:dyDescent="0.4">
      <c r="A249" s="13" t="s">
        <v>2324</v>
      </c>
      <c r="B249" s="13" t="s">
        <v>2345</v>
      </c>
      <c r="C249" s="13" t="s">
        <v>5133</v>
      </c>
      <c r="D249" s="59">
        <v>46143</v>
      </c>
      <c r="E249" s="6">
        <v>0</v>
      </c>
      <c r="F249" s="13">
        <v>248</v>
      </c>
      <c r="H249" s="20"/>
    </row>
    <row r="250" spans="1:8" x14ac:dyDescent="0.4">
      <c r="A250" s="13" t="s">
        <v>2324</v>
      </c>
      <c r="B250" s="13" t="s">
        <v>2345</v>
      </c>
      <c r="C250" s="13" t="s">
        <v>5133</v>
      </c>
      <c r="D250" s="59">
        <v>46174</v>
      </c>
      <c r="E250" s="6">
        <v>0</v>
      </c>
      <c r="F250" s="54">
        <v>249</v>
      </c>
      <c r="H250" s="20"/>
    </row>
    <row r="251" spans="1:8" x14ac:dyDescent="0.4">
      <c r="A251" s="13" t="s">
        <v>2324</v>
      </c>
      <c r="B251" s="13" t="s">
        <v>2345</v>
      </c>
      <c r="C251" s="13" t="s">
        <v>5133</v>
      </c>
      <c r="D251" s="59">
        <v>46204</v>
      </c>
      <c r="E251" s="6">
        <v>0</v>
      </c>
      <c r="F251" s="13">
        <v>250</v>
      </c>
      <c r="H251" s="20"/>
    </row>
    <row r="252" spans="1:8" x14ac:dyDescent="0.4">
      <c r="A252" s="13" t="s">
        <v>2324</v>
      </c>
      <c r="B252" s="13" t="s">
        <v>2345</v>
      </c>
      <c r="C252" s="13" t="s">
        <v>5133</v>
      </c>
      <c r="D252" s="59">
        <v>46235</v>
      </c>
      <c r="E252" s="6">
        <v>0</v>
      </c>
      <c r="F252" s="54">
        <v>251</v>
      </c>
      <c r="H252" s="20"/>
    </row>
    <row r="253" spans="1:8" x14ac:dyDescent="0.4">
      <c r="A253" s="13" t="s">
        <v>2324</v>
      </c>
      <c r="B253" s="13" t="s">
        <v>2345</v>
      </c>
      <c r="C253" s="13" t="s">
        <v>5133</v>
      </c>
      <c r="D253" s="59">
        <v>46266</v>
      </c>
      <c r="E253" s="6">
        <v>12737</v>
      </c>
      <c r="F253" s="13">
        <v>252</v>
      </c>
      <c r="H253" s="20"/>
    </row>
    <row r="254" spans="1:8" x14ac:dyDescent="0.4">
      <c r="A254" s="13" t="s">
        <v>2324</v>
      </c>
      <c r="B254" s="13" t="s">
        <v>2345</v>
      </c>
      <c r="C254" s="13" t="s">
        <v>5133</v>
      </c>
      <c r="D254" s="59">
        <v>46296</v>
      </c>
      <c r="E254" s="6">
        <v>12737</v>
      </c>
      <c r="F254" s="54">
        <v>253</v>
      </c>
      <c r="H254" s="20"/>
    </row>
    <row r="255" spans="1:8" x14ac:dyDescent="0.4">
      <c r="A255" s="13" t="s">
        <v>2324</v>
      </c>
      <c r="B255" s="13" t="s">
        <v>2345</v>
      </c>
      <c r="C255" s="13" t="s">
        <v>5133</v>
      </c>
      <c r="D255" s="59">
        <v>46327</v>
      </c>
      <c r="E255" s="6">
        <v>16983</v>
      </c>
      <c r="F255" s="13">
        <v>254</v>
      </c>
      <c r="H255" s="20"/>
    </row>
    <row r="256" spans="1:8" x14ac:dyDescent="0.4">
      <c r="A256" s="13" t="s">
        <v>2324</v>
      </c>
      <c r="B256" s="13" t="s">
        <v>2345</v>
      </c>
      <c r="C256" s="13" t="s">
        <v>5133</v>
      </c>
      <c r="D256" s="59">
        <v>46357</v>
      </c>
      <c r="E256" s="6">
        <v>16983</v>
      </c>
      <c r="F256" s="54">
        <v>255</v>
      </c>
      <c r="H256" s="20"/>
    </row>
    <row r="257" spans="1:8" x14ac:dyDescent="0.4">
      <c r="A257" s="13" t="s">
        <v>2324</v>
      </c>
      <c r="B257" s="13" t="s">
        <v>2345</v>
      </c>
      <c r="C257" s="13" t="s">
        <v>5133</v>
      </c>
      <c r="D257" s="59">
        <v>46388</v>
      </c>
      <c r="E257" s="6">
        <v>16983</v>
      </c>
      <c r="F257" s="13">
        <v>256</v>
      </c>
      <c r="H257" s="20"/>
    </row>
    <row r="258" spans="1:8" x14ac:dyDescent="0.4">
      <c r="A258" s="13" t="s">
        <v>2324</v>
      </c>
      <c r="B258" s="13" t="s">
        <v>2345</v>
      </c>
      <c r="C258" s="13" t="s">
        <v>5133</v>
      </c>
      <c r="D258" s="59">
        <v>46419</v>
      </c>
      <c r="E258" s="6">
        <v>16983</v>
      </c>
      <c r="F258" s="54">
        <v>257</v>
      </c>
      <c r="H258" s="20"/>
    </row>
    <row r="259" spans="1:8" x14ac:dyDescent="0.4">
      <c r="A259" s="13" t="s">
        <v>2324</v>
      </c>
      <c r="B259" s="13" t="s">
        <v>2345</v>
      </c>
      <c r="C259" s="13" t="s">
        <v>5133</v>
      </c>
      <c r="D259" s="59">
        <v>46447</v>
      </c>
      <c r="E259" s="6">
        <v>16983</v>
      </c>
      <c r="F259" s="13">
        <v>258</v>
      </c>
      <c r="H259" s="20"/>
    </row>
    <row r="260" spans="1:8" x14ac:dyDescent="0.4">
      <c r="A260" s="13" t="s">
        <v>2324</v>
      </c>
      <c r="B260" s="13" t="s">
        <v>2345</v>
      </c>
      <c r="C260" s="13" t="s">
        <v>5133</v>
      </c>
      <c r="D260" s="59">
        <v>46478</v>
      </c>
      <c r="E260" s="6">
        <v>16983</v>
      </c>
      <c r="F260" s="54">
        <v>259</v>
      </c>
      <c r="H260" s="20"/>
    </row>
    <row r="261" spans="1:8" x14ac:dyDescent="0.4">
      <c r="A261" s="13" t="s">
        <v>2324</v>
      </c>
      <c r="B261" s="13" t="s">
        <v>2345</v>
      </c>
      <c r="C261" s="13" t="s">
        <v>5133</v>
      </c>
      <c r="D261" s="59">
        <v>46508</v>
      </c>
      <c r="E261" s="6">
        <v>16983</v>
      </c>
      <c r="F261" s="13">
        <v>260</v>
      </c>
      <c r="H261" s="20"/>
    </row>
    <row r="262" spans="1:8" x14ac:dyDescent="0.4">
      <c r="A262" s="13" t="s">
        <v>2324</v>
      </c>
      <c r="B262" s="13" t="s">
        <v>2345</v>
      </c>
      <c r="C262" s="13" t="s">
        <v>5133</v>
      </c>
      <c r="D262" s="59">
        <v>46539</v>
      </c>
      <c r="E262" s="6">
        <v>16983</v>
      </c>
      <c r="F262" s="54">
        <v>261</v>
      </c>
      <c r="H262" s="20"/>
    </row>
    <row r="263" spans="1:8" x14ac:dyDescent="0.4">
      <c r="A263" s="13" t="s">
        <v>2324</v>
      </c>
      <c r="B263" s="13" t="s">
        <v>2345</v>
      </c>
      <c r="C263" s="13" t="s">
        <v>5133</v>
      </c>
      <c r="D263" s="59">
        <v>46569</v>
      </c>
      <c r="E263" s="6">
        <v>16983</v>
      </c>
      <c r="F263" s="13">
        <v>262</v>
      </c>
      <c r="H263" s="20"/>
    </row>
    <row r="264" spans="1:8" x14ac:dyDescent="0.4">
      <c r="A264" s="13" t="s">
        <v>2324</v>
      </c>
      <c r="B264" s="13" t="s">
        <v>2345</v>
      </c>
      <c r="C264" s="13" t="s">
        <v>5133</v>
      </c>
      <c r="D264" s="59">
        <v>46600</v>
      </c>
      <c r="E264" s="6">
        <v>16983</v>
      </c>
      <c r="F264" s="54">
        <v>263</v>
      </c>
      <c r="H264" s="20"/>
    </row>
    <row r="265" spans="1:8" x14ac:dyDescent="0.4">
      <c r="A265" s="13" t="s">
        <v>2324</v>
      </c>
      <c r="B265" s="13" t="s">
        <v>2345</v>
      </c>
      <c r="C265" s="13" t="s">
        <v>5133</v>
      </c>
      <c r="D265" s="59">
        <v>46631</v>
      </c>
      <c r="E265" s="6">
        <v>4245</v>
      </c>
      <c r="F265" s="13">
        <v>264</v>
      </c>
      <c r="H265" s="20"/>
    </row>
    <row r="266" spans="1:8" x14ac:dyDescent="0.4">
      <c r="H266" s="20"/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984C-746A-4F12-B97B-0EBD5DE01AFE}">
  <sheetPr>
    <tabColor theme="7" tint="0.59999389629810485"/>
  </sheetPr>
  <dimension ref="A1:R266"/>
  <sheetViews>
    <sheetView topLeftCell="A103" zoomScale="70" zoomScaleNormal="70" workbookViewId="0">
      <selection activeCell="K24" sqref="K24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9" width="10.625" bestFit="1" customWidth="1"/>
    <col min="11" max="11" width="18.5" bestFit="1" customWidth="1"/>
    <col min="12" max="13" width="10.625" bestFit="1" customWidth="1"/>
    <col min="14" max="14" width="9.125" bestFit="1" customWidth="1"/>
    <col min="15" max="15" width="31.875" customWidth="1"/>
    <col min="16" max="17" width="9.125" bestFit="1" customWidth="1"/>
    <col min="18" max="18" width="10.625" bestFit="1" customWidth="1"/>
  </cols>
  <sheetData>
    <row r="1" spans="1:1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/>
    </row>
    <row r="2" spans="1:18" x14ac:dyDescent="0.4">
      <c r="A2" s="13" t="s">
        <v>2324</v>
      </c>
      <c r="B2" s="55" t="s">
        <v>2325</v>
      </c>
      <c r="C2" s="10" t="s">
        <v>25</v>
      </c>
      <c r="D2" s="59">
        <v>45962</v>
      </c>
      <c r="E2" s="6">
        <v>0</v>
      </c>
      <c r="F2" s="54">
        <v>1</v>
      </c>
      <c r="H2" s="62"/>
      <c r="I2" s="20"/>
      <c r="L2" s="20"/>
      <c r="M2" s="20"/>
      <c r="N2" s="20"/>
      <c r="O2" s="20"/>
      <c r="P2" s="20"/>
      <c r="Q2" s="20"/>
      <c r="R2" s="20"/>
    </row>
    <row r="3" spans="1:18" x14ac:dyDescent="0.4">
      <c r="A3" s="13" t="s">
        <v>2324</v>
      </c>
      <c r="B3" s="55" t="s">
        <v>2325</v>
      </c>
      <c r="C3" s="10" t="s">
        <v>25</v>
      </c>
      <c r="D3" s="59">
        <v>45992</v>
      </c>
      <c r="E3" s="6">
        <v>39600</v>
      </c>
      <c r="F3" s="13">
        <v>2</v>
      </c>
      <c r="H3" s="62"/>
      <c r="I3" s="20"/>
      <c r="L3" s="20"/>
      <c r="M3" s="20"/>
      <c r="N3" s="20"/>
      <c r="O3" s="20"/>
      <c r="P3" s="20"/>
      <c r="Q3" s="20"/>
      <c r="R3" s="20"/>
    </row>
    <row r="4" spans="1:18" x14ac:dyDescent="0.4">
      <c r="A4" s="13" t="s">
        <v>2324</v>
      </c>
      <c r="B4" s="55" t="s">
        <v>2325</v>
      </c>
      <c r="C4" s="10" t="s">
        <v>25</v>
      </c>
      <c r="D4" s="59">
        <v>46023</v>
      </c>
      <c r="E4" s="6">
        <v>990000</v>
      </c>
      <c r="F4" s="54">
        <v>3</v>
      </c>
      <c r="H4" s="62"/>
      <c r="I4" s="20"/>
      <c r="L4" s="20"/>
      <c r="M4" s="20"/>
      <c r="N4" s="20"/>
      <c r="O4" s="20"/>
      <c r="P4" s="20"/>
      <c r="Q4" s="20"/>
      <c r="R4" s="20"/>
    </row>
    <row r="5" spans="1:18" x14ac:dyDescent="0.4">
      <c r="A5" s="13" t="s">
        <v>2324</v>
      </c>
      <c r="B5" s="55" t="s">
        <v>2325</v>
      </c>
      <c r="C5" s="10" t="s">
        <v>25</v>
      </c>
      <c r="D5" s="59">
        <v>46054</v>
      </c>
      <c r="E5" s="6">
        <v>1326600</v>
      </c>
      <c r="F5" s="13">
        <v>4</v>
      </c>
      <c r="H5" s="62"/>
      <c r="I5" s="20"/>
      <c r="L5" s="20"/>
      <c r="M5" s="20"/>
      <c r="N5" s="20"/>
      <c r="O5" s="20"/>
      <c r="P5" s="20"/>
      <c r="Q5" s="20"/>
      <c r="R5" s="20"/>
    </row>
    <row r="6" spans="1:18" x14ac:dyDescent="0.4">
      <c r="A6" s="13" t="s">
        <v>2324</v>
      </c>
      <c r="B6" s="55" t="s">
        <v>2325</v>
      </c>
      <c r="C6" s="10" t="s">
        <v>25</v>
      </c>
      <c r="D6" s="59">
        <v>46082</v>
      </c>
      <c r="E6" s="6">
        <v>1306800</v>
      </c>
      <c r="F6" s="54">
        <v>5</v>
      </c>
      <c r="H6" s="62"/>
      <c r="I6" s="20"/>
      <c r="L6" s="20"/>
      <c r="M6" s="20"/>
      <c r="N6" s="20"/>
      <c r="O6" s="20"/>
      <c r="P6" s="20"/>
      <c r="Q6" s="20"/>
      <c r="R6" s="20"/>
    </row>
    <row r="7" spans="1:18" x14ac:dyDescent="0.4">
      <c r="A7" s="13" t="s">
        <v>2324</v>
      </c>
      <c r="B7" s="55" t="s">
        <v>2325</v>
      </c>
      <c r="C7" s="10" t="s">
        <v>25</v>
      </c>
      <c r="D7" s="59">
        <v>46113</v>
      </c>
      <c r="E7" s="6">
        <v>356400</v>
      </c>
      <c r="F7" s="13">
        <v>6</v>
      </c>
      <c r="H7" s="62"/>
      <c r="I7" s="20"/>
      <c r="L7" s="20"/>
      <c r="M7" s="20"/>
      <c r="N7" s="20"/>
      <c r="O7" s="20"/>
      <c r="P7" s="20"/>
      <c r="Q7" s="20"/>
      <c r="R7" s="20"/>
    </row>
    <row r="8" spans="1:18" x14ac:dyDescent="0.4">
      <c r="A8" s="13" t="s">
        <v>2324</v>
      </c>
      <c r="B8" s="55" t="s">
        <v>2325</v>
      </c>
      <c r="C8" s="10" t="s">
        <v>25</v>
      </c>
      <c r="D8" s="59">
        <v>46143</v>
      </c>
      <c r="E8" s="6">
        <v>19800</v>
      </c>
      <c r="F8" s="54">
        <v>7</v>
      </c>
      <c r="H8" s="62"/>
      <c r="I8" s="20"/>
      <c r="L8" s="20"/>
      <c r="M8" s="20"/>
      <c r="N8" s="20"/>
      <c r="O8" s="20"/>
      <c r="P8" s="20"/>
      <c r="Q8" s="20"/>
      <c r="R8" s="20"/>
    </row>
    <row r="9" spans="1:18" x14ac:dyDescent="0.4">
      <c r="A9" s="13" t="s">
        <v>2324</v>
      </c>
      <c r="B9" s="55" t="s">
        <v>2325</v>
      </c>
      <c r="C9" s="10" t="s">
        <v>25</v>
      </c>
      <c r="D9" s="59">
        <v>46174</v>
      </c>
      <c r="E9" s="6">
        <v>0</v>
      </c>
      <c r="F9" s="13">
        <v>8</v>
      </c>
      <c r="H9" s="62"/>
      <c r="I9" s="20"/>
      <c r="L9" s="20"/>
      <c r="M9" s="20"/>
      <c r="N9" s="20"/>
      <c r="O9" s="20"/>
      <c r="P9" s="20"/>
      <c r="Q9" s="20"/>
      <c r="R9" s="20"/>
    </row>
    <row r="10" spans="1:18" x14ac:dyDescent="0.4">
      <c r="A10" s="13" t="s">
        <v>2324</v>
      </c>
      <c r="B10" s="55" t="s">
        <v>2325</v>
      </c>
      <c r="C10" s="10" t="s">
        <v>25</v>
      </c>
      <c r="D10" s="59">
        <v>46204</v>
      </c>
      <c r="E10" s="6">
        <v>0</v>
      </c>
      <c r="F10" s="54">
        <v>9</v>
      </c>
      <c r="H10" s="62"/>
      <c r="I10" s="20"/>
      <c r="L10" s="20"/>
      <c r="M10" s="20"/>
      <c r="N10" s="20"/>
      <c r="O10" s="20"/>
      <c r="P10" s="20"/>
      <c r="Q10" s="20"/>
      <c r="R10" s="20"/>
    </row>
    <row r="11" spans="1:18" x14ac:dyDescent="0.4">
      <c r="A11" s="13" t="s">
        <v>2324</v>
      </c>
      <c r="B11" s="55" t="s">
        <v>2325</v>
      </c>
      <c r="C11" s="10" t="s">
        <v>25</v>
      </c>
      <c r="D11" s="59">
        <v>46235</v>
      </c>
      <c r="E11" s="6">
        <v>0</v>
      </c>
      <c r="F11" s="13">
        <v>10</v>
      </c>
      <c r="H11" s="62"/>
      <c r="I11" s="20"/>
      <c r="L11" s="20"/>
      <c r="M11" s="20"/>
      <c r="N11" s="20"/>
      <c r="O11" s="20"/>
      <c r="P11" s="20"/>
      <c r="Q11" s="20"/>
      <c r="R11" s="20"/>
    </row>
    <row r="12" spans="1:18" x14ac:dyDescent="0.4">
      <c r="A12" s="13" t="s">
        <v>2324</v>
      </c>
      <c r="B12" s="55" t="s">
        <v>2325</v>
      </c>
      <c r="C12" s="10" t="s">
        <v>25</v>
      </c>
      <c r="D12" s="59">
        <v>46266</v>
      </c>
      <c r="E12" s="6">
        <v>0</v>
      </c>
      <c r="F12" s="54">
        <v>11</v>
      </c>
      <c r="H12" s="62"/>
      <c r="I12" s="20"/>
      <c r="L12" s="20"/>
      <c r="M12" s="20"/>
      <c r="N12" s="20"/>
      <c r="O12" s="20"/>
      <c r="P12" s="20"/>
      <c r="Q12" s="20"/>
      <c r="R12" s="20"/>
    </row>
    <row r="13" spans="1:18" x14ac:dyDescent="0.4">
      <c r="A13" s="13" t="s">
        <v>2324</v>
      </c>
      <c r="B13" s="55" t="s">
        <v>2325</v>
      </c>
      <c r="C13" s="10" t="s">
        <v>25</v>
      </c>
      <c r="D13" s="59">
        <v>46296</v>
      </c>
      <c r="E13" s="6">
        <v>0</v>
      </c>
      <c r="F13" s="13">
        <v>12</v>
      </c>
      <c r="H13" s="62"/>
      <c r="I13" s="20"/>
      <c r="L13" s="20"/>
      <c r="M13" s="20"/>
      <c r="N13" s="20"/>
      <c r="O13" s="20"/>
      <c r="P13" s="20"/>
      <c r="Q13" s="20"/>
      <c r="R13" s="20"/>
    </row>
    <row r="14" spans="1:18" x14ac:dyDescent="0.4">
      <c r="A14" s="13" t="s">
        <v>2324</v>
      </c>
      <c r="B14" s="55" t="s">
        <v>2325</v>
      </c>
      <c r="C14" s="10" t="s">
        <v>25</v>
      </c>
      <c r="D14" s="59">
        <v>46327</v>
      </c>
      <c r="E14" s="6">
        <v>0</v>
      </c>
      <c r="F14" s="54">
        <v>13</v>
      </c>
      <c r="H14" s="62"/>
      <c r="I14" s="20"/>
      <c r="L14" s="20"/>
      <c r="M14" s="20"/>
      <c r="N14" s="20"/>
      <c r="O14" s="20"/>
      <c r="P14" s="20"/>
      <c r="Q14" s="20"/>
      <c r="R14" s="20"/>
    </row>
    <row r="15" spans="1:18" x14ac:dyDescent="0.4">
      <c r="A15" s="13" t="s">
        <v>2324</v>
      </c>
      <c r="B15" s="55" t="s">
        <v>2325</v>
      </c>
      <c r="C15" s="10" t="s">
        <v>25</v>
      </c>
      <c r="D15" s="59">
        <v>46357</v>
      </c>
      <c r="E15" s="6">
        <v>0</v>
      </c>
      <c r="F15" s="13">
        <v>14</v>
      </c>
      <c r="H15" s="62"/>
      <c r="I15" s="20"/>
      <c r="L15" s="20"/>
      <c r="M15" s="20"/>
      <c r="N15" s="20"/>
      <c r="O15" s="20"/>
      <c r="P15" s="20"/>
      <c r="Q15" s="20"/>
      <c r="R15" s="20"/>
    </row>
    <row r="16" spans="1:18" x14ac:dyDescent="0.4">
      <c r="A16" s="13" t="s">
        <v>2324</v>
      </c>
      <c r="B16" s="55" t="s">
        <v>2325</v>
      </c>
      <c r="C16" s="10" t="s">
        <v>25</v>
      </c>
      <c r="D16" s="59">
        <v>46388</v>
      </c>
      <c r="E16" s="6">
        <v>0</v>
      </c>
      <c r="F16" s="54">
        <v>15</v>
      </c>
      <c r="H16" s="62"/>
      <c r="I16" s="20"/>
      <c r="L16" s="20"/>
      <c r="M16" s="20"/>
      <c r="N16" s="20"/>
      <c r="O16" s="20"/>
      <c r="P16" s="20"/>
      <c r="Q16" s="20"/>
      <c r="R16" s="20"/>
    </row>
    <row r="17" spans="1:18" x14ac:dyDescent="0.4">
      <c r="A17" s="13" t="s">
        <v>2324</v>
      </c>
      <c r="B17" s="55" t="s">
        <v>2325</v>
      </c>
      <c r="C17" s="10" t="s">
        <v>25</v>
      </c>
      <c r="D17" s="59">
        <v>46419</v>
      </c>
      <c r="E17" s="6">
        <v>0</v>
      </c>
      <c r="F17" s="13">
        <v>16</v>
      </c>
      <c r="H17" s="62"/>
      <c r="I17" s="20"/>
      <c r="L17" s="20"/>
      <c r="M17" s="20"/>
      <c r="N17" s="20"/>
      <c r="O17" s="20"/>
      <c r="P17" s="20"/>
      <c r="Q17" s="20"/>
      <c r="R17" s="20"/>
    </row>
    <row r="18" spans="1:18" x14ac:dyDescent="0.4">
      <c r="A18" s="13" t="s">
        <v>2324</v>
      </c>
      <c r="B18" s="55" t="s">
        <v>2325</v>
      </c>
      <c r="C18" s="10" t="s">
        <v>25</v>
      </c>
      <c r="D18" s="59">
        <v>46447</v>
      </c>
      <c r="E18" s="6">
        <v>0</v>
      </c>
      <c r="F18" s="54">
        <v>17</v>
      </c>
      <c r="H18" s="62"/>
      <c r="I18" s="20"/>
      <c r="L18" s="20"/>
      <c r="M18" s="20"/>
      <c r="N18" s="20"/>
      <c r="O18" s="20"/>
      <c r="P18" s="20"/>
      <c r="Q18" s="20"/>
      <c r="R18" s="20"/>
    </row>
    <row r="19" spans="1:18" x14ac:dyDescent="0.4">
      <c r="A19" s="13" t="s">
        <v>2324</v>
      </c>
      <c r="B19" s="55" t="s">
        <v>2325</v>
      </c>
      <c r="C19" s="10" t="s">
        <v>25</v>
      </c>
      <c r="D19" s="59">
        <v>46478</v>
      </c>
      <c r="E19" s="6">
        <v>0</v>
      </c>
      <c r="F19" s="13">
        <v>18</v>
      </c>
      <c r="H19" s="62"/>
      <c r="I19" s="20"/>
      <c r="L19" s="20"/>
      <c r="M19" s="20"/>
      <c r="N19" s="20"/>
      <c r="O19" s="20"/>
      <c r="P19" s="20"/>
      <c r="Q19" s="20"/>
      <c r="R19" s="20"/>
    </row>
    <row r="20" spans="1:18" x14ac:dyDescent="0.4">
      <c r="A20" s="13" t="s">
        <v>2324</v>
      </c>
      <c r="B20" s="55" t="s">
        <v>2325</v>
      </c>
      <c r="C20" s="10" t="s">
        <v>25</v>
      </c>
      <c r="D20" s="59">
        <v>46508</v>
      </c>
      <c r="E20" s="6">
        <v>0</v>
      </c>
      <c r="F20" s="54">
        <v>19</v>
      </c>
      <c r="H20" s="62"/>
      <c r="I20" s="20"/>
    </row>
    <row r="21" spans="1:18" x14ac:dyDescent="0.4">
      <c r="A21" s="13" t="s">
        <v>2324</v>
      </c>
      <c r="B21" s="55" t="s">
        <v>2325</v>
      </c>
      <c r="C21" s="10" t="s">
        <v>25</v>
      </c>
      <c r="D21" s="59">
        <v>46539</v>
      </c>
      <c r="E21" s="6">
        <v>0</v>
      </c>
      <c r="F21" s="13">
        <v>20</v>
      </c>
      <c r="H21" s="62"/>
      <c r="I21" s="20"/>
    </row>
    <row r="22" spans="1:18" x14ac:dyDescent="0.4">
      <c r="A22" s="13" t="s">
        <v>2324</v>
      </c>
      <c r="B22" s="55" t="s">
        <v>2325</v>
      </c>
      <c r="C22" s="10" t="s">
        <v>25</v>
      </c>
      <c r="D22" s="59">
        <v>46569</v>
      </c>
      <c r="E22" s="6">
        <v>0</v>
      </c>
      <c r="F22" s="54">
        <v>21</v>
      </c>
      <c r="H22" s="62"/>
      <c r="I22" s="20"/>
    </row>
    <row r="23" spans="1:18" x14ac:dyDescent="0.4">
      <c r="A23" s="13" t="s">
        <v>2324</v>
      </c>
      <c r="B23" s="55" t="s">
        <v>2325</v>
      </c>
      <c r="C23" s="10" t="s">
        <v>25</v>
      </c>
      <c r="D23" s="59">
        <v>46600</v>
      </c>
      <c r="E23" s="6">
        <v>0</v>
      </c>
      <c r="F23" s="13">
        <v>22</v>
      </c>
      <c r="H23" s="62"/>
      <c r="I23" s="20"/>
    </row>
    <row r="24" spans="1:18" x14ac:dyDescent="0.4">
      <c r="A24" s="13" t="s">
        <v>2324</v>
      </c>
      <c r="B24" s="55" t="s">
        <v>2325</v>
      </c>
      <c r="C24" s="13" t="s">
        <v>44</v>
      </c>
      <c r="D24" s="59">
        <v>45962</v>
      </c>
      <c r="E24" s="6">
        <v>0</v>
      </c>
      <c r="F24" s="54">
        <v>23</v>
      </c>
      <c r="H24" s="62"/>
      <c r="I24" s="20"/>
    </row>
    <row r="25" spans="1:18" x14ac:dyDescent="0.4">
      <c r="A25" s="13" t="s">
        <v>2324</v>
      </c>
      <c r="B25" s="55" t="s">
        <v>2325</v>
      </c>
      <c r="C25" s="13" t="s">
        <v>44</v>
      </c>
      <c r="D25" s="59">
        <v>45992</v>
      </c>
      <c r="E25" s="6">
        <v>133350</v>
      </c>
      <c r="F25" s="13">
        <v>24</v>
      </c>
      <c r="H25" s="62"/>
      <c r="I25" s="20"/>
    </row>
    <row r="26" spans="1:18" x14ac:dyDescent="0.4">
      <c r="A26" s="13" t="s">
        <v>2324</v>
      </c>
      <c r="B26" s="55" t="s">
        <v>2325</v>
      </c>
      <c r="C26" s="13" t="s">
        <v>44</v>
      </c>
      <c r="D26" s="59">
        <v>46023</v>
      </c>
      <c r="E26" s="6">
        <v>5162550</v>
      </c>
      <c r="F26" s="54">
        <v>25</v>
      </c>
      <c r="H26" s="62"/>
      <c r="I26" s="20"/>
    </row>
    <row r="27" spans="1:18" x14ac:dyDescent="0.4">
      <c r="A27" s="13" t="s">
        <v>2324</v>
      </c>
      <c r="B27" s="55" t="s">
        <v>2325</v>
      </c>
      <c r="C27" s="13" t="s">
        <v>44</v>
      </c>
      <c r="D27" s="59">
        <v>46054</v>
      </c>
      <c r="E27" s="6">
        <v>5276850</v>
      </c>
      <c r="F27" s="13">
        <v>26</v>
      </c>
      <c r="H27" s="62"/>
      <c r="I27" s="20"/>
    </row>
    <row r="28" spans="1:18" x14ac:dyDescent="0.4">
      <c r="A28" s="13" t="s">
        <v>2324</v>
      </c>
      <c r="B28" s="55" t="s">
        <v>2325</v>
      </c>
      <c r="C28" s="13" t="s">
        <v>44</v>
      </c>
      <c r="D28" s="59">
        <v>46082</v>
      </c>
      <c r="E28" s="6">
        <v>5410200</v>
      </c>
      <c r="F28" s="54">
        <v>27</v>
      </c>
      <c r="H28" s="62"/>
      <c r="I28" s="20"/>
    </row>
    <row r="29" spans="1:18" x14ac:dyDescent="0.4">
      <c r="A29" s="13" t="s">
        <v>2324</v>
      </c>
      <c r="B29" s="55" t="s">
        <v>2325</v>
      </c>
      <c r="C29" s="13" t="s">
        <v>44</v>
      </c>
      <c r="D29" s="59">
        <v>46113</v>
      </c>
      <c r="E29" s="6">
        <v>5619750</v>
      </c>
      <c r="F29" s="13">
        <v>28</v>
      </c>
      <c r="H29" s="62"/>
      <c r="I29" s="20"/>
    </row>
    <row r="30" spans="1:18" x14ac:dyDescent="0.4">
      <c r="A30" s="13" t="s">
        <v>2324</v>
      </c>
      <c r="B30" s="55" t="s">
        <v>2325</v>
      </c>
      <c r="C30" s="13" t="s">
        <v>44</v>
      </c>
      <c r="D30" s="59">
        <v>46143</v>
      </c>
      <c r="E30" s="6">
        <v>7467600</v>
      </c>
      <c r="F30" s="54">
        <v>29</v>
      </c>
      <c r="H30" s="62"/>
      <c r="I30" s="20"/>
    </row>
    <row r="31" spans="1:18" x14ac:dyDescent="0.4">
      <c r="A31" s="13" t="s">
        <v>2324</v>
      </c>
      <c r="B31" s="55" t="s">
        <v>2325</v>
      </c>
      <c r="C31" s="13" t="s">
        <v>44</v>
      </c>
      <c r="D31" s="59">
        <v>46174</v>
      </c>
      <c r="E31" s="6">
        <v>7334250</v>
      </c>
      <c r="F31" s="13">
        <v>30</v>
      </c>
      <c r="H31" s="62"/>
      <c r="I31" s="20"/>
    </row>
    <row r="32" spans="1:18" x14ac:dyDescent="0.4">
      <c r="A32" s="13" t="s">
        <v>2324</v>
      </c>
      <c r="B32" s="55" t="s">
        <v>2325</v>
      </c>
      <c r="C32" s="13" t="s">
        <v>44</v>
      </c>
      <c r="D32" s="59">
        <v>46204</v>
      </c>
      <c r="E32" s="6">
        <v>2305050</v>
      </c>
      <c r="F32" s="54">
        <v>31</v>
      </c>
      <c r="H32" s="62"/>
      <c r="I32" s="20"/>
    </row>
    <row r="33" spans="1:9" x14ac:dyDescent="0.4">
      <c r="A33" s="13" t="s">
        <v>2324</v>
      </c>
      <c r="B33" s="55" t="s">
        <v>2325</v>
      </c>
      <c r="C33" s="13" t="s">
        <v>44</v>
      </c>
      <c r="D33" s="59">
        <v>46235</v>
      </c>
      <c r="E33" s="6">
        <v>2190750</v>
      </c>
      <c r="F33" s="13">
        <v>32</v>
      </c>
      <c r="H33" s="62"/>
      <c r="I33" s="20"/>
    </row>
    <row r="34" spans="1:9" x14ac:dyDescent="0.4">
      <c r="A34" s="13" t="s">
        <v>2324</v>
      </c>
      <c r="B34" s="55" t="s">
        <v>2325</v>
      </c>
      <c r="C34" s="13" t="s">
        <v>44</v>
      </c>
      <c r="D34" s="59">
        <v>46266</v>
      </c>
      <c r="E34" s="6">
        <v>2057400</v>
      </c>
      <c r="F34" s="54">
        <v>33</v>
      </c>
      <c r="H34" s="62"/>
      <c r="I34" s="20"/>
    </row>
    <row r="35" spans="1:9" x14ac:dyDescent="0.4">
      <c r="A35" s="13" t="s">
        <v>2324</v>
      </c>
      <c r="B35" s="55" t="s">
        <v>2325</v>
      </c>
      <c r="C35" s="13" t="s">
        <v>44</v>
      </c>
      <c r="D35" s="59">
        <v>46296</v>
      </c>
      <c r="E35" s="6">
        <v>1847850</v>
      </c>
      <c r="F35" s="13">
        <v>34</v>
      </c>
      <c r="H35" s="62"/>
      <c r="I35" s="20"/>
    </row>
    <row r="36" spans="1:9" x14ac:dyDescent="0.4">
      <c r="A36" s="13" t="s">
        <v>2324</v>
      </c>
      <c r="B36" s="55" t="s">
        <v>2325</v>
      </c>
      <c r="C36" s="13" t="s">
        <v>44</v>
      </c>
      <c r="D36" s="59">
        <v>46327</v>
      </c>
      <c r="E36" s="6">
        <v>0</v>
      </c>
      <c r="F36" s="54">
        <v>35</v>
      </c>
      <c r="H36" s="62"/>
      <c r="I36" s="20"/>
    </row>
    <row r="37" spans="1:9" x14ac:dyDescent="0.4">
      <c r="A37" s="13" t="s">
        <v>2324</v>
      </c>
      <c r="B37" s="55" t="s">
        <v>2325</v>
      </c>
      <c r="C37" s="13" t="s">
        <v>44</v>
      </c>
      <c r="D37" s="59">
        <v>46357</v>
      </c>
      <c r="E37" s="6">
        <v>0</v>
      </c>
      <c r="F37" s="13">
        <v>36</v>
      </c>
      <c r="H37" s="62"/>
      <c r="I37" s="20"/>
    </row>
    <row r="38" spans="1:9" x14ac:dyDescent="0.4">
      <c r="A38" s="13" t="s">
        <v>2324</v>
      </c>
      <c r="B38" s="55" t="s">
        <v>2325</v>
      </c>
      <c r="C38" s="13" t="s">
        <v>44</v>
      </c>
      <c r="D38" s="59">
        <v>46388</v>
      </c>
      <c r="E38" s="6">
        <v>0</v>
      </c>
      <c r="F38" s="54">
        <v>37</v>
      </c>
      <c r="H38" s="62"/>
      <c r="I38" s="20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46419</v>
      </c>
      <c r="E39" s="6">
        <v>0</v>
      </c>
      <c r="F39" s="13">
        <v>38</v>
      </c>
      <c r="H39" s="62"/>
      <c r="I39" s="20"/>
    </row>
    <row r="40" spans="1:9" x14ac:dyDescent="0.4">
      <c r="A40" s="13" t="s">
        <v>2324</v>
      </c>
      <c r="B40" s="55" t="s">
        <v>2325</v>
      </c>
      <c r="C40" s="13" t="s">
        <v>44</v>
      </c>
      <c r="D40" s="59">
        <v>46447</v>
      </c>
      <c r="E40" s="6">
        <v>0</v>
      </c>
      <c r="F40" s="54">
        <v>39</v>
      </c>
      <c r="H40" s="62"/>
      <c r="I40" s="20"/>
    </row>
    <row r="41" spans="1:9" x14ac:dyDescent="0.4">
      <c r="A41" s="13" t="s">
        <v>2324</v>
      </c>
      <c r="B41" s="55" t="s">
        <v>2325</v>
      </c>
      <c r="C41" s="13" t="s">
        <v>44</v>
      </c>
      <c r="D41" s="59">
        <v>46478</v>
      </c>
      <c r="E41" s="6">
        <v>0</v>
      </c>
      <c r="F41" s="13">
        <v>40</v>
      </c>
      <c r="H41" s="62"/>
      <c r="I41" s="20"/>
    </row>
    <row r="42" spans="1:9" x14ac:dyDescent="0.4">
      <c r="A42" s="13" t="s">
        <v>2324</v>
      </c>
      <c r="B42" s="55" t="s">
        <v>2325</v>
      </c>
      <c r="C42" s="13" t="s">
        <v>44</v>
      </c>
      <c r="D42" s="59">
        <v>46508</v>
      </c>
      <c r="E42" s="6">
        <v>0</v>
      </c>
      <c r="F42" s="54">
        <v>41</v>
      </c>
      <c r="H42" s="62"/>
      <c r="I42" s="20"/>
    </row>
    <row r="43" spans="1:9" x14ac:dyDescent="0.4">
      <c r="A43" s="13" t="s">
        <v>2324</v>
      </c>
      <c r="B43" s="55" t="s">
        <v>2325</v>
      </c>
      <c r="C43" s="13" t="s">
        <v>44</v>
      </c>
      <c r="D43" s="59">
        <v>46539</v>
      </c>
      <c r="E43" s="6">
        <v>0</v>
      </c>
      <c r="F43" s="13">
        <v>42</v>
      </c>
      <c r="H43" s="62"/>
      <c r="I43" s="20"/>
    </row>
    <row r="44" spans="1:9" x14ac:dyDescent="0.4">
      <c r="A44" s="13" t="s">
        <v>2324</v>
      </c>
      <c r="B44" s="55" t="s">
        <v>2325</v>
      </c>
      <c r="C44" s="13" t="s">
        <v>44</v>
      </c>
      <c r="D44" s="59">
        <v>46569</v>
      </c>
      <c r="E44" s="6">
        <v>0</v>
      </c>
      <c r="F44" s="54">
        <v>43</v>
      </c>
      <c r="H44" s="62"/>
      <c r="I44" s="20"/>
    </row>
    <row r="45" spans="1:9" x14ac:dyDescent="0.4">
      <c r="A45" s="13" t="s">
        <v>2324</v>
      </c>
      <c r="B45" s="55" t="s">
        <v>2325</v>
      </c>
      <c r="C45" s="13" t="s">
        <v>44</v>
      </c>
      <c r="D45" s="59">
        <v>46600</v>
      </c>
      <c r="E45" s="6">
        <v>0</v>
      </c>
      <c r="F45" s="13">
        <v>44</v>
      </c>
      <c r="H45" s="62"/>
      <c r="I45" s="20"/>
    </row>
    <row r="46" spans="1:9" x14ac:dyDescent="0.4">
      <c r="A46" s="13" t="s">
        <v>2324</v>
      </c>
      <c r="B46" s="55" t="s">
        <v>2325</v>
      </c>
      <c r="C46" s="13" t="s">
        <v>1944</v>
      </c>
      <c r="D46" s="59">
        <v>45962</v>
      </c>
      <c r="E46" s="6">
        <v>0</v>
      </c>
      <c r="F46" s="54">
        <v>45</v>
      </c>
      <c r="H46" s="62"/>
      <c r="I46" s="20"/>
    </row>
    <row r="47" spans="1:9" x14ac:dyDescent="0.4">
      <c r="A47" s="13" t="s">
        <v>2324</v>
      </c>
      <c r="B47" s="55" t="s">
        <v>2325</v>
      </c>
      <c r="C47" s="13" t="s">
        <v>1944</v>
      </c>
      <c r="D47" s="59">
        <v>45992</v>
      </c>
      <c r="E47" s="6">
        <v>0</v>
      </c>
      <c r="F47" s="13">
        <v>46</v>
      </c>
      <c r="H47" s="62"/>
      <c r="I47" s="20"/>
    </row>
    <row r="48" spans="1:9" x14ac:dyDescent="0.4">
      <c r="A48" s="13" t="s">
        <v>2324</v>
      </c>
      <c r="B48" s="55" t="s">
        <v>2325</v>
      </c>
      <c r="C48" s="13" t="s">
        <v>1944</v>
      </c>
      <c r="D48" s="59">
        <v>46023</v>
      </c>
      <c r="E48" s="6">
        <v>9435</v>
      </c>
      <c r="F48" s="54">
        <v>47</v>
      </c>
      <c r="H48" s="62"/>
      <c r="I48" s="20"/>
    </row>
    <row r="49" spans="1:9" x14ac:dyDescent="0.4">
      <c r="A49" s="13" t="s">
        <v>2324</v>
      </c>
      <c r="B49" s="55" t="s">
        <v>2325</v>
      </c>
      <c r="C49" s="13" t="s">
        <v>1944</v>
      </c>
      <c r="D49" s="59">
        <v>46054</v>
      </c>
      <c r="E49" s="6">
        <v>9435</v>
      </c>
      <c r="F49" s="13">
        <v>48</v>
      </c>
      <c r="H49" s="62"/>
      <c r="I49" s="20"/>
    </row>
    <row r="50" spans="1:9" x14ac:dyDescent="0.4">
      <c r="A50" s="13" t="s">
        <v>2324</v>
      </c>
      <c r="B50" s="55" t="s">
        <v>2325</v>
      </c>
      <c r="C50" s="13" t="s">
        <v>1944</v>
      </c>
      <c r="D50" s="59">
        <v>46082</v>
      </c>
      <c r="E50" s="6">
        <v>103785</v>
      </c>
      <c r="F50" s="54">
        <v>49</v>
      </c>
      <c r="H50" s="62"/>
      <c r="I50" s="20"/>
    </row>
    <row r="51" spans="1:9" x14ac:dyDescent="0.4">
      <c r="A51" s="13" t="s">
        <v>2324</v>
      </c>
      <c r="B51" s="55" t="s">
        <v>2325</v>
      </c>
      <c r="C51" s="13" t="s">
        <v>1944</v>
      </c>
      <c r="D51" s="59">
        <v>46113</v>
      </c>
      <c r="E51" s="6">
        <v>103785</v>
      </c>
      <c r="F51" s="13">
        <v>50</v>
      </c>
      <c r="H51" s="62"/>
      <c r="I51" s="20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46143</v>
      </c>
      <c r="E52" s="6">
        <v>160395</v>
      </c>
      <c r="F52" s="54">
        <v>51</v>
      </c>
      <c r="H52" s="62"/>
      <c r="I52" s="20"/>
    </row>
    <row r="53" spans="1:9" x14ac:dyDescent="0.4">
      <c r="A53" s="13" t="s">
        <v>2324</v>
      </c>
      <c r="B53" s="55" t="s">
        <v>2325</v>
      </c>
      <c r="C53" s="13" t="s">
        <v>1944</v>
      </c>
      <c r="D53" s="59">
        <v>46174</v>
      </c>
      <c r="E53" s="6">
        <v>217005</v>
      </c>
      <c r="F53" s="13">
        <v>52</v>
      </c>
      <c r="H53" s="62"/>
      <c r="I53" s="20"/>
    </row>
    <row r="54" spans="1:9" x14ac:dyDescent="0.4">
      <c r="A54" s="13" t="s">
        <v>2324</v>
      </c>
      <c r="B54" s="55" t="s">
        <v>2325</v>
      </c>
      <c r="C54" s="13" t="s">
        <v>1944</v>
      </c>
      <c r="D54" s="59">
        <v>46204</v>
      </c>
      <c r="E54" s="6">
        <v>235875</v>
      </c>
      <c r="F54" s="54">
        <v>53</v>
      </c>
      <c r="H54" s="62"/>
      <c r="I54" s="20"/>
    </row>
    <row r="55" spans="1:9" x14ac:dyDescent="0.4">
      <c r="A55" s="13" t="s">
        <v>2324</v>
      </c>
      <c r="B55" s="55" t="s">
        <v>2325</v>
      </c>
      <c r="C55" s="13" t="s">
        <v>1944</v>
      </c>
      <c r="D55" s="59">
        <v>46235</v>
      </c>
      <c r="E55" s="6">
        <v>245310</v>
      </c>
      <c r="F55" s="13">
        <v>54</v>
      </c>
      <c r="H55" s="62"/>
      <c r="I55" s="20"/>
    </row>
    <row r="56" spans="1:9" x14ac:dyDescent="0.4">
      <c r="A56" s="13" t="s">
        <v>2324</v>
      </c>
      <c r="B56" s="55" t="s">
        <v>2325</v>
      </c>
      <c r="C56" s="13" t="s">
        <v>1944</v>
      </c>
      <c r="D56" s="59">
        <v>46266</v>
      </c>
      <c r="E56" s="6">
        <v>396270</v>
      </c>
      <c r="F56" s="54">
        <v>55</v>
      </c>
      <c r="H56" s="62"/>
      <c r="I56" s="20"/>
    </row>
    <row r="57" spans="1:9" x14ac:dyDescent="0.4">
      <c r="A57" s="13" t="s">
        <v>2324</v>
      </c>
      <c r="B57" s="55" t="s">
        <v>2325</v>
      </c>
      <c r="C57" s="13" t="s">
        <v>1944</v>
      </c>
      <c r="D57" s="59">
        <v>46296</v>
      </c>
      <c r="E57" s="6">
        <v>594405</v>
      </c>
      <c r="F57" s="13">
        <v>56</v>
      </c>
      <c r="H57" s="62"/>
      <c r="I57" s="20"/>
    </row>
    <row r="58" spans="1:9" x14ac:dyDescent="0.4">
      <c r="A58" s="13" t="s">
        <v>2324</v>
      </c>
      <c r="B58" s="55" t="s">
        <v>2325</v>
      </c>
      <c r="C58" s="13" t="s">
        <v>1944</v>
      </c>
      <c r="D58" s="59">
        <v>46327</v>
      </c>
      <c r="E58" s="6">
        <v>594405</v>
      </c>
      <c r="F58" s="54">
        <v>57</v>
      </c>
      <c r="H58" s="62"/>
      <c r="I58" s="20"/>
    </row>
    <row r="59" spans="1:9" x14ac:dyDescent="0.4">
      <c r="A59" s="13" t="s">
        <v>2324</v>
      </c>
      <c r="B59" s="55" t="s">
        <v>2325</v>
      </c>
      <c r="C59" s="13" t="s">
        <v>1944</v>
      </c>
      <c r="D59" s="59">
        <v>46357</v>
      </c>
      <c r="E59" s="6">
        <v>594405</v>
      </c>
      <c r="F59" s="13">
        <v>58</v>
      </c>
      <c r="H59" s="62"/>
      <c r="I59" s="20"/>
    </row>
    <row r="60" spans="1:9" x14ac:dyDescent="0.4">
      <c r="A60" s="13" t="s">
        <v>2324</v>
      </c>
      <c r="B60" s="55" t="s">
        <v>2325</v>
      </c>
      <c r="C60" s="13" t="s">
        <v>1944</v>
      </c>
      <c r="D60" s="59">
        <v>46388</v>
      </c>
      <c r="E60" s="6">
        <v>584970</v>
      </c>
      <c r="F60" s="54">
        <v>59</v>
      </c>
      <c r="H60" s="62"/>
      <c r="I60" s="20"/>
    </row>
    <row r="61" spans="1:9" x14ac:dyDescent="0.4">
      <c r="A61" s="13" t="s">
        <v>2324</v>
      </c>
      <c r="B61" s="55" t="s">
        <v>2325</v>
      </c>
      <c r="C61" s="13" t="s">
        <v>1944</v>
      </c>
      <c r="D61" s="59">
        <v>46419</v>
      </c>
      <c r="E61" s="6">
        <v>584970</v>
      </c>
      <c r="F61" s="13">
        <v>60</v>
      </c>
      <c r="H61" s="62"/>
      <c r="I61" s="20"/>
    </row>
    <row r="62" spans="1:9" x14ac:dyDescent="0.4">
      <c r="A62" s="13" t="s">
        <v>2324</v>
      </c>
      <c r="B62" s="55" t="s">
        <v>2325</v>
      </c>
      <c r="C62" s="13" t="s">
        <v>1944</v>
      </c>
      <c r="D62" s="59">
        <v>46447</v>
      </c>
      <c r="E62" s="6">
        <v>490620</v>
      </c>
      <c r="F62" s="54">
        <v>61</v>
      </c>
      <c r="H62" s="62"/>
      <c r="I62" s="20"/>
    </row>
    <row r="63" spans="1:9" x14ac:dyDescent="0.4">
      <c r="A63" s="13" t="s">
        <v>2324</v>
      </c>
      <c r="B63" s="55" t="s">
        <v>2325</v>
      </c>
      <c r="C63" s="13" t="s">
        <v>1944</v>
      </c>
      <c r="D63" s="59">
        <v>46478</v>
      </c>
      <c r="E63" s="6">
        <v>490620</v>
      </c>
      <c r="F63" s="13">
        <v>62</v>
      </c>
      <c r="H63" s="62"/>
      <c r="I63" s="20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46508</v>
      </c>
      <c r="E64" s="6">
        <v>434010</v>
      </c>
      <c r="F64" s="54">
        <v>63</v>
      </c>
      <c r="H64" s="62"/>
      <c r="I64" s="20"/>
    </row>
    <row r="65" spans="1:9" x14ac:dyDescent="0.4">
      <c r="A65" s="13" t="s">
        <v>2324</v>
      </c>
      <c r="B65" s="55" t="s">
        <v>2325</v>
      </c>
      <c r="C65" s="13" t="s">
        <v>1944</v>
      </c>
      <c r="D65" s="59">
        <v>46539</v>
      </c>
      <c r="E65" s="6">
        <v>377400</v>
      </c>
      <c r="F65" s="13">
        <v>64</v>
      </c>
      <c r="H65" s="62"/>
      <c r="I65" s="20"/>
    </row>
    <row r="66" spans="1:9" x14ac:dyDescent="0.4">
      <c r="A66" s="13" t="s">
        <v>2324</v>
      </c>
      <c r="B66" s="55" t="s">
        <v>2325</v>
      </c>
      <c r="C66" s="13" t="s">
        <v>1944</v>
      </c>
      <c r="D66" s="59">
        <v>46569</v>
      </c>
      <c r="E66" s="6">
        <v>358530</v>
      </c>
      <c r="F66" s="54">
        <v>65</v>
      </c>
      <c r="H66" s="62"/>
      <c r="I66" s="20"/>
    </row>
    <row r="67" spans="1:9" x14ac:dyDescent="0.4">
      <c r="A67" s="13" t="s">
        <v>2324</v>
      </c>
      <c r="B67" s="55" t="s">
        <v>2325</v>
      </c>
      <c r="C67" s="13" t="s">
        <v>1944</v>
      </c>
      <c r="D67" s="59">
        <v>46600</v>
      </c>
      <c r="E67" s="6">
        <v>349095</v>
      </c>
      <c r="F67" s="13">
        <v>66</v>
      </c>
      <c r="H67" s="62"/>
      <c r="I67" s="20"/>
    </row>
    <row r="68" spans="1:9" x14ac:dyDescent="0.4">
      <c r="A68" s="13" t="s">
        <v>2324</v>
      </c>
      <c r="B68" s="55" t="s">
        <v>2325</v>
      </c>
      <c r="C68" s="13" t="s">
        <v>70</v>
      </c>
      <c r="D68" s="59">
        <v>45962</v>
      </c>
      <c r="E68" s="6">
        <v>0</v>
      </c>
      <c r="F68" s="54">
        <v>67</v>
      </c>
      <c r="H68" s="62"/>
      <c r="I68" s="20"/>
    </row>
    <row r="69" spans="1:9" x14ac:dyDescent="0.4">
      <c r="A69" s="13" t="s">
        <v>2324</v>
      </c>
      <c r="B69" s="55" t="s">
        <v>2325</v>
      </c>
      <c r="C69" s="13" t="s">
        <v>70</v>
      </c>
      <c r="D69" s="59">
        <v>45992</v>
      </c>
      <c r="E69" s="6">
        <v>0</v>
      </c>
      <c r="F69" s="13">
        <v>68</v>
      </c>
      <c r="H69" s="62"/>
      <c r="I69" s="20"/>
    </row>
    <row r="70" spans="1:9" x14ac:dyDescent="0.4">
      <c r="A70" s="13" t="s">
        <v>2324</v>
      </c>
      <c r="B70" s="55" t="s">
        <v>2325</v>
      </c>
      <c r="C70" s="13" t="s">
        <v>70</v>
      </c>
      <c r="D70" s="59">
        <v>46023</v>
      </c>
      <c r="E70" s="6">
        <v>39600</v>
      </c>
      <c r="F70" s="54">
        <v>69</v>
      </c>
      <c r="H70" s="62"/>
      <c r="I70" s="20"/>
    </row>
    <row r="71" spans="1:9" x14ac:dyDescent="0.4">
      <c r="A71" s="13" t="s">
        <v>2324</v>
      </c>
      <c r="B71" s="55" t="s">
        <v>2325</v>
      </c>
      <c r="C71" s="13" t="s">
        <v>70</v>
      </c>
      <c r="D71" s="59">
        <v>46054</v>
      </c>
      <c r="E71" s="6">
        <v>39600</v>
      </c>
      <c r="F71" s="13">
        <v>70</v>
      </c>
      <c r="H71" s="62"/>
      <c r="I71" s="20"/>
    </row>
    <row r="72" spans="1:9" x14ac:dyDescent="0.4">
      <c r="A72" s="13" t="s">
        <v>2324</v>
      </c>
      <c r="B72" s="55" t="s">
        <v>2325</v>
      </c>
      <c r="C72" s="13" t="s">
        <v>70</v>
      </c>
      <c r="D72" s="59">
        <v>46082</v>
      </c>
      <c r="E72" s="6">
        <v>39600</v>
      </c>
      <c r="F72" s="54">
        <v>71</v>
      </c>
      <c r="H72" s="62"/>
      <c r="I72" s="20"/>
    </row>
    <row r="73" spans="1:9" x14ac:dyDescent="0.4">
      <c r="A73" s="13" t="s">
        <v>2324</v>
      </c>
      <c r="B73" s="55" t="s">
        <v>2325</v>
      </c>
      <c r="C73" s="13" t="s">
        <v>70</v>
      </c>
      <c r="D73" s="59">
        <v>46113</v>
      </c>
      <c r="E73" s="6">
        <v>0</v>
      </c>
      <c r="F73" s="13">
        <v>72</v>
      </c>
      <c r="H73" s="62"/>
      <c r="I73" s="20"/>
    </row>
    <row r="74" spans="1:9" x14ac:dyDescent="0.4">
      <c r="A74" s="13" t="s">
        <v>2324</v>
      </c>
      <c r="B74" s="55" t="s">
        <v>2325</v>
      </c>
      <c r="C74" s="13" t="s">
        <v>70</v>
      </c>
      <c r="D74" s="59">
        <v>46143</v>
      </c>
      <c r="E74" s="6">
        <v>0</v>
      </c>
      <c r="F74" s="54">
        <v>73</v>
      </c>
      <c r="H74" s="62"/>
      <c r="I74" s="20"/>
    </row>
    <row r="75" spans="1:9" x14ac:dyDescent="0.4">
      <c r="A75" s="13" t="s">
        <v>2324</v>
      </c>
      <c r="B75" s="55" t="s">
        <v>2325</v>
      </c>
      <c r="C75" s="13" t="s">
        <v>70</v>
      </c>
      <c r="D75" s="59">
        <v>46174</v>
      </c>
      <c r="E75" s="6">
        <v>0</v>
      </c>
      <c r="F75" s="13">
        <v>74</v>
      </c>
      <c r="H75" s="62"/>
      <c r="I75" s="20"/>
    </row>
    <row r="76" spans="1:9" x14ac:dyDescent="0.4">
      <c r="A76" s="13" t="s">
        <v>2324</v>
      </c>
      <c r="B76" s="55" t="s">
        <v>2325</v>
      </c>
      <c r="C76" s="13" t="s">
        <v>70</v>
      </c>
      <c r="D76" s="59">
        <v>46204</v>
      </c>
      <c r="E76" s="6">
        <v>0</v>
      </c>
      <c r="F76" s="54">
        <v>75</v>
      </c>
      <c r="H76" s="62"/>
      <c r="I76" s="20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46235</v>
      </c>
      <c r="E77" s="6">
        <v>0</v>
      </c>
      <c r="F77" s="13">
        <v>76</v>
      </c>
      <c r="H77" s="62"/>
      <c r="I77" s="20"/>
    </row>
    <row r="78" spans="1:9" x14ac:dyDescent="0.4">
      <c r="A78" s="13" t="s">
        <v>2324</v>
      </c>
      <c r="B78" s="55" t="s">
        <v>2325</v>
      </c>
      <c r="C78" s="13" t="s">
        <v>70</v>
      </c>
      <c r="D78" s="59">
        <v>46266</v>
      </c>
      <c r="E78" s="6">
        <v>0</v>
      </c>
      <c r="F78" s="54">
        <v>77</v>
      </c>
      <c r="H78" s="62"/>
      <c r="I78" s="20"/>
    </row>
    <row r="79" spans="1:9" x14ac:dyDescent="0.4">
      <c r="A79" s="13" t="s">
        <v>2324</v>
      </c>
      <c r="B79" s="55" t="s">
        <v>2325</v>
      </c>
      <c r="C79" s="13" t="s">
        <v>70</v>
      </c>
      <c r="D79" s="59">
        <v>46296</v>
      </c>
      <c r="E79" s="6">
        <v>0</v>
      </c>
      <c r="F79" s="13">
        <v>78</v>
      </c>
      <c r="H79" s="62"/>
      <c r="I79" s="20"/>
    </row>
    <row r="80" spans="1:9" x14ac:dyDescent="0.4">
      <c r="A80" s="13" t="s">
        <v>2324</v>
      </c>
      <c r="B80" s="55" t="s">
        <v>2325</v>
      </c>
      <c r="C80" s="13" t="s">
        <v>70</v>
      </c>
      <c r="D80" s="59">
        <v>46327</v>
      </c>
      <c r="E80" s="6">
        <v>0</v>
      </c>
      <c r="F80" s="54">
        <v>79</v>
      </c>
      <c r="H80" s="62"/>
      <c r="I80" s="20"/>
    </row>
    <row r="81" spans="1:9" x14ac:dyDescent="0.4">
      <c r="A81" s="13" t="s">
        <v>2324</v>
      </c>
      <c r="B81" s="55" t="s">
        <v>2325</v>
      </c>
      <c r="C81" s="13" t="s">
        <v>70</v>
      </c>
      <c r="D81" s="59">
        <v>46357</v>
      </c>
      <c r="E81" s="6">
        <v>0</v>
      </c>
      <c r="F81" s="13">
        <v>80</v>
      </c>
      <c r="H81" s="62"/>
      <c r="I81" s="20"/>
    </row>
    <row r="82" spans="1:9" x14ac:dyDescent="0.4">
      <c r="A82" s="13" t="s">
        <v>2324</v>
      </c>
      <c r="B82" s="55" t="s">
        <v>2325</v>
      </c>
      <c r="C82" s="13" t="s">
        <v>70</v>
      </c>
      <c r="D82" s="59">
        <v>46388</v>
      </c>
      <c r="E82" s="6">
        <v>0</v>
      </c>
      <c r="F82" s="54">
        <v>81</v>
      </c>
      <c r="H82" s="62"/>
      <c r="I82" s="20"/>
    </row>
    <row r="83" spans="1:9" x14ac:dyDescent="0.4">
      <c r="A83" s="13" t="s">
        <v>2324</v>
      </c>
      <c r="B83" s="55" t="s">
        <v>2325</v>
      </c>
      <c r="C83" s="13" t="s">
        <v>70</v>
      </c>
      <c r="D83" s="59">
        <v>46419</v>
      </c>
      <c r="E83" s="6">
        <v>0</v>
      </c>
      <c r="F83" s="13">
        <v>82</v>
      </c>
      <c r="H83" s="62"/>
      <c r="I83" s="20"/>
    </row>
    <row r="84" spans="1:9" x14ac:dyDescent="0.4">
      <c r="A84" s="13" t="s">
        <v>2324</v>
      </c>
      <c r="B84" s="55" t="s">
        <v>2325</v>
      </c>
      <c r="C84" s="13" t="s">
        <v>70</v>
      </c>
      <c r="D84" s="59">
        <v>46447</v>
      </c>
      <c r="E84" s="6">
        <v>0</v>
      </c>
      <c r="F84" s="54">
        <v>83</v>
      </c>
      <c r="H84" s="62"/>
      <c r="I84" s="20"/>
    </row>
    <row r="85" spans="1:9" x14ac:dyDescent="0.4">
      <c r="A85" s="13" t="s">
        <v>2324</v>
      </c>
      <c r="B85" s="55" t="s">
        <v>2325</v>
      </c>
      <c r="C85" s="13" t="s">
        <v>70</v>
      </c>
      <c r="D85" s="59">
        <v>46478</v>
      </c>
      <c r="E85" s="6">
        <v>0</v>
      </c>
      <c r="F85" s="13">
        <v>84</v>
      </c>
      <c r="H85" s="62"/>
      <c r="I85" s="20"/>
    </row>
    <row r="86" spans="1:9" x14ac:dyDescent="0.4">
      <c r="A86" s="13" t="s">
        <v>2324</v>
      </c>
      <c r="B86" s="55" t="s">
        <v>2325</v>
      </c>
      <c r="C86" s="13" t="s">
        <v>70</v>
      </c>
      <c r="D86" s="59">
        <v>46508</v>
      </c>
      <c r="E86" s="6">
        <v>0</v>
      </c>
      <c r="F86" s="54">
        <v>85</v>
      </c>
      <c r="H86" s="62"/>
      <c r="I86" s="20"/>
    </row>
    <row r="87" spans="1:9" x14ac:dyDescent="0.4">
      <c r="A87" s="13" t="s">
        <v>2324</v>
      </c>
      <c r="B87" s="55" t="s">
        <v>2325</v>
      </c>
      <c r="C87" s="13" t="s">
        <v>70</v>
      </c>
      <c r="D87" s="59">
        <v>46539</v>
      </c>
      <c r="E87" s="6">
        <v>0</v>
      </c>
      <c r="F87" s="13">
        <v>86</v>
      </c>
      <c r="H87" s="62"/>
      <c r="I87" s="20"/>
    </row>
    <row r="88" spans="1:9" x14ac:dyDescent="0.4">
      <c r="A88" s="13" t="s">
        <v>2324</v>
      </c>
      <c r="B88" s="55" t="s">
        <v>2325</v>
      </c>
      <c r="C88" s="13" t="s">
        <v>70</v>
      </c>
      <c r="D88" s="59">
        <v>46569</v>
      </c>
      <c r="E88" s="6">
        <v>0</v>
      </c>
      <c r="F88" s="54">
        <v>87</v>
      </c>
      <c r="H88" s="62"/>
      <c r="I88" s="20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46600</v>
      </c>
      <c r="E89" s="6">
        <v>0</v>
      </c>
      <c r="F89" s="13">
        <v>88</v>
      </c>
      <c r="H89" s="62"/>
      <c r="I89" s="20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45962</v>
      </c>
      <c r="E90" s="6">
        <v>0</v>
      </c>
      <c r="F90" s="54">
        <v>89</v>
      </c>
      <c r="H90" s="62"/>
      <c r="I90" s="20"/>
    </row>
    <row r="91" spans="1:9" x14ac:dyDescent="0.4">
      <c r="A91" s="13" t="s">
        <v>2324</v>
      </c>
      <c r="B91" s="55" t="s">
        <v>2325</v>
      </c>
      <c r="C91" s="13" t="s">
        <v>50</v>
      </c>
      <c r="D91" s="59">
        <v>45992</v>
      </c>
      <c r="E91" s="6">
        <v>0</v>
      </c>
      <c r="F91" s="13">
        <v>90</v>
      </c>
      <c r="H91" s="62"/>
      <c r="I91" s="20"/>
    </row>
    <row r="92" spans="1:9" x14ac:dyDescent="0.4">
      <c r="A92" s="13" t="s">
        <v>2324</v>
      </c>
      <c r="B92" s="55" t="s">
        <v>2325</v>
      </c>
      <c r="C92" s="13" t="s">
        <v>50</v>
      </c>
      <c r="D92" s="59">
        <v>46023</v>
      </c>
      <c r="E92" s="6">
        <v>342900</v>
      </c>
      <c r="F92" s="54">
        <v>91</v>
      </c>
      <c r="H92" s="62"/>
      <c r="I92" s="20"/>
    </row>
    <row r="93" spans="1:9" x14ac:dyDescent="0.4">
      <c r="A93" s="13" t="s">
        <v>2324</v>
      </c>
      <c r="B93" s="55" t="s">
        <v>2325</v>
      </c>
      <c r="C93" s="13" t="s">
        <v>50</v>
      </c>
      <c r="D93" s="59">
        <v>46054</v>
      </c>
      <c r="E93" s="6">
        <v>342900</v>
      </c>
      <c r="F93" s="13">
        <v>92</v>
      </c>
      <c r="H93" s="62"/>
      <c r="I93" s="20"/>
    </row>
    <row r="94" spans="1:9" x14ac:dyDescent="0.4">
      <c r="A94" s="13" t="s">
        <v>2324</v>
      </c>
      <c r="B94" s="55" t="s">
        <v>2325</v>
      </c>
      <c r="C94" s="13" t="s">
        <v>50</v>
      </c>
      <c r="D94" s="59">
        <v>46082</v>
      </c>
      <c r="E94" s="6">
        <v>342900</v>
      </c>
      <c r="F94" s="54">
        <v>93</v>
      </c>
      <c r="H94" s="62"/>
      <c r="I94" s="20"/>
    </row>
    <row r="95" spans="1:9" x14ac:dyDescent="0.4">
      <c r="A95" s="13" t="s">
        <v>2324</v>
      </c>
      <c r="B95" s="55" t="s">
        <v>2325</v>
      </c>
      <c r="C95" s="13" t="s">
        <v>50</v>
      </c>
      <c r="D95" s="59">
        <v>46113</v>
      </c>
      <c r="E95" s="6">
        <v>361950</v>
      </c>
      <c r="F95" s="13">
        <v>94</v>
      </c>
      <c r="H95" s="62"/>
      <c r="I95" s="20"/>
    </row>
    <row r="96" spans="1:9" x14ac:dyDescent="0.4">
      <c r="A96" s="13" t="s">
        <v>2324</v>
      </c>
      <c r="B96" s="55" t="s">
        <v>2325</v>
      </c>
      <c r="C96" s="13" t="s">
        <v>50</v>
      </c>
      <c r="D96" s="59">
        <v>46143</v>
      </c>
      <c r="E96" s="6">
        <v>457200</v>
      </c>
      <c r="F96" s="54">
        <v>95</v>
      </c>
      <c r="H96" s="62"/>
      <c r="I96" s="20"/>
    </row>
    <row r="97" spans="1:9" x14ac:dyDescent="0.4">
      <c r="A97" s="13" t="s">
        <v>2324</v>
      </c>
      <c r="B97" s="55" t="s">
        <v>2325</v>
      </c>
      <c r="C97" s="13" t="s">
        <v>50</v>
      </c>
      <c r="D97" s="59">
        <v>46174</v>
      </c>
      <c r="E97" s="6">
        <v>457200</v>
      </c>
      <c r="F97" s="13">
        <v>96</v>
      </c>
      <c r="H97" s="62"/>
      <c r="I97" s="20"/>
    </row>
    <row r="98" spans="1:9" x14ac:dyDescent="0.4">
      <c r="A98" s="13" t="s">
        <v>2324</v>
      </c>
      <c r="B98" s="55" t="s">
        <v>2325</v>
      </c>
      <c r="C98" s="13" t="s">
        <v>50</v>
      </c>
      <c r="D98" s="59">
        <v>46204</v>
      </c>
      <c r="E98" s="6">
        <v>114300</v>
      </c>
      <c r="F98" s="54">
        <v>97</v>
      </c>
      <c r="H98" s="62"/>
      <c r="I98" s="20"/>
    </row>
    <row r="99" spans="1:9" x14ac:dyDescent="0.4">
      <c r="A99" s="13" t="s">
        <v>2324</v>
      </c>
      <c r="B99" s="55" t="s">
        <v>2325</v>
      </c>
      <c r="C99" s="13" t="s">
        <v>50</v>
      </c>
      <c r="D99" s="59">
        <v>46235</v>
      </c>
      <c r="E99" s="6">
        <v>114300</v>
      </c>
      <c r="F99" s="13">
        <v>98</v>
      </c>
      <c r="H99" s="62"/>
      <c r="I99" s="20"/>
    </row>
    <row r="100" spans="1:9" x14ac:dyDescent="0.4">
      <c r="A100" s="13" t="s">
        <v>2324</v>
      </c>
      <c r="B100" s="55" t="s">
        <v>2325</v>
      </c>
      <c r="C100" s="13" t="s">
        <v>50</v>
      </c>
      <c r="D100" s="59">
        <v>46266</v>
      </c>
      <c r="E100" s="6">
        <v>114300</v>
      </c>
      <c r="F100" s="54">
        <v>99</v>
      </c>
      <c r="H100" s="62"/>
      <c r="I100" s="20"/>
    </row>
    <row r="101" spans="1:9" x14ac:dyDescent="0.4">
      <c r="A101" s="13" t="s">
        <v>2324</v>
      </c>
      <c r="B101" s="55" t="s">
        <v>2325</v>
      </c>
      <c r="C101" s="13" t="s">
        <v>50</v>
      </c>
      <c r="D101" s="59">
        <v>46296</v>
      </c>
      <c r="E101" s="6">
        <v>95250</v>
      </c>
      <c r="F101" s="13">
        <v>100</v>
      </c>
      <c r="H101" s="62"/>
      <c r="I101" s="20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46327</v>
      </c>
      <c r="E102" s="6">
        <v>0</v>
      </c>
      <c r="F102" s="54">
        <v>101</v>
      </c>
      <c r="H102" s="62"/>
      <c r="I102" s="20"/>
    </row>
    <row r="103" spans="1:9" x14ac:dyDescent="0.4">
      <c r="A103" s="13" t="s">
        <v>2324</v>
      </c>
      <c r="B103" s="55" t="s">
        <v>2325</v>
      </c>
      <c r="C103" s="13" t="s">
        <v>50</v>
      </c>
      <c r="D103" s="59">
        <v>46357</v>
      </c>
      <c r="E103" s="6">
        <v>0</v>
      </c>
      <c r="F103" s="13">
        <v>102</v>
      </c>
      <c r="H103" s="62"/>
      <c r="I103" s="20"/>
    </row>
    <row r="104" spans="1:9" x14ac:dyDescent="0.4">
      <c r="A104" s="13" t="s">
        <v>2324</v>
      </c>
      <c r="B104" s="55" t="s">
        <v>2325</v>
      </c>
      <c r="C104" s="13" t="s">
        <v>50</v>
      </c>
      <c r="D104" s="59">
        <v>46388</v>
      </c>
      <c r="E104" s="6">
        <v>0</v>
      </c>
      <c r="F104" s="54">
        <v>103</v>
      </c>
      <c r="H104" s="62"/>
      <c r="I104" s="20"/>
    </row>
    <row r="105" spans="1:9" x14ac:dyDescent="0.4">
      <c r="A105" s="13" t="s">
        <v>2324</v>
      </c>
      <c r="B105" s="55" t="s">
        <v>2325</v>
      </c>
      <c r="C105" s="13" t="s">
        <v>50</v>
      </c>
      <c r="D105" s="59">
        <v>46419</v>
      </c>
      <c r="E105" s="6">
        <v>0</v>
      </c>
      <c r="F105" s="13">
        <v>104</v>
      </c>
      <c r="H105" s="62"/>
      <c r="I105" s="20"/>
    </row>
    <row r="106" spans="1:9" x14ac:dyDescent="0.4">
      <c r="A106" s="13" t="s">
        <v>2324</v>
      </c>
      <c r="B106" s="55" t="s">
        <v>2325</v>
      </c>
      <c r="C106" s="13" t="s">
        <v>50</v>
      </c>
      <c r="D106" s="59">
        <v>46447</v>
      </c>
      <c r="E106" s="6">
        <v>0</v>
      </c>
      <c r="F106" s="54">
        <v>105</v>
      </c>
      <c r="H106" s="62"/>
      <c r="I106" s="20"/>
    </row>
    <row r="107" spans="1:9" x14ac:dyDescent="0.4">
      <c r="A107" s="13" t="s">
        <v>2324</v>
      </c>
      <c r="B107" s="55" t="s">
        <v>2325</v>
      </c>
      <c r="C107" s="13" t="s">
        <v>50</v>
      </c>
      <c r="D107" s="59">
        <v>46478</v>
      </c>
      <c r="E107" s="6">
        <v>0</v>
      </c>
      <c r="F107" s="13">
        <v>106</v>
      </c>
      <c r="H107" s="62"/>
      <c r="I107" s="20"/>
    </row>
    <row r="108" spans="1:9" x14ac:dyDescent="0.4">
      <c r="A108" s="13" t="s">
        <v>2324</v>
      </c>
      <c r="B108" s="55" t="s">
        <v>2325</v>
      </c>
      <c r="C108" s="13" t="s">
        <v>50</v>
      </c>
      <c r="D108" s="59">
        <v>46508</v>
      </c>
      <c r="E108" s="6">
        <v>0</v>
      </c>
      <c r="F108" s="54">
        <v>107</v>
      </c>
      <c r="H108" s="62"/>
      <c r="I108" s="20"/>
    </row>
    <row r="109" spans="1:9" x14ac:dyDescent="0.4">
      <c r="A109" s="13" t="s">
        <v>2324</v>
      </c>
      <c r="B109" s="55" t="s">
        <v>2325</v>
      </c>
      <c r="C109" s="13" t="s">
        <v>50</v>
      </c>
      <c r="D109" s="59">
        <v>46539</v>
      </c>
      <c r="E109" s="6">
        <v>0</v>
      </c>
      <c r="F109" s="13">
        <v>108</v>
      </c>
      <c r="H109" s="62"/>
      <c r="I109" s="20"/>
    </row>
    <row r="110" spans="1:9" x14ac:dyDescent="0.4">
      <c r="A110" s="13" t="s">
        <v>2324</v>
      </c>
      <c r="B110" s="55" t="s">
        <v>2325</v>
      </c>
      <c r="C110" s="13" t="s">
        <v>50</v>
      </c>
      <c r="D110" s="59">
        <v>46569</v>
      </c>
      <c r="E110" s="6">
        <v>0</v>
      </c>
      <c r="F110" s="54">
        <v>109</v>
      </c>
      <c r="H110" s="62"/>
      <c r="I110" s="20"/>
    </row>
    <row r="111" spans="1:9" x14ac:dyDescent="0.4">
      <c r="A111" s="13" t="s">
        <v>2324</v>
      </c>
      <c r="B111" s="55" t="s">
        <v>2325</v>
      </c>
      <c r="C111" s="13" t="s">
        <v>50</v>
      </c>
      <c r="D111" s="59">
        <v>46600</v>
      </c>
      <c r="E111" s="6">
        <v>0</v>
      </c>
      <c r="F111" s="13">
        <v>110</v>
      </c>
      <c r="H111" s="62"/>
      <c r="I111" s="20"/>
    </row>
    <row r="112" spans="1:9" x14ac:dyDescent="0.4">
      <c r="A112" s="13" t="s">
        <v>2324</v>
      </c>
      <c r="B112" s="55" t="s">
        <v>2325</v>
      </c>
      <c r="C112" s="13" t="s">
        <v>5133</v>
      </c>
      <c r="D112" s="59">
        <v>45962</v>
      </c>
      <c r="E112" s="6">
        <v>0</v>
      </c>
      <c r="F112" s="54">
        <v>111</v>
      </c>
      <c r="H112" s="62"/>
      <c r="I112" s="20"/>
    </row>
    <row r="113" spans="1:9" x14ac:dyDescent="0.4">
      <c r="A113" s="13" t="s">
        <v>2324</v>
      </c>
      <c r="B113" s="55" t="s">
        <v>2325</v>
      </c>
      <c r="C113" s="13" t="s">
        <v>5133</v>
      </c>
      <c r="D113" s="59">
        <v>45992</v>
      </c>
      <c r="E113" s="6">
        <v>0</v>
      </c>
      <c r="F113" s="13">
        <v>112</v>
      </c>
      <c r="H113" s="62"/>
      <c r="I113" s="20"/>
    </row>
    <row r="114" spans="1:9" x14ac:dyDescent="0.4">
      <c r="A114" s="13" t="s">
        <v>2324</v>
      </c>
      <c r="B114" s="55" t="s">
        <v>2325</v>
      </c>
      <c r="C114" s="13" t="s">
        <v>5133</v>
      </c>
      <c r="D114" s="59">
        <v>46023</v>
      </c>
      <c r="E114" s="6">
        <v>0</v>
      </c>
      <c r="F114" s="54">
        <v>113</v>
      </c>
      <c r="H114" s="62"/>
      <c r="I114" s="20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46054</v>
      </c>
      <c r="E115" s="6">
        <v>0</v>
      </c>
      <c r="F115" s="13">
        <v>114</v>
      </c>
      <c r="H115" s="62"/>
      <c r="I115" s="20"/>
    </row>
    <row r="116" spans="1:9" x14ac:dyDescent="0.4">
      <c r="A116" s="13" t="s">
        <v>2324</v>
      </c>
      <c r="B116" s="55" t="s">
        <v>2325</v>
      </c>
      <c r="C116" s="13" t="s">
        <v>5133</v>
      </c>
      <c r="D116" s="59">
        <v>46082</v>
      </c>
      <c r="E116" s="6">
        <v>0</v>
      </c>
      <c r="F116" s="54">
        <v>115</v>
      </c>
      <c r="H116" s="62"/>
      <c r="I116" s="20"/>
    </row>
    <row r="117" spans="1:9" x14ac:dyDescent="0.4">
      <c r="A117" s="13" t="s">
        <v>2324</v>
      </c>
      <c r="B117" s="55" t="s">
        <v>2325</v>
      </c>
      <c r="C117" s="13" t="s">
        <v>5133</v>
      </c>
      <c r="D117" s="59">
        <v>46113</v>
      </c>
      <c r="E117" s="6">
        <v>0</v>
      </c>
      <c r="F117" s="13">
        <v>116</v>
      </c>
      <c r="H117" s="62"/>
      <c r="I117" s="20"/>
    </row>
    <row r="118" spans="1:9" x14ac:dyDescent="0.4">
      <c r="A118" s="13" t="s">
        <v>2324</v>
      </c>
      <c r="B118" s="55" t="s">
        <v>2325</v>
      </c>
      <c r="C118" s="13" t="s">
        <v>5133</v>
      </c>
      <c r="D118" s="59">
        <v>46143</v>
      </c>
      <c r="E118" s="6">
        <v>0</v>
      </c>
      <c r="F118" s="54">
        <v>117</v>
      </c>
      <c r="H118" s="62"/>
      <c r="I118" s="20"/>
    </row>
    <row r="119" spans="1:9" x14ac:dyDescent="0.4">
      <c r="A119" s="13" t="s">
        <v>2324</v>
      </c>
      <c r="B119" s="55" t="s">
        <v>2325</v>
      </c>
      <c r="C119" s="13" t="s">
        <v>5133</v>
      </c>
      <c r="D119" s="59">
        <v>46174</v>
      </c>
      <c r="E119" s="6">
        <v>0</v>
      </c>
      <c r="F119" s="13">
        <v>118</v>
      </c>
      <c r="H119" s="62"/>
      <c r="I119" s="20"/>
    </row>
    <row r="120" spans="1:9" x14ac:dyDescent="0.4">
      <c r="A120" s="13" t="s">
        <v>2324</v>
      </c>
      <c r="B120" s="55" t="s">
        <v>2325</v>
      </c>
      <c r="C120" s="13" t="s">
        <v>5133</v>
      </c>
      <c r="D120" s="59">
        <v>46204</v>
      </c>
      <c r="E120" s="6">
        <v>0</v>
      </c>
      <c r="F120" s="54">
        <v>119</v>
      </c>
      <c r="H120" s="62"/>
      <c r="I120" s="20"/>
    </row>
    <row r="121" spans="1:9" x14ac:dyDescent="0.4">
      <c r="A121" s="13" t="s">
        <v>2324</v>
      </c>
      <c r="B121" s="55" t="s">
        <v>2325</v>
      </c>
      <c r="C121" s="13" t="s">
        <v>5133</v>
      </c>
      <c r="D121" s="59">
        <v>46235</v>
      </c>
      <c r="E121" s="6">
        <v>0</v>
      </c>
      <c r="F121" s="13">
        <v>120</v>
      </c>
      <c r="H121" s="62"/>
      <c r="I121" s="20"/>
    </row>
    <row r="122" spans="1:9" x14ac:dyDescent="0.4">
      <c r="A122" s="13" t="s">
        <v>2324</v>
      </c>
      <c r="B122" s="55" t="s">
        <v>2325</v>
      </c>
      <c r="C122" s="13" t="s">
        <v>5133</v>
      </c>
      <c r="D122" s="59">
        <v>46266</v>
      </c>
      <c r="E122" s="6">
        <v>28305</v>
      </c>
      <c r="F122" s="54">
        <v>121</v>
      </c>
      <c r="H122" s="62"/>
      <c r="I122" s="20"/>
    </row>
    <row r="123" spans="1:9" x14ac:dyDescent="0.4">
      <c r="A123" s="13" t="s">
        <v>2324</v>
      </c>
      <c r="B123" s="55" t="s">
        <v>2325</v>
      </c>
      <c r="C123" s="13" t="s">
        <v>5133</v>
      </c>
      <c r="D123" s="59">
        <v>46296</v>
      </c>
      <c r="E123" s="6">
        <v>28305</v>
      </c>
      <c r="F123" s="13">
        <v>122</v>
      </c>
      <c r="H123" s="62"/>
      <c r="I123" s="20"/>
    </row>
    <row r="124" spans="1:9" x14ac:dyDescent="0.4">
      <c r="A124" s="13" t="s">
        <v>2324</v>
      </c>
      <c r="B124" s="55" t="s">
        <v>2325</v>
      </c>
      <c r="C124" s="13" t="s">
        <v>5133</v>
      </c>
      <c r="D124" s="59">
        <v>46327</v>
      </c>
      <c r="E124" s="6">
        <v>37740</v>
      </c>
      <c r="F124" s="54">
        <v>123</v>
      </c>
      <c r="H124" s="62"/>
      <c r="I124" s="20"/>
    </row>
    <row r="125" spans="1:9" x14ac:dyDescent="0.4">
      <c r="A125" s="13" t="s">
        <v>2324</v>
      </c>
      <c r="B125" s="55" t="s">
        <v>2325</v>
      </c>
      <c r="C125" s="13" t="s">
        <v>5133</v>
      </c>
      <c r="D125" s="59">
        <v>46357</v>
      </c>
      <c r="E125" s="6">
        <v>37740</v>
      </c>
      <c r="F125" s="13">
        <v>124</v>
      </c>
      <c r="H125" s="62"/>
      <c r="I125" s="20"/>
    </row>
    <row r="126" spans="1:9" x14ac:dyDescent="0.4">
      <c r="A126" s="13" t="s">
        <v>2324</v>
      </c>
      <c r="B126" s="55" t="s">
        <v>2325</v>
      </c>
      <c r="C126" s="13" t="s">
        <v>5133</v>
      </c>
      <c r="D126" s="59">
        <v>46388</v>
      </c>
      <c r="E126" s="6">
        <v>37740</v>
      </c>
      <c r="F126" s="54">
        <v>125</v>
      </c>
      <c r="H126" s="62"/>
      <c r="I126" s="20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46419</v>
      </c>
      <c r="E127" s="6">
        <v>37740</v>
      </c>
      <c r="F127" s="13">
        <v>126</v>
      </c>
      <c r="H127" s="62"/>
      <c r="I127" s="20"/>
    </row>
    <row r="128" spans="1:9" x14ac:dyDescent="0.4">
      <c r="A128" s="13" t="s">
        <v>2324</v>
      </c>
      <c r="B128" s="55" t="s">
        <v>2325</v>
      </c>
      <c r="C128" s="13" t="s">
        <v>5133</v>
      </c>
      <c r="D128" s="59">
        <v>46447</v>
      </c>
      <c r="E128" s="6">
        <v>37740</v>
      </c>
      <c r="F128" s="54">
        <v>127</v>
      </c>
      <c r="H128" s="62"/>
      <c r="I128" s="20"/>
    </row>
    <row r="129" spans="1:9" x14ac:dyDescent="0.4">
      <c r="A129" s="13" t="s">
        <v>2324</v>
      </c>
      <c r="B129" s="55" t="s">
        <v>2325</v>
      </c>
      <c r="C129" s="13" t="s">
        <v>5133</v>
      </c>
      <c r="D129" s="59">
        <v>46478</v>
      </c>
      <c r="E129" s="6">
        <v>37740</v>
      </c>
      <c r="F129" s="13">
        <v>128</v>
      </c>
      <c r="H129" s="62"/>
      <c r="I129" s="20"/>
    </row>
    <row r="130" spans="1:9" x14ac:dyDescent="0.4">
      <c r="A130" s="13" t="s">
        <v>2324</v>
      </c>
      <c r="B130" s="55" t="s">
        <v>2325</v>
      </c>
      <c r="C130" s="13" t="s">
        <v>5133</v>
      </c>
      <c r="D130" s="59">
        <v>46508</v>
      </c>
      <c r="E130" s="6">
        <v>37740</v>
      </c>
      <c r="F130" s="54">
        <v>129</v>
      </c>
      <c r="H130" s="62"/>
      <c r="I130" s="20"/>
    </row>
    <row r="131" spans="1:9" x14ac:dyDescent="0.4">
      <c r="A131" s="13" t="s">
        <v>2324</v>
      </c>
      <c r="B131" s="55" t="s">
        <v>2325</v>
      </c>
      <c r="C131" s="13" t="s">
        <v>5133</v>
      </c>
      <c r="D131" s="59">
        <v>46539</v>
      </c>
      <c r="E131" s="6">
        <v>37740</v>
      </c>
      <c r="F131" s="13">
        <v>130</v>
      </c>
      <c r="H131" s="62"/>
    </row>
    <row r="132" spans="1:9" x14ac:dyDescent="0.4">
      <c r="A132" s="13" t="s">
        <v>2324</v>
      </c>
      <c r="B132" s="55" t="s">
        <v>2325</v>
      </c>
      <c r="C132" s="13" t="s">
        <v>5133</v>
      </c>
      <c r="D132" s="59">
        <v>46569</v>
      </c>
      <c r="E132" s="6">
        <v>37740</v>
      </c>
      <c r="F132" s="54">
        <v>131</v>
      </c>
      <c r="H132" s="62"/>
    </row>
    <row r="133" spans="1:9" x14ac:dyDescent="0.4">
      <c r="A133" s="13" t="s">
        <v>2324</v>
      </c>
      <c r="B133" s="55" t="s">
        <v>2325</v>
      </c>
      <c r="C133" s="13" t="s">
        <v>5133</v>
      </c>
      <c r="D133" s="59">
        <v>46600</v>
      </c>
      <c r="E133" s="6">
        <v>37740</v>
      </c>
      <c r="F133" s="13">
        <v>132</v>
      </c>
      <c r="H133" s="62"/>
    </row>
    <row r="134" spans="1:9" x14ac:dyDescent="0.4">
      <c r="A134" s="13" t="s">
        <v>2324</v>
      </c>
      <c r="B134" s="13" t="s">
        <v>2345</v>
      </c>
      <c r="C134" s="10" t="s">
        <v>25</v>
      </c>
      <c r="D134" s="59">
        <v>45962</v>
      </c>
      <c r="E134" s="6">
        <v>0</v>
      </c>
      <c r="F134" s="54">
        <v>133</v>
      </c>
      <c r="H134" s="61"/>
    </row>
    <row r="135" spans="1:9" x14ac:dyDescent="0.4">
      <c r="A135" s="13" t="s">
        <v>2324</v>
      </c>
      <c r="B135" s="13" t="s">
        <v>2345</v>
      </c>
      <c r="C135" s="10" t="s">
        <v>25</v>
      </c>
      <c r="D135" s="59">
        <v>45992</v>
      </c>
      <c r="E135" s="6">
        <v>17820</v>
      </c>
      <c r="F135" s="13">
        <v>134</v>
      </c>
      <c r="H135" s="61"/>
    </row>
    <row r="136" spans="1:9" x14ac:dyDescent="0.4">
      <c r="A136" s="13" t="s">
        <v>2324</v>
      </c>
      <c r="B136" s="13" t="s">
        <v>2345</v>
      </c>
      <c r="C136" s="10" t="s">
        <v>25</v>
      </c>
      <c r="D136" s="59">
        <v>46023</v>
      </c>
      <c r="E136" s="6">
        <v>445500</v>
      </c>
      <c r="F136" s="54">
        <v>135</v>
      </c>
      <c r="H136" s="61"/>
    </row>
    <row r="137" spans="1:9" x14ac:dyDescent="0.4">
      <c r="A137" s="13" t="s">
        <v>2324</v>
      </c>
      <c r="B137" s="13" t="s">
        <v>2345</v>
      </c>
      <c r="C137" s="10" t="s">
        <v>25</v>
      </c>
      <c r="D137" s="59">
        <v>46054</v>
      </c>
      <c r="E137" s="6">
        <v>596970</v>
      </c>
      <c r="F137" s="13">
        <v>136</v>
      </c>
      <c r="H137" s="61"/>
    </row>
    <row r="138" spans="1:9" x14ac:dyDescent="0.4">
      <c r="A138" s="13" t="s">
        <v>2324</v>
      </c>
      <c r="B138" s="13" t="s">
        <v>2345</v>
      </c>
      <c r="C138" s="10" t="s">
        <v>25</v>
      </c>
      <c r="D138" s="59">
        <v>46082</v>
      </c>
      <c r="E138" s="6">
        <v>588060</v>
      </c>
      <c r="F138" s="54">
        <v>137</v>
      </c>
      <c r="H138" s="61"/>
    </row>
    <row r="139" spans="1:9" x14ac:dyDescent="0.4">
      <c r="A139" s="13" t="s">
        <v>2324</v>
      </c>
      <c r="B139" s="13" t="s">
        <v>2345</v>
      </c>
      <c r="C139" s="10" t="s">
        <v>25</v>
      </c>
      <c r="D139" s="59">
        <v>46113</v>
      </c>
      <c r="E139" s="6">
        <v>160380</v>
      </c>
      <c r="F139" s="13">
        <v>138</v>
      </c>
      <c r="H139" s="61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46143</v>
      </c>
      <c r="E140" s="6">
        <v>8910</v>
      </c>
      <c r="F140" s="54">
        <v>139</v>
      </c>
      <c r="H140" s="61"/>
    </row>
    <row r="141" spans="1:9" x14ac:dyDescent="0.4">
      <c r="A141" s="13" t="s">
        <v>2324</v>
      </c>
      <c r="B141" s="13" t="s">
        <v>2345</v>
      </c>
      <c r="C141" s="10" t="s">
        <v>25</v>
      </c>
      <c r="D141" s="59">
        <v>46174</v>
      </c>
      <c r="E141" s="6">
        <v>0</v>
      </c>
      <c r="F141" s="13">
        <v>140</v>
      </c>
      <c r="H141" s="61"/>
    </row>
    <row r="142" spans="1:9" x14ac:dyDescent="0.4">
      <c r="A142" s="13" t="s">
        <v>2324</v>
      </c>
      <c r="B142" s="13" t="s">
        <v>2345</v>
      </c>
      <c r="C142" s="10" t="s">
        <v>25</v>
      </c>
      <c r="D142" s="59">
        <v>46204</v>
      </c>
      <c r="E142" s="6">
        <v>0</v>
      </c>
      <c r="F142" s="54">
        <v>141</v>
      </c>
      <c r="H142" s="61"/>
    </row>
    <row r="143" spans="1:9" x14ac:dyDescent="0.4">
      <c r="A143" s="13" t="s">
        <v>2324</v>
      </c>
      <c r="B143" s="13" t="s">
        <v>2345</v>
      </c>
      <c r="C143" s="10" t="s">
        <v>25</v>
      </c>
      <c r="D143" s="59">
        <v>46235</v>
      </c>
      <c r="E143" s="6">
        <v>0</v>
      </c>
      <c r="F143" s="13">
        <v>142</v>
      </c>
      <c r="H143" s="61"/>
    </row>
    <row r="144" spans="1:9" x14ac:dyDescent="0.4">
      <c r="A144" s="13" t="s">
        <v>2324</v>
      </c>
      <c r="B144" s="13" t="s">
        <v>2345</v>
      </c>
      <c r="C144" s="10" t="s">
        <v>25</v>
      </c>
      <c r="D144" s="59">
        <v>46266</v>
      </c>
      <c r="E144" s="6">
        <v>0</v>
      </c>
      <c r="F144" s="54">
        <v>143</v>
      </c>
      <c r="H144" s="61"/>
    </row>
    <row r="145" spans="1:8" x14ac:dyDescent="0.4">
      <c r="A145" s="13" t="s">
        <v>2324</v>
      </c>
      <c r="B145" s="13" t="s">
        <v>2345</v>
      </c>
      <c r="C145" s="10" t="s">
        <v>25</v>
      </c>
      <c r="D145" s="59">
        <v>46296</v>
      </c>
      <c r="E145" s="6">
        <v>0</v>
      </c>
      <c r="F145" s="13">
        <v>144</v>
      </c>
      <c r="H145" s="61"/>
    </row>
    <row r="146" spans="1:8" x14ac:dyDescent="0.4">
      <c r="A146" s="13" t="s">
        <v>2324</v>
      </c>
      <c r="B146" s="13" t="s">
        <v>2345</v>
      </c>
      <c r="C146" s="10" t="s">
        <v>25</v>
      </c>
      <c r="D146" s="59">
        <v>46327</v>
      </c>
      <c r="E146" s="6">
        <v>0</v>
      </c>
      <c r="F146" s="54">
        <v>145</v>
      </c>
      <c r="H146" s="61"/>
    </row>
    <row r="147" spans="1:8" x14ac:dyDescent="0.4">
      <c r="A147" s="13" t="s">
        <v>2324</v>
      </c>
      <c r="B147" s="13" t="s">
        <v>2345</v>
      </c>
      <c r="C147" s="10" t="s">
        <v>25</v>
      </c>
      <c r="D147" s="59">
        <v>46357</v>
      </c>
      <c r="E147" s="6">
        <v>0</v>
      </c>
      <c r="F147" s="13">
        <v>146</v>
      </c>
      <c r="H147" s="61"/>
    </row>
    <row r="148" spans="1:8" x14ac:dyDescent="0.4">
      <c r="A148" s="13" t="s">
        <v>2324</v>
      </c>
      <c r="B148" s="13" t="s">
        <v>2345</v>
      </c>
      <c r="C148" s="10" t="s">
        <v>25</v>
      </c>
      <c r="D148" s="59">
        <v>46388</v>
      </c>
      <c r="E148" s="6">
        <v>0</v>
      </c>
      <c r="F148" s="54">
        <v>147</v>
      </c>
      <c r="H148" s="61"/>
    </row>
    <row r="149" spans="1:8" x14ac:dyDescent="0.4">
      <c r="A149" s="13" t="s">
        <v>2324</v>
      </c>
      <c r="B149" s="13" t="s">
        <v>2345</v>
      </c>
      <c r="C149" s="10" t="s">
        <v>25</v>
      </c>
      <c r="D149" s="59">
        <v>46419</v>
      </c>
      <c r="E149" s="6">
        <v>0</v>
      </c>
      <c r="F149" s="13">
        <v>148</v>
      </c>
      <c r="H149" s="61"/>
    </row>
    <row r="150" spans="1:8" x14ac:dyDescent="0.4">
      <c r="A150" s="13" t="s">
        <v>2324</v>
      </c>
      <c r="B150" s="13" t="s">
        <v>2345</v>
      </c>
      <c r="C150" s="10" t="s">
        <v>25</v>
      </c>
      <c r="D150" s="59">
        <v>46447</v>
      </c>
      <c r="E150" s="6">
        <v>0</v>
      </c>
      <c r="F150" s="54">
        <v>149</v>
      </c>
      <c r="H150" s="61"/>
    </row>
    <row r="151" spans="1:8" x14ac:dyDescent="0.4">
      <c r="A151" s="13" t="s">
        <v>2324</v>
      </c>
      <c r="B151" s="13" t="s">
        <v>2345</v>
      </c>
      <c r="C151" s="10" t="s">
        <v>25</v>
      </c>
      <c r="D151" s="59">
        <v>46478</v>
      </c>
      <c r="E151" s="6">
        <v>0</v>
      </c>
      <c r="F151" s="13">
        <v>150</v>
      </c>
      <c r="H151" s="61"/>
    </row>
    <row r="152" spans="1:8" x14ac:dyDescent="0.4">
      <c r="A152" s="13" t="s">
        <v>2324</v>
      </c>
      <c r="B152" s="13" t="s">
        <v>2345</v>
      </c>
      <c r="C152" s="10" t="s">
        <v>25</v>
      </c>
      <c r="D152" s="59">
        <v>46508</v>
      </c>
      <c r="E152" s="6">
        <v>0</v>
      </c>
      <c r="F152" s="54">
        <v>151</v>
      </c>
      <c r="H152" s="61"/>
    </row>
    <row r="153" spans="1:8" x14ac:dyDescent="0.4">
      <c r="A153" s="13" t="s">
        <v>2324</v>
      </c>
      <c r="B153" s="13" t="s">
        <v>2345</v>
      </c>
      <c r="C153" s="10" t="s">
        <v>25</v>
      </c>
      <c r="D153" s="59">
        <v>46539</v>
      </c>
      <c r="E153" s="6">
        <v>0</v>
      </c>
      <c r="F153" s="13">
        <v>152</v>
      </c>
      <c r="H153" s="61"/>
    </row>
    <row r="154" spans="1:8" x14ac:dyDescent="0.4">
      <c r="A154" s="13" t="s">
        <v>2324</v>
      </c>
      <c r="B154" s="13" t="s">
        <v>2345</v>
      </c>
      <c r="C154" s="10" t="s">
        <v>25</v>
      </c>
      <c r="D154" s="59">
        <v>46569</v>
      </c>
      <c r="E154" s="6">
        <v>0</v>
      </c>
      <c r="F154" s="54">
        <v>153</v>
      </c>
      <c r="H154" s="61"/>
    </row>
    <row r="155" spans="1:8" x14ac:dyDescent="0.4">
      <c r="A155" s="13" t="s">
        <v>2324</v>
      </c>
      <c r="B155" s="13" t="s">
        <v>2345</v>
      </c>
      <c r="C155" s="10" t="s">
        <v>25</v>
      </c>
      <c r="D155" s="59">
        <v>46600</v>
      </c>
      <c r="E155" s="6">
        <v>0</v>
      </c>
      <c r="F155" s="13">
        <v>154</v>
      </c>
      <c r="H155" s="61"/>
    </row>
    <row r="156" spans="1:8" x14ac:dyDescent="0.4">
      <c r="A156" s="13" t="s">
        <v>2324</v>
      </c>
      <c r="B156" s="13" t="s">
        <v>2345</v>
      </c>
      <c r="C156" s="13" t="s">
        <v>44</v>
      </c>
      <c r="D156" s="59">
        <v>45962</v>
      </c>
      <c r="E156" s="6">
        <v>0</v>
      </c>
      <c r="F156" s="54">
        <v>155</v>
      </c>
      <c r="H156" s="61"/>
    </row>
    <row r="157" spans="1:8" x14ac:dyDescent="0.4">
      <c r="A157" s="13" t="s">
        <v>2324</v>
      </c>
      <c r="B157" s="13" t="s">
        <v>2345</v>
      </c>
      <c r="C157" s="13" t="s">
        <v>44</v>
      </c>
      <c r="D157" s="59">
        <v>45992</v>
      </c>
      <c r="E157" s="6">
        <v>60008</v>
      </c>
      <c r="F157" s="13">
        <v>156</v>
      </c>
      <c r="H157" s="61"/>
    </row>
    <row r="158" spans="1:8" x14ac:dyDescent="0.4">
      <c r="A158" s="13" t="s">
        <v>2324</v>
      </c>
      <c r="B158" s="13" t="s">
        <v>2345</v>
      </c>
      <c r="C158" s="13" t="s">
        <v>44</v>
      </c>
      <c r="D158" s="59">
        <v>46023</v>
      </c>
      <c r="E158" s="6">
        <v>2323148</v>
      </c>
      <c r="F158" s="54">
        <v>157</v>
      </c>
      <c r="H158" s="61"/>
    </row>
    <row r="159" spans="1:8" x14ac:dyDescent="0.4">
      <c r="A159" s="13" t="s">
        <v>2324</v>
      </c>
      <c r="B159" s="13" t="s">
        <v>2345</v>
      </c>
      <c r="C159" s="13" t="s">
        <v>44</v>
      </c>
      <c r="D159" s="59">
        <v>46054</v>
      </c>
      <c r="E159" s="6">
        <v>2374583</v>
      </c>
      <c r="F159" s="13">
        <v>158</v>
      </c>
      <c r="H159" s="61"/>
    </row>
    <row r="160" spans="1:8" x14ac:dyDescent="0.4">
      <c r="A160" s="13" t="s">
        <v>2324</v>
      </c>
      <c r="B160" s="13" t="s">
        <v>2345</v>
      </c>
      <c r="C160" s="13" t="s">
        <v>44</v>
      </c>
      <c r="D160" s="59">
        <v>46082</v>
      </c>
      <c r="E160" s="6">
        <v>2434590</v>
      </c>
      <c r="F160" s="54">
        <v>159</v>
      </c>
      <c r="H160" s="61"/>
    </row>
    <row r="161" spans="1:8" x14ac:dyDescent="0.4">
      <c r="A161" s="13" t="s">
        <v>2324</v>
      </c>
      <c r="B161" s="13" t="s">
        <v>2345</v>
      </c>
      <c r="C161" s="13" t="s">
        <v>44</v>
      </c>
      <c r="D161" s="59">
        <v>46113</v>
      </c>
      <c r="E161" s="6">
        <v>2528888</v>
      </c>
      <c r="F161" s="13">
        <v>160</v>
      </c>
      <c r="H161" s="61"/>
    </row>
    <row r="162" spans="1:8" x14ac:dyDescent="0.4">
      <c r="A162" s="13" t="s">
        <v>2324</v>
      </c>
      <c r="B162" s="13" t="s">
        <v>2345</v>
      </c>
      <c r="C162" s="13" t="s">
        <v>44</v>
      </c>
      <c r="D162" s="59">
        <v>46143</v>
      </c>
      <c r="E162" s="6">
        <v>3360420</v>
      </c>
      <c r="F162" s="54">
        <v>161</v>
      </c>
      <c r="H162" s="61"/>
    </row>
    <row r="163" spans="1:8" x14ac:dyDescent="0.4">
      <c r="A163" s="13" t="s">
        <v>2324</v>
      </c>
      <c r="B163" s="13" t="s">
        <v>2345</v>
      </c>
      <c r="C163" s="13" t="s">
        <v>44</v>
      </c>
      <c r="D163" s="59">
        <v>46174</v>
      </c>
      <c r="E163" s="6">
        <v>3300413</v>
      </c>
      <c r="F163" s="13">
        <v>162</v>
      </c>
      <c r="H163" s="61"/>
    </row>
    <row r="164" spans="1:8" x14ac:dyDescent="0.4">
      <c r="A164" s="13" t="s">
        <v>2324</v>
      </c>
      <c r="B164" s="13" t="s">
        <v>2345</v>
      </c>
      <c r="C164" s="13" t="s">
        <v>44</v>
      </c>
      <c r="D164" s="59">
        <v>46204</v>
      </c>
      <c r="E164" s="6">
        <v>1037273</v>
      </c>
      <c r="F164" s="54">
        <v>163</v>
      </c>
      <c r="H164" s="61"/>
    </row>
    <row r="165" spans="1:8" x14ac:dyDescent="0.4">
      <c r="A165" s="13" t="s">
        <v>2324</v>
      </c>
      <c r="B165" s="13" t="s">
        <v>2345</v>
      </c>
      <c r="C165" s="13" t="s">
        <v>44</v>
      </c>
      <c r="D165" s="59">
        <v>46235</v>
      </c>
      <c r="E165" s="6">
        <v>985838</v>
      </c>
      <c r="F165" s="13">
        <v>164</v>
      </c>
      <c r="H165" s="61"/>
    </row>
    <row r="166" spans="1:8" x14ac:dyDescent="0.4">
      <c r="A166" s="13" t="s">
        <v>2324</v>
      </c>
      <c r="B166" s="13" t="s">
        <v>2345</v>
      </c>
      <c r="C166" s="13" t="s">
        <v>44</v>
      </c>
      <c r="D166" s="59">
        <v>46266</v>
      </c>
      <c r="E166" s="6">
        <v>925830</v>
      </c>
      <c r="F166" s="54">
        <v>165</v>
      </c>
      <c r="H166" s="61"/>
    </row>
    <row r="167" spans="1:8" x14ac:dyDescent="0.4">
      <c r="A167" s="13" t="s">
        <v>2324</v>
      </c>
      <c r="B167" s="13" t="s">
        <v>2345</v>
      </c>
      <c r="C167" s="13" t="s">
        <v>44</v>
      </c>
      <c r="D167" s="59">
        <v>46296</v>
      </c>
      <c r="E167" s="6">
        <v>831533</v>
      </c>
      <c r="F167" s="13">
        <v>166</v>
      </c>
      <c r="H167" s="61"/>
    </row>
    <row r="168" spans="1:8" x14ac:dyDescent="0.4">
      <c r="A168" s="13" t="s">
        <v>2324</v>
      </c>
      <c r="B168" s="13" t="s">
        <v>2345</v>
      </c>
      <c r="C168" s="13" t="s">
        <v>44</v>
      </c>
      <c r="D168" s="59">
        <v>46327</v>
      </c>
      <c r="E168" s="6">
        <v>0</v>
      </c>
      <c r="F168" s="54">
        <v>167</v>
      </c>
      <c r="H168" s="61"/>
    </row>
    <row r="169" spans="1:8" x14ac:dyDescent="0.4">
      <c r="A169" s="13" t="s">
        <v>2324</v>
      </c>
      <c r="B169" s="13" t="s">
        <v>2345</v>
      </c>
      <c r="C169" s="13" t="s">
        <v>44</v>
      </c>
      <c r="D169" s="59">
        <v>46357</v>
      </c>
      <c r="E169" s="6">
        <v>0</v>
      </c>
      <c r="F169" s="13">
        <v>168</v>
      </c>
      <c r="H169" s="61"/>
    </row>
    <row r="170" spans="1:8" x14ac:dyDescent="0.4">
      <c r="A170" s="13" t="s">
        <v>2324</v>
      </c>
      <c r="B170" s="13" t="s">
        <v>2345</v>
      </c>
      <c r="C170" s="13" t="s">
        <v>44</v>
      </c>
      <c r="D170" s="59">
        <v>46388</v>
      </c>
      <c r="E170" s="6">
        <v>0</v>
      </c>
      <c r="F170" s="54">
        <v>169</v>
      </c>
      <c r="H170" s="61"/>
    </row>
    <row r="171" spans="1:8" x14ac:dyDescent="0.4">
      <c r="A171" s="13" t="s">
        <v>2324</v>
      </c>
      <c r="B171" s="13" t="s">
        <v>2345</v>
      </c>
      <c r="C171" s="13" t="s">
        <v>44</v>
      </c>
      <c r="D171" s="59">
        <v>46419</v>
      </c>
      <c r="E171" s="6">
        <v>0</v>
      </c>
      <c r="F171" s="13">
        <v>170</v>
      </c>
      <c r="H171" s="61"/>
    </row>
    <row r="172" spans="1:8" x14ac:dyDescent="0.4">
      <c r="A172" s="13" t="s">
        <v>2324</v>
      </c>
      <c r="B172" s="13" t="s">
        <v>2345</v>
      </c>
      <c r="C172" s="13" t="s">
        <v>44</v>
      </c>
      <c r="D172" s="59">
        <v>46447</v>
      </c>
      <c r="E172" s="6">
        <v>0</v>
      </c>
      <c r="F172" s="54">
        <v>171</v>
      </c>
      <c r="H172" s="61"/>
    </row>
    <row r="173" spans="1:8" x14ac:dyDescent="0.4">
      <c r="A173" s="13" t="s">
        <v>2324</v>
      </c>
      <c r="B173" s="13" t="s">
        <v>2345</v>
      </c>
      <c r="C173" s="13" t="s">
        <v>44</v>
      </c>
      <c r="D173" s="59">
        <v>46478</v>
      </c>
      <c r="E173" s="6">
        <v>0</v>
      </c>
      <c r="F173" s="13">
        <v>172</v>
      </c>
      <c r="H173" s="61"/>
    </row>
    <row r="174" spans="1:8" x14ac:dyDescent="0.4">
      <c r="A174" s="13" t="s">
        <v>2324</v>
      </c>
      <c r="B174" s="13" t="s">
        <v>2345</v>
      </c>
      <c r="C174" s="13" t="s">
        <v>44</v>
      </c>
      <c r="D174" s="59">
        <v>46508</v>
      </c>
      <c r="E174" s="6">
        <v>0</v>
      </c>
      <c r="F174" s="54">
        <v>173</v>
      </c>
      <c r="H174" s="61"/>
    </row>
    <row r="175" spans="1:8" x14ac:dyDescent="0.4">
      <c r="A175" s="13" t="s">
        <v>2324</v>
      </c>
      <c r="B175" s="13" t="s">
        <v>2345</v>
      </c>
      <c r="C175" s="13" t="s">
        <v>44</v>
      </c>
      <c r="D175" s="59">
        <v>46539</v>
      </c>
      <c r="E175" s="6">
        <v>0</v>
      </c>
      <c r="F175" s="13">
        <v>174</v>
      </c>
      <c r="H175" s="61"/>
    </row>
    <row r="176" spans="1:8" x14ac:dyDescent="0.4">
      <c r="A176" s="13" t="s">
        <v>2324</v>
      </c>
      <c r="B176" s="13" t="s">
        <v>2345</v>
      </c>
      <c r="C176" s="13" t="s">
        <v>44</v>
      </c>
      <c r="D176" s="59">
        <v>46569</v>
      </c>
      <c r="E176" s="6">
        <v>0</v>
      </c>
      <c r="F176" s="54">
        <v>175</v>
      </c>
      <c r="H176" s="61"/>
    </row>
    <row r="177" spans="1:8" x14ac:dyDescent="0.4">
      <c r="A177" s="13" t="s">
        <v>2324</v>
      </c>
      <c r="B177" s="13" t="s">
        <v>2345</v>
      </c>
      <c r="C177" s="13" t="s">
        <v>44</v>
      </c>
      <c r="D177" s="59">
        <v>46600</v>
      </c>
      <c r="E177" s="6">
        <v>0</v>
      </c>
      <c r="F177" s="13">
        <v>176</v>
      </c>
      <c r="H177" s="61"/>
    </row>
    <row r="178" spans="1:8" x14ac:dyDescent="0.4">
      <c r="A178" s="13" t="s">
        <v>2324</v>
      </c>
      <c r="B178" s="13" t="s">
        <v>2345</v>
      </c>
      <c r="C178" s="13" t="s">
        <v>1944</v>
      </c>
      <c r="D178" s="59">
        <v>45962</v>
      </c>
      <c r="E178" s="6">
        <v>0</v>
      </c>
      <c r="F178" s="54">
        <v>177</v>
      </c>
      <c r="H178" s="61"/>
    </row>
    <row r="179" spans="1:8" x14ac:dyDescent="0.4">
      <c r="A179" s="13" t="s">
        <v>2324</v>
      </c>
      <c r="B179" s="13" t="s">
        <v>2345</v>
      </c>
      <c r="C179" s="13" t="s">
        <v>1944</v>
      </c>
      <c r="D179" s="59">
        <v>45992</v>
      </c>
      <c r="E179" s="6">
        <v>0</v>
      </c>
      <c r="F179" s="13">
        <v>178</v>
      </c>
      <c r="H179" s="61"/>
    </row>
    <row r="180" spans="1:8" x14ac:dyDescent="0.4">
      <c r="A180" s="13" t="s">
        <v>2324</v>
      </c>
      <c r="B180" s="13" t="s">
        <v>2345</v>
      </c>
      <c r="C180" s="13" t="s">
        <v>1944</v>
      </c>
      <c r="D180" s="59">
        <v>46023</v>
      </c>
      <c r="E180" s="6">
        <v>4246</v>
      </c>
      <c r="F180" s="54">
        <v>179</v>
      </c>
      <c r="H180" s="61"/>
    </row>
    <row r="181" spans="1:8" x14ac:dyDescent="0.4">
      <c r="A181" s="13" t="s">
        <v>2324</v>
      </c>
      <c r="B181" s="13" t="s">
        <v>2345</v>
      </c>
      <c r="C181" s="13" t="s">
        <v>1944</v>
      </c>
      <c r="D181" s="59">
        <v>46054</v>
      </c>
      <c r="E181" s="6">
        <v>4246</v>
      </c>
      <c r="F181" s="13">
        <v>180</v>
      </c>
      <c r="H181" s="61"/>
    </row>
    <row r="182" spans="1:8" x14ac:dyDescent="0.4">
      <c r="A182" s="13" t="s">
        <v>2324</v>
      </c>
      <c r="B182" s="13" t="s">
        <v>2345</v>
      </c>
      <c r="C182" s="13" t="s">
        <v>1944</v>
      </c>
      <c r="D182" s="59">
        <v>46082</v>
      </c>
      <c r="E182" s="6">
        <v>46703</v>
      </c>
      <c r="F182" s="54">
        <v>181</v>
      </c>
      <c r="H182" s="61"/>
    </row>
    <row r="183" spans="1:8" x14ac:dyDescent="0.4">
      <c r="A183" s="13" t="s">
        <v>2324</v>
      </c>
      <c r="B183" s="13" t="s">
        <v>2345</v>
      </c>
      <c r="C183" s="13" t="s">
        <v>1944</v>
      </c>
      <c r="D183" s="59">
        <v>46113</v>
      </c>
      <c r="E183" s="6">
        <v>46703</v>
      </c>
      <c r="F183" s="13">
        <v>182</v>
      </c>
      <c r="H183" s="61"/>
    </row>
    <row r="184" spans="1:8" x14ac:dyDescent="0.4">
      <c r="A184" s="13" t="s">
        <v>2324</v>
      </c>
      <c r="B184" s="13" t="s">
        <v>2345</v>
      </c>
      <c r="C184" s="13" t="s">
        <v>1944</v>
      </c>
      <c r="D184" s="59">
        <v>46143</v>
      </c>
      <c r="E184" s="6">
        <v>72178</v>
      </c>
      <c r="F184" s="54">
        <v>183</v>
      </c>
      <c r="H184" s="61"/>
    </row>
    <row r="185" spans="1:8" x14ac:dyDescent="0.4">
      <c r="A185" s="13" t="s">
        <v>2324</v>
      </c>
      <c r="B185" s="13" t="s">
        <v>2345</v>
      </c>
      <c r="C185" s="13" t="s">
        <v>1944</v>
      </c>
      <c r="D185" s="59">
        <v>46174</v>
      </c>
      <c r="E185" s="6">
        <v>97652</v>
      </c>
      <c r="F185" s="13">
        <v>184</v>
      </c>
      <c r="H185" s="61"/>
    </row>
    <row r="186" spans="1:8" x14ac:dyDescent="0.4">
      <c r="A186" s="13" t="s">
        <v>2324</v>
      </c>
      <c r="B186" s="13" t="s">
        <v>2345</v>
      </c>
      <c r="C186" s="13" t="s">
        <v>1944</v>
      </c>
      <c r="D186" s="59">
        <v>46204</v>
      </c>
      <c r="E186" s="6">
        <v>106144</v>
      </c>
      <c r="F186" s="54">
        <v>185</v>
      </c>
      <c r="H186" s="61"/>
    </row>
    <row r="187" spans="1:8" x14ac:dyDescent="0.4">
      <c r="A187" s="13" t="s">
        <v>2324</v>
      </c>
      <c r="B187" s="13" t="s">
        <v>2345</v>
      </c>
      <c r="C187" s="13" t="s">
        <v>1944</v>
      </c>
      <c r="D187" s="59">
        <v>46235</v>
      </c>
      <c r="E187" s="6">
        <v>110390</v>
      </c>
      <c r="F187" s="13">
        <v>186</v>
      </c>
      <c r="H187" s="61"/>
    </row>
    <row r="188" spans="1:8" x14ac:dyDescent="0.4">
      <c r="A188" s="13" t="s">
        <v>2324</v>
      </c>
      <c r="B188" s="13" t="s">
        <v>2345</v>
      </c>
      <c r="C188" s="13" t="s">
        <v>1944</v>
      </c>
      <c r="D188" s="59">
        <v>46266</v>
      </c>
      <c r="E188" s="6">
        <v>178322</v>
      </c>
      <c r="F188" s="54">
        <v>187</v>
      </c>
      <c r="H188" s="61"/>
    </row>
    <row r="189" spans="1:8" x14ac:dyDescent="0.4">
      <c r="A189" s="13" t="s">
        <v>2324</v>
      </c>
      <c r="B189" s="13" t="s">
        <v>2345</v>
      </c>
      <c r="C189" s="13" t="s">
        <v>1944</v>
      </c>
      <c r="D189" s="59">
        <v>46296</v>
      </c>
      <c r="E189" s="6">
        <v>267482</v>
      </c>
      <c r="F189" s="13">
        <v>188</v>
      </c>
      <c r="H189" s="61"/>
    </row>
    <row r="190" spans="1:8" x14ac:dyDescent="0.4">
      <c r="A190" s="13" t="s">
        <v>2324</v>
      </c>
      <c r="B190" s="13" t="s">
        <v>2345</v>
      </c>
      <c r="C190" s="13" t="s">
        <v>1944</v>
      </c>
      <c r="D190" s="59">
        <v>46327</v>
      </c>
      <c r="E190" s="6">
        <v>267482</v>
      </c>
      <c r="F190" s="54">
        <v>189</v>
      </c>
      <c r="H190" s="61"/>
    </row>
    <row r="191" spans="1:8" x14ac:dyDescent="0.4">
      <c r="A191" s="13" t="s">
        <v>2324</v>
      </c>
      <c r="B191" s="13" t="s">
        <v>2345</v>
      </c>
      <c r="C191" s="13" t="s">
        <v>1944</v>
      </c>
      <c r="D191" s="59">
        <v>46357</v>
      </c>
      <c r="E191" s="6">
        <v>267482</v>
      </c>
      <c r="F191" s="13">
        <v>190</v>
      </c>
      <c r="H191" s="61"/>
    </row>
    <row r="192" spans="1:8" x14ac:dyDescent="0.4">
      <c r="A192" s="13" t="s">
        <v>2324</v>
      </c>
      <c r="B192" s="13" t="s">
        <v>2345</v>
      </c>
      <c r="C192" s="13" t="s">
        <v>1944</v>
      </c>
      <c r="D192" s="59">
        <v>46388</v>
      </c>
      <c r="E192" s="6">
        <v>263237</v>
      </c>
      <c r="F192" s="54">
        <v>191</v>
      </c>
      <c r="H192" s="61"/>
    </row>
    <row r="193" spans="1:8" x14ac:dyDescent="0.4">
      <c r="A193" s="13" t="s">
        <v>2324</v>
      </c>
      <c r="B193" s="13" t="s">
        <v>2345</v>
      </c>
      <c r="C193" s="13" t="s">
        <v>1944</v>
      </c>
      <c r="D193" s="59">
        <v>46419</v>
      </c>
      <c r="E193" s="6">
        <v>263237</v>
      </c>
      <c r="F193" s="13">
        <v>192</v>
      </c>
      <c r="H193" s="61"/>
    </row>
    <row r="194" spans="1:8" x14ac:dyDescent="0.4">
      <c r="A194" s="13" t="s">
        <v>2324</v>
      </c>
      <c r="B194" s="13" t="s">
        <v>2345</v>
      </c>
      <c r="C194" s="13" t="s">
        <v>1944</v>
      </c>
      <c r="D194" s="59">
        <v>46447</v>
      </c>
      <c r="E194" s="6">
        <v>220779</v>
      </c>
      <c r="F194" s="54">
        <v>193</v>
      </c>
      <c r="H194" s="61"/>
    </row>
    <row r="195" spans="1:8" x14ac:dyDescent="0.4">
      <c r="A195" s="13" t="s">
        <v>2324</v>
      </c>
      <c r="B195" s="13" t="s">
        <v>2345</v>
      </c>
      <c r="C195" s="13" t="s">
        <v>1944</v>
      </c>
      <c r="D195" s="59">
        <v>46478</v>
      </c>
      <c r="E195" s="6">
        <v>220779</v>
      </c>
      <c r="F195" s="13">
        <v>194</v>
      </c>
      <c r="H195" s="61"/>
    </row>
    <row r="196" spans="1:8" x14ac:dyDescent="0.4">
      <c r="A196" s="13" t="s">
        <v>2324</v>
      </c>
      <c r="B196" s="13" t="s">
        <v>2345</v>
      </c>
      <c r="C196" s="13" t="s">
        <v>1944</v>
      </c>
      <c r="D196" s="59">
        <v>46508</v>
      </c>
      <c r="E196" s="6">
        <v>195305</v>
      </c>
      <c r="F196" s="54">
        <v>195</v>
      </c>
      <c r="H196" s="61"/>
    </row>
    <row r="197" spans="1:8" x14ac:dyDescent="0.4">
      <c r="A197" s="13" t="s">
        <v>2324</v>
      </c>
      <c r="B197" s="13" t="s">
        <v>2345</v>
      </c>
      <c r="C197" s="13" t="s">
        <v>1944</v>
      </c>
      <c r="D197" s="59">
        <v>46539</v>
      </c>
      <c r="E197" s="6">
        <v>169830</v>
      </c>
      <c r="F197" s="13">
        <v>196</v>
      </c>
      <c r="H197" s="61"/>
    </row>
    <row r="198" spans="1:8" x14ac:dyDescent="0.4">
      <c r="A198" s="13" t="s">
        <v>2324</v>
      </c>
      <c r="B198" s="13" t="s">
        <v>2345</v>
      </c>
      <c r="C198" s="13" t="s">
        <v>1944</v>
      </c>
      <c r="D198" s="59">
        <v>46569</v>
      </c>
      <c r="E198" s="6">
        <v>161339</v>
      </c>
      <c r="F198" s="54">
        <v>197</v>
      </c>
      <c r="H198" s="20"/>
    </row>
    <row r="199" spans="1:8" x14ac:dyDescent="0.4">
      <c r="A199" s="13" t="s">
        <v>2324</v>
      </c>
      <c r="B199" s="13" t="s">
        <v>2345</v>
      </c>
      <c r="C199" s="13" t="s">
        <v>1944</v>
      </c>
      <c r="D199" s="59">
        <v>46600</v>
      </c>
      <c r="E199" s="6">
        <v>157093</v>
      </c>
      <c r="F199" s="13">
        <v>198</v>
      </c>
      <c r="H199" s="20"/>
    </row>
    <row r="200" spans="1:8" x14ac:dyDescent="0.4">
      <c r="A200" s="13" t="s">
        <v>2324</v>
      </c>
      <c r="B200" s="13" t="s">
        <v>2345</v>
      </c>
      <c r="C200" s="13" t="s">
        <v>70</v>
      </c>
      <c r="D200" s="59">
        <v>45962</v>
      </c>
      <c r="E200" s="6">
        <v>0</v>
      </c>
      <c r="F200" s="54">
        <v>199</v>
      </c>
      <c r="H200" s="20"/>
    </row>
    <row r="201" spans="1:8" x14ac:dyDescent="0.4">
      <c r="A201" s="13" t="s">
        <v>2324</v>
      </c>
      <c r="B201" s="13" t="s">
        <v>2345</v>
      </c>
      <c r="C201" s="13" t="s">
        <v>70</v>
      </c>
      <c r="D201" s="59">
        <v>45992</v>
      </c>
      <c r="E201" s="6">
        <v>0</v>
      </c>
      <c r="F201" s="13">
        <v>200</v>
      </c>
      <c r="H201" s="20"/>
    </row>
    <row r="202" spans="1:8" x14ac:dyDescent="0.4">
      <c r="A202" s="13" t="s">
        <v>2324</v>
      </c>
      <c r="B202" s="13" t="s">
        <v>2345</v>
      </c>
      <c r="C202" s="13" t="s">
        <v>70</v>
      </c>
      <c r="D202" s="59">
        <v>46023</v>
      </c>
      <c r="E202" s="6">
        <v>17820</v>
      </c>
      <c r="F202" s="54">
        <v>201</v>
      </c>
      <c r="H202" s="20"/>
    </row>
    <row r="203" spans="1:8" x14ac:dyDescent="0.4">
      <c r="A203" s="13" t="s">
        <v>2324</v>
      </c>
      <c r="B203" s="13" t="s">
        <v>2345</v>
      </c>
      <c r="C203" s="13" t="s">
        <v>70</v>
      </c>
      <c r="D203" s="59">
        <v>46054</v>
      </c>
      <c r="E203" s="6">
        <v>17820</v>
      </c>
      <c r="F203" s="13">
        <v>202</v>
      </c>
      <c r="H203" s="20"/>
    </row>
    <row r="204" spans="1:8" x14ac:dyDescent="0.4">
      <c r="A204" s="13" t="s">
        <v>2324</v>
      </c>
      <c r="B204" s="13" t="s">
        <v>2345</v>
      </c>
      <c r="C204" s="13" t="s">
        <v>70</v>
      </c>
      <c r="D204" s="59">
        <v>46082</v>
      </c>
      <c r="E204" s="6">
        <v>17820</v>
      </c>
      <c r="F204" s="54">
        <v>203</v>
      </c>
      <c r="H204" s="20"/>
    </row>
    <row r="205" spans="1:8" x14ac:dyDescent="0.4">
      <c r="A205" s="13" t="s">
        <v>2324</v>
      </c>
      <c r="B205" s="13" t="s">
        <v>2345</v>
      </c>
      <c r="C205" s="13" t="s">
        <v>70</v>
      </c>
      <c r="D205" s="59">
        <v>46113</v>
      </c>
      <c r="E205" s="6">
        <v>0</v>
      </c>
      <c r="F205" s="13">
        <v>204</v>
      </c>
      <c r="H205" s="20"/>
    </row>
    <row r="206" spans="1:8" x14ac:dyDescent="0.4">
      <c r="A206" s="13" t="s">
        <v>2324</v>
      </c>
      <c r="B206" s="13" t="s">
        <v>2345</v>
      </c>
      <c r="C206" s="13" t="s">
        <v>70</v>
      </c>
      <c r="D206" s="59">
        <v>46143</v>
      </c>
      <c r="E206" s="6">
        <v>0</v>
      </c>
      <c r="F206" s="54">
        <v>205</v>
      </c>
      <c r="H206" s="20"/>
    </row>
    <row r="207" spans="1:8" x14ac:dyDescent="0.4">
      <c r="A207" s="13" t="s">
        <v>2324</v>
      </c>
      <c r="B207" s="13" t="s">
        <v>2345</v>
      </c>
      <c r="C207" s="13" t="s">
        <v>70</v>
      </c>
      <c r="D207" s="59">
        <v>46174</v>
      </c>
      <c r="E207" s="6">
        <v>0</v>
      </c>
      <c r="F207" s="13">
        <v>206</v>
      </c>
      <c r="H207" s="20"/>
    </row>
    <row r="208" spans="1:8" x14ac:dyDescent="0.4">
      <c r="A208" s="13" t="s">
        <v>2324</v>
      </c>
      <c r="B208" s="13" t="s">
        <v>2345</v>
      </c>
      <c r="C208" s="13" t="s">
        <v>70</v>
      </c>
      <c r="D208" s="59">
        <v>46204</v>
      </c>
      <c r="E208" s="6">
        <v>0</v>
      </c>
      <c r="F208" s="54">
        <v>207</v>
      </c>
      <c r="H208" s="20"/>
    </row>
    <row r="209" spans="1:8" x14ac:dyDescent="0.4">
      <c r="A209" s="13" t="s">
        <v>2324</v>
      </c>
      <c r="B209" s="13" t="s">
        <v>2345</v>
      </c>
      <c r="C209" s="13" t="s">
        <v>70</v>
      </c>
      <c r="D209" s="59">
        <v>46235</v>
      </c>
      <c r="E209" s="6">
        <v>0</v>
      </c>
      <c r="F209" s="13">
        <v>208</v>
      </c>
      <c r="H209" s="20"/>
    </row>
    <row r="210" spans="1:8" x14ac:dyDescent="0.4">
      <c r="A210" s="13" t="s">
        <v>2324</v>
      </c>
      <c r="B210" s="13" t="s">
        <v>2345</v>
      </c>
      <c r="C210" s="13" t="s">
        <v>70</v>
      </c>
      <c r="D210" s="59">
        <v>46266</v>
      </c>
      <c r="E210" s="6">
        <v>0</v>
      </c>
      <c r="F210" s="54">
        <v>209</v>
      </c>
      <c r="H210" s="20"/>
    </row>
    <row r="211" spans="1:8" x14ac:dyDescent="0.4">
      <c r="A211" s="13" t="s">
        <v>2324</v>
      </c>
      <c r="B211" s="13" t="s">
        <v>2345</v>
      </c>
      <c r="C211" s="13" t="s">
        <v>70</v>
      </c>
      <c r="D211" s="59">
        <v>46296</v>
      </c>
      <c r="E211" s="6">
        <v>0</v>
      </c>
      <c r="F211" s="13">
        <v>210</v>
      </c>
      <c r="H211" s="20"/>
    </row>
    <row r="212" spans="1:8" x14ac:dyDescent="0.4">
      <c r="A212" s="13" t="s">
        <v>2324</v>
      </c>
      <c r="B212" s="13" t="s">
        <v>2345</v>
      </c>
      <c r="C212" s="13" t="s">
        <v>70</v>
      </c>
      <c r="D212" s="59">
        <v>46327</v>
      </c>
      <c r="E212" s="6">
        <v>0</v>
      </c>
      <c r="F212" s="54">
        <v>211</v>
      </c>
      <c r="H212" s="20"/>
    </row>
    <row r="213" spans="1:8" x14ac:dyDescent="0.4">
      <c r="A213" s="13" t="s">
        <v>2324</v>
      </c>
      <c r="B213" s="13" t="s">
        <v>2345</v>
      </c>
      <c r="C213" s="13" t="s">
        <v>70</v>
      </c>
      <c r="D213" s="59">
        <v>46357</v>
      </c>
      <c r="E213" s="6">
        <v>0</v>
      </c>
      <c r="F213" s="13">
        <v>212</v>
      </c>
      <c r="H213" s="20"/>
    </row>
    <row r="214" spans="1:8" x14ac:dyDescent="0.4">
      <c r="A214" s="13" t="s">
        <v>2324</v>
      </c>
      <c r="B214" s="13" t="s">
        <v>2345</v>
      </c>
      <c r="C214" s="13" t="s">
        <v>70</v>
      </c>
      <c r="D214" s="59">
        <v>46388</v>
      </c>
      <c r="E214" s="6">
        <v>0</v>
      </c>
      <c r="F214" s="54">
        <v>213</v>
      </c>
      <c r="H214" s="20"/>
    </row>
    <row r="215" spans="1:8" x14ac:dyDescent="0.4">
      <c r="A215" s="13" t="s">
        <v>2324</v>
      </c>
      <c r="B215" s="13" t="s">
        <v>2345</v>
      </c>
      <c r="C215" s="13" t="s">
        <v>70</v>
      </c>
      <c r="D215" s="59">
        <v>46419</v>
      </c>
      <c r="E215" s="6">
        <v>0</v>
      </c>
      <c r="F215" s="13">
        <v>214</v>
      </c>
      <c r="H215" s="20"/>
    </row>
    <row r="216" spans="1:8" x14ac:dyDescent="0.4">
      <c r="A216" s="13" t="s">
        <v>2324</v>
      </c>
      <c r="B216" s="13" t="s">
        <v>2345</v>
      </c>
      <c r="C216" s="13" t="s">
        <v>70</v>
      </c>
      <c r="D216" s="59">
        <v>46447</v>
      </c>
      <c r="E216" s="6">
        <v>0</v>
      </c>
      <c r="F216" s="54">
        <v>215</v>
      </c>
      <c r="H216" s="20"/>
    </row>
    <row r="217" spans="1:8" x14ac:dyDescent="0.4">
      <c r="A217" s="13" t="s">
        <v>2324</v>
      </c>
      <c r="B217" s="13" t="s">
        <v>2345</v>
      </c>
      <c r="C217" s="13" t="s">
        <v>70</v>
      </c>
      <c r="D217" s="59">
        <v>46478</v>
      </c>
      <c r="E217" s="6">
        <v>0</v>
      </c>
      <c r="F217" s="13">
        <v>216</v>
      </c>
      <c r="H217" s="20"/>
    </row>
    <row r="218" spans="1:8" x14ac:dyDescent="0.4">
      <c r="A218" s="13" t="s">
        <v>2324</v>
      </c>
      <c r="B218" s="13" t="s">
        <v>2345</v>
      </c>
      <c r="C218" s="13" t="s">
        <v>70</v>
      </c>
      <c r="D218" s="59">
        <v>46508</v>
      </c>
      <c r="E218" s="6">
        <v>0</v>
      </c>
      <c r="F218" s="54">
        <v>217</v>
      </c>
      <c r="H218" s="20"/>
    </row>
    <row r="219" spans="1:8" x14ac:dyDescent="0.4">
      <c r="A219" s="13" t="s">
        <v>2324</v>
      </c>
      <c r="B219" s="13" t="s">
        <v>2345</v>
      </c>
      <c r="C219" s="13" t="s">
        <v>70</v>
      </c>
      <c r="D219" s="59">
        <v>46539</v>
      </c>
      <c r="E219" s="6">
        <v>0</v>
      </c>
      <c r="F219" s="13">
        <v>218</v>
      </c>
      <c r="H219" s="20"/>
    </row>
    <row r="220" spans="1:8" x14ac:dyDescent="0.4">
      <c r="A220" s="13" t="s">
        <v>2324</v>
      </c>
      <c r="B220" s="13" t="s">
        <v>2345</v>
      </c>
      <c r="C220" s="13" t="s">
        <v>70</v>
      </c>
      <c r="D220" s="59">
        <v>46569</v>
      </c>
      <c r="E220" s="6">
        <v>0</v>
      </c>
      <c r="F220" s="54">
        <v>219</v>
      </c>
      <c r="H220" s="20"/>
    </row>
    <row r="221" spans="1:8" x14ac:dyDescent="0.4">
      <c r="A221" s="13" t="s">
        <v>2324</v>
      </c>
      <c r="B221" s="13" t="s">
        <v>2345</v>
      </c>
      <c r="C221" s="13" t="s">
        <v>70</v>
      </c>
      <c r="D221" s="59">
        <v>46600</v>
      </c>
      <c r="E221" s="6">
        <v>0</v>
      </c>
      <c r="F221" s="13">
        <v>220</v>
      </c>
      <c r="H221" s="20"/>
    </row>
    <row r="222" spans="1:8" x14ac:dyDescent="0.4">
      <c r="A222" s="13" t="s">
        <v>2324</v>
      </c>
      <c r="B222" s="13" t="s">
        <v>2345</v>
      </c>
      <c r="C222" s="13" t="s">
        <v>50</v>
      </c>
      <c r="D222" s="59">
        <v>45962</v>
      </c>
      <c r="E222" s="6">
        <v>0</v>
      </c>
      <c r="F222" s="54">
        <v>221</v>
      </c>
      <c r="H222" s="20"/>
    </row>
    <row r="223" spans="1:8" x14ac:dyDescent="0.4">
      <c r="A223" s="13" t="s">
        <v>2324</v>
      </c>
      <c r="B223" s="13" t="s">
        <v>2345</v>
      </c>
      <c r="C223" s="13" t="s">
        <v>50</v>
      </c>
      <c r="D223" s="59">
        <v>45992</v>
      </c>
      <c r="E223" s="6">
        <v>0</v>
      </c>
      <c r="F223" s="13">
        <v>222</v>
      </c>
      <c r="H223" s="20"/>
    </row>
    <row r="224" spans="1:8" x14ac:dyDescent="0.4">
      <c r="A224" s="13" t="s">
        <v>2324</v>
      </c>
      <c r="B224" s="13" t="s">
        <v>2345</v>
      </c>
      <c r="C224" s="13" t="s">
        <v>50</v>
      </c>
      <c r="D224" s="59">
        <v>46023</v>
      </c>
      <c r="E224" s="6">
        <v>154305</v>
      </c>
      <c r="F224" s="54">
        <v>223</v>
      </c>
      <c r="H224" s="20"/>
    </row>
    <row r="225" spans="1:8" x14ac:dyDescent="0.4">
      <c r="A225" s="13" t="s">
        <v>2324</v>
      </c>
      <c r="B225" s="13" t="s">
        <v>2345</v>
      </c>
      <c r="C225" s="13" t="s">
        <v>50</v>
      </c>
      <c r="D225" s="59">
        <v>46054</v>
      </c>
      <c r="E225" s="6">
        <v>154305</v>
      </c>
      <c r="F225" s="13">
        <v>224</v>
      </c>
      <c r="H225" s="20"/>
    </row>
    <row r="226" spans="1:8" x14ac:dyDescent="0.4">
      <c r="A226" s="13" t="s">
        <v>2324</v>
      </c>
      <c r="B226" s="13" t="s">
        <v>2345</v>
      </c>
      <c r="C226" s="13" t="s">
        <v>50</v>
      </c>
      <c r="D226" s="59">
        <v>46082</v>
      </c>
      <c r="E226" s="6">
        <v>154305</v>
      </c>
      <c r="F226" s="54">
        <v>225</v>
      </c>
      <c r="H226" s="20"/>
    </row>
    <row r="227" spans="1:8" x14ac:dyDescent="0.4">
      <c r="A227" s="13" t="s">
        <v>2324</v>
      </c>
      <c r="B227" s="13" t="s">
        <v>2345</v>
      </c>
      <c r="C227" s="13" t="s">
        <v>50</v>
      </c>
      <c r="D227" s="59">
        <v>46113</v>
      </c>
      <c r="E227" s="6">
        <v>162878</v>
      </c>
      <c r="F227" s="13">
        <v>226</v>
      </c>
      <c r="H227" s="20"/>
    </row>
    <row r="228" spans="1:8" x14ac:dyDescent="0.4">
      <c r="A228" s="13" t="s">
        <v>2324</v>
      </c>
      <c r="B228" s="13" t="s">
        <v>2345</v>
      </c>
      <c r="C228" s="13" t="s">
        <v>50</v>
      </c>
      <c r="D228" s="59">
        <v>46143</v>
      </c>
      <c r="E228" s="6">
        <v>205740</v>
      </c>
      <c r="F228" s="54">
        <v>227</v>
      </c>
      <c r="H228" s="20"/>
    </row>
    <row r="229" spans="1:8" x14ac:dyDescent="0.4">
      <c r="A229" s="13" t="s">
        <v>2324</v>
      </c>
      <c r="B229" s="13" t="s">
        <v>2345</v>
      </c>
      <c r="C229" s="13" t="s">
        <v>50</v>
      </c>
      <c r="D229" s="59">
        <v>46174</v>
      </c>
      <c r="E229" s="6">
        <v>205740</v>
      </c>
      <c r="F229" s="13">
        <v>228</v>
      </c>
      <c r="H229" s="20"/>
    </row>
    <row r="230" spans="1:8" x14ac:dyDescent="0.4">
      <c r="A230" s="13" t="s">
        <v>2324</v>
      </c>
      <c r="B230" s="13" t="s">
        <v>2345</v>
      </c>
      <c r="C230" s="13" t="s">
        <v>50</v>
      </c>
      <c r="D230" s="59">
        <v>46204</v>
      </c>
      <c r="E230" s="6">
        <v>51435</v>
      </c>
      <c r="F230" s="54">
        <v>229</v>
      </c>
      <c r="H230" s="20"/>
    </row>
    <row r="231" spans="1:8" x14ac:dyDescent="0.4">
      <c r="A231" s="13" t="s">
        <v>2324</v>
      </c>
      <c r="B231" s="13" t="s">
        <v>2345</v>
      </c>
      <c r="C231" s="13" t="s">
        <v>50</v>
      </c>
      <c r="D231" s="59">
        <v>46235</v>
      </c>
      <c r="E231" s="6">
        <v>51435</v>
      </c>
      <c r="F231" s="13">
        <v>230</v>
      </c>
      <c r="H231" s="20"/>
    </row>
    <row r="232" spans="1:8" x14ac:dyDescent="0.4">
      <c r="A232" s="13" t="s">
        <v>2324</v>
      </c>
      <c r="B232" s="13" t="s">
        <v>2345</v>
      </c>
      <c r="C232" s="13" t="s">
        <v>50</v>
      </c>
      <c r="D232" s="59">
        <v>46266</v>
      </c>
      <c r="E232" s="6">
        <v>51435</v>
      </c>
      <c r="F232" s="54">
        <v>231</v>
      </c>
      <c r="H232" s="20"/>
    </row>
    <row r="233" spans="1:8" x14ac:dyDescent="0.4">
      <c r="A233" s="13" t="s">
        <v>2324</v>
      </c>
      <c r="B233" s="13" t="s">
        <v>2345</v>
      </c>
      <c r="C233" s="13" t="s">
        <v>50</v>
      </c>
      <c r="D233" s="59">
        <v>46296</v>
      </c>
      <c r="E233" s="6">
        <v>42863</v>
      </c>
      <c r="F233" s="13">
        <v>232</v>
      </c>
      <c r="H233" s="20"/>
    </row>
    <row r="234" spans="1:8" x14ac:dyDescent="0.4">
      <c r="A234" s="13" t="s">
        <v>2324</v>
      </c>
      <c r="B234" s="13" t="s">
        <v>2345</v>
      </c>
      <c r="C234" s="13" t="s">
        <v>50</v>
      </c>
      <c r="D234" s="59">
        <v>46327</v>
      </c>
      <c r="E234" s="6">
        <v>0</v>
      </c>
      <c r="F234" s="54">
        <v>233</v>
      </c>
      <c r="H234" s="20"/>
    </row>
    <row r="235" spans="1:8" x14ac:dyDescent="0.4">
      <c r="A235" s="13" t="s">
        <v>2324</v>
      </c>
      <c r="B235" s="13" t="s">
        <v>2345</v>
      </c>
      <c r="C235" s="13" t="s">
        <v>50</v>
      </c>
      <c r="D235" s="59">
        <v>46357</v>
      </c>
      <c r="E235" s="6">
        <v>0</v>
      </c>
      <c r="F235" s="13">
        <v>234</v>
      </c>
      <c r="H235" s="20"/>
    </row>
    <row r="236" spans="1:8" x14ac:dyDescent="0.4">
      <c r="A236" s="13" t="s">
        <v>2324</v>
      </c>
      <c r="B236" s="13" t="s">
        <v>2345</v>
      </c>
      <c r="C236" s="13" t="s">
        <v>50</v>
      </c>
      <c r="D236" s="59">
        <v>46388</v>
      </c>
      <c r="E236" s="6">
        <v>0</v>
      </c>
      <c r="F236" s="54">
        <v>235</v>
      </c>
      <c r="H236" s="20"/>
    </row>
    <row r="237" spans="1:8" x14ac:dyDescent="0.4">
      <c r="A237" s="13" t="s">
        <v>2324</v>
      </c>
      <c r="B237" s="13" t="s">
        <v>2345</v>
      </c>
      <c r="C237" s="13" t="s">
        <v>50</v>
      </c>
      <c r="D237" s="59">
        <v>46419</v>
      </c>
      <c r="E237" s="6">
        <v>0</v>
      </c>
      <c r="F237" s="13">
        <v>236</v>
      </c>
      <c r="H237" s="20"/>
    </row>
    <row r="238" spans="1:8" x14ac:dyDescent="0.4">
      <c r="A238" s="13" t="s">
        <v>2324</v>
      </c>
      <c r="B238" s="13" t="s">
        <v>2345</v>
      </c>
      <c r="C238" s="13" t="s">
        <v>50</v>
      </c>
      <c r="D238" s="59">
        <v>46447</v>
      </c>
      <c r="E238" s="6">
        <v>0</v>
      </c>
      <c r="F238" s="54">
        <v>237</v>
      </c>
      <c r="H238" s="20"/>
    </row>
    <row r="239" spans="1:8" x14ac:dyDescent="0.4">
      <c r="A239" s="13" t="s">
        <v>2324</v>
      </c>
      <c r="B239" s="13" t="s">
        <v>2345</v>
      </c>
      <c r="C239" s="13" t="s">
        <v>50</v>
      </c>
      <c r="D239" s="59">
        <v>46478</v>
      </c>
      <c r="E239" s="6">
        <v>0</v>
      </c>
      <c r="F239" s="13">
        <v>238</v>
      </c>
      <c r="H239" s="20"/>
    </row>
    <row r="240" spans="1:8" x14ac:dyDescent="0.4">
      <c r="A240" s="13" t="s">
        <v>2324</v>
      </c>
      <c r="B240" s="13" t="s">
        <v>2345</v>
      </c>
      <c r="C240" s="13" t="s">
        <v>50</v>
      </c>
      <c r="D240" s="59">
        <v>46508</v>
      </c>
      <c r="E240" s="6">
        <v>0</v>
      </c>
      <c r="F240" s="54">
        <v>239</v>
      </c>
      <c r="H240" s="20"/>
    </row>
    <row r="241" spans="1:8" x14ac:dyDescent="0.4">
      <c r="A241" s="13" t="s">
        <v>2324</v>
      </c>
      <c r="B241" s="13" t="s">
        <v>2345</v>
      </c>
      <c r="C241" s="13" t="s">
        <v>50</v>
      </c>
      <c r="D241" s="59">
        <v>46539</v>
      </c>
      <c r="E241" s="6">
        <v>0</v>
      </c>
      <c r="F241" s="13">
        <v>240</v>
      </c>
      <c r="H241" s="20"/>
    </row>
    <row r="242" spans="1:8" x14ac:dyDescent="0.4">
      <c r="A242" s="13" t="s">
        <v>2324</v>
      </c>
      <c r="B242" s="13" t="s">
        <v>2345</v>
      </c>
      <c r="C242" s="13" t="s">
        <v>50</v>
      </c>
      <c r="D242" s="59">
        <v>46569</v>
      </c>
      <c r="E242" s="6">
        <v>0</v>
      </c>
      <c r="F242" s="54">
        <v>241</v>
      </c>
      <c r="H242" s="20"/>
    </row>
    <row r="243" spans="1:8" x14ac:dyDescent="0.4">
      <c r="A243" s="13" t="s">
        <v>2324</v>
      </c>
      <c r="B243" s="13" t="s">
        <v>2345</v>
      </c>
      <c r="C243" s="13" t="s">
        <v>50</v>
      </c>
      <c r="D243" s="59">
        <v>46600</v>
      </c>
      <c r="E243" s="6">
        <v>0</v>
      </c>
      <c r="F243" s="13">
        <v>242</v>
      </c>
      <c r="H243" s="20"/>
    </row>
    <row r="244" spans="1:8" x14ac:dyDescent="0.4">
      <c r="A244" s="13" t="s">
        <v>2324</v>
      </c>
      <c r="B244" s="13" t="s">
        <v>2345</v>
      </c>
      <c r="C244" s="13" t="s">
        <v>5133</v>
      </c>
      <c r="D244" s="59">
        <v>45962</v>
      </c>
      <c r="E244" s="6">
        <v>0</v>
      </c>
      <c r="F244" s="54">
        <v>243</v>
      </c>
      <c r="H244" s="20"/>
    </row>
    <row r="245" spans="1:8" x14ac:dyDescent="0.4">
      <c r="A245" s="13" t="s">
        <v>2324</v>
      </c>
      <c r="B245" s="13" t="s">
        <v>2345</v>
      </c>
      <c r="C245" s="13" t="s">
        <v>5133</v>
      </c>
      <c r="D245" s="59">
        <v>45992</v>
      </c>
      <c r="E245" s="6">
        <v>0</v>
      </c>
      <c r="F245" s="13">
        <v>244</v>
      </c>
      <c r="H245" s="20"/>
    </row>
    <row r="246" spans="1:8" x14ac:dyDescent="0.4">
      <c r="A246" s="13" t="s">
        <v>2324</v>
      </c>
      <c r="B246" s="13" t="s">
        <v>2345</v>
      </c>
      <c r="C246" s="13" t="s">
        <v>5133</v>
      </c>
      <c r="D246" s="59">
        <v>46023</v>
      </c>
      <c r="E246" s="6">
        <v>0</v>
      </c>
      <c r="F246" s="54">
        <v>245</v>
      </c>
      <c r="H246" s="20"/>
    </row>
    <row r="247" spans="1:8" x14ac:dyDescent="0.4">
      <c r="A247" s="13" t="s">
        <v>2324</v>
      </c>
      <c r="B247" s="13" t="s">
        <v>2345</v>
      </c>
      <c r="C247" s="13" t="s">
        <v>5133</v>
      </c>
      <c r="D247" s="59">
        <v>46054</v>
      </c>
      <c r="E247" s="6">
        <v>0</v>
      </c>
      <c r="F247" s="13">
        <v>246</v>
      </c>
      <c r="H247" s="20"/>
    </row>
    <row r="248" spans="1:8" x14ac:dyDescent="0.4">
      <c r="A248" s="13" t="s">
        <v>2324</v>
      </c>
      <c r="B248" s="13" t="s">
        <v>2345</v>
      </c>
      <c r="C248" s="13" t="s">
        <v>5133</v>
      </c>
      <c r="D248" s="59">
        <v>46082</v>
      </c>
      <c r="E248" s="6">
        <v>0</v>
      </c>
      <c r="F248" s="54">
        <v>247</v>
      </c>
      <c r="H248" s="20"/>
    </row>
    <row r="249" spans="1:8" x14ac:dyDescent="0.4">
      <c r="A249" s="13" t="s">
        <v>2324</v>
      </c>
      <c r="B249" s="13" t="s">
        <v>2345</v>
      </c>
      <c r="C249" s="13" t="s">
        <v>5133</v>
      </c>
      <c r="D249" s="59">
        <v>46113</v>
      </c>
      <c r="E249" s="6">
        <v>0</v>
      </c>
      <c r="F249" s="13">
        <v>248</v>
      </c>
      <c r="H249" s="20"/>
    </row>
    <row r="250" spans="1:8" x14ac:dyDescent="0.4">
      <c r="A250" s="13" t="s">
        <v>2324</v>
      </c>
      <c r="B250" s="13" t="s">
        <v>2345</v>
      </c>
      <c r="C250" s="13" t="s">
        <v>5133</v>
      </c>
      <c r="D250" s="59">
        <v>46143</v>
      </c>
      <c r="E250" s="6">
        <v>0</v>
      </c>
      <c r="F250" s="54">
        <v>249</v>
      </c>
      <c r="H250" s="20"/>
    </row>
    <row r="251" spans="1:8" x14ac:dyDescent="0.4">
      <c r="A251" s="13" t="s">
        <v>2324</v>
      </c>
      <c r="B251" s="13" t="s">
        <v>2345</v>
      </c>
      <c r="C251" s="13" t="s">
        <v>5133</v>
      </c>
      <c r="D251" s="59">
        <v>46174</v>
      </c>
      <c r="E251" s="6">
        <v>0</v>
      </c>
      <c r="F251" s="13">
        <v>250</v>
      </c>
      <c r="H251" s="20"/>
    </row>
    <row r="252" spans="1:8" x14ac:dyDescent="0.4">
      <c r="A252" s="13" t="s">
        <v>2324</v>
      </c>
      <c r="B252" s="13" t="s">
        <v>2345</v>
      </c>
      <c r="C252" s="13" t="s">
        <v>5133</v>
      </c>
      <c r="D252" s="59">
        <v>46204</v>
      </c>
      <c r="E252" s="6">
        <v>0</v>
      </c>
      <c r="F252" s="54">
        <v>251</v>
      </c>
      <c r="H252" s="20"/>
    </row>
    <row r="253" spans="1:8" x14ac:dyDescent="0.4">
      <c r="A253" s="13" t="s">
        <v>2324</v>
      </c>
      <c r="B253" s="13" t="s">
        <v>2345</v>
      </c>
      <c r="C253" s="13" t="s">
        <v>5133</v>
      </c>
      <c r="D253" s="59">
        <v>46235</v>
      </c>
      <c r="E253" s="6">
        <v>0</v>
      </c>
      <c r="F253" s="13">
        <v>252</v>
      </c>
      <c r="H253" s="20"/>
    </row>
    <row r="254" spans="1:8" x14ac:dyDescent="0.4">
      <c r="A254" s="13" t="s">
        <v>2324</v>
      </c>
      <c r="B254" s="13" t="s">
        <v>2345</v>
      </c>
      <c r="C254" s="13" t="s">
        <v>5133</v>
      </c>
      <c r="D254" s="59">
        <v>46266</v>
      </c>
      <c r="E254" s="6">
        <v>12737</v>
      </c>
      <c r="F254" s="54">
        <v>253</v>
      </c>
      <c r="H254" s="20"/>
    </row>
    <row r="255" spans="1:8" x14ac:dyDescent="0.4">
      <c r="A255" s="13" t="s">
        <v>2324</v>
      </c>
      <c r="B255" s="13" t="s">
        <v>2345</v>
      </c>
      <c r="C255" s="13" t="s">
        <v>5133</v>
      </c>
      <c r="D255" s="59">
        <v>46296</v>
      </c>
      <c r="E255" s="6">
        <v>12737</v>
      </c>
      <c r="F255" s="13">
        <v>254</v>
      </c>
      <c r="H255" s="20"/>
    </row>
    <row r="256" spans="1:8" x14ac:dyDescent="0.4">
      <c r="A256" s="13" t="s">
        <v>2324</v>
      </c>
      <c r="B256" s="13" t="s">
        <v>2345</v>
      </c>
      <c r="C256" s="13" t="s">
        <v>5133</v>
      </c>
      <c r="D256" s="59">
        <v>46327</v>
      </c>
      <c r="E256" s="6">
        <v>16983</v>
      </c>
      <c r="F256" s="54">
        <v>255</v>
      </c>
      <c r="H256" s="20"/>
    </row>
    <row r="257" spans="1:8" x14ac:dyDescent="0.4">
      <c r="A257" s="13" t="s">
        <v>2324</v>
      </c>
      <c r="B257" s="13" t="s">
        <v>2345</v>
      </c>
      <c r="C257" s="13" t="s">
        <v>5133</v>
      </c>
      <c r="D257" s="59">
        <v>46357</v>
      </c>
      <c r="E257" s="6">
        <v>16983</v>
      </c>
      <c r="F257" s="13">
        <v>256</v>
      </c>
      <c r="H257" s="20"/>
    </row>
    <row r="258" spans="1:8" x14ac:dyDescent="0.4">
      <c r="A258" s="13" t="s">
        <v>2324</v>
      </c>
      <c r="B258" s="13" t="s">
        <v>2345</v>
      </c>
      <c r="C258" s="13" t="s">
        <v>5133</v>
      </c>
      <c r="D258" s="59">
        <v>46388</v>
      </c>
      <c r="E258" s="6">
        <v>16983</v>
      </c>
      <c r="F258" s="54">
        <v>257</v>
      </c>
      <c r="H258" s="20"/>
    </row>
    <row r="259" spans="1:8" x14ac:dyDescent="0.4">
      <c r="A259" s="13" t="s">
        <v>2324</v>
      </c>
      <c r="B259" s="13" t="s">
        <v>2345</v>
      </c>
      <c r="C259" s="13" t="s">
        <v>5133</v>
      </c>
      <c r="D259" s="59">
        <v>46419</v>
      </c>
      <c r="E259" s="6">
        <v>16983</v>
      </c>
      <c r="F259" s="13">
        <v>258</v>
      </c>
      <c r="H259" s="20"/>
    </row>
    <row r="260" spans="1:8" x14ac:dyDescent="0.4">
      <c r="A260" s="13" t="s">
        <v>2324</v>
      </c>
      <c r="B260" s="13" t="s">
        <v>2345</v>
      </c>
      <c r="C260" s="13" t="s">
        <v>5133</v>
      </c>
      <c r="D260" s="59">
        <v>46447</v>
      </c>
      <c r="E260" s="6">
        <v>16983</v>
      </c>
      <c r="F260" s="54">
        <v>259</v>
      </c>
      <c r="H260" s="20"/>
    </row>
    <row r="261" spans="1:8" x14ac:dyDescent="0.4">
      <c r="A261" s="13" t="s">
        <v>2324</v>
      </c>
      <c r="B261" s="13" t="s">
        <v>2345</v>
      </c>
      <c r="C261" s="13" t="s">
        <v>5133</v>
      </c>
      <c r="D261" s="59">
        <v>46478</v>
      </c>
      <c r="E261" s="6">
        <v>16983</v>
      </c>
      <c r="F261" s="13">
        <v>260</v>
      </c>
      <c r="H261" s="20"/>
    </row>
    <row r="262" spans="1:8" x14ac:dyDescent="0.4">
      <c r="A262" s="13" t="s">
        <v>2324</v>
      </c>
      <c r="B262" s="13" t="s">
        <v>2345</v>
      </c>
      <c r="C262" s="13" t="s">
        <v>5133</v>
      </c>
      <c r="D262" s="59">
        <v>46508</v>
      </c>
      <c r="E262" s="6">
        <v>16983</v>
      </c>
      <c r="F262" s="54">
        <v>261</v>
      </c>
      <c r="H262" s="20"/>
    </row>
    <row r="263" spans="1:8" x14ac:dyDescent="0.4">
      <c r="A263" s="13" t="s">
        <v>2324</v>
      </c>
      <c r="B263" s="13" t="s">
        <v>2345</v>
      </c>
      <c r="C263" s="13" t="s">
        <v>5133</v>
      </c>
      <c r="D263" s="59">
        <v>46539</v>
      </c>
      <c r="E263" s="6">
        <v>16983</v>
      </c>
      <c r="F263" s="13">
        <v>262</v>
      </c>
      <c r="H263" s="20"/>
    </row>
    <row r="264" spans="1:8" x14ac:dyDescent="0.4">
      <c r="A264" s="13" t="s">
        <v>2324</v>
      </c>
      <c r="B264" s="13" t="s">
        <v>2345</v>
      </c>
      <c r="C264" s="13" t="s">
        <v>5133</v>
      </c>
      <c r="D264" s="59">
        <v>46569</v>
      </c>
      <c r="E264" s="6">
        <v>16983</v>
      </c>
      <c r="F264" s="54">
        <v>263</v>
      </c>
      <c r="H264" s="20"/>
    </row>
    <row r="265" spans="1:8" x14ac:dyDescent="0.4">
      <c r="A265" s="13" t="s">
        <v>2324</v>
      </c>
      <c r="B265" s="13" t="s">
        <v>2345</v>
      </c>
      <c r="C265" s="13" t="s">
        <v>5133</v>
      </c>
      <c r="D265" s="59">
        <v>46600</v>
      </c>
      <c r="E265" s="6">
        <v>16983</v>
      </c>
      <c r="F265" s="13">
        <v>264</v>
      </c>
      <c r="H265" s="20"/>
    </row>
    <row r="266" spans="1:8" x14ac:dyDescent="0.4">
      <c r="H266" s="20"/>
    </row>
  </sheetData>
  <autoFilter ref="A1:F265" xr:uid="{A7968950-1E17-4EEB-9DD6-438AAB44A081}">
    <sortState xmlns:xlrd2="http://schemas.microsoft.com/office/spreadsheetml/2017/richdata2" ref="A2:F265">
      <sortCondition ref="F1:F265"/>
    </sortState>
  </autoFilter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9675-E72C-457A-8D8D-0A0451A5683E}">
  <sheetPr>
    <tabColor theme="7" tint="0.59999389629810485"/>
  </sheetPr>
  <dimension ref="A1:R270"/>
  <sheetViews>
    <sheetView zoomScale="70" zoomScaleNormal="70" workbookViewId="0">
      <selection activeCell="H35" sqref="H35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9" width="10.625" bestFit="1" customWidth="1"/>
    <col min="11" max="11" width="18.5" bestFit="1" customWidth="1"/>
    <col min="12" max="13" width="10.625" bestFit="1" customWidth="1"/>
    <col min="14" max="14" width="9.125" bestFit="1" customWidth="1"/>
    <col min="15" max="15" width="31.875" customWidth="1"/>
    <col min="16" max="17" width="9.125" bestFit="1" customWidth="1"/>
    <col min="18" max="18" width="10.625" bestFit="1" customWidth="1"/>
  </cols>
  <sheetData>
    <row r="1" spans="1:1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/>
    </row>
    <row r="2" spans="1:18" x14ac:dyDescent="0.4">
      <c r="A2" s="13" t="s">
        <v>2324</v>
      </c>
      <c r="B2" s="55" t="s">
        <v>2325</v>
      </c>
      <c r="C2" s="10" t="s">
        <v>25</v>
      </c>
      <c r="D2" s="59">
        <v>45931</v>
      </c>
      <c r="E2" s="6">
        <v>0</v>
      </c>
      <c r="F2" s="54">
        <v>1</v>
      </c>
      <c r="H2" s="61"/>
      <c r="I2" s="20"/>
      <c r="L2" s="20"/>
      <c r="M2" s="20"/>
      <c r="N2" s="20"/>
      <c r="O2" s="20"/>
      <c r="P2" s="20"/>
      <c r="Q2" s="20"/>
      <c r="R2" s="20"/>
    </row>
    <row r="3" spans="1:18" x14ac:dyDescent="0.4">
      <c r="A3" s="13" t="s">
        <v>2324</v>
      </c>
      <c r="B3" s="55" t="s">
        <v>2325</v>
      </c>
      <c r="C3" s="13" t="s">
        <v>44</v>
      </c>
      <c r="D3" s="59">
        <v>45931</v>
      </c>
      <c r="E3" s="6">
        <v>0</v>
      </c>
      <c r="F3" s="54">
        <v>23</v>
      </c>
      <c r="H3" s="61"/>
      <c r="I3" s="20"/>
      <c r="L3" s="20"/>
      <c r="M3" s="20"/>
      <c r="N3" s="20"/>
      <c r="O3" s="20"/>
      <c r="P3" s="20"/>
      <c r="Q3" s="20"/>
      <c r="R3" s="20"/>
    </row>
    <row r="4" spans="1:18" x14ac:dyDescent="0.4">
      <c r="A4" s="13" t="s">
        <v>2324</v>
      </c>
      <c r="B4" s="55" t="s">
        <v>2325</v>
      </c>
      <c r="C4" s="13" t="s">
        <v>1944</v>
      </c>
      <c r="D4" s="59">
        <v>45931</v>
      </c>
      <c r="E4" s="6">
        <v>0</v>
      </c>
      <c r="F4" s="54">
        <v>45</v>
      </c>
      <c r="H4" s="61"/>
      <c r="I4" s="20"/>
      <c r="L4" s="20"/>
      <c r="M4" s="20"/>
      <c r="N4" s="20"/>
      <c r="O4" s="20"/>
      <c r="P4" s="20"/>
      <c r="Q4" s="20"/>
      <c r="R4" s="20"/>
    </row>
    <row r="5" spans="1:18" x14ac:dyDescent="0.4">
      <c r="A5" s="13" t="s">
        <v>2324</v>
      </c>
      <c r="B5" s="55" t="s">
        <v>2325</v>
      </c>
      <c r="C5" s="13" t="s">
        <v>70</v>
      </c>
      <c r="D5" s="59">
        <v>45931</v>
      </c>
      <c r="E5" s="6">
        <v>0</v>
      </c>
      <c r="F5" s="13">
        <v>68</v>
      </c>
      <c r="H5" s="61"/>
      <c r="I5" s="20"/>
      <c r="L5" s="20"/>
      <c r="M5" s="20"/>
      <c r="N5" s="20"/>
      <c r="O5" s="20"/>
      <c r="P5" s="20"/>
      <c r="Q5" s="20"/>
      <c r="R5" s="20"/>
    </row>
    <row r="6" spans="1:18" x14ac:dyDescent="0.4">
      <c r="A6" s="13" t="s">
        <v>2324</v>
      </c>
      <c r="B6" s="55" t="s">
        <v>2325</v>
      </c>
      <c r="C6" s="13" t="s">
        <v>50</v>
      </c>
      <c r="D6" s="59">
        <v>45931</v>
      </c>
      <c r="E6" s="6">
        <v>0</v>
      </c>
      <c r="F6" s="13">
        <v>90</v>
      </c>
      <c r="H6" s="61"/>
      <c r="I6" s="20"/>
      <c r="L6" s="20"/>
      <c r="M6" s="20"/>
      <c r="N6" s="20"/>
      <c r="O6" s="20"/>
      <c r="P6" s="20"/>
      <c r="Q6" s="20"/>
      <c r="R6" s="20"/>
    </row>
    <row r="7" spans="1:18" x14ac:dyDescent="0.4">
      <c r="A7" s="13" t="s">
        <v>2324</v>
      </c>
      <c r="B7" s="55" t="s">
        <v>2325</v>
      </c>
      <c r="C7" s="13" t="s">
        <v>5133</v>
      </c>
      <c r="D7" s="59">
        <v>45931</v>
      </c>
      <c r="E7" s="6">
        <v>0</v>
      </c>
      <c r="F7" s="13">
        <v>112</v>
      </c>
      <c r="H7" s="61"/>
      <c r="I7" s="20"/>
      <c r="L7" s="20"/>
      <c r="M7" s="20"/>
      <c r="N7" s="20"/>
      <c r="O7" s="20"/>
      <c r="P7" s="20"/>
      <c r="Q7" s="20"/>
      <c r="R7" s="20"/>
    </row>
    <row r="8" spans="1:18" x14ac:dyDescent="0.4">
      <c r="A8" s="13" t="s">
        <v>2324</v>
      </c>
      <c r="B8" s="13" t="s">
        <v>2345</v>
      </c>
      <c r="C8" s="10" t="s">
        <v>25</v>
      </c>
      <c r="D8" s="59">
        <v>45931</v>
      </c>
      <c r="E8" s="6">
        <v>0</v>
      </c>
      <c r="F8" s="13">
        <v>135</v>
      </c>
      <c r="H8" s="61"/>
      <c r="I8" s="20"/>
      <c r="L8" s="20"/>
      <c r="M8" s="20"/>
      <c r="N8" s="20"/>
      <c r="O8" s="20"/>
      <c r="P8" s="20"/>
      <c r="Q8" s="20"/>
      <c r="R8" s="20"/>
    </row>
    <row r="9" spans="1:18" x14ac:dyDescent="0.4">
      <c r="A9" s="13" t="s">
        <v>2324</v>
      </c>
      <c r="B9" s="13" t="s">
        <v>2345</v>
      </c>
      <c r="C9" s="13" t="s">
        <v>44</v>
      </c>
      <c r="D9" s="59">
        <v>45931</v>
      </c>
      <c r="E9" s="6">
        <v>0</v>
      </c>
      <c r="F9" s="54">
        <v>157</v>
      </c>
      <c r="H9" s="61"/>
      <c r="I9" s="20"/>
      <c r="L9" s="20"/>
      <c r="M9" s="20"/>
      <c r="N9" s="20"/>
      <c r="O9" s="20"/>
      <c r="P9" s="20"/>
      <c r="Q9" s="20"/>
      <c r="R9" s="20"/>
    </row>
    <row r="10" spans="1:18" x14ac:dyDescent="0.4">
      <c r="A10" s="13" t="s">
        <v>2324</v>
      </c>
      <c r="B10" s="13" t="s">
        <v>2345</v>
      </c>
      <c r="C10" s="13" t="s">
        <v>1944</v>
      </c>
      <c r="D10" s="59">
        <v>45931</v>
      </c>
      <c r="E10" s="6">
        <v>0</v>
      </c>
      <c r="F10" s="13">
        <v>179</v>
      </c>
      <c r="H10" s="61"/>
      <c r="I10" s="20"/>
      <c r="L10" s="20"/>
      <c r="M10" s="20"/>
      <c r="N10" s="20"/>
      <c r="O10" s="20"/>
      <c r="P10" s="20"/>
      <c r="Q10" s="20"/>
      <c r="R10" s="20"/>
    </row>
    <row r="11" spans="1:18" x14ac:dyDescent="0.4">
      <c r="A11" s="13" t="s">
        <v>2324</v>
      </c>
      <c r="B11" s="13" t="s">
        <v>2345</v>
      </c>
      <c r="C11" s="13" t="s">
        <v>70</v>
      </c>
      <c r="D11" s="59">
        <v>45931</v>
      </c>
      <c r="E11" s="6">
        <v>0</v>
      </c>
      <c r="F11" s="54">
        <v>202</v>
      </c>
      <c r="H11" s="61"/>
      <c r="I11" s="20"/>
      <c r="L11" s="20"/>
      <c r="M11" s="20"/>
      <c r="N11" s="20"/>
      <c r="O11" s="20"/>
      <c r="P11" s="20"/>
      <c r="Q11" s="20"/>
      <c r="R11" s="20"/>
    </row>
    <row r="12" spans="1:18" x14ac:dyDescent="0.4">
      <c r="A12" s="13" t="s">
        <v>2324</v>
      </c>
      <c r="B12" s="13" t="s">
        <v>2345</v>
      </c>
      <c r="C12" s="13" t="s">
        <v>50</v>
      </c>
      <c r="D12" s="59">
        <v>45931</v>
      </c>
      <c r="E12" s="6">
        <v>0</v>
      </c>
      <c r="F12" s="13">
        <v>224</v>
      </c>
      <c r="H12" s="61"/>
      <c r="I12" s="20"/>
      <c r="L12" s="20"/>
      <c r="M12" s="20"/>
      <c r="N12" s="20"/>
      <c r="O12" s="20"/>
      <c r="P12" s="20"/>
      <c r="Q12" s="20"/>
      <c r="R12" s="20"/>
    </row>
    <row r="13" spans="1:18" x14ac:dyDescent="0.4">
      <c r="A13" s="13" t="s">
        <v>2324</v>
      </c>
      <c r="B13" s="13" t="s">
        <v>2345</v>
      </c>
      <c r="C13" s="13" t="s">
        <v>5133</v>
      </c>
      <c r="D13" s="59">
        <v>45931</v>
      </c>
      <c r="E13" s="6">
        <v>0</v>
      </c>
      <c r="F13" s="13">
        <v>246</v>
      </c>
      <c r="H13" s="61"/>
      <c r="I13" s="20"/>
      <c r="L13" s="20"/>
      <c r="M13" s="20"/>
      <c r="N13" s="20"/>
      <c r="O13" s="20"/>
      <c r="P13" s="20"/>
      <c r="Q13" s="20"/>
      <c r="R13" s="20"/>
    </row>
    <row r="14" spans="1:18" x14ac:dyDescent="0.4">
      <c r="A14" s="13" t="s">
        <v>2324</v>
      </c>
      <c r="B14" s="55" t="s">
        <v>2325</v>
      </c>
      <c r="C14" s="10" t="s">
        <v>25</v>
      </c>
      <c r="D14" s="59">
        <v>45962</v>
      </c>
      <c r="E14" s="6">
        <v>297000</v>
      </c>
      <c r="F14" s="13">
        <v>2</v>
      </c>
      <c r="H14" s="61"/>
      <c r="I14" s="20"/>
      <c r="L14" s="20"/>
      <c r="M14" s="20"/>
      <c r="N14" s="20"/>
      <c r="O14" s="20"/>
      <c r="P14" s="20"/>
      <c r="Q14" s="20"/>
      <c r="R14" s="20"/>
    </row>
    <row r="15" spans="1:18" x14ac:dyDescent="0.4">
      <c r="A15" s="13" t="s">
        <v>2324</v>
      </c>
      <c r="B15" s="55" t="s">
        <v>2325</v>
      </c>
      <c r="C15" s="13" t="s">
        <v>44</v>
      </c>
      <c r="D15" s="59">
        <v>45962</v>
      </c>
      <c r="E15" s="6">
        <v>1905000</v>
      </c>
      <c r="F15" s="13">
        <v>24</v>
      </c>
      <c r="H15" s="61"/>
      <c r="I15" s="20"/>
      <c r="L15" s="20"/>
      <c r="M15" s="20"/>
      <c r="N15" s="20"/>
      <c r="O15" s="20"/>
      <c r="P15" s="20"/>
      <c r="Q15" s="20"/>
      <c r="R15" s="20"/>
    </row>
    <row r="16" spans="1:18" x14ac:dyDescent="0.4">
      <c r="A16" s="13" t="s">
        <v>2324</v>
      </c>
      <c r="B16" s="55" t="s">
        <v>2325</v>
      </c>
      <c r="C16" s="13" t="s">
        <v>1944</v>
      </c>
      <c r="D16" s="59">
        <v>45962</v>
      </c>
      <c r="E16" s="6">
        <v>0</v>
      </c>
      <c r="F16" s="13">
        <v>46</v>
      </c>
      <c r="H16" s="61"/>
      <c r="I16" s="20"/>
      <c r="L16" s="20"/>
      <c r="M16" s="20"/>
      <c r="N16" s="20"/>
      <c r="O16" s="20"/>
      <c r="P16" s="20"/>
      <c r="Q16" s="20"/>
      <c r="R16" s="20"/>
    </row>
    <row r="17" spans="1:18" x14ac:dyDescent="0.4">
      <c r="A17" s="13" t="s">
        <v>2324</v>
      </c>
      <c r="B17" s="55" t="s">
        <v>2325</v>
      </c>
      <c r="C17" s="13" t="s">
        <v>70</v>
      </c>
      <c r="D17" s="59">
        <v>45962</v>
      </c>
      <c r="E17" s="6">
        <v>0</v>
      </c>
      <c r="F17" s="54">
        <v>69</v>
      </c>
      <c r="H17" s="61"/>
      <c r="I17" s="20"/>
      <c r="L17" s="20"/>
      <c r="M17" s="20"/>
      <c r="N17" s="20"/>
      <c r="O17" s="20"/>
      <c r="P17" s="20"/>
      <c r="Q17" s="20"/>
      <c r="R17" s="20"/>
    </row>
    <row r="18" spans="1:18" x14ac:dyDescent="0.4">
      <c r="A18" s="13" t="s">
        <v>2324</v>
      </c>
      <c r="B18" s="55" t="s">
        <v>2325</v>
      </c>
      <c r="C18" s="13" t="s">
        <v>50</v>
      </c>
      <c r="D18" s="59">
        <v>45962</v>
      </c>
      <c r="E18" s="6">
        <v>38100</v>
      </c>
      <c r="F18" s="54">
        <v>91</v>
      </c>
      <c r="H18" s="61"/>
      <c r="I18" s="20"/>
      <c r="L18" s="20"/>
      <c r="M18" s="20"/>
      <c r="N18" s="20"/>
      <c r="O18" s="20"/>
      <c r="P18" s="20"/>
      <c r="Q18" s="20"/>
      <c r="R18" s="20"/>
    </row>
    <row r="19" spans="1:18" x14ac:dyDescent="0.4">
      <c r="A19" s="13" t="s">
        <v>2324</v>
      </c>
      <c r="B19" s="55" t="s">
        <v>2325</v>
      </c>
      <c r="C19" s="13" t="s">
        <v>5133</v>
      </c>
      <c r="D19" s="59">
        <v>45962</v>
      </c>
      <c r="E19" s="6">
        <v>0</v>
      </c>
      <c r="F19" s="54">
        <v>113</v>
      </c>
      <c r="H19" s="61"/>
      <c r="I19" s="20"/>
      <c r="L19" s="20"/>
      <c r="M19" s="20"/>
      <c r="N19" s="20"/>
      <c r="O19" s="20"/>
      <c r="P19" s="20"/>
      <c r="Q19" s="20"/>
      <c r="R19" s="20"/>
    </row>
    <row r="20" spans="1:18" x14ac:dyDescent="0.4">
      <c r="A20" s="13" t="s">
        <v>2324</v>
      </c>
      <c r="B20" s="13" t="s">
        <v>2345</v>
      </c>
      <c r="C20" s="10" t="s">
        <v>25</v>
      </c>
      <c r="D20" s="59">
        <v>45962</v>
      </c>
      <c r="E20" s="6">
        <v>133650</v>
      </c>
      <c r="F20" s="54">
        <v>136</v>
      </c>
      <c r="H20" s="61"/>
      <c r="I20" s="20"/>
    </row>
    <row r="21" spans="1:18" x14ac:dyDescent="0.4">
      <c r="A21" s="13" t="s">
        <v>2324</v>
      </c>
      <c r="B21" s="13" t="s">
        <v>2345</v>
      </c>
      <c r="C21" s="13" t="s">
        <v>44</v>
      </c>
      <c r="D21" s="59">
        <v>45962</v>
      </c>
      <c r="E21" s="6">
        <v>857250</v>
      </c>
      <c r="F21" s="13">
        <v>158</v>
      </c>
      <c r="H21" s="61"/>
      <c r="I21" s="20"/>
    </row>
    <row r="22" spans="1:18" x14ac:dyDescent="0.4">
      <c r="A22" s="13" t="s">
        <v>2324</v>
      </c>
      <c r="B22" s="13" t="s">
        <v>2345</v>
      </c>
      <c r="C22" s="13" t="s">
        <v>1944</v>
      </c>
      <c r="D22" s="59">
        <v>45962</v>
      </c>
      <c r="E22" s="6">
        <v>0</v>
      </c>
      <c r="F22" s="13">
        <v>180</v>
      </c>
      <c r="H22" s="61"/>
      <c r="I22" s="20"/>
    </row>
    <row r="23" spans="1:18" x14ac:dyDescent="0.4">
      <c r="A23" s="13" t="s">
        <v>2324</v>
      </c>
      <c r="B23" s="13" t="s">
        <v>2345</v>
      </c>
      <c r="C23" s="13" t="s">
        <v>70</v>
      </c>
      <c r="D23" s="59">
        <v>45962</v>
      </c>
      <c r="E23" s="6">
        <v>0</v>
      </c>
      <c r="F23" s="13">
        <v>203</v>
      </c>
      <c r="H23" s="61"/>
      <c r="I23" s="20"/>
    </row>
    <row r="24" spans="1:18" x14ac:dyDescent="0.4">
      <c r="A24" s="13" t="s">
        <v>2324</v>
      </c>
      <c r="B24" s="13" t="s">
        <v>2345</v>
      </c>
      <c r="C24" s="13" t="s">
        <v>50</v>
      </c>
      <c r="D24" s="59">
        <v>45962</v>
      </c>
      <c r="E24" s="6">
        <v>17145</v>
      </c>
      <c r="F24" s="13">
        <v>225</v>
      </c>
      <c r="H24" s="61"/>
      <c r="I24" s="20"/>
    </row>
    <row r="25" spans="1:18" x14ac:dyDescent="0.4">
      <c r="A25" s="13" t="s">
        <v>2324</v>
      </c>
      <c r="B25" s="13" t="s">
        <v>2345</v>
      </c>
      <c r="C25" s="13" t="s">
        <v>5133</v>
      </c>
      <c r="D25" s="59">
        <v>45962</v>
      </c>
      <c r="E25" s="6">
        <v>0</v>
      </c>
      <c r="F25" s="54">
        <v>247</v>
      </c>
      <c r="H25" s="61"/>
      <c r="I25" s="20"/>
    </row>
    <row r="26" spans="1:18" x14ac:dyDescent="0.4">
      <c r="A26" s="13" t="s">
        <v>2324</v>
      </c>
      <c r="B26" s="55" t="s">
        <v>2325</v>
      </c>
      <c r="C26" s="10" t="s">
        <v>25</v>
      </c>
      <c r="D26" s="59">
        <v>45992</v>
      </c>
      <c r="E26" s="6">
        <v>336600</v>
      </c>
      <c r="F26" s="54">
        <v>3</v>
      </c>
      <c r="H26" s="61"/>
      <c r="I26" s="20"/>
    </row>
    <row r="27" spans="1:18" x14ac:dyDescent="0.4">
      <c r="A27" s="13" t="s">
        <v>2324</v>
      </c>
      <c r="B27" s="55" t="s">
        <v>2325</v>
      </c>
      <c r="C27" s="13" t="s">
        <v>44</v>
      </c>
      <c r="D27" s="59">
        <v>45992</v>
      </c>
      <c r="E27" s="6">
        <v>2038350</v>
      </c>
      <c r="F27" s="54">
        <v>25</v>
      </c>
      <c r="H27" s="61"/>
      <c r="I27" s="20"/>
    </row>
    <row r="28" spans="1:18" x14ac:dyDescent="0.4">
      <c r="A28" s="13" t="s">
        <v>2324</v>
      </c>
      <c r="B28" s="55" t="s">
        <v>2325</v>
      </c>
      <c r="C28" s="13" t="s">
        <v>1944</v>
      </c>
      <c r="D28" s="59">
        <v>45992</v>
      </c>
      <c r="E28" s="6">
        <v>0</v>
      </c>
      <c r="F28" s="54">
        <v>47</v>
      </c>
      <c r="H28" s="61"/>
      <c r="I28" s="20"/>
    </row>
    <row r="29" spans="1:18" x14ac:dyDescent="0.4">
      <c r="A29" s="13" t="s">
        <v>2324</v>
      </c>
      <c r="B29" s="55" t="s">
        <v>2325</v>
      </c>
      <c r="C29" s="13" t="s">
        <v>70</v>
      </c>
      <c r="D29" s="59">
        <v>45992</v>
      </c>
      <c r="E29" s="6">
        <v>0</v>
      </c>
      <c r="F29" s="13">
        <v>70</v>
      </c>
      <c r="H29" s="61"/>
      <c r="I29" s="20"/>
    </row>
    <row r="30" spans="1:18" x14ac:dyDescent="0.4">
      <c r="A30" s="13" t="s">
        <v>2324</v>
      </c>
      <c r="B30" s="55" t="s">
        <v>2325</v>
      </c>
      <c r="C30" s="13" t="s">
        <v>50</v>
      </c>
      <c r="D30" s="59">
        <v>45992</v>
      </c>
      <c r="E30" s="6">
        <v>38100</v>
      </c>
      <c r="F30" s="13">
        <v>92</v>
      </c>
      <c r="H30" s="61"/>
      <c r="I30" s="20"/>
    </row>
    <row r="31" spans="1:18" x14ac:dyDescent="0.4">
      <c r="A31" s="13" t="s">
        <v>2324</v>
      </c>
      <c r="B31" s="55" t="s">
        <v>2325</v>
      </c>
      <c r="C31" s="13" t="s">
        <v>5133</v>
      </c>
      <c r="D31" s="59">
        <v>45992</v>
      </c>
      <c r="E31" s="6">
        <v>0</v>
      </c>
      <c r="F31" s="13">
        <v>114</v>
      </c>
      <c r="H31" s="61"/>
      <c r="I31" s="20"/>
    </row>
    <row r="32" spans="1:18" x14ac:dyDescent="0.4">
      <c r="A32" s="13" t="s">
        <v>2324</v>
      </c>
      <c r="B32" s="13" t="s">
        <v>2345</v>
      </c>
      <c r="C32" s="10" t="s">
        <v>25</v>
      </c>
      <c r="D32" s="59">
        <v>45992</v>
      </c>
      <c r="E32" s="6">
        <v>151470</v>
      </c>
      <c r="F32" s="13">
        <v>137</v>
      </c>
      <c r="H32" s="61"/>
      <c r="I32" s="20"/>
    </row>
    <row r="33" spans="1:9" x14ac:dyDescent="0.4">
      <c r="A33" s="13" t="s">
        <v>2324</v>
      </c>
      <c r="B33" s="13" t="s">
        <v>2345</v>
      </c>
      <c r="C33" s="13" t="s">
        <v>44</v>
      </c>
      <c r="D33" s="59">
        <v>45992</v>
      </c>
      <c r="E33" s="6">
        <v>917258</v>
      </c>
      <c r="F33" s="13">
        <v>159</v>
      </c>
      <c r="H33" s="61"/>
      <c r="I33" s="20"/>
    </row>
    <row r="34" spans="1:9" x14ac:dyDescent="0.4">
      <c r="A34" s="13" t="s">
        <v>2324</v>
      </c>
      <c r="B34" s="13" t="s">
        <v>2345</v>
      </c>
      <c r="C34" s="13" t="s">
        <v>1944</v>
      </c>
      <c r="D34" s="59">
        <v>45992</v>
      </c>
      <c r="E34" s="6">
        <v>0</v>
      </c>
      <c r="F34" s="54">
        <v>181</v>
      </c>
      <c r="H34" s="61"/>
      <c r="I34" s="20"/>
    </row>
    <row r="35" spans="1:9" x14ac:dyDescent="0.4">
      <c r="A35" s="13" t="s">
        <v>2324</v>
      </c>
      <c r="B35" s="13" t="s">
        <v>2345</v>
      </c>
      <c r="C35" s="13" t="s">
        <v>70</v>
      </c>
      <c r="D35" s="59">
        <v>45992</v>
      </c>
      <c r="E35" s="6">
        <v>0</v>
      </c>
      <c r="F35" s="13">
        <v>204</v>
      </c>
      <c r="H35" s="61"/>
      <c r="I35" s="20"/>
    </row>
    <row r="36" spans="1:9" x14ac:dyDescent="0.4">
      <c r="A36" s="13" t="s">
        <v>2324</v>
      </c>
      <c r="B36" s="13" t="s">
        <v>2345</v>
      </c>
      <c r="C36" s="13" t="s">
        <v>50</v>
      </c>
      <c r="D36" s="59">
        <v>45992</v>
      </c>
      <c r="E36" s="6">
        <v>17145</v>
      </c>
      <c r="F36" s="54">
        <v>226</v>
      </c>
      <c r="H36" s="61"/>
      <c r="I36" s="20"/>
    </row>
    <row r="37" spans="1:9" x14ac:dyDescent="0.4">
      <c r="A37" s="13" t="s">
        <v>2324</v>
      </c>
      <c r="B37" s="13" t="s">
        <v>2345</v>
      </c>
      <c r="C37" s="13" t="s">
        <v>5133</v>
      </c>
      <c r="D37" s="59">
        <v>45992</v>
      </c>
      <c r="E37" s="6">
        <v>0</v>
      </c>
      <c r="F37" s="13">
        <v>248</v>
      </c>
      <c r="H37" s="61"/>
      <c r="I37" s="20"/>
    </row>
    <row r="38" spans="1:9" x14ac:dyDescent="0.4">
      <c r="A38" s="13" t="s">
        <v>2324</v>
      </c>
      <c r="B38" s="55" t="s">
        <v>2325</v>
      </c>
      <c r="C38" s="10" t="s">
        <v>25</v>
      </c>
      <c r="D38" s="59">
        <v>46023</v>
      </c>
      <c r="E38" s="6">
        <v>1306800</v>
      </c>
      <c r="F38" s="13">
        <v>4</v>
      </c>
      <c r="H38" s="61"/>
      <c r="I38" s="20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46023</v>
      </c>
      <c r="E39" s="6">
        <v>7067550</v>
      </c>
      <c r="F39" s="13">
        <v>26</v>
      </c>
      <c r="H39" s="61"/>
      <c r="I39" s="20"/>
    </row>
    <row r="40" spans="1:9" x14ac:dyDescent="0.4">
      <c r="A40" s="13" t="s">
        <v>2324</v>
      </c>
      <c r="B40" s="55" t="s">
        <v>2325</v>
      </c>
      <c r="C40" s="13" t="s">
        <v>1944</v>
      </c>
      <c r="D40" s="59">
        <v>46023</v>
      </c>
      <c r="E40" s="6">
        <v>9435</v>
      </c>
      <c r="F40" s="13">
        <v>48</v>
      </c>
      <c r="H40" s="61"/>
      <c r="I40" s="20"/>
    </row>
    <row r="41" spans="1:9" x14ac:dyDescent="0.4">
      <c r="A41" s="13" t="s">
        <v>2324</v>
      </c>
      <c r="B41" s="55" t="s">
        <v>2325</v>
      </c>
      <c r="C41" s="13" t="s">
        <v>70</v>
      </c>
      <c r="D41" s="59">
        <v>46023</v>
      </c>
      <c r="E41" s="6">
        <v>39600</v>
      </c>
      <c r="F41" s="54">
        <v>71</v>
      </c>
      <c r="H41" s="61"/>
      <c r="I41" s="20"/>
    </row>
    <row r="42" spans="1:9" x14ac:dyDescent="0.4">
      <c r="A42" s="13" t="s">
        <v>2324</v>
      </c>
      <c r="B42" s="55" t="s">
        <v>2325</v>
      </c>
      <c r="C42" s="13" t="s">
        <v>50</v>
      </c>
      <c r="D42" s="59">
        <v>46023</v>
      </c>
      <c r="E42" s="6">
        <v>381000</v>
      </c>
      <c r="F42" s="54">
        <v>93</v>
      </c>
      <c r="H42" s="61"/>
      <c r="I42" s="20"/>
    </row>
    <row r="43" spans="1:9" x14ac:dyDescent="0.4">
      <c r="A43" s="13" t="s">
        <v>2324</v>
      </c>
      <c r="B43" s="55" t="s">
        <v>2325</v>
      </c>
      <c r="C43" s="13" t="s">
        <v>5133</v>
      </c>
      <c r="D43" s="59">
        <v>46023</v>
      </c>
      <c r="E43" s="6">
        <v>0</v>
      </c>
      <c r="F43" s="54">
        <v>115</v>
      </c>
      <c r="H43" s="61"/>
      <c r="I43" s="20"/>
    </row>
    <row r="44" spans="1:9" x14ac:dyDescent="0.4">
      <c r="A44" s="13" t="s">
        <v>2324</v>
      </c>
      <c r="B44" s="13" t="s">
        <v>2345</v>
      </c>
      <c r="C44" s="10" t="s">
        <v>25</v>
      </c>
      <c r="D44" s="59">
        <v>46023</v>
      </c>
      <c r="E44" s="6">
        <v>588060</v>
      </c>
      <c r="F44" s="13">
        <v>138</v>
      </c>
      <c r="H44" s="61"/>
      <c r="I44" s="20"/>
    </row>
    <row r="45" spans="1:9" x14ac:dyDescent="0.4">
      <c r="A45" s="13" t="s">
        <v>2324</v>
      </c>
      <c r="B45" s="13" t="s">
        <v>2345</v>
      </c>
      <c r="C45" s="13" t="s">
        <v>44</v>
      </c>
      <c r="D45" s="59">
        <v>46023</v>
      </c>
      <c r="E45" s="6">
        <v>3180398</v>
      </c>
      <c r="F45" s="54">
        <v>160</v>
      </c>
      <c r="H45" s="61"/>
      <c r="I45" s="20"/>
    </row>
    <row r="46" spans="1:9" x14ac:dyDescent="0.4">
      <c r="A46" s="13" t="s">
        <v>2324</v>
      </c>
      <c r="B46" s="13" t="s">
        <v>2345</v>
      </c>
      <c r="C46" s="13" t="s">
        <v>1944</v>
      </c>
      <c r="D46" s="59">
        <v>46023</v>
      </c>
      <c r="E46" s="6">
        <v>4246</v>
      </c>
      <c r="F46" s="13">
        <v>182</v>
      </c>
      <c r="H46" s="61"/>
      <c r="I46" s="20"/>
    </row>
    <row r="47" spans="1:9" x14ac:dyDescent="0.4">
      <c r="A47" s="13" t="s">
        <v>2324</v>
      </c>
      <c r="B47" s="13" t="s">
        <v>2345</v>
      </c>
      <c r="C47" s="13" t="s">
        <v>70</v>
      </c>
      <c r="D47" s="59">
        <v>46023</v>
      </c>
      <c r="E47" s="6">
        <v>17820</v>
      </c>
      <c r="F47" s="54">
        <v>205</v>
      </c>
      <c r="H47" s="61"/>
      <c r="I47" s="20"/>
    </row>
    <row r="48" spans="1:9" x14ac:dyDescent="0.4">
      <c r="A48" s="13" t="s">
        <v>2324</v>
      </c>
      <c r="B48" s="13" t="s">
        <v>2345</v>
      </c>
      <c r="C48" s="13" t="s">
        <v>50</v>
      </c>
      <c r="D48" s="59">
        <v>46023</v>
      </c>
      <c r="E48" s="6">
        <v>171450</v>
      </c>
      <c r="F48" s="13">
        <v>227</v>
      </c>
      <c r="H48" s="61"/>
      <c r="I48" s="20"/>
    </row>
    <row r="49" spans="1:9" x14ac:dyDescent="0.4">
      <c r="A49" s="13" t="s">
        <v>2324</v>
      </c>
      <c r="B49" s="13" t="s">
        <v>2345</v>
      </c>
      <c r="C49" s="13" t="s">
        <v>5133</v>
      </c>
      <c r="D49" s="59">
        <v>46023</v>
      </c>
      <c r="E49" s="6">
        <v>0</v>
      </c>
      <c r="F49" s="13">
        <v>249</v>
      </c>
      <c r="H49" s="61"/>
      <c r="I49" s="20"/>
    </row>
    <row r="50" spans="1:9" x14ac:dyDescent="0.4">
      <c r="A50" s="13" t="s">
        <v>2324</v>
      </c>
      <c r="B50" s="55" t="s">
        <v>2325</v>
      </c>
      <c r="C50" s="10" t="s">
        <v>25</v>
      </c>
      <c r="D50" s="59">
        <v>46054</v>
      </c>
      <c r="E50" s="6">
        <v>1049400</v>
      </c>
      <c r="F50" s="54">
        <v>5</v>
      </c>
      <c r="H50" s="61"/>
      <c r="I50" s="20"/>
    </row>
    <row r="51" spans="1:9" x14ac:dyDescent="0.4">
      <c r="A51" s="13" t="s">
        <v>2324</v>
      </c>
      <c r="B51" s="55" t="s">
        <v>2325</v>
      </c>
      <c r="C51" s="13" t="s">
        <v>44</v>
      </c>
      <c r="D51" s="59">
        <v>46054</v>
      </c>
      <c r="E51" s="6">
        <v>7181850</v>
      </c>
      <c r="F51" s="54">
        <v>27</v>
      </c>
      <c r="H51" s="61"/>
      <c r="I51" s="20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46054</v>
      </c>
      <c r="E52" s="6">
        <v>9435</v>
      </c>
      <c r="F52" s="54">
        <v>49</v>
      </c>
      <c r="H52" s="61"/>
      <c r="I52" s="20"/>
    </row>
    <row r="53" spans="1:9" x14ac:dyDescent="0.4">
      <c r="A53" s="13" t="s">
        <v>2324</v>
      </c>
      <c r="B53" s="55" t="s">
        <v>2325</v>
      </c>
      <c r="C53" s="13" t="s">
        <v>70</v>
      </c>
      <c r="D53" s="59">
        <v>46054</v>
      </c>
      <c r="E53" s="6">
        <v>39600</v>
      </c>
      <c r="F53" s="13">
        <v>72</v>
      </c>
      <c r="H53" s="61"/>
      <c r="I53" s="20"/>
    </row>
    <row r="54" spans="1:9" x14ac:dyDescent="0.4">
      <c r="A54" s="13" t="s">
        <v>2324</v>
      </c>
      <c r="B54" s="55" t="s">
        <v>2325</v>
      </c>
      <c r="C54" s="13" t="s">
        <v>50</v>
      </c>
      <c r="D54" s="59">
        <v>46054</v>
      </c>
      <c r="E54" s="6">
        <v>381000</v>
      </c>
      <c r="F54" s="13">
        <v>94</v>
      </c>
      <c r="H54" s="61"/>
      <c r="I54" s="20"/>
    </row>
    <row r="55" spans="1:9" x14ac:dyDescent="0.4">
      <c r="A55" s="13" t="s">
        <v>2324</v>
      </c>
      <c r="B55" s="55" t="s">
        <v>2325</v>
      </c>
      <c r="C55" s="13" t="s">
        <v>5133</v>
      </c>
      <c r="D55" s="59">
        <v>46054</v>
      </c>
      <c r="E55" s="6">
        <v>0</v>
      </c>
      <c r="F55" s="13">
        <v>116</v>
      </c>
      <c r="H55" s="61"/>
      <c r="I55" s="20"/>
    </row>
    <row r="56" spans="1:9" x14ac:dyDescent="0.4">
      <c r="A56" s="13" t="s">
        <v>2324</v>
      </c>
      <c r="B56" s="13" t="s">
        <v>2345</v>
      </c>
      <c r="C56" s="10" t="s">
        <v>25</v>
      </c>
      <c r="D56" s="59">
        <v>46054</v>
      </c>
      <c r="E56" s="6">
        <v>472230</v>
      </c>
      <c r="F56" s="54">
        <v>139</v>
      </c>
      <c r="H56" s="61"/>
      <c r="I56" s="20"/>
    </row>
    <row r="57" spans="1:9" x14ac:dyDescent="0.4">
      <c r="A57" s="13" t="s">
        <v>2324</v>
      </c>
      <c r="B57" s="13" t="s">
        <v>2345</v>
      </c>
      <c r="C57" s="13" t="s">
        <v>44</v>
      </c>
      <c r="D57" s="59">
        <v>46054</v>
      </c>
      <c r="E57" s="6">
        <v>3231833</v>
      </c>
      <c r="F57" s="13">
        <v>161</v>
      </c>
      <c r="H57" s="61"/>
      <c r="I57" s="20"/>
    </row>
    <row r="58" spans="1:9" x14ac:dyDescent="0.4">
      <c r="A58" s="13" t="s">
        <v>2324</v>
      </c>
      <c r="B58" s="13" t="s">
        <v>2345</v>
      </c>
      <c r="C58" s="13" t="s">
        <v>1944</v>
      </c>
      <c r="D58" s="59">
        <v>46054</v>
      </c>
      <c r="E58" s="6">
        <v>4246</v>
      </c>
      <c r="F58" s="13">
        <v>183</v>
      </c>
      <c r="H58" s="61"/>
      <c r="I58" s="20"/>
    </row>
    <row r="59" spans="1:9" x14ac:dyDescent="0.4">
      <c r="A59" s="13" t="s">
        <v>2324</v>
      </c>
      <c r="B59" s="13" t="s">
        <v>2345</v>
      </c>
      <c r="C59" s="13" t="s">
        <v>70</v>
      </c>
      <c r="D59" s="59">
        <v>46054</v>
      </c>
      <c r="E59" s="6">
        <v>17820</v>
      </c>
      <c r="F59" s="13">
        <v>206</v>
      </c>
      <c r="H59" s="61"/>
      <c r="I59" s="20"/>
    </row>
    <row r="60" spans="1:9" x14ac:dyDescent="0.4">
      <c r="A60" s="13" t="s">
        <v>2324</v>
      </c>
      <c r="B60" s="13" t="s">
        <v>2345</v>
      </c>
      <c r="C60" s="13" t="s">
        <v>50</v>
      </c>
      <c r="D60" s="59">
        <v>46054</v>
      </c>
      <c r="E60" s="6">
        <v>171450</v>
      </c>
      <c r="F60" s="13">
        <v>228</v>
      </c>
      <c r="H60" s="61"/>
      <c r="I60" s="20"/>
    </row>
    <row r="61" spans="1:9" x14ac:dyDescent="0.4">
      <c r="A61" s="13" t="s">
        <v>2324</v>
      </c>
      <c r="B61" s="13" t="s">
        <v>2345</v>
      </c>
      <c r="C61" s="13" t="s">
        <v>5133</v>
      </c>
      <c r="D61" s="59">
        <v>46054</v>
      </c>
      <c r="E61" s="6">
        <v>0</v>
      </c>
      <c r="F61" s="54">
        <v>250</v>
      </c>
      <c r="H61" s="61"/>
      <c r="I61" s="20"/>
    </row>
    <row r="62" spans="1:9" x14ac:dyDescent="0.4">
      <c r="A62" s="13" t="s">
        <v>2324</v>
      </c>
      <c r="B62" s="55" t="s">
        <v>2325</v>
      </c>
      <c r="C62" s="10" t="s">
        <v>25</v>
      </c>
      <c r="D62" s="59">
        <v>46082</v>
      </c>
      <c r="E62" s="6">
        <v>1009800</v>
      </c>
      <c r="F62" s="13">
        <v>6</v>
      </c>
      <c r="H62" s="61"/>
      <c r="I62" s="20"/>
    </row>
    <row r="63" spans="1:9" x14ac:dyDescent="0.4">
      <c r="A63" s="13" t="s">
        <v>2324</v>
      </c>
      <c r="B63" s="55" t="s">
        <v>2325</v>
      </c>
      <c r="C63" s="13" t="s">
        <v>44</v>
      </c>
      <c r="D63" s="59">
        <v>46082</v>
      </c>
      <c r="E63" s="6">
        <v>7315200</v>
      </c>
      <c r="F63" s="13">
        <v>28</v>
      </c>
      <c r="H63" s="61"/>
      <c r="I63" s="20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46082</v>
      </c>
      <c r="E64" s="6">
        <v>103785</v>
      </c>
      <c r="F64" s="13">
        <v>50</v>
      </c>
      <c r="H64" s="61"/>
      <c r="I64" s="20"/>
    </row>
    <row r="65" spans="1:9" x14ac:dyDescent="0.4">
      <c r="A65" s="13" t="s">
        <v>2324</v>
      </c>
      <c r="B65" s="55" t="s">
        <v>2325</v>
      </c>
      <c r="C65" s="13" t="s">
        <v>70</v>
      </c>
      <c r="D65" s="59">
        <v>46082</v>
      </c>
      <c r="E65" s="6">
        <v>39600</v>
      </c>
      <c r="F65" s="54">
        <v>73</v>
      </c>
      <c r="H65" s="61"/>
      <c r="I65" s="20"/>
    </row>
    <row r="66" spans="1:9" x14ac:dyDescent="0.4">
      <c r="A66" s="13" t="s">
        <v>2324</v>
      </c>
      <c r="B66" s="55" t="s">
        <v>2325</v>
      </c>
      <c r="C66" s="13" t="s">
        <v>50</v>
      </c>
      <c r="D66" s="59">
        <v>46082</v>
      </c>
      <c r="E66" s="6">
        <v>381000</v>
      </c>
      <c r="F66" s="54">
        <v>95</v>
      </c>
      <c r="H66" s="61"/>
      <c r="I66" s="20"/>
    </row>
    <row r="67" spans="1:9" x14ac:dyDescent="0.4">
      <c r="A67" s="13" t="s">
        <v>2324</v>
      </c>
      <c r="B67" s="55" t="s">
        <v>2325</v>
      </c>
      <c r="C67" s="13" t="s">
        <v>5133</v>
      </c>
      <c r="D67" s="59">
        <v>46082</v>
      </c>
      <c r="E67" s="6">
        <v>0</v>
      </c>
      <c r="F67" s="54">
        <v>117</v>
      </c>
      <c r="H67" s="61"/>
      <c r="I67" s="20"/>
    </row>
    <row r="68" spans="1:9" x14ac:dyDescent="0.4">
      <c r="A68" s="13" t="s">
        <v>2324</v>
      </c>
      <c r="B68" s="13" t="s">
        <v>2345</v>
      </c>
      <c r="C68" s="10" t="s">
        <v>25</v>
      </c>
      <c r="D68" s="59">
        <v>46082</v>
      </c>
      <c r="E68" s="6">
        <v>454410</v>
      </c>
      <c r="F68" s="13">
        <v>140</v>
      </c>
      <c r="H68" s="61"/>
      <c r="I68" s="20"/>
    </row>
    <row r="69" spans="1:9" x14ac:dyDescent="0.4">
      <c r="A69" s="13" t="s">
        <v>2324</v>
      </c>
      <c r="B69" s="13" t="s">
        <v>2345</v>
      </c>
      <c r="C69" s="13" t="s">
        <v>44</v>
      </c>
      <c r="D69" s="59">
        <v>46082</v>
      </c>
      <c r="E69" s="6">
        <v>3291840</v>
      </c>
      <c r="F69" s="13">
        <v>162</v>
      </c>
      <c r="H69" s="61"/>
      <c r="I69" s="20"/>
    </row>
    <row r="70" spans="1:9" x14ac:dyDescent="0.4">
      <c r="A70" s="13" t="s">
        <v>2324</v>
      </c>
      <c r="B70" s="13" t="s">
        <v>2345</v>
      </c>
      <c r="C70" s="13" t="s">
        <v>1944</v>
      </c>
      <c r="D70" s="59">
        <v>46082</v>
      </c>
      <c r="E70" s="6">
        <v>46703</v>
      </c>
      <c r="F70" s="54">
        <v>184</v>
      </c>
      <c r="H70" s="61"/>
      <c r="I70" s="20"/>
    </row>
    <row r="71" spans="1:9" x14ac:dyDescent="0.4">
      <c r="A71" s="13" t="s">
        <v>2324</v>
      </c>
      <c r="B71" s="13" t="s">
        <v>2345</v>
      </c>
      <c r="C71" s="13" t="s">
        <v>70</v>
      </c>
      <c r="D71" s="59">
        <v>46082</v>
      </c>
      <c r="E71" s="6">
        <v>17820</v>
      </c>
      <c r="F71" s="13">
        <v>207</v>
      </c>
      <c r="H71" s="61"/>
      <c r="I71" s="20"/>
    </row>
    <row r="72" spans="1:9" x14ac:dyDescent="0.4">
      <c r="A72" s="13" t="s">
        <v>2324</v>
      </c>
      <c r="B72" s="13" t="s">
        <v>2345</v>
      </c>
      <c r="C72" s="13" t="s">
        <v>50</v>
      </c>
      <c r="D72" s="59">
        <v>46082</v>
      </c>
      <c r="E72" s="6">
        <v>171450</v>
      </c>
      <c r="F72" s="54">
        <v>229</v>
      </c>
      <c r="H72" s="61"/>
      <c r="I72" s="20"/>
    </row>
    <row r="73" spans="1:9" x14ac:dyDescent="0.4">
      <c r="A73" s="13" t="s">
        <v>2324</v>
      </c>
      <c r="B73" s="13" t="s">
        <v>2345</v>
      </c>
      <c r="C73" s="13" t="s">
        <v>5133</v>
      </c>
      <c r="D73" s="59">
        <v>46082</v>
      </c>
      <c r="E73" s="6">
        <v>0</v>
      </c>
      <c r="F73" s="13">
        <v>251</v>
      </c>
      <c r="H73" s="61"/>
      <c r="I73" s="20"/>
    </row>
    <row r="74" spans="1:9" x14ac:dyDescent="0.4">
      <c r="A74" s="13" t="s">
        <v>2324</v>
      </c>
      <c r="B74" s="55" t="s">
        <v>2325</v>
      </c>
      <c r="C74" s="10" t="s">
        <v>25</v>
      </c>
      <c r="D74" s="59">
        <v>46113</v>
      </c>
      <c r="E74" s="6">
        <v>39600</v>
      </c>
      <c r="F74" s="54">
        <v>7</v>
      </c>
      <c r="H74" s="61"/>
      <c r="I74" s="20"/>
    </row>
    <row r="75" spans="1:9" x14ac:dyDescent="0.4">
      <c r="A75" s="13" t="s">
        <v>2324</v>
      </c>
      <c r="B75" s="55" t="s">
        <v>2325</v>
      </c>
      <c r="C75" s="13" t="s">
        <v>44</v>
      </c>
      <c r="D75" s="59">
        <v>46113</v>
      </c>
      <c r="E75" s="6">
        <v>7524750</v>
      </c>
      <c r="F75" s="54">
        <v>29</v>
      </c>
      <c r="H75" s="61"/>
      <c r="I75" s="20"/>
    </row>
    <row r="76" spans="1:9" x14ac:dyDescent="0.4">
      <c r="A76" s="13" t="s">
        <v>2324</v>
      </c>
      <c r="B76" s="55" t="s">
        <v>2325</v>
      </c>
      <c r="C76" s="13" t="s">
        <v>1944</v>
      </c>
      <c r="D76" s="59">
        <v>46113</v>
      </c>
      <c r="E76" s="6">
        <v>103785</v>
      </c>
      <c r="F76" s="54">
        <v>51</v>
      </c>
      <c r="H76" s="61"/>
      <c r="I76" s="20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46113</v>
      </c>
      <c r="E77" s="6">
        <v>0</v>
      </c>
      <c r="F77" s="13">
        <v>74</v>
      </c>
      <c r="H77" s="61"/>
      <c r="I77" s="20"/>
    </row>
    <row r="78" spans="1:9" x14ac:dyDescent="0.4">
      <c r="A78" s="13" t="s">
        <v>2324</v>
      </c>
      <c r="B78" s="55" t="s">
        <v>2325</v>
      </c>
      <c r="C78" s="13" t="s">
        <v>50</v>
      </c>
      <c r="D78" s="59">
        <v>46113</v>
      </c>
      <c r="E78" s="6">
        <v>400050</v>
      </c>
      <c r="F78" s="13">
        <v>96</v>
      </c>
      <c r="H78" s="61"/>
      <c r="I78" s="20"/>
    </row>
    <row r="79" spans="1:9" x14ac:dyDescent="0.4">
      <c r="A79" s="13" t="s">
        <v>2324</v>
      </c>
      <c r="B79" s="55" t="s">
        <v>2325</v>
      </c>
      <c r="C79" s="13" t="s">
        <v>5133</v>
      </c>
      <c r="D79" s="59">
        <v>46113</v>
      </c>
      <c r="E79" s="6">
        <v>0</v>
      </c>
      <c r="F79" s="13">
        <v>118</v>
      </c>
      <c r="H79" s="61"/>
      <c r="I79" s="20"/>
    </row>
    <row r="80" spans="1:9" x14ac:dyDescent="0.4">
      <c r="A80" s="13" t="s">
        <v>2324</v>
      </c>
      <c r="B80" s="13" t="s">
        <v>2345</v>
      </c>
      <c r="C80" s="10" t="s">
        <v>25</v>
      </c>
      <c r="D80" s="59">
        <v>46113</v>
      </c>
      <c r="E80" s="6">
        <v>17820</v>
      </c>
      <c r="F80" s="13">
        <v>141</v>
      </c>
      <c r="H80" s="61"/>
      <c r="I80" s="20"/>
    </row>
    <row r="81" spans="1:9" x14ac:dyDescent="0.4">
      <c r="A81" s="13" t="s">
        <v>2324</v>
      </c>
      <c r="B81" s="13" t="s">
        <v>2345</v>
      </c>
      <c r="C81" s="13" t="s">
        <v>44</v>
      </c>
      <c r="D81" s="59">
        <v>46113</v>
      </c>
      <c r="E81" s="6">
        <v>3386138</v>
      </c>
      <c r="F81" s="54">
        <v>163</v>
      </c>
      <c r="H81" s="61"/>
      <c r="I81" s="20"/>
    </row>
    <row r="82" spans="1:9" x14ac:dyDescent="0.4">
      <c r="A82" s="13" t="s">
        <v>2324</v>
      </c>
      <c r="B82" s="13" t="s">
        <v>2345</v>
      </c>
      <c r="C82" s="13" t="s">
        <v>1944</v>
      </c>
      <c r="D82" s="59">
        <v>46113</v>
      </c>
      <c r="E82" s="6">
        <v>46703</v>
      </c>
      <c r="F82" s="13">
        <v>185</v>
      </c>
      <c r="H82" s="61"/>
      <c r="I82" s="20"/>
    </row>
    <row r="83" spans="1:9" x14ac:dyDescent="0.4">
      <c r="A83" s="13" t="s">
        <v>2324</v>
      </c>
      <c r="B83" s="13" t="s">
        <v>2345</v>
      </c>
      <c r="C83" s="13" t="s">
        <v>70</v>
      </c>
      <c r="D83" s="59">
        <v>46113</v>
      </c>
      <c r="E83" s="6">
        <v>0</v>
      </c>
      <c r="F83" s="54">
        <v>208</v>
      </c>
      <c r="H83" s="61"/>
      <c r="I83" s="20"/>
    </row>
    <row r="84" spans="1:9" x14ac:dyDescent="0.4">
      <c r="A84" s="13" t="s">
        <v>2324</v>
      </c>
      <c r="B84" s="13" t="s">
        <v>2345</v>
      </c>
      <c r="C84" s="13" t="s">
        <v>50</v>
      </c>
      <c r="D84" s="59">
        <v>46113</v>
      </c>
      <c r="E84" s="6">
        <v>180023</v>
      </c>
      <c r="F84" s="13">
        <v>230</v>
      </c>
      <c r="H84" s="61"/>
      <c r="I84" s="20"/>
    </row>
    <row r="85" spans="1:9" x14ac:dyDescent="0.4">
      <c r="A85" s="13" t="s">
        <v>2324</v>
      </c>
      <c r="B85" s="13" t="s">
        <v>2345</v>
      </c>
      <c r="C85" s="13" t="s">
        <v>5133</v>
      </c>
      <c r="D85" s="59">
        <v>46113</v>
      </c>
      <c r="E85" s="6">
        <v>0</v>
      </c>
      <c r="F85" s="13">
        <v>252</v>
      </c>
      <c r="H85" s="61"/>
      <c r="I85" s="20"/>
    </row>
    <row r="86" spans="1:9" x14ac:dyDescent="0.4">
      <c r="A86" s="13" t="s">
        <v>2324</v>
      </c>
      <c r="B86" s="55" t="s">
        <v>2325</v>
      </c>
      <c r="C86" s="10" t="s">
        <v>25</v>
      </c>
      <c r="D86" s="59">
        <v>46143</v>
      </c>
      <c r="E86" s="6">
        <v>0</v>
      </c>
      <c r="F86" s="13">
        <v>8</v>
      </c>
      <c r="H86" s="61"/>
      <c r="I86" s="20"/>
    </row>
    <row r="87" spans="1:9" x14ac:dyDescent="0.4">
      <c r="A87" s="13" t="s">
        <v>2324</v>
      </c>
      <c r="B87" s="55" t="s">
        <v>2325</v>
      </c>
      <c r="C87" s="13" t="s">
        <v>44</v>
      </c>
      <c r="D87" s="59">
        <v>46143</v>
      </c>
      <c r="E87" s="6">
        <v>5619750</v>
      </c>
      <c r="F87" s="13">
        <v>30</v>
      </c>
      <c r="H87" s="61"/>
      <c r="I87" s="20"/>
    </row>
    <row r="88" spans="1:9" x14ac:dyDescent="0.4">
      <c r="A88" s="13" t="s">
        <v>2324</v>
      </c>
      <c r="B88" s="55" t="s">
        <v>2325</v>
      </c>
      <c r="C88" s="13" t="s">
        <v>1944</v>
      </c>
      <c r="D88" s="59">
        <v>46143</v>
      </c>
      <c r="E88" s="6">
        <v>160395</v>
      </c>
      <c r="F88" s="13">
        <v>52</v>
      </c>
      <c r="H88" s="61"/>
      <c r="I88" s="20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46143</v>
      </c>
      <c r="E89" s="6">
        <v>0</v>
      </c>
      <c r="F89" s="54">
        <v>75</v>
      </c>
      <c r="H89" s="61"/>
      <c r="I89" s="20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46143</v>
      </c>
      <c r="E90" s="6">
        <v>419100</v>
      </c>
      <c r="F90" s="54">
        <v>97</v>
      </c>
      <c r="H90" s="61"/>
      <c r="I90" s="20"/>
    </row>
    <row r="91" spans="1:9" x14ac:dyDescent="0.4">
      <c r="A91" s="13" t="s">
        <v>2324</v>
      </c>
      <c r="B91" s="55" t="s">
        <v>2325</v>
      </c>
      <c r="C91" s="13" t="s">
        <v>5133</v>
      </c>
      <c r="D91" s="59">
        <v>46143</v>
      </c>
      <c r="E91" s="6">
        <v>0</v>
      </c>
      <c r="F91" s="54">
        <v>119</v>
      </c>
      <c r="H91" s="61"/>
      <c r="I91" s="20"/>
    </row>
    <row r="92" spans="1:9" x14ac:dyDescent="0.4">
      <c r="A92" s="13" t="s">
        <v>2324</v>
      </c>
      <c r="B92" s="13" t="s">
        <v>2345</v>
      </c>
      <c r="C92" s="10" t="s">
        <v>25</v>
      </c>
      <c r="D92" s="59">
        <v>46143</v>
      </c>
      <c r="E92" s="6">
        <v>0</v>
      </c>
      <c r="F92" s="54">
        <v>142</v>
      </c>
      <c r="H92" s="61"/>
      <c r="I92" s="20"/>
    </row>
    <row r="93" spans="1:9" x14ac:dyDescent="0.4">
      <c r="A93" s="13" t="s">
        <v>2324</v>
      </c>
      <c r="B93" s="13" t="s">
        <v>2345</v>
      </c>
      <c r="C93" s="13" t="s">
        <v>44</v>
      </c>
      <c r="D93" s="59">
        <v>46143</v>
      </c>
      <c r="E93" s="6">
        <v>2528888</v>
      </c>
      <c r="F93" s="13">
        <v>164</v>
      </c>
      <c r="H93" s="61"/>
      <c r="I93" s="20"/>
    </row>
    <row r="94" spans="1:9" x14ac:dyDescent="0.4">
      <c r="A94" s="13" t="s">
        <v>2324</v>
      </c>
      <c r="B94" s="13" t="s">
        <v>2345</v>
      </c>
      <c r="C94" s="13" t="s">
        <v>1944</v>
      </c>
      <c r="D94" s="59">
        <v>46143</v>
      </c>
      <c r="E94" s="6">
        <v>72178</v>
      </c>
      <c r="F94" s="13">
        <v>186</v>
      </c>
      <c r="H94" s="61"/>
      <c r="I94" s="20"/>
    </row>
    <row r="95" spans="1:9" x14ac:dyDescent="0.4">
      <c r="A95" s="13" t="s">
        <v>2324</v>
      </c>
      <c r="B95" s="13" t="s">
        <v>2345</v>
      </c>
      <c r="C95" s="13" t="s">
        <v>70</v>
      </c>
      <c r="D95" s="59">
        <v>46143</v>
      </c>
      <c r="E95" s="6">
        <v>0</v>
      </c>
      <c r="F95" s="13">
        <v>209</v>
      </c>
      <c r="H95" s="61"/>
      <c r="I95" s="20"/>
    </row>
    <row r="96" spans="1:9" x14ac:dyDescent="0.4">
      <c r="A96" s="13" t="s">
        <v>2324</v>
      </c>
      <c r="B96" s="13" t="s">
        <v>2345</v>
      </c>
      <c r="C96" s="13" t="s">
        <v>50</v>
      </c>
      <c r="D96" s="59">
        <v>46143</v>
      </c>
      <c r="E96" s="6">
        <v>188595</v>
      </c>
      <c r="F96" s="13">
        <v>231</v>
      </c>
      <c r="H96" s="61"/>
      <c r="I96" s="20"/>
    </row>
    <row r="97" spans="1:9" x14ac:dyDescent="0.4">
      <c r="A97" s="13" t="s">
        <v>2324</v>
      </c>
      <c r="B97" s="13" t="s">
        <v>2345</v>
      </c>
      <c r="C97" s="13" t="s">
        <v>5133</v>
      </c>
      <c r="D97" s="59">
        <v>46143</v>
      </c>
      <c r="E97" s="6">
        <v>0</v>
      </c>
      <c r="F97" s="54">
        <v>253</v>
      </c>
      <c r="H97" s="61"/>
      <c r="I97" s="20"/>
    </row>
    <row r="98" spans="1:9" x14ac:dyDescent="0.4">
      <c r="A98" s="13" t="s">
        <v>2324</v>
      </c>
      <c r="B98" s="55" t="s">
        <v>2325</v>
      </c>
      <c r="C98" s="10" t="s">
        <v>25</v>
      </c>
      <c r="D98" s="59">
        <v>46174</v>
      </c>
      <c r="E98" s="6">
        <v>0</v>
      </c>
      <c r="F98" s="54">
        <v>9</v>
      </c>
      <c r="H98" s="61"/>
      <c r="I98" s="20"/>
    </row>
    <row r="99" spans="1:9" x14ac:dyDescent="0.4">
      <c r="A99" s="13" t="s">
        <v>2324</v>
      </c>
      <c r="B99" s="55" t="s">
        <v>2325</v>
      </c>
      <c r="C99" s="13" t="s">
        <v>44</v>
      </c>
      <c r="D99" s="59">
        <v>46174</v>
      </c>
      <c r="E99" s="6">
        <v>5486400</v>
      </c>
      <c r="F99" s="54">
        <v>31</v>
      </c>
      <c r="H99" s="61"/>
      <c r="I99" s="20"/>
    </row>
    <row r="100" spans="1:9" x14ac:dyDescent="0.4">
      <c r="A100" s="13" t="s">
        <v>2324</v>
      </c>
      <c r="B100" s="55" t="s">
        <v>2325</v>
      </c>
      <c r="C100" s="13" t="s">
        <v>1944</v>
      </c>
      <c r="D100" s="59">
        <v>46174</v>
      </c>
      <c r="E100" s="6">
        <v>217005</v>
      </c>
      <c r="F100" s="54">
        <v>53</v>
      </c>
      <c r="H100" s="61"/>
      <c r="I100" s="20"/>
    </row>
    <row r="101" spans="1:9" x14ac:dyDescent="0.4">
      <c r="A101" s="13" t="s">
        <v>2324</v>
      </c>
      <c r="B101" s="55" t="s">
        <v>2325</v>
      </c>
      <c r="C101" s="13" t="s">
        <v>70</v>
      </c>
      <c r="D101" s="59">
        <v>46174</v>
      </c>
      <c r="E101" s="6">
        <v>0</v>
      </c>
      <c r="F101" s="13">
        <v>76</v>
      </c>
      <c r="H101" s="61"/>
      <c r="I101" s="20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46174</v>
      </c>
      <c r="E102" s="6">
        <v>419100</v>
      </c>
      <c r="F102" s="13">
        <v>98</v>
      </c>
      <c r="H102" s="61"/>
      <c r="I102" s="20"/>
    </row>
    <row r="103" spans="1:9" x14ac:dyDescent="0.4">
      <c r="A103" s="13" t="s">
        <v>2324</v>
      </c>
      <c r="B103" s="55" t="s">
        <v>2325</v>
      </c>
      <c r="C103" s="13" t="s">
        <v>5133</v>
      </c>
      <c r="D103" s="59">
        <v>46174</v>
      </c>
      <c r="E103" s="6">
        <v>0</v>
      </c>
      <c r="F103" s="13">
        <v>120</v>
      </c>
      <c r="H103" s="61"/>
      <c r="I103" s="20"/>
    </row>
    <row r="104" spans="1:9" x14ac:dyDescent="0.4">
      <c r="A104" s="13" t="s">
        <v>2324</v>
      </c>
      <c r="B104" s="13" t="s">
        <v>2345</v>
      </c>
      <c r="C104" s="10" t="s">
        <v>25</v>
      </c>
      <c r="D104" s="59">
        <v>46174</v>
      </c>
      <c r="E104" s="6">
        <v>0</v>
      </c>
      <c r="F104" s="13">
        <v>143</v>
      </c>
      <c r="H104" s="61"/>
      <c r="I104" s="20"/>
    </row>
    <row r="105" spans="1:9" x14ac:dyDescent="0.4">
      <c r="A105" s="13" t="s">
        <v>2324</v>
      </c>
      <c r="B105" s="13" t="s">
        <v>2345</v>
      </c>
      <c r="C105" s="13" t="s">
        <v>44</v>
      </c>
      <c r="D105" s="59">
        <v>46174</v>
      </c>
      <c r="E105" s="6">
        <v>2468880</v>
      </c>
      <c r="F105" s="13">
        <v>165</v>
      </c>
      <c r="H105" s="61"/>
      <c r="I105" s="20"/>
    </row>
    <row r="106" spans="1:9" x14ac:dyDescent="0.4">
      <c r="A106" s="13" t="s">
        <v>2324</v>
      </c>
      <c r="B106" s="13" t="s">
        <v>2345</v>
      </c>
      <c r="C106" s="13" t="s">
        <v>1944</v>
      </c>
      <c r="D106" s="59">
        <v>46174</v>
      </c>
      <c r="E106" s="6">
        <v>97652</v>
      </c>
      <c r="F106" s="54">
        <v>187</v>
      </c>
      <c r="H106" s="61"/>
      <c r="I106" s="20"/>
    </row>
    <row r="107" spans="1:9" x14ac:dyDescent="0.4">
      <c r="A107" s="13" t="s">
        <v>2324</v>
      </c>
      <c r="B107" s="13" t="s">
        <v>2345</v>
      </c>
      <c r="C107" s="13" t="s">
        <v>70</v>
      </c>
      <c r="D107" s="59">
        <v>46174</v>
      </c>
      <c r="E107" s="6">
        <v>0</v>
      </c>
      <c r="F107" s="13">
        <v>210</v>
      </c>
      <c r="H107" s="61"/>
      <c r="I107" s="20"/>
    </row>
    <row r="108" spans="1:9" x14ac:dyDescent="0.4">
      <c r="A108" s="13" t="s">
        <v>2324</v>
      </c>
      <c r="B108" s="13" t="s">
        <v>2345</v>
      </c>
      <c r="C108" s="13" t="s">
        <v>50</v>
      </c>
      <c r="D108" s="59">
        <v>46174</v>
      </c>
      <c r="E108" s="6">
        <v>188595</v>
      </c>
      <c r="F108" s="54">
        <v>232</v>
      </c>
      <c r="H108" s="61"/>
      <c r="I108" s="20"/>
    </row>
    <row r="109" spans="1:9" x14ac:dyDescent="0.4">
      <c r="A109" s="13" t="s">
        <v>2324</v>
      </c>
      <c r="B109" s="13" t="s">
        <v>2345</v>
      </c>
      <c r="C109" s="13" t="s">
        <v>5133</v>
      </c>
      <c r="D109" s="59">
        <v>46174</v>
      </c>
      <c r="E109" s="6">
        <v>0</v>
      </c>
      <c r="F109" s="13">
        <v>254</v>
      </c>
      <c r="H109" s="61"/>
      <c r="I109" s="20"/>
    </row>
    <row r="110" spans="1:9" x14ac:dyDescent="0.4">
      <c r="A110" s="13" t="s">
        <v>2324</v>
      </c>
      <c r="B110" s="55" t="s">
        <v>2325</v>
      </c>
      <c r="C110" s="10" t="s">
        <v>25</v>
      </c>
      <c r="D110" s="59">
        <v>46204</v>
      </c>
      <c r="E110" s="6">
        <v>0</v>
      </c>
      <c r="F110" s="13">
        <v>10</v>
      </c>
      <c r="H110" s="61"/>
      <c r="I110" s="20"/>
    </row>
    <row r="111" spans="1:9" x14ac:dyDescent="0.4">
      <c r="A111" s="13" t="s">
        <v>2324</v>
      </c>
      <c r="B111" s="55" t="s">
        <v>2325</v>
      </c>
      <c r="C111" s="13" t="s">
        <v>44</v>
      </c>
      <c r="D111" s="59">
        <v>46204</v>
      </c>
      <c r="E111" s="6">
        <v>457200</v>
      </c>
      <c r="F111" s="13">
        <v>32</v>
      </c>
      <c r="H111" s="61"/>
      <c r="I111" s="20"/>
    </row>
    <row r="112" spans="1:9" x14ac:dyDescent="0.4">
      <c r="A112" s="13" t="s">
        <v>2324</v>
      </c>
      <c r="B112" s="55" t="s">
        <v>2325</v>
      </c>
      <c r="C112" s="13" t="s">
        <v>1944</v>
      </c>
      <c r="D112" s="59">
        <v>46204</v>
      </c>
      <c r="E112" s="6">
        <v>235875</v>
      </c>
      <c r="F112" s="13">
        <v>54</v>
      </c>
      <c r="H112" s="61"/>
      <c r="I112" s="20"/>
    </row>
    <row r="113" spans="1:9" x14ac:dyDescent="0.4">
      <c r="A113" s="13" t="s">
        <v>2324</v>
      </c>
      <c r="B113" s="55" t="s">
        <v>2325</v>
      </c>
      <c r="C113" s="13" t="s">
        <v>70</v>
      </c>
      <c r="D113" s="59">
        <v>46204</v>
      </c>
      <c r="E113" s="6">
        <v>0</v>
      </c>
      <c r="F113" s="54">
        <v>77</v>
      </c>
      <c r="H113" s="61"/>
      <c r="I113" s="20"/>
    </row>
    <row r="114" spans="1:9" x14ac:dyDescent="0.4">
      <c r="A114" s="13" t="s">
        <v>2324</v>
      </c>
      <c r="B114" s="55" t="s">
        <v>2325</v>
      </c>
      <c r="C114" s="13" t="s">
        <v>50</v>
      </c>
      <c r="D114" s="59">
        <v>46204</v>
      </c>
      <c r="E114" s="6">
        <v>76200</v>
      </c>
      <c r="F114" s="54">
        <v>99</v>
      </c>
      <c r="H114" s="61"/>
      <c r="I114" s="20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46204</v>
      </c>
      <c r="E115" s="6">
        <v>0</v>
      </c>
      <c r="F115" s="54">
        <v>121</v>
      </c>
      <c r="H115" s="61"/>
      <c r="I115" s="20"/>
    </row>
    <row r="116" spans="1:9" x14ac:dyDescent="0.4">
      <c r="A116" s="13" t="s">
        <v>2324</v>
      </c>
      <c r="B116" s="13" t="s">
        <v>2345</v>
      </c>
      <c r="C116" s="10" t="s">
        <v>25</v>
      </c>
      <c r="D116" s="59">
        <v>46204</v>
      </c>
      <c r="E116" s="6">
        <v>0</v>
      </c>
      <c r="F116" s="13">
        <v>144</v>
      </c>
      <c r="H116" s="61"/>
      <c r="I116" s="20"/>
    </row>
    <row r="117" spans="1:9" x14ac:dyDescent="0.4">
      <c r="A117" s="13" t="s">
        <v>2324</v>
      </c>
      <c r="B117" s="13" t="s">
        <v>2345</v>
      </c>
      <c r="C117" s="13" t="s">
        <v>44</v>
      </c>
      <c r="D117" s="59">
        <v>46204</v>
      </c>
      <c r="E117" s="6">
        <v>205740</v>
      </c>
      <c r="F117" s="54">
        <v>166</v>
      </c>
      <c r="H117" s="61"/>
      <c r="I117" s="20"/>
    </row>
    <row r="118" spans="1:9" x14ac:dyDescent="0.4">
      <c r="A118" s="13" t="s">
        <v>2324</v>
      </c>
      <c r="B118" s="13" t="s">
        <v>2345</v>
      </c>
      <c r="C118" s="13" t="s">
        <v>1944</v>
      </c>
      <c r="D118" s="59">
        <v>46204</v>
      </c>
      <c r="E118" s="6">
        <v>106144</v>
      </c>
      <c r="F118" s="13">
        <v>188</v>
      </c>
      <c r="H118" s="61"/>
      <c r="I118" s="20"/>
    </row>
    <row r="119" spans="1:9" x14ac:dyDescent="0.4">
      <c r="A119" s="13" t="s">
        <v>2324</v>
      </c>
      <c r="B119" s="13" t="s">
        <v>2345</v>
      </c>
      <c r="C119" s="13" t="s">
        <v>70</v>
      </c>
      <c r="D119" s="59">
        <v>46204</v>
      </c>
      <c r="E119" s="6">
        <v>0</v>
      </c>
      <c r="F119" s="54">
        <v>211</v>
      </c>
      <c r="H119" s="61"/>
      <c r="I119" s="20"/>
    </row>
    <row r="120" spans="1:9" x14ac:dyDescent="0.4">
      <c r="A120" s="13" t="s">
        <v>2324</v>
      </c>
      <c r="B120" s="13" t="s">
        <v>2345</v>
      </c>
      <c r="C120" s="13" t="s">
        <v>50</v>
      </c>
      <c r="D120" s="59">
        <v>46204</v>
      </c>
      <c r="E120" s="6">
        <v>34290</v>
      </c>
      <c r="F120" s="13">
        <v>233</v>
      </c>
      <c r="H120" s="61"/>
      <c r="I120" s="20"/>
    </row>
    <row r="121" spans="1:9" x14ac:dyDescent="0.4">
      <c r="A121" s="13" t="s">
        <v>2324</v>
      </c>
      <c r="B121" s="13" t="s">
        <v>2345</v>
      </c>
      <c r="C121" s="13" t="s">
        <v>5133</v>
      </c>
      <c r="D121" s="59">
        <v>46204</v>
      </c>
      <c r="E121" s="6">
        <v>0</v>
      </c>
      <c r="F121" s="13">
        <v>255</v>
      </c>
      <c r="H121" s="61"/>
      <c r="I121" s="20"/>
    </row>
    <row r="122" spans="1:9" x14ac:dyDescent="0.4">
      <c r="A122" s="13" t="s">
        <v>2324</v>
      </c>
      <c r="B122" s="55" t="s">
        <v>2325</v>
      </c>
      <c r="C122" s="10" t="s">
        <v>25</v>
      </c>
      <c r="D122" s="59">
        <v>46235</v>
      </c>
      <c r="E122" s="6">
        <v>0</v>
      </c>
      <c r="F122" s="54">
        <v>11</v>
      </c>
      <c r="H122" s="61"/>
      <c r="I122" s="20"/>
    </row>
    <row r="123" spans="1:9" x14ac:dyDescent="0.4">
      <c r="A123" s="13" t="s">
        <v>2324</v>
      </c>
      <c r="B123" s="55" t="s">
        <v>2325</v>
      </c>
      <c r="C123" s="13" t="s">
        <v>44</v>
      </c>
      <c r="D123" s="59">
        <v>46235</v>
      </c>
      <c r="E123" s="6">
        <v>342900</v>
      </c>
      <c r="F123" s="54">
        <v>33</v>
      </c>
      <c r="H123" s="61"/>
      <c r="I123" s="20"/>
    </row>
    <row r="124" spans="1:9" x14ac:dyDescent="0.4">
      <c r="A124" s="13" t="s">
        <v>2324</v>
      </c>
      <c r="B124" s="55" t="s">
        <v>2325</v>
      </c>
      <c r="C124" s="13" t="s">
        <v>1944</v>
      </c>
      <c r="D124" s="59">
        <v>46235</v>
      </c>
      <c r="E124" s="6">
        <v>245310</v>
      </c>
      <c r="F124" s="54">
        <v>55</v>
      </c>
      <c r="H124" s="61"/>
      <c r="I124" s="20"/>
    </row>
    <row r="125" spans="1:9" x14ac:dyDescent="0.4">
      <c r="A125" s="13" t="s">
        <v>2324</v>
      </c>
      <c r="B125" s="55" t="s">
        <v>2325</v>
      </c>
      <c r="C125" s="13" t="s">
        <v>70</v>
      </c>
      <c r="D125" s="59">
        <v>46235</v>
      </c>
      <c r="E125" s="6">
        <v>0</v>
      </c>
      <c r="F125" s="13">
        <v>78</v>
      </c>
      <c r="H125" s="61"/>
      <c r="I125" s="20"/>
    </row>
    <row r="126" spans="1:9" x14ac:dyDescent="0.4">
      <c r="A126" s="13" t="s">
        <v>2324</v>
      </c>
      <c r="B126" s="55" t="s">
        <v>2325</v>
      </c>
      <c r="C126" s="13" t="s">
        <v>50</v>
      </c>
      <c r="D126" s="59">
        <v>46235</v>
      </c>
      <c r="E126" s="6">
        <v>76200</v>
      </c>
      <c r="F126" s="13">
        <v>100</v>
      </c>
      <c r="H126" s="61"/>
      <c r="I126" s="20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46235</v>
      </c>
      <c r="E127" s="6">
        <v>0</v>
      </c>
      <c r="F127" s="13">
        <v>122</v>
      </c>
      <c r="H127" s="61"/>
      <c r="I127" s="20"/>
    </row>
    <row r="128" spans="1:9" x14ac:dyDescent="0.4">
      <c r="A128" s="13" t="s">
        <v>2324</v>
      </c>
      <c r="B128" s="13" t="s">
        <v>2345</v>
      </c>
      <c r="C128" s="10" t="s">
        <v>25</v>
      </c>
      <c r="D128" s="59">
        <v>46235</v>
      </c>
      <c r="E128" s="6">
        <v>0</v>
      </c>
      <c r="F128" s="54">
        <v>145</v>
      </c>
      <c r="H128" s="61"/>
      <c r="I128" s="20"/>
    </row>
    <row r="129" spans="1:9" x14ac:dyDescent="0.4">
      <c r="A129" s="13" t="s">
        <v>2324</v>
      </c>
      <c r="B129" s="13" t="s">
        <v>2345</v>
      </c>
      <c r="C129" s="13" t="s">
        <v>44</v>
      </c>
      <c r="D129" s="59">
        <v>46235</v>
      </c>
      <c r="E129" s="6">
        <v>154305</v>
      </c>
      <c r="F129" s="13">
        <v>167</v>
      </c>
      <c r="H129" s="61"/>
      <c r="I129" s="20"/>
    </row>
    <row r="130" spans="1:9" x14ac:dyDescent="0.4">
      <c r="A130" s="13" t="s">
        <v>2324</v>
      </c>
      <c r="B130" s="13" t="s">
        <v>2345</v>
      </c>
      <c r="C130" s="13" t="s">
        <v>1944</v>
      </c>
      <c r="D130" s="59">
        <v>46235</v>
      </c>
      <c r="E130" s="6">
        <v>110390</v>
      </c>
      <c r="F130" s="13">
        <v>189</v>
      </c>
      <c r="H130" s="61"/>
      <c r="I130" s="20"/>
    </row>
    <row r="131" spans="1:9" x14ac:dyDescent="0.4">
      <c r="A131" s="13" t="s">
        <v>2324</v>
      </c>
      <c r="B131" s="13" t="s">
        <v>2345</v>
      </c>
      <c r="C131" s="13" t="s">
        <v>70</v>
      </c>
      <c r="D131" s="59">
        <v>46235</v>
      </c>
      <c r="E131" s="6">
        <v>0</v>
      </c>
      <c r="F131" s="13">
        <v>212</v>
      </c>
      <c r="H131" s="61"/>
      <c r="I131" s="20"/>
    </row>
    <row r="132" spans="1:9" x14ac:dyDescent="0.4">
      <c r="A132" s="13" t="s">
        <v>2324</v>
      </c>
      <c r="B132" s="13" t="s">
        <v>2345</v>
      </c>
      <c r="C132" s="13" t="s">
        <v>50</v>
      </c>
      <c r="D132" s="59">
        <v>46235</v>
      </c>
      <c r="E132" s="6">
        <v>34290</v>
      </c>
      <c r="F132" s="13">
        <v>234</v>
      </c>
      <c r="H132" s="61"/>
    </row>
    <row r="133" spans="1:9" x14ac:dyDescent="0.4">
      <c r="A133" s="13" t="s">
        <v>2324</v>
      </c>
      <c r="B133" s="13" t="s">
        <v>2345</v>
      </c>
      <c r="C133" s="13" t="s">
        <v>5133</v>
      </c>
      <c r="D133" s="59">
        <v>46235</v>
      </c>
      <c r="E133" s="6">
        <v>0</v>
      </c>
      <c r="F133" s="54">
        <v>256</v>
      </c>
      <c r="H133" s="61"/>
    </row>
    <row r="134" spans="1:9" x14ac:dyDescent="0.4">
      <c r="A134" s="13" t="s">
        <v>2324</v>
      </c>
      <c r="B134" s="55" t="s">
        <v>2325</v>
      </c>
      <c r="C134" s="10" t="s">
        <v>25</v>
      </c>
      <c r="D134" s="59">
        <v>46266</v>
      </c>
      <c r="E134" s="6">
        <v>0</v>
      </c>
      <c r="F134" s="13">
        <v>12</v>
      </c>
      <c r="H134" s="61"/>
    </row>
    <row r="135" spans="1:9" x14ac:dyDescent="0.4">
      <c r="A135" s="13" t="s">
        <v>2324</v>
      </c>
      <c r="B135" s="55" t="s">
        <v>2325</v>
      </c>
      <c r="C135" s="13" t="s">
        <v>44</v>
      </c>
      <c r="D135" s="59">
        <v>46266</v>
      </c>
      <c r="E135" s="6">
        <v>209550</v>
      </c>
      <c r="F135" s="13">
        <v>34</v>
      </c>
      <c r="H135" s="61"/>
    </row>
    <row r="136" spans="1:9" x14ac:dyDescent="0.4">
      <c r="A136" s="13" t="s">
        <v>2324</v>
      </c>
      <c r="B136" s="55" t="s">
        <v>2325</v>
      </c>
      <c r="C136" s="13" t="s">
        <v>1944</v>
      </c>
      <c r="D136" s="59">
        <v>46266</v>
      </c>
      <c r="E136" s="6">
        <v>396270</v>
      </c>
      <c r="F136" s="13">
        <v>56</v>
      </c>
      <c r="H136" s="61"/>
    </row>
    <row r="137" spans="1:9" x14ac:dyDescent="0.4">
      <c r="A137" s="13" t="s">
        <v>2324</v>
      </c>
      <c r="B137" s="55" t="s">
        <v>2325</v>
      </c>
      <c r="C137" s="13" t="s">
        <v>70</v>
      </c>
      <c r="D137" s="59">
        <v>46266</v>
      </c>
      <c r="E137" s="6">
        <v>0</v>
      </c>
      <c r="F137" s="54">
        <v>79</v>
      </c>
      <c r="H137" s="61"/>
    </row>
    <row r="138" spans="1:9" x14ac:dyDescent="0.4">
      <c r="A138" s="13" t="s">
        <v>2324</v>
      </c>
      <c r="B138" s="55" t="s">
        <v>2325</v>
      </c>
      <c r="C138" s="13" t="s">
        <v>50</v>
      </c>
      <c r="D138" s="59">
        <v>46266</v>
      </c>
      <c r="E138" s="6">
        <v>76200</v>
      </c>
      <c r="F138" s="54">
        <v>101</v>
      </c>
      <c r="H138" s="61"/>
    </row>
    <row r="139" spans="1:9" x14ac:dyDescent="0.4">
      <c r="A139" s="13" t="s">
        <v>2324</v>
      </c>
      <c r="B139" s="55" t="s">
        <v>2325</v>
      </c>
      <c r="C139" s="13" t="s">
        <v>5133</v>
      </c>
      <c r="D139" s="59">
        <v>46266</v>
      </c>
      <c r="E139" s="6">
        <v>28305</v>
      </c>
      <c r="F139" s="54">
        <v>123</v>
      </c>
      <c r="H139" s="61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46266</v>
      </c>
      <c r="E140" s="6">
        <v>0</v>
      </c>
      <c r="F140" s="13">
        <v>146</v>
      </c>
      <c r="H140" s="61"/>
    </row>
    <row r="141" spans="1:9" x14ac:dyDescent="0.4">
      <c r="A141" s="13" t="s">
        <v>2324</v>
      </c>
      <c r="B141" s="13" t="s">
        <v>2345</v>
      </c>
      <c r="C141" s="13" t="s">
        <v>44</v>
      </c>
      <c r="D141" s="59">
        <v>46266</v>
      </c>
      <c r="E141" s="6">
        <v>94298</v>
      </c>
      <c r="F141" s="13">
        <v>168</v>
      </c>
      <c r="H141" s="61"/>
    </row>
    <row r="142" spans="1:9" x14ac:dyDescent="0.4">
      <c r="A142" s="13" t="s">
        <v>2324</v>
      </c>
      <c r="B142" s="13" t="s">
        <v>2345</v>
      </c>
      <c r="C142" s="13" t="s">
        <v>1944</v>
      </c>
      <c r="D142" s="59">
        <v>46266</v>
      </c>
      <c r="E142" s="6">
        <v>178322</v>
      </c>
      <c r="F142" s="54">
        <v>190</v>
      </c>
      <c r="H142" s="61"/>
    </row>
    <row r="143" spans="1:9" x14ac:dyDescent="0.4">
      <c r="A143" s="13" t="s">
        <v>2324</v>
      </c>
      <c r="B143" s="13" t="s">
        <v>2345</v>
      </c>
      <c r="C143" s="13" t="s">
        <v>70</v>
      </c>
      <c r="D143" s="59">
        <v>46266</v>
      </c>
      <c r="E143" s="6">
        <v>0</v>
      </c>
      <c r="F143" s="13">
        <v>213</v>
      </c>
      <c r="H143" s="61"/>
    </row>
    <row r="144" spans="1:9" x14ac:dyDescent="0.4">
      <c r="A144" s="13" t="s">
        <v>2324</v>
      </c>
      <c r="B144" s="13" t="s">
        <v>2345</v>
      </c>
      <c r="C144" s="13" t="s">
        <v>50</v>
      </c>
      <c r="D144" s="59">
        <v>46266</v>
      </c>
      <c r="E144" s="6">
        <v>34290</v>
      </c>
      <c r="F144" s="54">
        <v>235</v>
      </c>
      <c r="H144" s="61"/>
    </row>
    <row r="145" spans="1:8" x14ac:dyDescent="0.4">
      <c r="A145" s="13" t="s">
        <v>2324</v>
      </c>
      <c r="B145" s="13" t="s">
        <v>2345</v>
      </c>
      <c r="C145" s="13" t="s">
        <v>5133</v>
      </c>
      <c r="D145" s="59">
        <v>46266</v>
      </c>
      <c r="E145" s="6">
        <v>12737</v>
      </c>
      <c r="F145" s="13">
        <v>257</v>
      </c>
      <c r="H145" s="61"/>
    </row>
    <row r="146" spans="1:8" x14ac:dyDescent="0.4">
      <c r="A146" s="13" t="s">
        <v>2324</v>
      </c>
      <c r="B146" s="55" t="s">
        <v>2325</v>
      </c>
      <c r="C146" s="10" t="s">
        <v>25</v>
      </c>
      <c r="D146" s="59">
        <v>46296</v>
      </c>
      <c r="E146" s="6">
        <v>0</v>
      </c>
      <c r="F146" s="54">
        <v>13</v>
      </c>
      <c r="H146" s="61"/>
    </row>
    <row r="147" spans="1:8" x14ac:dyDescent="0.4">
      <c r="A147" s="13" t="s">
        <v>2324</v>
      </c>
      <c r="B147" s="55" t="s">
        <v>2325</v>
      </c>
      <c r="C147" s="13" t="s">
        <v>44</v>
      </c>
      <c r="D147" s="59">
        <v>46296</v>
      </c>
      <c r="E147" s="6">
        <v>0</v>
      </c>
      <c r="F147" s="54">
        <v>35</v>
      </c>
      <c r="H147" s="61"/>
    </row>
    <row r="148" spans="1:8" x14ac:dyDescent="0.4">
      <c r="A148" s="13" t="s">
        <v>2324</v>
      </c>
      <c r="B148" s="55" t="s">
        <v>2325</v>
      </c>
      <c r="C148" s="13" t="s">
        <v>1944</v>
      </c>
      <c r="D148" s="59">
        <v>46296</v>
      </c>
      <c r="E148" s="6">
        <v>594405</v>
      </c>
      <c r="F148" s="54">
        <v>57</v>
      </c>
      <c r="H148" s="61"/>
    </row>
    <row r="149" spans="1:8" x14ac:dyDescent="0.4">
      <c r="A149" s="13" t="s">
        <v>2324</v>
      </c>
      <c r="B149" s="55" t="s">
        <v>2325</v>
      </c>
      <c r="C149" s="13" t="s">
        <v>70</v>
      </c>
      <c r="D149" s="59">
        <v>46296</v>
      </c>
      <c r="E149" s="6">
        <v>0</v>
      </c>
      <c r="F149" s="13">
        <v>80</v>
      </c>
      <c r="H149" s="61"/>
    </row>
    <row r="150" spans="1:8" x14ac:dyDescent="0.4">
      <c r="A150" s="13" t="s">
        <v>2324</v>
      </c>
      <c r="B150" s="55" t="s">
        <v>2325</v>
      </c>
      <c r="C150" s="13" t="s">
        <v>50</v>
      </c>
      <c r="D150" s="59">
        <v>46296</v>
      </c>
      <c r="E150" s="6">
        <v>57150</v>
      </c>
      <c r="F150" s="13">
        <v>102</v>
      </c>
      <c r="H150" s="61"/>
    </row>
    <row r="151" spans="1:8" x14ac:dyDescent="0.4">
      <c r="A151" s="13" t="s">
        <v>2324</v>
      </c>
      <c r="B151" s="55" t="s">
        <v>2325</v>
      </c>
      <c r="C151" s="13" t="s">
        <v>5133</v>
      </c>
      <c r="D151" s="59">
        <v>46296</v>
      </c>
      <c r="E151" s="6">
        <v>28305</v>
      </c>
      <c r="F151" s="13">
        <v>124</v>
      </c>
      <c r="H151" s="61"/>
    </row>
    <row r="152" spans="1:8" x14ac:dyDescent="0.4">
      <c r="A152" s="13" t="s">
        <v>2324</v>
      </c>
      <c r="B152" s="13" t="s">
        <v>2345</v>
      </c>
      <c r="C152" s="10" t="s">
        <v>25</v>
      </c>
      <c r="D152" s="59">
        <v>46296</v>
      </c>
      <c r="E152" s="6">
        <v>0</v>
      </c>
      <c r="F152" s="13">
        <v>147</v>
      </c>
      <c r="H152" s="61"/>
    </row>
    <row r="153" spans="1:8" x14ac:dyDescent="0.4">
      <c r="A153" s="13" t="s">
        <v>2324</v>
      </c>
      <c r="B153" s="13" t="s">
        <v>2345</v>
      </c>
      <c r="C153" s="13" t="s">
        <v>44</v>
      </c>
      <c r="D153" s="59">
        <v>46296</v>
      </c>
      <c r="E153" s="6">
        <v>0</v>
      </c>
      <c r="F153" s="54">
        <v>169</v>
      </c>
      <c r="H153" s="61"/>
    </row>
    <row r="154" spans="1:8" x14ac:dyDescent="0.4">
      <c r="A154" s="13" t="s">
        <v>2324</v>
      </c>
      <c r="B154" s="13" t="s">
        <v>2345</v>
      </c>
      <c r="C154" s="13" t="s">
        <v>1944</v>
      </c>
      <c r="D154" s="59">
        <v>46296</v>
      </c>
      <c r="E154" s="6">
        <v>267482</v>
      </c>
      <c r="F154" s="13">
        <v>191</v>
      </c>
      <c r="H154" s="61"/>
    </row>
    <row r="155" spans="1:8" x14ac:dyDescent="0.4">
      <c r="A155" s="13" t="s">
        <v>2324</v>
      </c>
      <c r="B155" s="13" t="s">
        <v>2345</v>
      </c>
      <c r="C155" s="13" t="s">
        <v>70</v>
      </c>
      <c r="D155" s="59">
        <v>46296</v>
      </c>
      <c r="E155" s="6">
        <v>0</v>
      </c>
      <c r="F155" s="54">
        <v>214</v>
      </c>
      <c r="H155" s="61"/>
    </row>
    <row r="156" spans="1:8" x14ac:dyDescent="0.4">
      <c r="A156" s="13" t="s">
        <v>2324</v>
      </c>
      <c r="B156" s="13" t="s">
        <v>2345</v>
      </c>
      <c r="C156" s="13" t="s">
        <v>50</v>
      </c>
      <c r="D156" s="59">
        <v>46296</v>
      </c>
      <c r="E156" s="6">
        <v>25718</v>
      </c>
      <c r="F156" s="13">
        <v>236</v>
      </c>
      <c r="H156" s="61"/>
    </row>
    <row r="157" spans="1:8" x14ac:dyDescent="0.4">
      <c r="A157" s="13" t="s">
        <v>2324</v>
      </c>
      <c r="B157" s="13" t="s">
        <v>2345</v>
      </c>
      <c r="C157" s="13" t="s">
        <v>5133</v>
      </c>
      <c r="D157" s="59">
        <v>46296</v>
      </c>
      <c r="E157" s="6">
        <v>12737</v>
      </c>
      <c r="F157" s="13">
        <v>258</v>
      </c>
      <c r="H157" s="61"/>
    </row>
    <row r="158" spans="1:8" x14ac:dyDescent="0.4">
      <c r="A158" s="13" t="s">
        <v>2324</v>
      </c>
      <c r="B158" s="55" t="s">
        <v>2325</v>
      </c>
      <c r="C158" s="10" t="s">
        <v>25</v>
      </c>
      <c r="D158" s="59">
        <v>46327</v>
      </c>
      <c r="E158" s="6">
        <v>0</v>
      </c>
      <c r="F158" s="13">
        <v>14</v>
      </c>
      <c r="H158" s="61"/>
    </row>
    <row r="159" spans="1:8" x14ac:dyDescent="0.4">
      <c r="A159" s="13" t="s">
        <v>2324</v>
      </c>
      <c r="B159" s="55" t="s">
        <v>2325</v>
      </c>
      <c r="C159" s="13" t="s">
        <v>44</v>
      </c>
      <c r="D159" s="59">
        <v>46327</v>
      </c>
      <c r="E159" s="6">
        <v>0</v>
      </c>
      <c r="F159" s="13">
        <v>36</v>
      </c>
      <c r="H159" s="61"/>
    </row>
    <row r="160" spans="1:8" x14ac:dyDescent="0.4">
      <c r="A160" s="13" t="s">
        <v>2324</v>
      </c>
      <c r="B160" s="55" t="s">
        <v>2325</v>
      </c>
      <c r="C160" s="13" t="s">
        <v>1944</v>
      </c>
      <c r="D160" s="59">
        <v>46327</v>
      </c>
      <c r="E160" s="6">
        <v>594405</v>
      </c>
      <c r="F160" s="13">
        <v>58</v>
      </c>
      <c r="H160" s="61"/>
    </row>
    <row r="161" spans="1:8" x14ac:dyDescent="0.4">
      <c r="A161" s="13" t="s">
        <v>2324</v>
      </c>
      <c r="B161" s="55" t="s">
        <v>2325</v>
      </c>
      <c r="C161" s="13" t="s">
        <v>70</v>
      </c>
      <c r="D161" s="59">
        <v>46327</v>
      </c>
      <c r="E161" s="6">
        <v>0</v>
      </c>
      <c r="F161" s="54">
        <v>81</v>
      </c>
      <c r="H161" s="61"/>
    </row>
    <row r="162" spans="1:8" x14ac:dyDescent="0.4">
      <c r="A162" s="13" t="s">
        <v>2324</v>
      </c>
      <c r="B162" s="55" t="s">
        <v>2325</v>
      </c>
      <c r="C162" s="13" t="s">
        <v>50</v>
      </c>
      <c r="D162" s="59">
        <v>46327</v>
      </c>
      <c r="E162" s="6">
        <v>0</v>
      </c>
      <c r="F162" s="54">
        <v>103</v>
      </c>
      <c r="H162" s="61"/>
    </row>
    <row r="163" spans="1:8" x14ac:dyDescent="0.4">
      <c r="A163" s="13" t="s">
        <v>2324</v>
      </c>
      <c r="B163" s="55" t="s">
        <v>2325</v>
      </c>
      <c r="C163" s="13" t="s">
        <v>5133</v>
      </c>
      <c r="D163" s="59">
        <v>46327</v>
      </c>
      <c r="E163" s="6">
        <v>28305</v>
      </c>
      <c r="F163" s="54">
        <v>125</v>
      </c>
      <c r="H163" s="61"/>
    </row>
    <row r="164" spans="1:8" x14ac:dyDescent="0.4">
      <c r="A164" s="13" t="s">
        <v>2324</v>
      </c>
      <c r="B164" s="13" t="s">
        <v>2345</v>
      </c>
      <c r="C164" s="10" t="s">
        <v>25</v>
      </c>
      <c r="D164" s="59">
        <v>46327</v>
      </c>
      <c r="E164" s="6">
        <v>0</v>
      </c>
      <c r="F164" s="54">
        <v>148</v>
      </c>
      <c r="H164" s="61"/>
    </row>
    <row r="165" spans="1:8" x14ac:dyDescent="0.4">
      <c r="A165" s="13" t="s">
        <v>2324</v>
      </c>
      <c r="B165" s="13" t="s">
        <v>2345</v>
      </c>
      <c r="C165" s="13" t="s">
        <v>44</v>
      </c>
      <c r="D165" s="59">
        <v>46327</v>
      </c>
      <c r="E165" s="6">
        <v>0</v>
      </c>
      <c r="F165" s="13">
        <v>170</v>
      </c>
      <c r="H165" s="61"/>
    </row>
    <row r="166" spans="1:8" x14ac:dyDescent="0.4">
      <c r="A166" s="13" t="s">
        <v>2324</v>
      </c>
      <c r="B166" s="13" t="s">
        <v>2345</v>
      </c>
      <c r="C166" s="13" t="s">
        <v>1944</v>
      </c>
      <c r="D166" s="59">
        <v>46327</v>
      </c>
      <c r="E166" s="6">
        <v>267482</v>
      </c>
      <c r="F166" s="13">
        <v>192</v>
      </c>
      <c r="H166" s="61"/>
    </row>
    <row r="167" spans="1:8" x14ac:dyDescent="0.4">
      <c r="A167" s="13" t="s">
        <v>2324</v>
      </c>
      <c r="B167" s="13" t="s">
        <v>2345</v>
      </c>
      <c r="C167" s="13" t="s">
        <v>70</v>
      </c>
      <c r="D167" s="59">
        <v>46327</v>
      </c>
      <c r="E167" s="6">
        <v>0</v>
      </c>
      <c r="F167" s="13">
        <v>215</v>
      </c>
      <c r="H167" s="61"/>
    </row>
    <row r="168" spans="1:8" x14ac:dyDescent="0.4">
      <c r="A168" s="13" t="s">
        <v>2324</v>
      </c>
      <c r="B168" s="13" t="s">
        <v>2345</v>
      </c>
      <c r="C168" s="13" t="s">
        <v>50</v>
      </c>
      <c r="D168" s="59">
        <v>46327</v>
      </c>
      <c r="E168" s="6">
        <v>0</v>
      </c>
      <c r="F168" s="13">
        <v>237</v>
      </c>
      <c r="H168" s="61"/>
    </row>
    <row r="169" spans="1:8" x14ac:dyDescent="0.4">
      <c r="A169" s="13" t="s">
        <v>2324</v>
      </c>
      <c r="B169" s="13" t="s">
        <v>2345</v>
      </c>
      <c r="C169" s="13" t="s">
        <v>5133</v>
      </c>
      <c r="D169" s="59">
        <v>46327</v>
      </c>
      <c r="E169" s="6">
        <v>12737</v>
      </c>
      <c r="F169" s="54">
        <v>259</v>
      </c>
      <c r="H169" s="61"/>
    </row>
    <row r="170" spans="1:8" x14ac:dyDescent="0.4">
      <c r="A170" s="13" t="s">
        <v>2324</v>
      </c>
      <c r="B170" s="55" t="s">
        <v>2325</v>
      </c>
      <c r="C170" s="10" t="s">
        <v>25</v>
      </c>
      <c r="D170" s="59">
        <v>46357</v>
      </c>
      <c r="E170" s="6">
        <v>0</v>
      </c>
      <c r="F170" s="54">
        <v>15</v>
      </c>
      <c r="H170" s="61"/>
    </row>
    <row r="171" spans="1:8" x14ac:dyDescent="0.4">
      <c r="A171" s="13" t="s">
        <v>2324</v>
      </c>
      <c r="B171" s="55" t="s">
        <v>2325</v>
      </c>
      <c r="C171" s="13" t="s">
        <v>44</v>
      </c>
      <c r="D171" s="59">
        <v>46357</v>
      </c>
      <c r="E171" s="6">
        <v>0</v>
      </c>
      <c r="F171" s="54">
        <v>37</v>
      </c>
      <c r="H171" s="61"/>
    </row>
    <row r="172" spans="1:8" x14ac:dyDescent="0.4">
      <c r="A172" s="13" t="s">
        <v>2324</v>
      </c>
      <c r="B172" s="55" t="s">
        <v>2325</v>
      </c>
      <c r="C172" s="13" t="s">
        <v>1944</v>
      </c>
      <c r="D172" s="59">
        <v>46357</v>
      </c>
      <c r="E172" s="6">
        <v>594405</v>
      </c>
      <c r="F172" s="54">
        <v>59</v>
      </c>
      <c r="H172" s="61"/>
    </row>
    <row r="173" spans="1:8" x14ac:dyDescent="0.4">
      <c r="A173" s="13" t="s">
        <v>2324</v>
      </c>
      <c r="B173" s="55" t="s">
        <v>2325</v>
      </c>
      <c r="C173" s="13" t="s">
        <v>70</v>
      </c>
      <c r="D173" s="59">
        <v>46357</v>
      </c>
      <c r="E173" s="6">
        <v>0</v>
      </c>
      <c r="F173" s="13">
        <v>82</v>
      </c>
      <c r="H173" s="61"/>
    </row>
    <row r="174" spans="1:8" x14ac:dyDescent="0.4">
      <c r="A174" s="13" t="s">
        <v>2324</v>
      </c>
      <c r="B174" s="55" t="s">
        <v>2325</v>
      </c>
      <c r="C174" s="13" t="s">
        <v>50</v>
      </c>
      <c r="D174" s="59">
        <v>46357</v>
      </c>
      <c r="E174" s="6">
        <v>0</v>
      </c>
      <c r="F174" s="13">
        <v>104</v>
      </c>
      <c r="H174" s="61"/>
    </row>
    <row r="175" spans="1:8" x14ac:dyDescent="0.4">
      <c r="A175" s="13" t="s">
        <v>2324</v>
      </c>
      <c r="B175" s="55" t="s">
        <v>2325</v>
      </c>
      <c r="C175" s="13" t="s">
        <v>5133</v>
      </c>
      <c r="D175" s="59">
        <v>46357</v>
      </c>
      <c r="E175" s="6">
        <v>28305</v>
      </c>
      <c r="F175" s="13">
        <v>126</v>
      </c>
      <c r="H175" s="61"/>
    </row>
    <row r="176" spans="1:8" x14ac:dyDescent="0.4">
      <c r="A176" s="13" t="s">
        <v>2324</v>
      </c>
      <c r="B176" s="13" t="s">
        <v>2345</v>
      </c>
      <c r="C176" s="10" t="s">
        <v>25</v>
      </c>
      <c r="D176" s="59">
        <v>46357</v>
      </c>
      <c r="E176" s="6">
        <v>0</v>
      </c>
      <c r="F176" s="13">
        <v>149</v>
      </c>
      <c r="H176" s="61"/>
    </row>
    <row r="177" spans="1:8" x14ac:dyDescent="0.4">
      <c r="A177" s="13" t="s">
        <v>2324</v>
      </c>
      <c r="B177" s="13" t="s">
        <v>2345</v>
      </c>
      <c r="C177" s="13" t="s">
        <v>44</v>
      </c>
      <c r="D177" s="59">
        <v>46357</v>
      </c>
      <c r="E177" s="6">
        <v>0</v>
      </c>
      <c r="F177" s="13">
        <v>171</v>
      </c>
      <c r="H177" s="61"/>
    </row>
    <row r="178" spans="1:8" x14ac:dyDescent="0.4">
      <c r="A178" s="13" t="s">
        <v>2324</v>
      </c>
      <c r="B178" s="13" t="s">
        <v>2345</v>
      </c>
      <c r="C178" s="13" t="s">
        <v>1944</v>
      </c>
      <c r="D178" s="59">
        <v>46357</v>
      </c>
      <c r="E178" s="6">
        <v>267482</v>
      </c>
      <c r="F178" s="54">
        <v>193</v>
      </c>
      <c r="H178" s="61"/>
    </row>
    <row r="179" spans="1:8" x14ac:dyDescent="0.4">
      <c r="A179" s="13" t="s">
        <v>2324</v>
      </c>
      <c r="B179" s="13" t="s">
        <v>2345</v>
      </c>
      <c r="C179" s="13" t="s">
        <v>70</v>
      </c>
      <c r="D179" s="59">
        <v>46357</v>
      </c>
      <c r="E179" s="6">
        <v>0</v>
      </c>
      <c r="F179" s="13">
        <v>216</v>
      </c>
      <c r="H179" s="61"/>
    </row>
    <row r="180" spans="1:8" x14ac:dyDescent="0.4">
      <c r="A180" s="13" t="s">
        <v>2324</v>
      </c>
      <c r="B180" s="13" t="s">
        <v>2345</v>
      </c>
      <c r="C180" s="13" t="s">
        <v>50</v>
      </c>
      <c r="D180" s="59">
        <v>46357</v>
      </c>
      <c r="E180" s="6">
        <v>0</v>
      </c>
      <c r="F180" s="54">
        <v>238</v>
      </c>
      <c r="H180" s="61"/>
    </row>
    <row r="181" spans="1:8" x14ac:dyDescent="0.4">
      <c r="A181" s="13" t="s">
        <v>2324</v>
      </c>
      <c r="B181" s="13" t="s">
        <v>2345</v>
      </c>
      <c r="C181" s="13" t="s">
        <v>5133</v>
      </c>
      <c r="D181" s="59">
        <v>46357</v>
      </c>
      <c r="E181" s="6">
        <v>12737</v>
      </c>
      <c r="F181" s="13">
        <v>260</v>
      </c>
      <c r="H181" s="61"/>
    </row>
    <row r="182" spans="1:8" x14ac:dyDescent="0.4">
      <c r="A182" s="13" t="s">
        <v>2324</v>
      </c>
      <c r="B182" s="55" t="s">
        <v>2325</v>
      </c>
      <c r="C182" s="10" t="s">
        <v>25</v>
      </c>
      <c r="D182" s="59">
        <v>46388</v>
      </c>
      <c r="E182" s="6">
        <v>0</v>
      </c>
      <c r="F182" s="13">
        <v>16</v>
      </c>
      <c r="H182" s="61"/>
    </row>
    <row r="183" spans="1:8" x14ac:dyDescent="0.4">
      <c r="A183" s="13" t="s">
        <v>2324</v>
      </c>
      <c r="B183" s="55" t="s">
        <v>2325</v>
      </c>
      <c r="C183" s="13" t="s">
        <v>44</v>
      </c>
      <c r="D183" s="59">
        <v>46388</v>
      </c>
      <c r="E183" s="6">
        <v>0</v>
      </c>
      <c r="F183" s="13">
        <v>38</v>
      </c>
      <c r="H183" s="61"/>
    </row>
    <row r="184" spans="1:8" x14ac:dyDescent="0.4">
      <c r="A184" s="13" t="s">
        <v>2324</v>
      </c>
      <c r="B184" s="55" t="s">
        <v>2325</v>
      </c>
      <c r="C184" s="13" t="s">
        <v>1944</v>
      </c>
      <c r="D184" s="59">
        <v>46388</v>
      </c>
      <c r="E184" s="6">
        <v>584970</v>
      </c>
      <c r="F184" s="13">
        <v>60</v>
      </c>
      <c r="H184" s="61"/>
    </row>
    <row r="185" spans="1:8" x14ac:dyDescent="0.4">
      <c r="A185" s="13" t="s">
        <v>2324</v>
      </c>
      <c r="B185" s="55" t="s">
        <v>2325</v>
      </c>
      <c r="C185" s="13" t="s">
        <v>70</v>
      </c>
      <c r="D185" s="59">
        <v>46388</v>
      </c>
      <c r="E185" s="6">
        <v>0</v>
      </c>
      <c r="F185" s="54">
        <v>83</v>
      </c>
      <c r="H185" s="61"/>
    </row>
    <row r="186" spans="1:8" x14ac:dyDescent="0.4">
      <c r="A186" s="13" t="s">
        <v>2324</v>
      </c>
      <c r="B186" s="55" t="s">
        <v>2325</v>
      </c>
      <c r="C186" s="13" t="s">
        <v>50</v>
      </c>
      <c r="D186" s="59">
        <v>46388</v>
      </c>
      <c r="E186" s="6">
        <v>0</v>
      </c>
      <c r="F186" s="54">
        <v>105</v>
      </c>
      <c r="H186" s="61"/>
    </row>
    <row r="187" spans="1:8" x14ac:dyDescent="0.4">
      <c r="A187" s="13" t="s">
        <v>2324</v>
      </c>
      <c r="B187" s="55" t="s">
        <v>2325</v>
      </c>
      <c r="C187" s="13" t="s">
        <v>5133</v>
      </c>
      <c r="D187" s="59">
        <v>46388</v>
      </c>
      <c r="E187" s="6">
        <v>28305</v>
      </c>
      <c r="F187" s="54">
        <v>127</v>
      </c>
      <c r="H187" s="61"/>
    </row>
    <row r="188" spans="1:8" x14ac:dyDescent="0.4">
      <c r="A188" s="13" t="s">
        <v>2324</v>
      </c>
      <c r="B188" s="13" t="s">
        <v>2345</v>
      </c>
      <c r="C188" s="10" t="s">
        <v>25</v>
      </c>
      <c r="D188" s="59">
        <v>46388</v>
      </c>
      <c r="E188" s="6">
        <v>0</v>
      </c>
      <c r="F188" s="13">
        <v>150</v>
      </c>
      <c r="H188" s="61"/>
    </row>
    <row r="189" spans="1:8" x14ac:dyDescent="0.4">
      <c r="A189" s="13" t="s">
        <v>2324</v>
      </c>
      <c r="B189" s="13" t="s">
        <v>2345</v>
      </c>
      <c r="C189" s="13" t="s">
        <v>44</v>
      </c>
      <c r="D189" s="59">
        <v>46388</v>
      </c>
      <c r="E189" s="6">
        <v>0</v>
      </c>
      <c r="F189" s="54">
        <v>172</v>
      </c>
      <c r="H189" s="61"/>
    </row>
    <row r="190" spans="1:8" x14ac:dyDescent="0.4">
      <c r="A190" s="13" t="s">
        <v>2324</v>
      </c>
      <c r="B190" s="13" t="s">
        <v>2345</v>
      </c>
      <c r="C190" s="13" t="s">
        <v>1944</v>
      </c>
      <c r="D190" s="59">
        <v>46388</v>
      </c>
      <c r="E190" s="6">
        <v>263237</v>
      </c>
      <c r="F190" s="13">
        <v>194</v>
      </c>
      <c r="H190" s="61"/>
    </row>
    <row r="191" spans="1:8" x14ac:dyDescent="0.4">
      <c r="A191" s="13" t="s">
        <v>2324</v>
      </c>
      <c r="B191" s="13" t="s">
        <v>2345</v>
      </c>
      <c r="C191" s="13" t="s">
        <v>70</v>
      </c>
      <c r="D191" s="59">
        <v>46388</v>
      </c>
      <c r="E191" s="6">
        <v>0</v>
      </c>
      <c r="F191" s="54">
        <v>217</v>
      </c>
      <c r="H191" s="61"/>
    </row>
    <row r="192" spans="1:8" x14ac:dyDescent="0.4">
      <c r="A192" s="13" t="s">
        <v>2324</v>
      </c>
      <c r="B192" s="13" t="s">
        <v>2345</v>
      </c>
      <c r="C192" s="13" t="s">
        <v>50</v>
      </c>
      <c r="D192" s="59">
        <v>46388</v>
      </c>
      <c r="E192" s="6">
        <v>0</v>
      </c>
      <c r="F192" s="13">
        <v>239</v>
      </c>
      <c r="H192" s="61"/>
    </row>
    <row r="193" spans="1:8" x14ac:dyDescent="0.4">
      <c r="A193" s="13" t="s">
        <v>2324</v>
      </c>
      <c r="B193" s="13" t="s">
        <v>2345</v>
      </c>
      <c r="C193" s="13" t="s">
        <v>5133</v>
      </c>
      <c r="D193" s="59">
        <v>46388</v>
      </c>
      <c r="E193" s="6">
        <v>12737</v>
      </c>
      <c r="F193" s="13">
        <v>261</v>
      </c>
      <c r="H193" s="61"/>
    </row>
    <row r="194" spans="1:8" x14ac:dyDescent="0.4">
      <c r="A194" s="13" t="s">
        <v>2324</v>
      </c>
      <c r="B194" s="55" t="s">
        <v>2325</v>
      </c>
      <c r="C194" s="10" t="s">
        <v>25</v>
      </c>
      <c r="D194" s="59">
        <v>46419</v>
      </c>
      <c r="E194" s="6">
        <v>0</v>
      </c>
      <c r="F194" s="54">
        <v>17</v>
      </c>
      <c r="H194" s="61"/>
    </row>
    <row r="195" spans="1:8" x14ac:dyDescent="0.4">
      <c r="A195" s="13" t="s">
        <v>2324</v>
      </c>
      <c r="B195" s="55" t="s">
        <v>2325</v>
      </c>
      <c r="C195" s="13" t="s">
        <v>44</v>
      </c>
      <c r="D195" s="59">
        <v>46419</v>
      </c>
      <c r="E195" s="6">
        <v>0</v>
      </c>
      <c r="F195" s="54">
        <v>39</v>
      </c>
      <c r="H195" s="61"/>
    </row>
    <row r="196" spans="1:8" x14ac:dyDescent="0.4">
      <c r="A196" s="13" t="s">
        <v>2324</v>
      </c>
      <c r="B196" s="55" t="s">
        <v>2325</v>
      </c>
      <c r="C196" s="13" t="s">
        <v>1944</v>
      </c>
      <c r="D196" s="59">
        <v>46419</v>
      </c>
      <c r="E196" s="6">
        <v>584970</v>
      </c>
      <c r="F196" s="54">
        <v>61</v>
      </c>
      <c r="H196" s="61"/>
    </row>
    <row r="197" spans="1:8" x14ac:dyDescent="0.4">
      <c r="A197" s="13" t="s">
        <v>2324</v>
      </c>
      <c r="B197" s="55" t="s">
        <v>2325</v>
      </c>
      <c r="C197" s="13" t="s">
        <v>70</v>
      </c>
      <c r="D197" s="59">
        <v>46419</v>
      </c>
      <c r="E197" s="6">
        <v>0</v>
      </c>
      <c r="F197" s="13">
        <v>84</v>
      </c>
      <c r="H197" s="61"/>
    </row>
    <row r="198" spans="1:8" x14ac:dyDescent="0.4">
      <c r="A198" s="13" t="s">
        <v>2324</v>
      </c>
      <c r="B198" s="55" t="s">
        <v>2325</v>
      </c>
      <c r="C198" s="13" t="s">
        <v>50</v>
      </c>
      <c r="D198" s="59">
        <v>46419</v>
      </c>
      <c r="E198" s="6">
        <v>0</v>
      </c>
      <c r="F198" s="13">
        <v>106</v>
      </c>
      <c r="H198" s="61"/>
    </row>
    <row r="199" spans="1:8" x14ac:dyDescent="0.4">
      <c r="A199" s="13" t="s">
        <v>2324</v>
      </c>
      <c r="B199" s="55" t="s">
        <v>2325</v>
      </c>
      <c r="C199" s="13" t="s">
        <v>5133</v>
      </c>
      <c r="D199" s="59">
        <v>46419</v>
      </c>
      <c r="E199" s="6">
        <v>28305</v>
      </c>
      <c r="F199" s="13">
        <v>128</v>
      </c>
      <c r="H199" s="61"/>
    </row>
    <row r="200" spans="1:8" x14ac:dyDescent="0.4">
      <c r="A200" s="13" t="s">
        <v>2324</v>
      </c>
      <c r="B200" s="13" t="s">
        <v>2345</v>
      </c>
      <c r="C200" s="10" t="s">
        <v>25</v>
      </c>
      <c r="D200" s="59">
        <v>46419</v>
      </c>
      <c r="E200" s="6">
        <v>0</v>
      </c>
      <c r="F200" s="54">
        <v>151</v>
      </c>
      <c r="H200" s="20"/>
    </row>
    <row r="201" spans="1:8" x14ac:dyDescent="0.4">
      <c r="A201" s="13" t="s">
        <v>2324</v>
      </c>
      <c r="B201" s="13" t="s">
        <v>2345</v>
      </c>
      <c r="C201" s="13" t="s">
        <v>44</v>
      </c>
      <c r="D201" s="59">
        <v>46419</v>
      </c>
      <c r="E201" s="6">
        <v>0</v>
      </c>
      <c r="F201" s="13">
        <v>173</v>
      </c>
      <c r="H201" s="20"/>
    </row>
    <row r="202" spans="1:8" x14ac:dyDescent="0.4">
      <c r="A202" s="13" t="s">
        <v>2324</v>
      </c>
      <c r="B202" s="13" t="s">
        <v>2345</v>
      </c>
      <c r="C202" s="13" t="s">
        <v>1944</v>
      </c>
      <c r="D202" s="59">
        <v>46419</v>
      </c>
      <c r="E202" s="6">
        <v>263237</v>
      </c>
      <c r="F202" s="13">
        <v>195</v>
      </c>
      <c r="H202" s="20"/>
    </row>
    <row r="203" spans="1:8" x14ac:dyDescent="0.4">
      <c r="A203" s="13" t="s">
        <v>2324</v>
      </c>
      <c r="B203" s="13" t="s">
        <v>2345</v>
      </c>
      <c r="C203" s="13" t="s">
        <v>70</v>
      </c>
      <c r="D203" s="59">
        <v>46419</v>
      </c>
      <c r="E203" s="6">
        <v>0</v>
      </c>
      <c r="F203" s="13">
        <v>218</v>
      </c>
      <c r="H203" s="20"/>
    </row>
    <row r="204" spans="1:8" x14ac:dyDescent="0.4">
      <c r="A204" s="13" t="s">
        <v>2324</v>
      </c>
      <c r="B204" s="13" t="s">
        <v>2345</v>
      </c>
      <c r="C204" s="13" t="s">
        <v>50</v>
      </c>
      <c r="D204" s="59">
        <v>46419</v>
      </c>
      <c r="E204" s="6">
        <v>0</v>
      </c>
      <c r="F204" s="13">
        <v>240</v>
      </c>
      <c r="H204" s="20"/>
    </row>
    <row r="205" spans="1:8" x14ac:dyDescent="0.4">
      <c r="A205" s="13" t="s">
        <v>2324</v>
      </c>
      <c r="B205" s="13" t="s">
        <v>2345</v>
      </c>
      <c r="C205" s="13" t="s">
        <v>5133</v>
      </c>
      <c r="D205" s="59">
        <v>46419</v>
      </c>
      <c r="E205" s="6">
        <v>12737</v>
      </c>
      <c r="F205" s="54">
        <v>262</v>
      </c>
      <c r="H205" s="20"/>
    </row>
    <row r="206" spans="1:8" x14ac:dyDescent="0.4">
      <c r="A206" s="13" t="s">
        <v>2324</v>
      </c>
      <c r="B206" s="55" t="s">
        <v>2325</v>
      </c>
      <c r="C206" s="10" t="s">
        <v>25</v>
      </c>
      <c r="D206" s="59">
        <v>46447</v>
      </c>
      <c r="E206" s="6">
        <v>0</v>
      </c>
      <c r="F206" s="13">
        <v>18</v>
      </c>
      <c r="H206" s="20"/>
    </row>
    <row r="207" spans="1:8" x14ac:dyDescent="0.4">
      <c r="A207" s="13" t="s">
        <v>2324</v>
      </c>
      <c r="B207" s="55" t="s">
        <v>2325</v>
      </c>
      <c r="C207" s="13" t="s">
        <v>44</v>
      </c>
      <c r="D207" s="59">
        <v>46447</v>
      </c>
      <c r="E207" s="6">
        <v>0</v>
      </c>
      <c r="F207" s="13">
        <v>40</v>
      </c>
      <c r="H207" s="20"/>
    </row>
    <row r="208" spans="1:8" x14ac:dyDescent="0.4">
      <c r="A208" s="13" t="s">
        <v>2324</v>
      </c>
      <c r="B208" s="55" t="s">
        <v>2325</v>
      </c>
      <c r="C208" s="13" t="s">
        <v>1944</v>
      </c>
      <c r="D208" s="59">
        <v>46447</v>
      </c>
      <c r="E208" s="6">
        <v>490620</v>
      </c>
      <c r="F208" s="13">
        <v>62</v>
      </c>
      <c r="H208" s="20"/>
    </row>
    <row r="209" spans="1:8" x14ac:dyDescent="0.4">
      <c r="A209" s="13" t="s">
        <v>2324</v>
      </c>
      <c r="B209" s="55" t="s">
        <v>2325</v>
      </c>
      <c r="C209" s="13" t="s">
        <v>70</v>
      </c>
      <c r="D209" s="59">
        <v>46447</v>
      </c>
      <c r="E209" s="6">
        <v>0</v>
      </c>
      <c r="F209" s="54">
        <v>85</v>
      </c>
      <c r="H209" s="20"/>
    </row>
    <row r="210" spans="1:8" x14ac:dyDescent="0.4">
      <c r="A210" s="13" t="s">
        <v>2324</v>
      </c>
      <c r="B210" s="55" t="s">
        <v>2325</v>
      </c>
      <c r="C210" s="13" t="s">
        <v>50</v>
      </c>
      <c r="D210" s="59">
        <v>46447</v>
      </c>
      <c r="E210" s="6">
        <v>0</v>
      </c>
      <c r="F210" s="54">
        <v>107</v>
      </c>
      <c r="H210" s="20"/>
    </row>
    <row r="211" spans="1:8" x14ac:dyDescent="0.4">
      <c r="A211" s="13" t="s">
        <v>2324</v>
      </c>
      <c r="B211" s="55" t="s">
        <v>2325</v>
      </c>
      <c r="C211" s="13" t="s">
        <v>5133</v>
      </c>
      <c r="D211" s="59">
        <v>46447</v>
      </c>
      <c r="E211" s="6">
        <v>28305</v>
      </c>
      <c r="F211" s="54">
        <v>129</v>
      </c>
      <c r="H211" s="20"/>
    </row>
    <row r="212" spans="1:8" x14ac:dyDescent="0.4">
      <c r="A212" s="13" t="s">
        <v>2324</v>
      </c>
      <c r="B212" s="13" t="s">
        <v>2345</v>
      </c>
      <c r="C212" s="10" t="s">
        <v>25</v>
      </c>
      <c r="D212" s="59">
        <v>46447</v>
      </c>
      <c r="E212" s="6">
        <v>0</v>
      </c>
      <c r="F212" s="13">
        <v>152</v>
      </c>
      <c r="H212" s="20"/>
    </row>
    <row r="213" spans="1:8" x14ac:dyDescent="0.4">
      <c r="A213" s="13" t="s">
        <v>2324</v>
      </c>
      <c r="B213" s="13" t="s">
        <v>2345</v>
      </c>
      <c r="C213" s="13" t="s">
        <v>44</v>
      </c>
      <c r="D213" s="59">
        <v>46447</v>
      </c>
      <c r="E213" s="6">
        <v>0</v>
      </c>
      <c r="F213" s="13">
        <v>174</v>
      </c>
      <c r="H213" s="20"/>
    </row>
    <row r="214" spans="1:8" x14ac:dyDescent="0.4">
      <c r="A214" s="13" t="s">
        <v>2324</v>
      </c>
      <c r="B214" s="13" t="s">
        <v>2345</v>
      </c>
      <c r="C214" s="13" t="s">
        <v>1944</v>
      </c>
      <c r="D214" s="59">
        <v>46447</v>
      </c>
      <c r="E214" s="6">
        <v>220779</v>
      </c>
      <c r="F214" s="54">
        <v>196</v>
      </c>
      <c r="H214" s="20"/>
    </row>
    <row r="215" spans="1:8" x14ac:dyDescent="0.4">
      <c r="A215" s="13" t="s">
        <v>2324</v>
      </c>
      <c r="B215" s="13" t="s">
        <v>2345</v>
      </c>
      <c r="C215" s="13" t="s">
        <v>70</v>
      </c>
      <c r="D215" s="59">
        <v>46447</v>
      </c>
      <c r="E215" s="6">
        <v>0</v>
      </c>
      <c r="F215" s="13">
        <v>219</v>
      </c>
      <c r="H215" s="20"/>
    </row>
    <row r="216" spans="1:8" x14ac:dyDescent="0.4">
      <c r="A216" s="13" t="s">
        <v>2324</v>
      </c>
      <c r="B216" s="13" t="s">
        <v>2345</v>
      </c>
      <c r="C216" s="13" t="s">
        <v>50</v>
      </c>
      <c r="D216" s="59">
        <v>46447</v>
      </c>
      <c r="E216" s="6">
        <v>0</v>
      </c>
      <c r="F216" s="54">
        <v>241</v>
      </c>
      <c r="H216" s="20"/>
    </row>
    <row r="217" spans="1:8" x14ac:dyDescent="0.4">
      <c r="A217" s="13" t="s">
        <v>2324</v>
      </c>
      <c r="B217" s="13" t="s">
        <v>2345</v>
      </c>
      <c r="C217" s="13" t="s">
        <v>5133</v>
      </c>
      <c r="D217" s="59">
        <v>46447</v>
      </c>
      <c r="E217" s="6">
        <v>12737</v>
      </c>
      <c r="F217" s="13">
        <v>263</v>
      </c>
      <c r="H217" s="20"/>
    </row>
    <row r="218" spans="1:8" x14ac:dyDescent="0.4">
      <c r="A218" s="13" t="s">
        <v>2324</v>
      </c>
      <c r="B218" s="55" t="s">
        <v>2325</v>
      </c>
      <c r="C218" s="10" t="s">
        <v>25</v>
      </c>
      <c r="D218" s="59">
        <v>46478</v>
      </c>
      <c r="E218" s="6">
        <v>0</v>
      </c>
      <c r="F218" s="54">
        <v>19</v>
      </c>
      <c r="H218" s="20"/>
    </row>
    <row r="219" spans="1:8" x14ac:dyDescent="0.4">
      <c r="A219" s="13" t="s">
        <v>2324</v>
      </c>
      <c r="B219" s="55" t="s">
        <v>2325</v>
      </c>
      <c r="C219" s="13" t="s">
        <v>44</v>
      </c>
      <c r="D219" s="59">
        <v>46478</v>
      </c>
      <c r="E219" s="6">
        <v>0</v>
      </c>
      <c r="F219" s="54">
        <v>41</v>
      </c>
      <c r="H219" s="20"/>
    </row>
    <row r="220" spans="1:8" x14ac:dyDescent="0.4">
      <c r="A220" s="13" t="s">
        <v>2324</v>
      </c>
      <c r="B220" s="55" t="s">
        <v>2325</v>
      </c>
      <c r="C220" s="13" t="s">
        <v>1944</v>
      </c>
      <c r="D220" s="59">
        <v>46478</v>
      </c>
      <c r="E220" s="6">
        <v>490620</v>
      </c>
      <c r="F220" s="54">
        <v>63</v>
      </c>
      <c r="H220" s="20"/>
    </row>
    <row r="221" spans="1:8" x14ac:dyDescent="0.4">
      <c r="A221" s="13" t="s">
        <v>2324</v>
      </c>
      <c r="B221" s="55" t="s">
        <v>2325</v>
      </c>
      <c r="C221" s="13" t="s">
        <v>70</v>
      </c>
      <c r="D221" s="59">
        <v>46478</v>
      </c>
      <c r="E221" s="6">
        <v>0</v>
      </c>
      <c r="F221" s="13">
        <v>86</v>
      </c>
      <c r="H221" s="20"/>
    </row>
    <row r="222" spans="1:8" x14ac:dyDescent="0.4">
      <c r="A222" s="13" t="s">
        <v>2324</v>
      </c>
      <c r="B222" s="55" t="s">
        <v>2325</v>
      </c>
      <c r="C222" s="13" t="s">
        <v>50</v>
      </c>
      <c r="D222" s="59">
        <v>46478</v>
      </c>
      <c r="E222" s="6">
        <v>0</v>
      </c>
      <c r="F222" s="13">
        <v>108</v>
      </c>
      <c r="H222" s="20"/>
    </row>
    <row r="223" spans="1:8" x14ac:dyDescent="0.4">
      <c r="A223" s="13" t="s">
        <v>2324</v>
      </c>
      <c r="B223" s="55" t="s">
        <v>2325</v>
      </c>
      <c r="C223" s="13" t="s">
        <v>5133</v>
      </c>
      <c r="D223" s="59">
        <v>46478</v>
      </c>
      <c r="E223" s="6">
        <v>28305</v>
      </c>
      <c r="F223" s="13">
        <v>130</v>
      </c>
      <c r="H223" s="20"/>
    </row>
    <row r="224" spans="1:8" x14ac:dyDescent="0.4">
      <c r="A224" s="13" t="s">
        <v>2324</v>
      </c>
      <c r="B224" s="13" t="s">
        <v>2345</v>
      </c>
      <c r="C224" s="10" t="s">
        <v>25</v>
      </c>
      <c r="D224" s="59">
        <v>46478</v>
      </c>
      <c r="E224" s="6">
        <v>0</v>
      </c>
      <c r="F224" s="13">
        <v>153</v>
      </c>
      <c r="H224" s="20"/>
    </row>
    <row r="225" spans="1:8" x14ac:dyDescent="0.4">
      <c r="A225" s="13" t="s">
        <v>2324</v>
      </c>
      <c r="B225" s="13" t="s">
        <v>2345</v>
      </c>
      <c r="C225" s="13" t="s">
        <v>44</v>
      </c>
      <c r="D225" s="59">
        <v>46478</v>
      </c>
      <c r="E225" s="6">
        <v>0</v>
      </c>
      <c r="F225" s="54">
        <v>175</v>
      </c>
      <c r="H225" s="20"/>
    </row>
    <row r="226" spans="1:8" x14ac:dyDescent="0.4">
      <c r="A226" s="13" t="s">
        <v>2324</v>
      </c>
      <c r="B226" s="13" t="s">
        <v>2345</v>
      </c>
      <c r="C226" s="13" t="s">
        <v>1944</v>
      </c>
      <c r="D226" s="59">
        <v>46478</v>
      </c>
      <c r="E226" s="6">
        <v>220779</v>
      </c>
      <c r="F226" s="13">
        <v>197</v>
      </c>
      <c r="H226" s="20"/>
    </row>
    <row r="227" spans="1:8" x14ac:dyDescent="0.4">
      <c r="A227" s="13" t="s">
        <v>2324</v>
      </c>
      <c r="B227" s="13" t="s">
        <v>2345</v>
      </c>
      <c r="C227" s="13" t="s">
        <v>70</v>
      </c>
      <c r="D227" s="59">
        <v>46478</v>
      </c>
      <c r="E227" s="6">
        <v>0</v>
      </c>
      <c r="F227" s="54">
        <v>220</v>
      </c>
      <c r="H227" s="20"/>
    </row>
    <row r="228" spans="1:8" x14ac:dyDescent="0.4">
      <c r="A228" s="13" t="s">
        <v>2324</v>
      </c>
      <c r="B228" s="13" t="s">
        <v>2345</v>
      </c>
      <c r="C228" s="13" t="s">
        <v>50</v>
      </c>
      <c r="D228" s="59">
        <v>46478</v>
      </c>
      <c r="E228" s="6">
        <v>0</v>
      </c>
      <c r="F228" s="13">
        <v>242</v>
      </c>
      <c r="H228" s="20"/>
    </row>
    <row r="229" spans="1:8" x14ac:dyDescent="0.4">
      <c r="A229" s="13" t="s">
        <v>2324</v>
      </c>
      <c r="B229" s="13" t="s">
        <v>2345</v>
      </c>
      <c r="C229" s="13" t="s">
        <v>5133</v>
      </c>
      <c r="D229" s="59">
        <v>46478</v>
      </c>
      <c r="E229" s="6">
        <v>12737</v>
      </c>
      <c r="F229" s="13">
        <v>264</v>
      </c>
      <c r="H229" s="20"/>
    </row>
    <row r="230" spans="1:8" x14ac:dyDescent="0.4">
      <c r="A230" s="13" t="s">
        <v>2324</v>
      </c>
      <c r="B230" s="55" t="s">
        <v>2325</v>
      </c>
      <c r="C230" s="10" t="s">
        <v>25</v>
      </c>
      <c r="D230" s="59">
        <v>46508</v>
      </c>
      <c r="E230" s="6">
        <v>0</v>
      </c>
      <c r="F230" s="13">
        <v>20</v>
      </c>
      <c r="H230" s="20"/>
    </row>
    <row r="231" spans="1:8" x14ac:dyDescent="0.4">
      <c r="A231" s="13" t="s">
        <v>2324</v>
      </c>
      <c r="B231" s="55" t="s">
        <v>2325</v>
      </c>
      <c r="C231" s="13" t="s">
        <v>44</v>
      </c>
      <c r="D231" s="59">
        <v>46508</v>
      </c>
      <c r="E231" s="6">
        <v>0</v>
      </c>
      <c r="F231" s="13">
        <v>42</v>
      </c>
      <c r="H231" s="20"/>
    </row>
    <row r="232" spans="1:8" x14ac:dyDescent="0.4">
      <c r="A232" s="13" t="s">
        <v>2324</v>
      </c>
      <c r="B232" s="55" t="s">
        <v>2325</v>
      </c>
      <c r="C232" s="13" t="s">
        <v>1944</v>
      </c>
      <c r="D232" s="59">
        <v>46508</v>
      </c>
      <c r="E232" s="6">
        <v>434010</v>
      </c>
      <c r="F232" s="13">
        <v>64</v>
      </c>
      <c r="H232" s="20"/>
    </row>
    <row r="233" spans="1:8" x14ac:dyDescent="0.4">
      <c r="A233" s="13" t="s">
        <v>2324</v>
      </c>
      <c r="B233" s="55" t="s">
        <v>2325</v>
      </c>
      <c r="C233" s="13" t="s">
        <v>70</v>
      </c>
      <c r="D233" s="59">
        <v>46508</v>
      </c>
      <c r="E233" s="6">
        <v>0</v>
      </c>
      <c r="F233" s="54">
        <v>87</v>
      </c>
      <c r="H233" s="20"/>
    </row>
    <row r="234" spans="1:8" x14ac:dyDescent="0.4">
      <c r="A234" s="13" t="s">
        <v>2324</v>
      </c>
      <c r="B234" s="55" t="s">
        <v>2325</v>
      </c>
      <c r="C234" s="13" t="s">
        <v>50</v>
      </c>
      <c r="D234" s="59">
        <v>46508</v>
      </c>
      <c r="E234" s="6">
        <v>0</v>
      </c>
      <c r="F234" s="54">
        <v>109</v>
      </c>
      <c r="H234" s="20"/>
    </row>
    <row r="235" spans="1:8" x14ac:dyDescent="0.4">
      <c r="A235" s="13" t="s">
        <v>2324</v>
      </c>
      <c r="B235" s="55" t="s">
        <v>2325</v>
      </c>
      <c r="C235" s="13" t="s">
        <v>5133</v>
      </c>
      <c r="D235" s="59">
        <v>46508</v>
      </c>
      <c r="E235" s="6">
        <v>28305</v>
      </c>
      <c r="F235" s="54">
        <v>131</v>
      </c>
      <c r="H235" s="20"/>
    </row>
    <row r="236" spans="1:8" x14ac:dyDescent="0.4">
      <c r="A236" s="13" t="s">
        <v>2324</v>
      </c>
      <c r="B236" s="13" t="s">
        <v>2345</v>
      </c>
      <c r="C236" s="10" t="s">
        <v>25</v>
      </c>
      <c r="D236" s="59">
        <v>46508</v>
      </c>
      <c r="E236" s="6">
        <v>0</v>
      </c>
      <c r="F236" s="54">
        <v>154</v>
      </c>
      <c r="H236" s="20"/>
    </row>
    <row r="237" spans="1:8" x14ac:dyDescent="0.4">
      <c r="A237" s="13" t="s">
        <v>2324</v>
      </c>
      <c r="B237" s="13" t="s">
        <v>2345</v>
      </c>
      <c r="C237" s="13" t="s">
        <v>44</v>
      </c>
      <c r="D237" s="59">
        <v>46508</v>
      </c>
      <c r="E237" s="6">
        <v>0</v>
      </c>
      <c r="F237" s="13">
        <v>176</v>
      </c>
      <c r="H237" s="20"/>
    </row>
    <row r="238" spans="1:8" x14ac:dyDescent="0.4">
      <c r="A238" s="13" t="s">
        <v>2324</v>
      </c>
      <c r="B238" s="13" t="s">
        <v>2345</v>
      </c>
      <c r="C238" s="13" t="s">
        <v>1944</v>
      </c>
      <c r="D238" s="59">
        <v>46508</v>
      </c>
      <c r="E238" s="6">
        <v>195305</v>
      </c>
      <c r="F238" s="13">
        <v>198</v>
      </c>
      <c r="H238" s="20"/>
    </row>
    <row r="239" spans="1:8" x14ac:dyDescent="0.4">
      <c r="A239" s="13" t="s">
        <v>2324</v>
      </c>
      <c r="B239" s="13" t="s">
        <v>2345</v>
      </c>
      <c r="C239" s="13" t="s">
        <v>70</v>
      </c>
      <c r="D239" s="59">
        <v>46508</v>
      </c>
      <c r="E239" s="6">
        <v>0</v>
      </c>
      <c r="F239" s="13">
        <v>221</v>
      </c>
      <c r="H239" s="20"/>
    </row>
    <row r="240" spans="1:8" x14ac:dyDescent="0.4">
      <c r="A240" s="13" t="s">
        <v>2324</v>
      </c>
      <c r="B240" s="13" t="s">
        <v>2345</v>
      </c>
      <c r="C240" s="13" t="s">
        <v>50</v>
      </c>
      <c r="D240" s="59">
        <v>46508</v>
      </c>
      <c r="E240" s="6">
        <v>0</v>
      </c>
      <c r="F240" s="13">
        <v>243</v>
      </c>
      <c r="H240" s="20"/>
    </row>
    <row r="241" spans="1:8" x14ac:dyDescent="0.4">
      <c r="A241" s="13" t="s">
        <v>2324</v>
      </c>
      <c r="B241" s="13" t="s">
        <v>2345</v>
      </c>
      <c r="C241" s="13" t="s">
        <v>5133</v>
      </c>
      <c r="D241" s="59">
        <v>46508</v>
      </c>
      <c r="E241" s="6">
        <v>12737</v>
      </c>
      <c r="F241" s="54">
        <v>265</v>
      </c>
      <c r="H241" s="20"/>
    </row>
    <row r="242" spans="1:8" x14ac:dyDescent="0.4">
      <c r="A242" s="13" t="s">
        <v>2324</v>
      </c>
      <c r="B242" s="55" t="s">
        <v>2325</v>
      </c>
      <c r="C242" s="10" t="s">
        <v>25</v>
      </c>
      <c r="D242" s="59">
        <v>46539</v>
      </c>
      <c r="E242" s="6">
        <v>0</v>
      </c>
      <c r="F242" s="54">
        <v>21</v>
      </c>
      <c r="H242" s="20"/>
    </row>
    <row r="243" spans="1:8" x14ac:dyDescent="0.4">
      <c r="A243" s="13" t="s">
        <v>2324</v>
      </c>
      <c r="B243" s="55" t="s">
        <v>2325</v>
      </c>
      <c r="C243" s="13" t="s">
        <v>44</v>
      </c>
      <c r="D243" s="59">
        <v>46539</v>
      </c>
      <c r="E243" s="6">
        <v>0</v>
      </c>
      <c r="F243" s="54">
        <v>43</v>
      </c>
      <c r="H243" s="20"/>
    </row>
    <row r="244" spans="1:8" x14ac:dyDescent="0.4">
      <c r="A244" s="13" t="s">
        <v>2324</v>
      </c>
      <c r="B244" s="55" t="s">
        <v>2325</v>
      </c>
      <c r="C244" s="13" t="s">
        <v>1944</v>
      </c>
      <c r="D244" s="59">
        <v>46539</v>
      </c>
      <c r="E244" s="6">
        <v>377400</v>
      </c>
      <c r="F244" s="54">
        <v>65</v>
      </c>
      <c r="H244" s="20"/>
    </row>
    <row r="245" spans="1:8" x14ac:dyDescent="0.4">
      <c r="A245" s="13" t="s">
        <v>2324</v>
      </c>
      <c r="B245" s="55" t="s">
        <v>2325</v>
      </c>
      <c r="C245" s="13" t="s">
        <v>70</v>
      </c>
      <c r="D245" s="59">
        <v>46539</v>
      </c>
      <c r="E245" s="6">
        <v>0</v>
      </c>
      <c r="F245" s="13">
        <v>88</v>
      </c>
      <c r="H245" s="20"/>
    </row>
    <row r="246" spans="1:8" x14ac:dyDescent="0.4">
      <c r="A246" s="13" t="s">
        <v>2324</v>
      </c>
      <c r="B246" s="55" t="s">
        <v>2325</v>
      </c>
      <c r="C246" s="13" t="s">
        <v>50</v>
      </c>
      <c r="D246" s="59">
        <v>46539</v>
      </c>
      <c r="E246" s="6">
        <v>0</v>
      </c>
      <c r="F246" s="13">
        <v>110</v>
      </c>
      <c r="H246" s="20"/>
    </row>
    <row r="247" spans="1:8" x14ac:dyDescent="0.4">
      <c r="A247" s="13" t="s">
        <v>2324</v>
      </c>
      <c r="B247" s="55" t="s">
        <v>2325</v>
      </c>
      <c r="C247" s="13" t="s">
        <v>5133</v>
      </c>
      <c r="D247" s="59">
        <v>46539</v>
      </c>
      <c r="E247" s="6">
        <v>28305</v>
      </c>
      <c r="F247" s="13">
        <v>132</v>
      </c>
      <c r="H247" s="20"/>
    </row>
    <row r="248" spans="1:8" x14ac:dyDescent="0.4">
      <c r="A248" s="13" t="s">
        <v>2324</v>
      </c>
      <c r="B248" s="13" t="s">
        <v>2345</v>
      </c>
      <c r="C248" s="10" t="s">
        <v>25</v>
      </c>
      <c r="D248" s="59">
        <v>46539</v>
      </c>
      <c r="E248" s="6">
        <v>0</v>
      </c>
      <c r="F248" s="13">
        <v>155</v>
      </c>
      <c r="H248" s="20"/>
    </row>
    <row r="249" spans="1:8" x14ac:dyDescent="0.4">
      <c r="A249" s="13" t="s">
        <v>2324</v>
      </c>
      <c r="B249" s="13" t="s">
        <v>2345</v>
      </c>
      <c r="C249" s="13" t="s">
        <v>44</v>
      </c>
      <c r="D249" s="59">
        <v>46539</v>
      </c>
      <c r="E249" s="6">
        <v>0</v>
      </c>
      <c r="F249" s="13">
        <v>177</v>
      </c>
      <c r="H249" s="20"/>
    </row>
    <row r="250" spans="1:8" x14ac:dyDescent="0.4">
      <c r="A250" s="13" t="s">
        <v>2324</v>
      </c>
      <c r="B250" s="13" t="s">
        <v>2345</v>
      </c>
      <c r="C250" s="13" t="s">
        <v>1944</v>
      </c>
      <c r="D250" s="59">
        <v>46539</v>
      </c>
      <c r="E250" s="6">
        <v>169830</v>
      </c>
      <c r="F250" s="54">
        <v>199</v>
      </c>
      <c r="H250" s="20"/>
    </row>
    <row r="251" spans="1:8" x14ac:dyDescent="0.4">
      <c r="A251" s="13" t="s">
        <v>2324</v>
      </c>
      <c r="B251" s="13" t="s">
        <v>2345</v>
      </c>
      <c r="C251" s="13" t="s">
        <v>70</v>
      </c>
      <c r="D251" s="59">
        <v>46539</v>
      </c>
      <c r="E251" s="6">
        <v>0</v>
      </c>
      <c r="F251" s="13">
        <v>222</v>
      </c>
      <c r="H251" s="20"/>
    </row>
    <row r="252" spans="1:8" x14ac:dyDescent="0.4">
      <c r="A252" s="13" t="s">
        <v>2324</v>
      </c>
      <c r="B252" s="13" t="s">
        <v>2345</v>
      </c>
      <c r="C252" s="13" t="s">
        <v>50</v>
      </c>
      <c r="D252" s="59">
        <v>46539</v>
      </c>
      <c r="E252" s="6">
        <v>0</v>
      </c>
      <c r="F252" s="54">
        <v>244</v>
      </c>
      <c r="H252" s="20"/>
    </row>
    <row r="253" spans="1:8" x14ac:dyDescent="0.4">
      <c r="A253" s="13" t="s">
        <v>2324</v>
      </c>
      <c r="B253" s="13" t="s">
        <v>2345</v>
      </c>
      <c r="C253" s="13" t="s">
        <v>5133</v>
      </c>
      <c r="D253" s="59">
        <v>46539</v>
      </c>
      <c r="E253" s="6">
        <v>12737</v>
      </c>
      <c r="F253" s="13">
        <v>266</v>
      </c>
      <c r="H253" s="20"/>
    </row>
    <row r="254" spans="1:8" x14ac:dyDescent="0.4">
      <c r="A254" s="13" t="s">
        <v>2324</v>
      </c>
      <c r="B254" s="55" t="s">
        <v>2325</v>
      </c>
      <c r="C254" s="10" t="s">
        <v>25</v>
      </c>
      <c r="D254" s="59">
        <v>46569</v>
      </c>
      <c r="E254" s="6">
        <v>0</v>
      </c>
      <c r="F254" s="13">
        <v>22</v>
      </c>
      <c r="H254" s="20"/>
    </row>
    <row r="255" spans="1:8" x14ac:dyDescent="0.4">
      <c r="A255" s="13" t="s">
        <v>2324</v>
      </c>
      <c r="B255" s="55" t="s">
        <v>2325</v>
      </c>
      <c r="C255" s="13" t="s">
        <v>44</v>
      </c>
      <c r="D255" s="59">
        <v>46569</v>
      </c>
      <c r="E255" s="6">
        <v>0</v>
      </c>
      <c r="F255" s="13">
        <v>44</v>
      </c>
      <c r="H255" s="20"/>
    </row>
    <row r="256" spans="1:8" x14ac:dyDescent="0.4">
      <c r="A256" s="13" t="s">
        <v>2324</v>
      </c>
      <c r="B256" s="55" t="s">
        <v>2325</v>
      </c>
      <c r="C256" s="13" t="s">
        <v>1944</v>
      </c>
      <c r="D256" s="59">
        <v>46569</v>
      </c>
      <c r="E256" s="6">
        <v>358530</v>
      </c>
      <c r="F256" s="13">
        <v>66</v>
      </c>
      <c r="H256" s="20"/>
    </row>
    <row r="257" spans="1:8" x14ac:dyDescent="0.4">
      <c r="A257" s="13" t="s">
        <v>2324</v>
      </c>
      <c r="B257" s="55" t="s">
        <v>2325</v>
      </c>
      <c r="C257" s="13" t="s">
        <v>70</v>
      </c>
      <c r="D257" s="59">
        <v>46569</v>
      </c>
      <c r="E257" s="6">
        <v>0</v>
      </c>
      <c r="F257" s="54">
        <v>89</v>
      </c>
      <c r="H257" s="20"/>
    </row>
    <row r="258" spans="1:8" x14ac:dyDescent="0.4">
      <c r="A258" s="13" t="s">
        <v>2324</v>
      </c>
      <c r="B258" s="55" t="s">
        <v>2325</v>
      </c>
      <c r="C258" s="13" t="s">
        <v>50</v>
      </c>
      <c r="D258" s="59">
        <v>46569</v>
      </c>
      <c r="E258" s="6">
        <v>0</v>
      </c>
      <c r="F258" s="54">
        <v>111</v>
      </c>
      <c r="H258" s="20"/>
    </row>
    <row r="259" spans="1:8" x14ac:dyDescent="0.4">
      <c r="A259" s="13" t="s">
        <v>2324</v>
      </c>
      <c r="B259" s="55" t="s">
        <v>2325</v>
      </c>
      <c r="C259" s="13" t="s">
        <v>5133</v>
      </c>
      <c r="D259" s="59">
        <v>46569</v>
      </c>
      <c r="E259" s="6">
        <v>28305</v>
      </c>
      <c r="F259" s="54">
        <v>133</v>
      </c>
      <c r="H259" s="20"/>
    </row>
    <row r="260" spans="1:8" x14ac:dyDescent="0.4">
      <c r="A260" s="13" t="s">
        <v>2324</v>
      </c>
      <c r="B260" s="13" t="s">
        <v>2345</v>
      </c>
      <c r="C260" s="10" t="s">
        <v>25</v>
      </c>
      <c r="D260" s="59">
        <v>46569</v>
      </c>
      <c r="E260" s="6">
        <v>0</v>
      </c>
      <c r="F260" s="13">
        <v>156</v>
      </c>
      <c r="H260" s="20"/>
    </row>
    <row r="261" spans="1:8" x14ac:dyDescent="0.4">
      <c r="A261" s="13" t="s">
        <v>2324</v>
      </c>
      <c r="B261" s="13" t="s">
        <v>2345</v>
      </c>
      <c r="C261" s="13" t="s">
        <v>44</v>
      </c>
      <c r="D261" s="59">
        <v>46569</v>
      </c>
      <c r="E261" s="6">
        <v>0</v>
      </c>
      <c r="F261" s="54">
        <v>178</v>
      </c>
      <c r="H261" s="20"/>
    </row>
    <row r="262" spans="1:8" x14ac:dyDescent="0.4">
      <c r="A262" s="13" t="s">
        <v>2324</v>
      </c>
      <c r="B262" s="13" t="s">
        <v>2345</v>
      </c>
      <c r="C262" s="13" t="s">
        <v>1944</v>
      </c>
      <c r="D262" s="59">
        <v>46569</v>
      </c>
      <c r="E262" s="6">
        <v>161339</v>
      </c>
      <c r="F262" s="13">
        <v>200</v>
      </c>
      <c r="H262" s="20"/>
    </row>
    <row r="263" spans="1:8" x14ac:dyDescent="0.4">
      <c r="A263" s="13" t="s">
        <v>2324</v>
      </c>
      <c r="B263" s="13" t="s">
        <v>2345</v>
      </c>
      <c r="C263" s="13" t="s">
        <v>70</v>
      </c>
      <c r="D263" s="59">
        <v>46569</v>
      </c>
      <c r="E263" s="6">
        <v>0</v>
      </c>
      <c r="F263" s="54">
        <v>223</v>
      </c>
      <c r="H263" s="20"/>
    </row>
    <row r="264" spans="1:8" x14ac:dyDescent="0.4">
      <c r="A264" s="13" t="s">
        <v>2324</v>
      </c>
      <c r="B264" s="13" t="s">
        <v>2345</v>
      </c>
      <c r="C264" s="13" t="s">
        <v>50</v>
      </c>
      <c r="D264" s="59">
        <v>46569</v>
      </c>
      <c r="E264" s="6">
        <v>0</v>
      </c>
      <c r="F264" s="13">
        <v>245</v>
      </c>
      <c r="H264" s="20"/>
    </row>
    <row r="265" spans="1:8" x14ac:dyDescent="0.4">
      <c r="A265" s="13" t="s">
        <v>2324</v>
      </c>
      <c r="B265" s="13" t="s">
        <v>2345</v>
      </c>
      <c r="C265" s="13" t="s">
        <v>5133</v>
      </c>
      <c r="D265" s="59">
        <v>46569</v>
      </c>
      <c r="E265" s="6">
        <v>12737</v>
      </c>
      <c r="F265" s="13">
        <v>267</v>
      </c>
      <c r="H265" s="20"/>
    </row>
    <row r="266" spans="1:8" x14ac:dyDescent="0.4">
      <c r="A266" s="13" t="s">
        <v>2324</v>
      </c>
      <c r="B266" s="55" t="s">
        <v>2325</v>
      </c>
      <c r="C266" s="13" t="s">
        <v>1944</v>
      </c>
      <c r="D266" s="59">
        <v>46600</v>
      </c>
      <c r="E266" s="6">
        <v>349095</v>
      </c>
      <c r="F266" s="54">
        <v>67</v>
      </c>
      <c r="H266" s="20"/>
    </row>
    <row r="267" spans="1:8" x14ac:dyDescent="0.4">
      <c r="A267" s="13" t="s">
        <v>2324</v>
      </c>
      <c r="B267" s="55" t="s">
        <v>2325</v>
      </c>
      <c r="C267" s="13" t="s">
        <v>5133</v>
      </c>
      <c r="D267" s="59">
        <v>46600</v>
      </c>
      <c r="E267" s="6">
        <v>28305</v>
      </c>
      <c r="F267" s="13">
        <v>134</v>
      </c>
      <c r="H267" s="20"/>
    </row>
    <row r="268" spans="1:8" x14ac:dyDescent="0.4">
      <c r="A268" s="13" t="s">
        <v>2324</v>
      </c>
      <c r="B268" s="13" t="s">
        <v>2345</v>
      </c>
      <c r="C268" s="13" t="s">
        <v>1944</v>
      </c>
      <c r="D268" s="59">
        <v>46600</v>
      </c>
      <c r="E268" s="6">
        <v>157093</v>
      </c>
      <c r="F268" s="13">
        <v>201</v>
      </c>
      <c r="H268" s="20"/>
    </row>
    <row r="269" spans="1:8" x14ac:dyDescent="0.4">
      <c r="A269" s="13" t="s">
        <v>2324</v>
      </c>
      <c r="B269" s="13" t="s">
        <v>2345</v>
      </c>
      <c r="C269" s="13" t="s">
        <v>5133</v>
      </c>
      <c r="D269" s="59">
        <v>46600</v>
      </c>
      <c r="E269" s="6">
        <v>12737</v>
      </c>
      <c r="F269" s="54">
        <v>268</v>
      </c>
      <c r="H269" s="20"/>
    </row>
    <row r="270" spans="1:8" x14ac:dyDescent="0.4">
      <c r="H270" s="20"/>
    </row>
  </sheetData>
  <autoFilter ref="A1:F269" xr:uid="{A7968950-1E17-4EEB-9DD6-438AAB44A081}">
    <sortState xmlns:xlrd2="http://schemas.microsoft.com/office/spreadsheetml/2017/richdata2" ref="A2:F269">
      <sortCondition ref="D1:D269"/>
    </sortState>
  </autoFilter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3061-5FAB-4432-807D-D3F2DA934EBB}">
  <sheetPr>
    <tabColor theme="7" tint="0.59999389629810485"/>
  </sheetPr>
  <dimension ref="A1:F269"/>
  <sheetViews>
    <sheetView topLeftCell="A251" zoomScale="70" zoomScaleNormal="70" workbookViewId="0">
      <selection activeCell="I277" sqref="I277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bestFit="1" customWidth="1"/>
    <col min="5" max="5" width="9.5" bestFit="1" customWidth="1"/>
    <col min="6" max="6" width="4.5" bestFit="1" customWidth="1"/>
    <col min="8" max="8" width="11.5" customWidth="1"/>
    <col min="9" max="9" width="10.625" bestFit="1" customWidth="1"/>
  </cols>
  <sheetData>
    <row r="1" spans="1:6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</row>
    <row r="2" spans="1:6" x14ac:dyDescent="0.4">
      <c r="A2" s="13" t="s">
        <v>2324</v>
      </c>
      <c r="B2" s="55" t="s">
        <v>2325</v>
      </c>
      <c r="C2" s="10" t="s">
        <v>25</v>
      </c>
      <c r="D2" s="59">
        <v>45931</v>
      </c>
      <c r="E2" s="6">
        <v>0</v>
      </c>
      <c r="F2" s="54">
        <v>1</v>
      </c>
    </row>
    <row r="3" spans="1:6" x14ac:dyDescent="0.4">
      <c r="A3" s="13" t="s">
        <v>2324</v>
      </c>
      <c r="B3" s="55" t="s">
        <v>2325</v>
      </c>
      <c r="C3" s="10" t="s">
        <v>25</v>
      </c>
      <c r="D3" s="59">
        <v>45962</v>
      </c>
      <c r="E3" s="6">
        <v>297000</v>
      </c>
      <c r="F3" s="13">
        <v>2</v>
      </c>
    </row>
    <row r="4" spans="1:6" x14ac:dyDescent="0.4">
      <c r="A4" s="13" t="s">
        <v>2324</v>
      </c>
      <c r="B4" s="55" t="s">
        <v>2325</v>
      </c>
      <c r="C4" s="10" t="s">
        <v>25</v>
      </c>
      <c r="D4" s="59">
        <v>45992</v>
      </c>
      <c r="E4" s="6">
        <v>336600</v>
      </c>
      <c r="F4" s="54">
        <v>3</v>
      </c>
    </row>
    <row r="5" spans="1:6" x14ac:dyDescent="0.4">
      <c r="A5" s="13" t="s">
        <v>2324</v>
      </c>
      <c r="B5" s="55" t="s">
        <v>2325</v>
      </c>
      <c r="C5" s="10" t="s">
        <v>25</v>
      </c>
      <c r="D5" s="59">
        <v>46023</v>
      </c>
      <c r="E5" s="6">
        <v>1306800</v>
      </c>
      <c r="F5" s="13">
        <v>4</v>
      </c>
    </row>
    <row r="6" spans="1:6" x14ac:dyDescent="0.4">
      <c r="A6" s="13" t="s">
        <v>2324</v>
      </c>
      <c r="B6" s="55" t="s">
        <v>2325</v>
      </c>
      <c r="C6" s="10" t="s">
        <v>25</v>
      </c>
      <c r="D6" s="59">
        <v>46054</v>
      </c>
      <c r="E6" s="6">
        <v>1049400</v>
      </c>
      <c r="F6" s="54">
        <v>5</v>
      </c>
    </row>
    <row r="7" spans="1:6" x14ac:dyDescent="0.4">
      <c r="A7" s="13" t="s">
        <v>2324</v>
      </c>
      <c r="B7" s="55" t="s">
        <v>2325</v>
      </c>
      <c r="C7" s="10" t="s">
        <v>25</v>
      </c>
      <c r="D7" s="59">
        <v>46082</v>
      </c>
      <c r="E7" s="6">
        <v>1009800</v>
      </c>
      <c r="F7" s="13">
        <v>6</v>
      </c>
    </row>
    <row r="8" spans="1:6" x14ac:dyDescent="0.4">
      <c r="A8" s="13" t="s">
        <v>2324</v>
      </c>
      <c r="B8" s="55" t="s">
        <v>2325</v>
      </c>
      <c r="C8" s="10" t="s">
        <v>25</v>
      </c>
      <c r="D8" s="59">
        <v>46113</v>
      </c>
      <c r="E8" s="6">
        <v>39600</v>
      </c>
      <c r="F8" s="54">
        <v>7</v>
      </c>
    </row>
    <row r="9" spans="1:6" x14ac:dyDescent="0.4">
      <c r="A9" s="13" t="s">
        <v>2324</v>
      </c>
      <c r="B9" s="55" t="s">
        <v>2325</v>
      </c>
      <c r="C9" s="10" t="s">
        <v>25</v>
      </c>
      <c r="D9" s="59">
        <v>46143</v>
      </c>
      <c r="E9" s="6">
        <v>0</v>
      </c>
      <c r="F9" s="13">
        <v>8</v>
      </c>
    </row>
    <row r="10" spans="1:6" x14ac:dyDescent="0.4">
      <c r="A10" s="13" t="s">
        <v>2324</v>
      </c>
      <c r="B10" s="55" t="s">
        <v>2325</v>
      </c>
      <c r="C10" s="10" t="s">
        <v>25</v>
      </c>
      <c r="D10" s="59">
        <v>46174</v>
      </c>
      <c r="E10" s="6">
        <v>0</v>
      </c>
      <c r="F10" s="54">
        <v>9</v>
      </c>
    </row>
    <row r="11" spans="1:6" x14ac:dyDescent="0.4">
      <c r="A11" s="13" t="s">
        <v>2324</v>
      </c>
      <c r="B11" s="55" t="s">
        <v>2325</v>
      </c>
      <c r="C11" s="10" t="s">
        <v>25</v>
      </c>
      <c r="D11" s="59">
        <v>46204</v>
      </c>
      <c r="E11" s="6">
        <v>0</v>
      </c>
      <c r="F11" s="13">
        <v>10</v>
      </c>
    </row>
    <row r="12" spans="1:6" x14ac:dyDescent="0.4">
      <c r="A12" s="13" t="s">
        <v>2324</v>
      </c>
      <c r="B12" s="55" t="s">
        <v>2325</v>
      </c>
      <c r="C12" s="10" t="s">
        <v>25</v>
      </c>
      <c r="D12" s="59">
        <v>46235</v>
      </c>
      <c r="E12" s="6">
        <v>0</v>
      </c>
      <c r="F12" s="54">
        <v>11</v>
      </c>
    </row>
    <row r="13" spans="1:6" x14ac:dyDescent="0.4">
      <c r="A13" s="13" t="s">
        <v>2324</v>
      </c>
      <c r="B13" s="55" t="s">
        <v>2325</v>
      </c>
      <c r="C13" s="10" t="s">
        <v>25</v>
      </c>
      <c r="D13" s="59">
        <v>46266</v>
      </c>
      <c r="E13" s="6">
        <v>0</v>
      </c>
      <c r="F13" s="13">
        <v>12</v>
      </c>
    </row>
    <row r="14" spans="1:6" x14ac:dyDescent="0.4">
      <c r="A14" s="13" t="s">
        <v>2324</v>
      </c>
      <c r="B14" s="55" t="s">
        <v>2325</v>
      </c>
      <c r="C14" s="10" t="s">
        <v>25</v>
      </c>
      <c r="D14" s="59">
        <v>46296</v>
      </c>
      <c r="E14" s="6">
        <v>0</v>
      </c>
      <c r="F14" s="54">
        <v>13</v>
      </c>
    </row>
    <row r="15" spans="1:6" x14ac:dyDescent="0.4">
      <c r="A15" s="13" t="s">
        <v>2324</v>
      </c>
      <c r="B15" s="55" t="s">
        <v>2325</v>
      </c>
      <c r="C15" s="10" t="s">
        <v>25</v>
      </c>
      <c r="D15" s="59">
        <v>46327</v>
      </c>
      <c r="E15" s="6">
        <v>0</v>
      </c>
      <c r="F15" s="13">
        <v>14</v>
      </c>
    </row>
    <row r="16" spans="1:6" x14ac:dyDescent="0.4">
      <c r="A16" s="13" t="s">
        <v>2324</v>
      </c>
      <c r="B16" s="55" t="s">
        <v>2325</v>
      </c>
      <c r="C16" s="10" t="s">
        <v>25</v>
      </c>
      <c r="D16" s="59">
        <v>46357</v>
      </c>
      <c r="E16" s="6">
        <v>0</v>
      </c>
      <c r="F16" s="54">
        <v>15</v>
      </c>
    </row>
    <row r="17" spans="1:6" x14ac:dyDescent="0.4">
      <c r="A17" s="13" t="s">
        <v>2324</v>
      </c>
      <c r="B17" s="55" t="s">
        <v>2325</v>
      </c>
      <c r="C17" s="10" t="s">
        <v>25</v>
      </c>
      <c r="D17" s="59">
        <v>46388</v>
      </c>
      <c r="E17" s="6">
        <v>0</v>
      </c>
      <c r="F17" s="13">
        <v>16</v>
      </c>
    </row>
    <row r="18" spans="1:6" x14ac:dyDescent="0.4">
      <c r="A18" s="13" t="s">
        <v>2324</v>
      </c>
      <c r="B18" s="55" t="s">
        <v>2325</v>
      </c>
      <c r="C18" s="10" t="s">
        <v>25</v>
      </c>
      <c r="D18" s="59">
        <v>46419</v>
      </c>
      <c r="E18" s="6">
        <v>0</v>
      </c>
      <c r="F18" s="54">
        <v>17</v>
      </c>
    </row>
    <row r="19" spans="1:6" x14ac:dyDescent="0.4">
      <c r="A19" s="13" t="s">
        <v>2324</v>
      </c>
      <c r="B19" s="55" t="s">
        <v>2325</v>
      </c>
      <c r="C19" s="10" t="s">
        <v>25</v>
      </c>
      <c r="D19" s="59">
        <v>46447</v>
      </c>
      <c r="E19" s="6">
        <v>0</v>
      </c>
      <c r="F19" s="13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46478</v>
      </c>
      <c r="E20" s="6">
        <v>0</v>
      </c>
      <c r="F20" s="54">
        <v>19</v>
      </c>
    </row>
    <row r="21" spans="1:6" x14ac:dyDescent="0.4">
      <c r="A21" s="13" t="s">
        <v>2324</v>
      </c>
      <c r="B21" s="55" t="s">
        <v>2325</v>
      </c>
      <c r="C21" s="10" t="s">
        <v>25</v>
      </c>
      <c r="D21" s="59">
        <v>46508</v>
      </c>
      <c r="E21" s="6">
        <v>0</v>
      </c>
      <c r="F21" s="13">
        <v>20</v>
      </c>
    </row>
    <row r="22" spans="1:6" x14ac:dyDescent="0.4">
      <c r="A22" s="13" t="s">
        <v>2324</v>
      </c>
      <c r="B22" s="55" t="s">
        <v>2325</v>
      </c>
      <c r="C22" s="10" t="s">
        <v>25</v>
      </c>
      <c r="D22" s="59">
        <v>46539</v>
      </c>
      <c r="E22" s="6">
        <v>0</v>
      </c>
      <c r="F22" s="54">
        <v>21</v>
      </c>
    </row>
    <row r="23" spans="1:6" x14ac:dyDescent="0.4">
      <c r="A23" s="13" t="s">
        <v>2324</v>
      </c>
      <c r="B23" s="55" t="s">
        <v>2325</v>
      </c>
      <c r="C23" s="10" t="s">
        <v>25</v>
      </c>
      <c r="D23" s="59">
        <v>46569</v>
      </c>
      <c r="E23" s="6">
        <v>0</v>
      </c>
      <c r="F23" s="13">
        <v>22</v>
      </c>
    </row>
    <row r="24" spans="1:6" x14ac:dyDescent="0.4">
      <c r="A24" s="13" t="s">
        <v>2324</v>
      </c>
      <c r="B24" s="55" t="s">
        <v>2325</v>
      </c>
      <c r="C24" s="13" t="s">
        <v>44</v>
      </c>
      <c r="D24" s="59">
        <v>45931</v>
      </c>
      <c r="E24" s="6">
        <v>0</v>
      </c>
      <c r="F24" s="54">
        <v>23</v>
      </c>
    </row>
    <row r="25" spans="1:6" x14ac:dyDescent="0.4">
      <c r="A25" s="13" t="s">
        <v>2324</v>
      </c>
      <c r="B25" s="55" t="s">
        <v>2325</v>
      </c>
      <c r="C25" s="13" t="s">
        <v>44</v>
      </c>
      <c r="D25" s="59">
        <v>45962</v>
      </c>
      <c r="E25" s="6">
        <v>1905000</v>
      </c>
      <c r="F25" s="13">
        <v>24</v>
      </c>
    </row>
    <row r="26" spans="1:6" x14ac:dyDescent="0.4">
      <c r="A26" s="13" t="s">
        <v>2324</v>
      </c>
      <c r="B26" s="55" t="s">
        <v>2325</v>
      </c>
      <c r="C26" s="13" t="s">
        <v>44</v>
      </c>
      <c r="D26" s="59">
        <v>45992</v>
      </c>
      <c r="E26" s="6">
        <v>2038350</v>
      </c>
      <c r="F26" s="54">
        <v>25</v>
      </c>
    </row>
    <row r="27" spans="1:6" x14ac:dyDescent="0.4">
      <c r="A27" s="13" t="s">
        <v>2324</v>
      </c>
      <c r="B27" s="55" t="s">
        <v>2325</v>
      </c>
      <c r="C27" s="13" t="s">
        <v>44</v>
      </c>
      <c r="D27" s="59">
        <v>46023</v>
      </c>
      <c r="E27" s="6">
        <v>7067550</v>
      </c>
      <c r="F27" s="13">
        <v>26</v>
      </c>
    </row>
    <row r="28" spans="1:6" x14ac:dyDescent="0.4">
      <c r="A28" s="13" t="s">
        <v>2324</v>
      </c>
      <c r="B28" s="55" t="s">
        <v>2325</v>
      </c>
      <c r="C28" s="13" t="s">
        <v>44</v>
      </c>
      <c r="D28" s="59">
        <v>46054</v>
      </c>
      <c r="E28" s="6">
        <v>7181850</v>
      </c>
      <c r="F28" s="54">
        <v>27</v>
      </c>
    </row>
    <row r="29" spans="1:6" x14ac:dyDescent="0.4">
      <c r="A29" s="13" t="s">
        <v>2324</v>
      </c>
      <c r="B29" s="55" t="s">
        <v>2325</v>
      </c>
      <c r="C29" s="13" t="s">
        <v>44</v>
      </c>
      <c r="D29" s="59">
        <v>46082</v>
      </c>
      <c r="E29" s="6">
        <v>7315200</v>
      </c>
      <c r="F29" s="13">
        <v>28</v>
      </c>
    </row>
    <row r="30" spans="1:6" x14ac:dyDescent="0.4">
      <c r="A30" s="13" t="s">
        <v>2324</v>
      </c>
      <c r="B30" s="55" t="s">
        <v>2325</v>
      </c>
      <c r="C30" s="13" t="s">
        <v>44</v>
      </c>
      <c r="D30" s="59">
        <v>46113</v>
      </c>
      <c r="E30" s="6">
        <v>7524750</v>
      </c>
      <c r="F30" s="54">
        <v>29</v>
      </c>
    </row>
    <row r="31" spans="1:6" x14ac:dyDescent="0.4">
      <c r="A31" s="13" t="s">
        <v>2324</v>
      </c>
      <c r="B31" s="55" t="s">
        <v>2325</v>
      </c>
      <c r="C31" s="13" t="s">
        <v>44</v>
      </c>
      <c r="D31" s="59">
        <v>46143</v>
      </c>
      <c r="E31" s="6">
        <v>5619750</v>
      </c>
      <c r="F31" s="13">
        <v>30</v>
      </c>
    </row>
    <row r="32" spans="1:6" x14ac:dyDescent="0.4">
      <c r="A32" s="13" t="s">
        <v>2324</v>
      </c>
      <c r="B32" s="55" t="s">
        <v>2325</v>
      </c>
      <c r="C32" s="13" t="s">
        <v>44</v>
      </c>
      <c r="D32" s="59">
        <v>46174</v>
      </c>
      <c r="E32" s="6">
        <v>5486400</v>
      </c>
      <c r="F32" s="54">
        <v>31</v>
      </c>
    </row>
    <row r="33" spans="1:6" x14ac:dyDescent="0.4">
      <c r="A33" s="13" t="s">
        <v>2324</v>
      </c>
      <c r="B33" s="55" t="s">
        <v>2325</v>
      </c>
      <c r="C33" s="13" t="s">
        <v>44</v>
      </c>
      <c r="D33" s="59">
        <v>46204</v>
      </c>
      <c r="E33" s="6">
        <v>457200</v>
      </c>
      <c r="F33" s="13">
        <v>32</v>
      </c>
    </row>
    <row r="34" spans="1:6" x14ac:dyDescent="0.4">
      <c r="A34" s="13" t="s">
        <v>2324</v>
      </c>
      <c r="B34" s="55" t="s">
        <v>2325</v>
      </c>
      <c r="C34" s="13" t="s">
        <v>44</v>
      </c>
      <c r="D34" s="59">
        <v>46235</v>
      </c>
      <c r="E34" s="6">
        <v>342900</v>
      </c>
      <c r="F34" s="54">
        <v>33</v>
      </c>
    </row>
    <row r="35" spans="1:6" x14ac:dyDescent="0.4">
      <c r="A35" s="13" t="s">
        <v>2324</v>
      </c>
      <c r="B35" s="55" t="s">
        <v>2325</v>
      </c>
      <c r="C35" s="13" t="s">
        <v>44</v>
      </c>
      <c r="D35" s="59">
        <v>46266</v>
      </c>
      <c r="E35" s="6">
        <v>209550</v>
      </c>
      <c r="F35" s="13">
        <v>34</v>
      </c>
    </row>
    <row r="36" spans="1:6" x14ac:dyDescent="0.4">
      <c r="A36" s="13" t="s">
        <v>2324</v>
      </c>
      <c r="B36" s="55" t="s">
        <v>2325</v>
      </c>
      <c r="C36" s="13" t="s">
        <v>44</v>
      </c>
      <c r="D36" s="59">
        <v>46296</v>
      </c>
      <c r="E36" s="6">
        <v>0</v>
      </c>
      <c r="F36" s="54">
        <v>35</v>
      </c>
    </row>
    <row r="37" spans="1:6" x14ac:dyDescent="0.4">
      <c r="A37" s="13" t="s">
        <v>2324</v>
      </c>
      <c r="B37" s="55" t="s">
        <v>2325</v>
      </c>
      <c r="C37" s="13" t="s">
        <v>44</v>
      </c>
      <c r="D37" s="59">
        <v>46327</v>
      </c>
      <c r="E37" s="6">
        <v>0</v>
      </c>
      <c r="F37" s="13">
        <v>36</v>
      </c>
    </row>
    <row r="38" spans="1:6" x14ac:dyDescent="0.4">
      <c r="A38" s="13" t="s">
        <v>2324</v>
      </c>
      <c r="B38" s="55" t="s">
        <v>2325</v>
      </c>
      <c r="C38" s="13" t="s">
        <v>44</v>
      </c>
      <c r="D38" s="59">
        <v>46357</v>
      </c>
      <c r="E38" s="6">
        <v>0</v>
      </c>
      <c r="F38" s="54">
        <v>37</v>
      </c>
    </row>
    <row r="39" spans="1:6" x14ac:dyDescent="0.4">
      <c r="A39" s="13" t="s">
        <v>2324</v>
      </c>
      <c r="B39" s="55" t="s">
        <v>2325</v>
      </c>
      <c r="C39" s="13" t="s">
        <v>44</v>
      </c>
      <c r="D39" s="59">
        <v>46388</v>
      </c>
      <c r="E39" s="6">
        <v>0</v>
      </c>
      <c r="F39" s="13">
        <v>38</v>
      </c>
    </row>
    <row r="40" spans="1:6" x14ac:dyDescent="0.4">
      <c r="A40" s="13" t="s">
        <v>2324</v>
      </c>
      <c r="B40" s="55" t="s">
        <v>2325</v>
      </c>
      <c r="C40" s="13" t="s">
        <v>44</v>
      </c>
      <c r="D40" s="59">
        <v>46419</v>
      </c>
      <c r="E40" s="6">
        <v>0</v>
      </c>
      <c r="F40" s="54">
        <v>39</v>
      </c>
    </row>
    <row r="41" spans="1:6" x14ac:dyDescent="0.4">
      <c r="A41" s="13" t="s">
        <v>2324</v>
      </c>
      <c r="B41" s="55" t="s">
        <v>2325</v>
      </c>
      <c r="C41" s="13" t="s">
        <v>44</v>
      </c>
      <c r="D41" s="59">
        <v>46447</v>
      </c>
      <c r="E41" s="6">
        <v>0</v>
      </c>
      <c r="F41" s="13">
        <v>40</v>
      </c>
    </row>
    <row r="42" spans="1:6" x14ac:dyDescent="0.4">
      <c r="A42" s="13" t="s">
        <v>2324</v>
      </c>
      <c r="B42" s="55" t="s">
        <v>2325</v>
      </c>
      <c r="C42" s="13" t="s">
        <v>44</v>
      </c>
      <c r="D42" s="59">
        <v>46478</v>
      </c>
      <c r="E42" s="6">
        <v>0</v>
      </c>
      <c r="F42" s="54">
        <v>41</v>
      </c>
    </row>
    <row r="43" spans="1:6" x14ac:dyDescent="0.4">
      <c r="A43" s="13" t="s">
        <v>2324</v>
      </c>
      <c r="B43" s="55" t="s">
        <v>2325</v>
      </c>
      <c r="C43" s="13" t="s">
        <v>44</v>
      </c>
      <c r="D43" s="59">
        <v>46508</v>
      </c>
      <c r="E43" s="6">
        <v>0</v>
      </c>
      <c r="F43" s="13">
        <v>42</v>
      </c>
    </row>
    <row r="44" spans="1:6" x14ac:dyDescent="0.4">
      <c r="A44" s="13" t="s">
        <v>2324</v>
      </c>
      <c r="B44" s="55" t="s">
        <v>2325</v>
      </c>
      <c r="C44" s="13" t="s">
        <v>44</v>
      </c>
      <c r="D44" s="59">
        <v>46539</v>
      </c>
      <c r="E44" s="6">
        <v>0</v>
      </c>
      <c r="F44" s="54">
        <v>43</v>
      </c>
    </row>
    <row r="45" spans="1:6" x14ac:dyDescent="0.4">
      <c r="A45" s="13" t="s">
        <v>2324</v>
      </c>
      <c r="B45" s="55" t="s">
        <v>2325</v>
      </c>
      <c r="C45" s="13" t="s">
        <v>44</v>
      </c>
      <c r="D45" s="59">
        <v>46569</v>
      </c>
      <c r="E45" s="6">
        <v>0</v>
      </c>
      <c r="F45" s="13">
        <v>44</v>
      </c>
    </row>
    <row r="46" spans="1:6" x14ac:dyDescent="0.4">
      <c r="A46" s="13" t="s">
        <v>2324</v>
      </c>
      <c r="B46" s="55" t="s">
        <v>2325</v>
      </c>
      <c r="C46" s="13" t="s">
        <v>1944</v>
      </c>
      <c r="D46" s="59">
        <v>45931</v>
      </c>
      <c r="E46" s="6">
        <v>0</v>
      </c>
      <c r="F46" s="54">
        <v>45</v>
      </c>
    </row>
    <row r="47" spans="1:6" x14ac:dyDescent="0.4">
      <c r="A47" s="13" t="s">
        <v>2324</v>
      </c>
      <c r="B47" s="55" t="s">
        <v>2325</v>
      </c>
      <c r="C47" s="13" t="s">
        <v>1944</v>
      </c>
      <c r="D47" s="59">
        <v>45962</v>
      </c>
      <c r="E47" s="6">
        <v>0</v>
      </c>
      <c r="F47" s="13">
        <v>46</v>
      </c>
    </row>
    <row r="48" spans="1:6" x14ac:dyDescent="0.4">
      <c r="A48" s="13" t="s">
        <v>2324</v>
      </c>
      <c r="B48" s="55" t="s">
        <v>2325</v>
      </c>
      <c r="C48" s="13" t="s">
        <v>1944</v>
      </c>
      <c r="D48" s="59">
        <v>45992</v>
      </c>
      <c r="E48" s="6">
        <v>0</v>
      </c>
      <c r="F48" s="54">
        <v>47</v>
      </c>
    </row>
    <row r="49" spans="1:6" x14ac:dyDescent="0.4">
      <c r="A49" s="13" t="s">
        <v>2324</v>
      </c>
      <c r="B49" s="55" t="s">
        <v>2325</v>
      </c>
      <c r="C49" s="13" t="s">
        <v>1944</v>
      </c>
      <c r="D49" s="59">
        <v>46023</v>
      </c>
      <c r="E49" s="6">
        <v>9435</v>
      </c>
      <c r="F49" s="13">
        <v>48</v>
      </c>
    </row>
    <row r="50" spans="1:6" x14ac:dyDescent="0.4">
      <c r="A50" s="13" t="s">
        <v>2324</v>
      </c>
      <c r="B50" s="55" t="s">
        <v>2325</v>
      </c>
      <c r="C50" s="13" t="s">
        <v>1944</v>
      </c>
      <c r="D50" s="59">
        <v>46054</v>
      </c>
      <c r="E50" s="6">
        <v>9435</v>
      </c>
      <c r="F50" s="54">
        <v>49</v>
      </c>
    </row>
    <row r="51" spans="1:6" x14ac:dyDescent="0.4">
      <c r="A51" s="13" t="s">
        <v>2324</v>
      </c>
      <c r="B51" s="55" t="s">
        <v>2325</v>
      </c>
      <c r="C51" s="13" t="s">
        <v>1944</v>
      </c>
      <c r="D51" s="59">
        <v>46082</v>
      </c>
      <c r="E51" s="6">
        <v>103785</v>
      </c>
      <c r="F51" s="13">
        <v>50</v>
      </c>
    </row>
    <row r="52" spans="1:6" x14ac:dyDescent="0.4">
      <c r="A52" s="13" t="s">
        <v>2324</v>
      </c>
      <c r="B52" s="55" t="s">
        <v>2325</v>
      </c>
      <c r="C52" s="13" t="s">
        <v>1944</v>
      </c>
      <c r="D52" s="59">
        <v>46113</v>
      </c>
      <c r="E52" s="6">
        <v>103785</v>
      </c>
      <c r="F52" s="54">
        <v>51</v>
      </c>
    </row>
    <row r="53" spans="1:6" x14ac:dyDescent="0.4">
      <c r="A53" s="13" t="s">
        <v>2324</v>
      </c>
      <c r="B53" s="55" t="s">
        <v>2325</v>
      </c>
      <c r="C53" s="13" t="s">
        <v>1944</v>
      </c>
      <c r="D53" s="59">
        <v>46143</v>
      </c>
      <c r="E53" s="6">
        <v>160395</v>
      </c>
      <c r="F53" s="13">
        <v>52</v>
      </c>
    </row>
    <row r="54" spans="1:6" x14ac:dyDescent="0.4">
      <c r="A54" s="13" t="s">
        <v>2324</v>
      </c>
      <c r="B54" s="55" t="s">
        <v>2325</v>
      </c>
      <c r="C54" s="13" t="s">
        <v>1944</v>
      </c>
      <c r="D54" s="59">
        <v>46174</v>
      </c>
      <c r="E54" s="6">
        <v>217005</v>
      </c>
      <c r="F54" s="54">
        <v>53</v>
      </c>
    </row>
    <row r="55" spans="1:6" x14ac:dyDescent="0.4">
      <c r="A55" s="13" t="s">
        <v>2324</v>
      </c>
      <c r="B55" s="55" t="s">
        <v>2325</v>
      </c>
      <c r="C55" s="13" t="s">
        <v>1944</v>
      </c>
      <c r="D55" s="59">
        <v>46204</v>
      </c>
      <c r="E55" s="6">
        <v>235875</v>
      </c>
      <c r="F55" s="13">
        <v>54</v>
      </c>
    </row>
    <row r="56" spans="1:6" x14ac:dyDescent="0.4">
      <c r="A56" s="13" t="s">
        <v>2324</v>
      </c>
      <c r="B56" s="55" t="s">
        <v>2325</v>
      </c>
      <c r="C56" s="13" t="s">
        <v>1944</v>
      </c>
      <c r="D56" s="59">
        <v>46235</v>
      </c>
      <c r="E56" s="6">
        <v>245310</v>
      </c>
      <c r="F56" s="54">
        <v>55</v>
      </c>
    </row>
    <row r="57" spans="1:6" x14ac:dyDescent="0.4">
      <c r="A57" s="13" t="s">
        <v>2324</v>
      </c>
      <c r="B57" s="55" t="s">
        <v>2325</v>
      </c>
      <c r="C57" s="13" t="s">
        <v>1944</v>
      </c>
      <c r="D57" s="59">
        <v>46266</v>
      </c>
      <c r="E57" s="6">
        <v>396270</v>
      </c>
      <c r="F57" s="13">
        <v>56</v>
      </c>
    </row>
    <row r="58" spans="1:6" x14ac:dyDescent="0.4">
      <c r="A58" s="13" t="s">
        <v>2324</v>
      </c>
      <c r="B58" s="55" t="s">
        <v>2325</v>
      </c>
      <c r="C58" s="13" t="s">
        <v>1944</v>
      </c>
      <c r="D58" s="59">
        <v>46296</v>
      </c>
      <c r="E58" s="6">
        <v>594405</v>
      </c>
      <c r="F58" s="54">
        <v>57</v>
      </c>
    </row>
    <row r="59" spans="1:6" x14ac:dyDescent="0.4">
      <c r="A59" s="13" t="s">
        <v>2324</v>
      </c>
      <c r="B59" s="55" t="s">
        <v>2325</v>
      </c>
      <c r="C59" s="13" t="s">
        <v>1944</v>
      </c>
      <c r="D59" s="59">
        <v>46327</v>
      </c>
      <c r="E59" s="6">
        <v>594405</v>
      </c>
      <c r="F59" s="13">
        <v>58</v>
      </c>
    </row>
    <row r="60" spans="1:6" x14ac:dyDescent="0.4">
      <c r="A60" s="13" t="s">
        <v>2324</v>
      </c>
      <c r="B60" s="55" t="s">
        <v>2325</v>
      </c>
      <c r="C60" s="13" t="s">
        <v>1944</v>
      </c>
      <c r="D60" s="59">
        <v>46357</v>
      </c>
      <c r="E60" s="6">
        <v>594405</v>
      </c>
      <c r="F60" s="54">
        <v>59</v>
      </c>
    </row>
    <row r="61" spans="1:6" x14ac:dyDescent="0.4">
      <c r="A61" s="13" t="s">
        <v>2324</v>
      </c>
      <c r="B61" s="55" t="s">
        <v>2325</v>
      </c>
      <c r="C61" s="13" t="s">
        <v>1944</v>
      </c>
      <c r="D61" s="59">
        <v>46388</v>
      </c>
      <c r="E61" s="6">
        <v>584970</v>
      </c>
      <c r="F61" s="13">
        <v>60</v>
      </c>
    </row>
    <row r="62" spans="1:6" x14ac:dyDescent="0.4">
      <c r="A62" s="13" t="s">
        <v>2324</v>
      </c>
      <c r="B62" s="55" t="s">
        <v>2325</v>
      </c>
      <c r="C62" s="13" t="s">
        <v>1944</v>
      </c>
      <c r="D62" s="59">
        <v>46419</v>
      </c>
      <c r="E62" s="6">
        <v>584970</v>
      </c>
      <c r="F62" s="54">
        <v>61</v>
      </c>
    </row>
    <row r="63" spans="1:6" x14ac:dyDescent="0.4">
      <c r="A63" s="13" t="s">
        <v>2324</v>
      </c>
      <c r="B63" s="55" t="s">
        <v>2325</v>
      </c>
      <c r="C63" s="13" t="s">
        <v>1944</v>
      </c>
      <c r="D63" s="59">
        <v>46447</v>
      </c>
      <c r="E63" s="6">
        <v>490620</v>
      </c>
      <c r="F63" s="13">
        <v>62</v>
      </c>
    </row>
    <row r="64" spans="1:6" x14ac:dyDescent="0.4">
      <c r="A64" s="13" t="s">
        <v>2324</v>
      </c>
      <c r="B64" s="55" t="s">
        <v>2325</v>
      </c>
      <c r="C64" s="13" t="s">
        <v>1944</v>
      </c>
      <c r="D64" s="59">
        <v>46478</v>
      </c>
      <c r="E64" s="6">
        <v>490620</v>
      </c>
      <c r="F64" s="54">
        <v>63</v>
      </c>
    </row>
    <row r="65" spans="1:6" x14ac:dyDescent="0.4">
      <c r="A65" s="13" t="s">
        <v>2324</v>
      </c>
      <c r="B65" s="55" t="s">
        <v>2325</v>
      </c>
      <c r="C65" s="13" t="s">
        <v>1944</v>
      </c>
      <c r="D65" s="59">
        <v>46508</v>
      </c>
      <c r="E65" s="6">
        <v>434010</v>
      </c>
      <c r="F65" s="13">
        <v>64</v>
      </c>
    </row>
    <row r="66" spans="1:6" x14ac:dyDescent="0.4">
      <c r="A66" s="13" t="s">
        <v>2324</v>
      </c>
      <c r="B66" s="55" t="s">
        <v>2325</v>
      </c>
      <c r="C66" s="13" t="s">
        <v>1944</v>
      </c>
      <c r="D66" s="59">
        <v>46539</v>
      </c>
      <c r="E66" s="6">
        <v>377400</v>
      </c>
      <c r="F66" s="54">
        <v>65</v>
      </c>
    </row>
    <row r="67" spans="1:6" x14ac:dyDescent="0.4">
      <c r="A67" s="13" t="s">
        <v>2324</v>
      </c>
      <c r="B67" s="55" t="s">
        <v>2325</v>
      </c>
      <c r="C67" s="13" t="s">
        <v>1944</v>
      </c>
      <c r="D67" s="59">
        <v>46569</v>
      </c>
      <c r="E67" s="6">
        <v>358530</v>
      </c>
      <c r="F67" s="13">
        <v>66</v>
      </c>
    </row>
    <row r="68" spans="1:6" x14ac:dyDescent="0.4">
      <c r="A68" s="13" t="s">
        <v>2324</v>
      </c>
      <c r="B68" s="55" t="s">
        <v>2325</v>
      </c>
      <c r="C68" s="13" t="s">
        <v>1944</v>
      </c>
      <c r="D68" s="59">
        <v>46600</v>
      </c>
      <c r="E68" s="6">
        <v>349095</v>
      </c>
      <c r="F68" s="54">
        <v>67</v>
      </c>
    </row>
    <row r="69" spans="1:6" x14ac:dyDescent="0.4">
      <c r="A69" s="13" t="s">
        <v>2324</v>
      </c>
      <c r="B69" s="55" t="s">
        <v>2325</v>
      </c>
      <c r="C69" s="13" t="s">
        <v>70</v>
      </c>
      <c r="D69" s="59">
        <v>45931</v>
      </c>
      <c r="E69" s="6">
        <v>0</v>
      </c>
      <c r="F69" s="13">
        <v>68</v>
      </c>
    </row>
    <row r="70" spans="1:6" x14ac:dyDescent="0.4">
      <c r="A70" s="13" t="s">
        <v>2324</v>
      </c>
      <c r="B70" s="55" t="s">
        <v>2325</v>
      </c>
      <c r="C70" s="13" t="s">
        <v>70</v>
      </c>
      <c r="D70" s="59">
        <v>45962</v>
      </c>
      <c r="E70" s="6">
        <v>0</v>
      </c>
      <c r="F70" s="54">
        <v>69</v>
      </c>
    </row>
    <row r="71" spans="1:6" x14ac:dyDescent="0.4">
      <c r="A71" s="13" t="s">
        <v>2324</v>
      </c>
      <c r="B71" s="55" t="s">
        <v>2325</v>
      </c>
      <c r="C71" s="13" t="s">
        <v>70</v>
      </c>
      <c r="D71" s="59">
        <v>45992</v>
      </c>
      <c r="E71" s="6">
        <v>0</v>
      </c>
      <c r="F71" s="13">
        <v>70</v>
      </c>
    </row>
    <row r="72" spans="1:6" x14ac:dyDescent="0.4">
      <c r="A72" s="13" t="s">
        <v>2324</v>
      </c>
      <c r="B72" s="55" t="s">
        <v>2325</v>
      </c>
      <c r="C72" s="13" t="s">
        <v>70</v>
      </c>
      <c r="D72" s="59">
        <v>46023</v>
      </c>
      <c r="E72" s="6">
        <v>39600</v>
      </c>
      <c r="F72" s="54">
        <v>71</v>
      </c>
    </row>
    <row r="73" spans="1:6" x14ac:dyDescent="0.4">
      <c r="A73" s="13" t="s">
        <v>2324</v>
      </c>
      <c r="B73" s="55" t="s">
        <v>2325</v>
      </c>
      <c r="C73" s="13" t="s">
        <v>70</v>
      </c>
      <c r="D73" s="59">
        <v>46054</v>
      </c>
      <c r="E73" s="6">
        <v>39600</v>
      </c>
      <c r="F73" s="13">
        <v>72</v>
      </c>
    </row>
    <row r="74" spans="1:6" x14ac:dyDescent="0.4">
      <c r="A74" s="13" t="s">
        <v>2324</v>
      </c>
      <c r="B74" s="55" t="s">
        <v>2325</v>
      </c>
      <c r="C74" s="13" t="s">
        <v>70</v>
      </c>
      <c r="D74" s="59">
        <v>46082</v>
      </c>
      <c r="E74" s="6">
        <v>39600</v>
      </c>
      <c r="F74" s="54">
        <v>73</v>
      </c>
    </row>
    <row r="75" spans="1:6" x14ac:dyDescent="0.4">
      <c r="A75" s="13" t="s">
        <v>2324</v>
      </c>
      <c r="B75" s="55" t="s">
        <v>2325</v>
      </c>
      <c r="C75" s="13" t="s">
        <v>70</v>
      </c>
      <c r="D75" s="59">
        <v>46113</v>
      </c>
      <c r="E75" s="6">
        <v>0</v>
      </c>
      <c r="F75" s="13">
        <v>74</v>
      </c>
    </row>
    <row r="76" spans="1:6" x14ac:dyDescent="0.4">
      <c r="A76" s="13" t="s">
        <v>2324</v>
      </c>
      <c r="B76" s="55" t="s">
        <v>2325</v>
      </c>
      <c r="C76" s="13" t="s">
        <v>70</v>
      </c>
      <c r="D76" s="59">
        <v>46143</v>
      </c>
      <c r="E76" s="6">
        <v>0</v>
      </c>
      <c r="F76" s="54">
        <v>75</v>
      </c>
    </row>
    <row r="77" spans="1:6" x14ac:dyDescent="0.4">
      <c r="A77" s="13" t="s">
        <v>2324</v>
      </c>
      <c r="B77" s="55" t="s">
        <v>2325</v>
      </c>
      <c r="C77" s="13" t="s">
        <v>70</v>
      </c>
      <c r="D77" s="59">
        <v>46174</v>
      </c>
      <c r="E77" s="6">
        <v>0</v>
      </c>
      <c r="F77" s="13">
        <v>76</v>
      </c>
    </row>
    <row r="78" spans="1:6" x14ac:dyDescent="0.4">
      <c r="A78" s="13" t="s">
        <v>2324</v>
      </c>
      <c r="B78" s="55" t="s">
        <v>2325</v>
      </c>
      <c r="C78" s="13" t="s">
        <v>70</v>
      </c>
      <c r="D78" s="59">
        <v>46204</v>
      </c>
      <c r="E78" s="6">
        <v>0</v>
      </c>
      <c r="F78" s="54">
        <v>77</v>
      </c>
    </row>
    <row r="79" spans="1:6" x14ac:dyDescent="0.4">
      <c r="A79" s="13" t="s">
        <v>2324</v>
      </c>
      <c r="B79" s="55" t="s">
        <v>2325</v>
      </c>
      <c r="C79" s="13" t="s">
        <v>70</v>
      </c>
      <c r="D79" s="59">
        <v>46235</v>
      </c>
      <c r="E79" s="6">
        <v>0</v>
      </c>
      <c r="F79" s="13">
        <v>78</v>
      </c>
    </row>
    <row r="80" spans="1:6" x14ac:dyDescent="0.4">
      <c r="A80" s="13" t="s">
        <v>2324</v>
      </c>
      <c r="B80" s="55" t="s">
        <v>2325</v>
      </c>
      <c r="C80" s="13" t="s">
        <v>70</v>
      </c>
      <c r="D80" s="59">
        <v>46266</v>
      </c>
      <c r="E80" s="6">
        <v>0</v>
      </c>
      <c r="F80" s="54">
        <v>79</v>
      </c>
    </row>
    <row r="81" spans="1:6" x14ac:dyDescent="0.4">
      <c r="A81" s="13" t="s">
        <v>2324</v>
      </c>
      <c r="B81" s="55" t="s">
        <v>2325</v>
      </c>
      <c r="C81" s="13" t="s">
        <v>70</v>
      </c>
      <c r="D81" s="59">
        <v>46296</v>
      </c>
      <c r="E81" s="6">
        <v>0</v>
      </c>
      <c r="F81" s="13">
        <v>80</v>
      </c>
    </row>
    <row r="82" spans="1:6" x14ac:dyDescent="0.4">
      <c r="A82" s="13" t="s">
        <v>2324</v>
      </c>
      <c r="B82" s="55" t="s">
        <v>2325</v>
      </c>
      <c r="C82" s="13" t="s">
        <v>70</v>
      </c>
      <c r="D82" s="59">
        <v>46327</v>
      </c>
      <c r="E82" s="6">
        <v>0</v>
      </c>
      <c r="F82" s="54">
        <v>81</v>
      </c>
    </row>
    <row r="83" spans="1:6" x14ac:dyDescent="0.4">
      <c r="A83" s="13" t="s">
        <v>2324</v>
      </c>
      <c r="B83" s="55" t="s">
        <v>2325</v>
      </c>
      <c r="C83" s="13" t="s">
        <v>70</v>
      </c>
      <c r="D83" s="59">
        <v>46357</v>
      </c>
      <c r="E83" s="6">
        <v>0</v>
      </c>
      <c r="F83" s="13">
        <v>82</v>
      </c>
    </row>
    <row r="84" spans="1:6" x14ac:dyDescent="0.4">
      <c r="A84" s="13" t="s">
        <v>2324</v>
      </c>
      <c r="B84" s="55" t="s">
        <v>2325</v>
      </c>
      <c r="C84" s="13" t="s">
        <v>70</v>
      </c>
      <c r="D84" s="59">
        <v>46388</v>
      </c>
      <c r="E84" s="6">
        <v>0</v>
      </c>
      <c r="F84" s="54">
        <v>83</v>
      </c>
    </row>
    <row r="85" spans="1:6" x14ac:dyDescent="0.4">
      <c r="A85" s="13" t="s">
        <v>2324</v>
      </c>
      <c r="B85" s="55" t="s">
        <v>2325</v>
      </c>
      <c r="C85" s="13" t="s">
        <v>70</v>
      </c>
      <c r="D85" s="59">
        <v>46419</v>
      </c>
      <c r="E85" s="6">
        <v>0</v>
      </c>
      <c r="F85" s="13">
        <v>84</v>
      </c>
    </row>
    <row r="86" spans="1:6" x14ac:dyDescent="0.4">
      <c r="A86" s="13" t="s">
        <v>2324</v>
      </c>
      <c r="B86" s="55" t="s">
        <v>2325</v>
      </c>
      <c r="C86" s="13" t="s">
        <v>70</v>
      </c>
      <c r="D86" s="59">
        <v>46447</v>
      </c>
      <c r="E86" s="6">
        <v>0</v>
      </c>
      <c r="F86" s="54">
        <v>85</v>
      </c>
    </row>
    <row r="87" spans="1:6" x14ac:dyDescent="0.4">
      <c r="A87" s="13" t="s">
        <v>2324</v>
      </c>
      <c r="B87" s="55" t="s">
        <v>2325</v>
      </c>
      <c r="C87" s="13" t="s">
        <v>70</v>
      </c>
      <c r="D87" s="59">
        <v>46478</v>
      </c>
      <c r="E87" s="6">
        <v>0</v>
      </c>
      <c r="F87" s="13">
        <v>86</v>
      </c>
    </row>
    <row r="88" spans="1:6" x14ac:dyDescent="0.4">
      <c r="A88" s="13" t="s">
        <v>2324</v>
      </c>
      <c r="B88" s="55" t="s">
        <v>2325</v>
      </c>
      <c r="C88" s="13" t="s">
        <v>70</v>
      </c>
      <c r="D88" s="59">
        <v>46508</v>
      </c>
      <c r="E88" s="6">
        <v>0</v>
      </c>
      <c r="F88" s="54">
        <v>87</v>
      </c>
    </row>
    <row r="89" spans="1:6" x14ac:dyDescent="0.4">
      <c r="A89" s="13" t="s">
        <v>2324</v>
      </c>
      <c r="B89" s="55" t="s">
        <v>2325</v>
      </c>
      <c r="C89" s="13" t="s">
        <v>70</v>
      </c>
      <c r="D89" s="59">
        <v>46539</v>
      </c>
      <c r="E89" s="6">
        <v>0</v>
      </c>
      <c r="F89" s="13">
        <v>88</v>
      </c>
    </row>
    <row r="90" spans="1:6" x14ac:dyDescent="0.4">
      <c r="A90" s="13" t="s">
        <v>2324</v>
      </c>
      <c r="B90" s="55" t="s">
        <v>2325</v>
      </c>
      <c r="C90" s="13" t="s">
        <v>70</v>
      </c>
      <c r="D90" s="59">
        <v>46569</v>
      </c>
      <c r="E90" s="6">
        <v>0</v>
      </c>
      <c r="F90" s="54">
        <v>89</v>
      </c>
    </row>
    <row r="91" spans="1:6" x14ac:dyDescent="0.4">
      <c r="A91" s="13" t="s">
        <v>2324</v>
      </c>
      <c r="B91" s="55" t="s">
        <v>2325</v>
      </c>
      <c r="C91" s="13" t="s">
        <v>50</v>
      </c>
      <c r="D91" s="59">
        <v>45931</v>
      </c>
      <c r="E91" s="6">
        <v>0</v>
      </c>
      <c r="F91" s="13">
        <v>90</v>
      </c>
    </row>
    <row r="92" spans="1:6" x14ac:dyDescent="0.4">
      <c r="A92" s="13" t="s">
        <v>2324</v>
      </c>
      <c r="B92" s="55" t="s">
        <v>2325</v>
      </c>
      <c r="C92" s="13" t="s">
        <v>50</v>
      </c>
      <c r="D92" s="59">
        <v>45962</v>
      </c>
      <c r="E92" s="6">
        <v>38100</v>
      </c>
      <c r="F92" s="54">
        <v>91</v>
      </c>
    </row>
    <row r="93" spans="1:6" x14ac:dyDescent="0.4">
      <c r="A93" s="13" t="s">
        <v>2324</v>
      </c>
      <c r="B93" s="55" t="s">
        <v>2325</v>
      </c>
      <c r="C93" s="13" t="s">
        <v>50</v>
      </c>
      <c r="D93" s="59">
        <v>45992</v>
      </c>
      <c r="E93" s="6">
        <v>38100</v>
      </c>
      <c r="F93" s="13">
        <v>92</v>
      </c>
    </row>
    <row r="94" spans="1:6" x14ac:dyDescent="0.4">
      <c r="A94" s="13" t="s">
        <v>2324</v>
      </c>
      <c r="B94" s="55" t="s">
        <v>2325</v>
      </c>
      <c r="C94" s="13" t="s">
        <v>50</v>
      </c>
      <c r="D94" s="59">
        <v>46023</v>
      </c>
      <c r="E94" s="6">
        <v>381000</v>
      </c>
      <c r="F94" s="54">
        <v>93</v>
      </c>
    </row>
    <row r="95" spans="1:6" x14ac:dyDescent="0.4">
      <c r="A95" s="13" t="s">
        <v>2324</v>
      </c>
      <c r="B95" s="55" t="s">
        <v>2325</v>
      </c>
      <c r="C95" s="13" t="s">
        <v>50</v>
      </c>
      <c r="D95" s="59">
        <v>46054</v>
      </c>
      <c r="E95" s="6">
        <v>381000</v>
      </c>
      <c r="F95" s="13">
        <v>94</v>
      </c>
    </row>
    <row r="96" spans="1:6" x14ac:dyDescent="0.4">
      <c r="A96" s="13" t="s">
        <v>2324</v>
      </c>
      <c r="B96" s="55" t="s">
        <v>2325</v>
      </c>
      <c r="C96" s="13" t="s">
        <v>50</v>
      </c>
      <c r="D96" s="59">
        <v>46082</v>
      </c>
      <c r="E96" s="6">
        <v>381000</v>
      </c>
      <c r="F96" s="54">
        <v>95</v>
      </c>
    </row>
    <row r="97" spans="1:6" x14ac:dyDescent="0.4">
      <c r="A97" s="13" t="s">
        <v>2324</v>
      </c>
      <c r="B97" s="55" t="s">
        <v>2325</v>
      </c>
      <c r="C97" s="13" t="s">
        <v>50</v>
      </c>
      <c r="D97" s="59">
        <v>46113</v>
      </c>
      <c r="E97" s="6">
        <v>400050</v>
      </c>
      <c r="F97" s="13">
        <v>96</v>
      </c>
    </row>
    <row r="98" spans="1:6" x14ac:dyDescent="0.4">
      <c r="A98" s="13" t="s">
        <v>2324</v>
      </c>
      <c r="B98" s="55" t="s">
        <v>2325</v>
      </c>
      <c r="C98" s="13" t="s">
        <v>50</v>
      </c>
      <c r="D98" s="59">
        <v>46143</v>
      </c>
      <c r="E98" s="6">
        <v>419100</v>
      </c>
      <c r="F98" s="54">
        <v>97</v>
      </c>
    </row>
    <row r="99" spans="1:6" x14ac:dyDescent="0.4">
      <c r="A99" s="13" t="s">
        <v>2324</v>
      </c>
      <c r="B99" s="55" t="s">
        <v>2325</v>
      </c>
      <c r="C99" s="13" t="s">
        <v>50</v>
      </c>
      <c r="D99" s="59">
        <v>46174</v>
      </c>
      <c r="E99" s="6">
        <v>419100</v>
      </c>
      <c r="F99" s="13">
        <v>98</v>
      </c>
    </row>
    <row r="100" spans="1:6" x14ac:dyDescent="0.4">
      <c r="A100" s="13" t="s">
        <v>2324</v>
      </c>
      <c r="B100" s="55" t="s">
        <v>2325</v>
      </c>
      <c r="C100" s="13" t="s">
        <v>50</v>
      </c>
      <c r="D100" s="59">
        <v>46204</v>
      </c>
      <c r="E100" s="6">
        <v>76200</v>
      </c>
      <c r="F100" s="54">
        <v>99</v>
      </c>
    </row>
    <row r="101" spans="1:6" x14ac:dyDescent="0.4">
      <c r="A101" s="13" t="s">
        <v>2324</v>
      </c>
      <c r="B101" s="55" t="s">
        <v>2325</v>
      </c>
      <c r="C101" s="13" t="s">
        <v>50</v>
      </c>
      <c r="D101" s="59">
        <v>46235</v>
      </c>
      <c r="E101" s="6">
        <v>76200</v>
      </c>
      <c r="F101" s="13">
        <v>100</v>
      </c>
    </row>
    <row r="102" spans="1:6" x14ac:dyDescent="0.4">
      <c r="A102" s="13" t="s">
        <v>2324</v>
      </c>
      <c r="B102" s="55" t="s">
        <v>2325</v>
      </c>
      <c r="C102" s="13" t="s">
        <v>50</v>
      </c>
      <c r="D102" s="59">
        <v>46266</v>
      </c>
      <c r="E102" s="6">
        <v>76200</v>
      </c>
      <c r="F102" s="54">
        <v>101</v>
      </c>
    </row>
    <row r="103" spans="1:6" x14ac:dyDescent="0.4">
      <c r="A103" s="13" t="s">
        <v>2324</v>
      </c>
      <c r="B103" s="55" t="s">
        <v>2325</v>
      </c>
      <c r="C103" s="13" t="s">
        <v>50</v>
      </c>
      <c r="D103" s="59">
        <v>46296</v>
      </c>
      <c r="E103" s="6">
        <v>57150</v>
      </c>
      <c r="F103" s="13">
        <v>102</v>
      </c>
    </row>
    <row r="104" spans="1:6" x14ac:dyDescent="0.4">
      <c r="A104" s="13" t="s">
        <v>2324</v>
      </c>
      <c r="B104" s="55" t="s">
        <v>2325</v>
      </c>
      <c r="C104" s="13" t="s">
        <v>50</v>
      </c>
      <c r="D104" s="59">
        <v>46327</v>
      </c>
      <c r="E104" s="6">
        <v>0</v>
      </c>
      <c r="F104" s="54">
        <v>103</v>
      </c>
    </row>
    <row r="105" spans="1:6" x14ac:dyDescent="0.4">
      <c r="A105" s="13" t="s">
        <v>2324</v>
      </c>
      <c r="B105" s="55" t="s">
        <v>2325</v>
      </c>
      <c r="C105" s="13" t="s">
        <v>50</v>
      </c>
      <c r="D105" s="59">
        <v>46357</v>
      </c>
      <c r="E105" s="6">
        <v>0</v>
      </c>
      <c r="F105" s="13">
        <v>104</v>
      </c>
    </row>
    <row r="106" spans="1:6" x14ac:dyDescent="0.4">
      <c r="A106" s="13" t="s">
        <v>2324</v>
      </c>
      <c r="B106" s="55" t="s">
        <v>2325</v>
      </c>
      <c r="C106" s="13" t="s">
        <v>50</v>
      </c>
      <c r="D106" s="59">
        <v>46388</v>
      </c>
      <c r="E106" s="6">
        <v>0</v>
      </c>
      <c r="F106" s="54">
        <v>105</v>
      </c>
    </row>
    <row r="107" spans="1:6" x14ac:dyDescent="0.4">
      <c r="A107" s="13" t="s">
        <v>2324</v>
      </c>
      <c r="B107" s="55" t="s">
        <v>2325</v>
      </c>
      <c r="C107" s="13" t="s">
        <v>50</v>
      </c>
      <c r="D107" s="59">
        <v>46419</v>
      </c>
      <c r="E107" s="6">
        <v>0</v>
      </c>
      <c r="F107" s="13">
        <v>106</v>
      </c>
    </row>
    <row r="108" spans="1:6" x14ac:dyDescent="0.4">
      <c r="A108" s="13" t="s">
        <v>2324</v>
      </c>
      <c r="B108" s="55" t="s">
        <v>2325</v>
      </c>
      <c r="C108" s="13" t="s">
        <v>50</v>
      </c>
      <c r="D108" s="59">
        <v>46447</v>
      </c>
      <c r="E108" s="6">
        <v>0</v>
      </c>
      <c r="F108" s="54">
        <v>107</v>
      </c>
    </row>
    <row r="109" spans="1:6" x14ac:dyDescent="0.4">
      <c r="A109" s="13" t="s">
        <v>2324</v>
      </c>
      <c r="B109" s="55" t="s">
        <v>2325</v>
      </c>
      <c r="C109" s="13" t="s">
        <v>50</v>
      </c>
      <c r="D109" s="59">
        <v>46478</v>
      </c>
      <c r="E109" s="6">
        <v>0</v>
      </c>
      <c r="F109" s="13">
        <v>108</v>
      </c>
    </row>
    <row r="110" spans="1:6" x14ac:dyDescent="0.4">
      <c r="A110" s="13" t="s">
        <v>2324</v>
      </c>
      <c r="B110" s="55" t="s">
        <v>2325</v>
      </c>
      <c r="C110" s="13" t="s">
        <v>50</v>
      </c>
      <c r="D110" s="59">
        <v>46508</v>
      </c>
      <c r="E110" s="6">
        <v>0</v>
      </c>
      <c r="F110" s="54">
        <v>109</v>
      </c>
    </row>
    <row r="111" spans="1:6" x14ac:dyDescent="0.4">
      <c r="A111" s="13" t="s">
        <v>2324</v>
      </c>
      <c r="B111" s="55" t="s">
        <v>2325</v>
      </c>
      <c r="C111" s="13" t="s">
        <v>50</v>
      </c>
      <c r="D111" s="59">
        <v>46539</v>
      </c>
      <c r="E111" s="6">
        <v>0</v>
      </c>
      <c r="F111" s="13">
        <v>110</v>
      </c>
    </row>
    <row r="112" spans="1:6" x14ac:dyDescent="0.4">
      <c r="A112" s="13" t="s">
        <v>2324</v>
      </c>
      <c r="B112" s="55" t="s">
        <v>2325</v>
      </c>
      <c r="C112" s="13" t="s">
        <v>50</v>
      </c>
      <c r="D112" s="59">
        <v>46569</v>
      </c>
      <c r="E112" s="6">
        <v>0</v>
      </c>
      <c r="F112" s="54">
        <v>111</v>
      </c>
    </row>
    <row r="113" spans="1:6" x14ac:dyDescent="0.4">
      <c r="A113" s="13" t="s">
        <v>2324</v>
      </c>
      <c r="B113" s="55" t="s">
        <v>2325</v>
      </c>
      <c r="C113" s="13" t="s">
        <v>5133</v>
      </c>
      <c r="D113" s="59">
        <v>45931</v>
      </c>
      <c r="E113" s="6">
        <v>0</v>
      </c>
      <c r="F113" s="13">
        <v>112</v>
      </c>
    </row>
    <row r="114" spans="1:6" x14ac:dyDescent="0.4">
      <c r="A114" s="13" t="s">
        <v>2324</v>
      </c>
      <c r="B114" s="55" t="s">
        <v>2325</v>
      </c>
      <c r="C114" s="13" t="s">
        <v>5133</v>
      </c>
      <c r="D114" s="59">
        <v>45962</v>
      </c>
      <c r="E114" s="6">
        <v>0</v>
      </c>
      <c r="F114" s="54">
        <v>113</v>
      </c>
    </row>
    <row r="115" spans="1:6" x14ac:dyDescent="0.4">
      <c r="A115" s="13" t="s">
        <v>2324</v>
      </c>
      <c r="B115" s="55" t="s">
        <v>2325</v>
      </c>
      <c r="C115" s="13" t="s">
        <v>5133</v>
      </c>
      <c r="D115" s="59">
        <v>45992</v>
      </c>
      <c r="E115" s="6">
        <v>0</v>
      </c>
      <c r="F115" s="13">
        <v>114</v>
      </c>
    </row>
    <row r="116" spans="1:6" x14ac:dyDescent="0.4">
      <c r="A116" s="13" t="s">
        <v>2324</v>
      </c>
      <c r="B116" s="55" t="s">
        <v>2325</v>
      </c>
      <c r="C116" s="13" t="s">
        <v>5133</v>
      </c>
      <c r="D116" s="59">
        <v>46023</v>
      </c>
      <c r="E116" s="6">
        <v>0</v>
      </c>
      <c r="F116" s="54">
        <v>115</v>
      </c>
    </row>
    <row r="117" spans="1:6" x14ac:dyDescent="0.4">
      <c r="A117" s="13" t="s">
        <v>2324</v>
      </c>
      <c r="B117" s="55" t="s">
        <v>2325</v>
      </c>
      <c r="C117" s="13" t="s">
        <v>5133</v>
      </c>
      <c r="D117" s="59">
        <v>46054</v>
      </c>
      <c r="E117" s="6">
        <v>0</v>
      </c>
      <c r="F117" s="13">
        <v>116</v>
      </c>
    </row>
    <row r="118" spans="1:6" x14ac:dyDescent="0.4">
      <c r="A118" s="13" t="s">
        <v>2324</v>
      </c>
      <c r="B118" s="55" t="s">
        <v>2325</v>
      </c>
      <c r="C118" s="13" t="s">
        <v>5133</v>
      </c>
      <c r="D118" s="59">
        <v>46082</v>
      </c>
      <c r="E118" s="6">
        <v>0</v>
      </c>
      <c r="F118" s="54">
        <v>117</v>
      </c>
    </row>
    <row r="119" spans="1:6" x14ac:dyDescent="0.4">
      <c r="A119" s="13" t="s">
        <v>2324</v>
      </c>
      <c r="B119" s="55" t="s">
        <v>2325</v>
      </c>
      <c r="C119" s="13" t="s">
        <v>5133</v>
      </c>
      <c r="D119" s="59">
        <v>46113</v>
      </c>
      <c r="E119" s="6">
        <v>0</v>
      </c>
      <c r="F119" s="13">
        <v>118</v>
      </c>
    </row>
    <row r="120" spans="1:6" x14ac:dyDescent="0.4">
      <c r="A120" s="13" t="s">
        <v>2324</v>
      </c>
      <c r="B120" s="55" t="s">
        <v>2325</v>
      </c>
      <c r="C120" s="13" t="s">
        <v>5133</v>
      </c>
      <c r="D120" s="59">
        <v>46143</v>
      </c>
      <c r="E120" s="6">
        <v>0</v>
      </c>
      <c r="F120" s="54">
        <v>119</v>
      </c>
    </row>
    <row r="121" spans="1:6" x14ac:dyDescent="0.4">
      <c r="A121" s="13" t="s">
        <v>2324</v>
      </c>
      <c r="B121" s="55" t="s">
        <v>2325</v>
      </c>
      <c r="C121" s="13" t="s">
        <v>5133</v>
      </c>
      <c r="D121" s="59">
        <v>46174</v>
      </c>
      <c r="E121" s="6">
        <v>0</v>
      </c>
      <c r="F121" s="13">
        <v>120</v>
      </c>
    </row>
    <row r="122" spans="1:6" x14ac:dyDescent="0.4">
      <c r="A122" s="13" t="s">
        <v>2324</v>
      </c>
      <c r="B122" s="55" t="s">
        <v>2325</v>
      </c>
      <c r="C122" s="13" t="s">
        <v>5133</v>
      </c>
      <c r="D122" s="59">
        <v>46204</v>
      </c>
      <c r="E122" s="6">
        <v>0</v>
      </c>
      <c r="F122" s="54">
        <v>121</v>
      </c>
    </row>
    <row r="123" spans="1:6" x14ac:dyDescent="0.4">
      <c r="A123" s="13" t="s">
        <v>2324</v>
      </c>
      <c r="B123" s="55" t="s">
        <v>2325</v>
      </c>
      <c r="C123" s="13" t="s">
        <v>5133</v>
      </c>
      <c r="D123" s="59">
        <v>46235</v>
      </c>
      <c r="E123" s="6">
        <v>0</v>
      </c>
      <c r="F123" s="13">
        <v>122</v>
      </c>
    </row>
    <row r="124" spans="1:6" x14ac:dyDescent="0.4">
      <c r="A124" s="13" t="s">
        <v>2324</v>
      </c>
      <c r="B124" s="55" t="s">
        <v>2325</v>
      </c>
      <c r="C124" s="13" t="s">
        <v>5133</v>
      </c>
      <c r="D124" s="59">
        <v>46266</v>
      </c>
      <c r="E124" s="6">
        <v>28305</v>
      </c>
      <c r="F124" s="54">
        <v>123</v>
      </c>
    </row>
    <row r="125" spans="1:6" x14ac:dyDescent="0.4">
      <c r="A125" s="13" t="s">
        <v>2324</v>
      </c>
      <c r="B125" s="55" t="s">
        <v>2325</v>
      </c>
      <c r="C125" s="13" t="s">
        <v>5133</v>
      </c>
      <c r="D125" s="59">
        <v>46296</v>
      </c>
      <c r="E125" s="6">
        <v>28305</v>
      </c>
      <c r="F125" s="13">
        <v>124</v>
      </c>
    </row>
    <row r="126" spans="1:6" x14ac:dyDescent="0.4">
      <c r="A126" s="13" t="s">
        <v>2324</v>
      </c>
      <c r="B126" s="55" t="s">
        <v>2325</v>
      </c>
      <c r="C126" s="13" t="s">
        <v>5133</v>
      </c>
      <c r="D126" s="59">
        <v>46327</v>
      </c>
      <c r="E126" s="6">
        <v>28305</v>
      </c>
      <c r="F126" s="54">
        <v>125</v>
      </c>
    </row>
    <row r="127" spans="1:6" x14ac:dyDescent="0.4">
      <c r="A127" s="13" t="s">
        <v>2324</v>
      </c>
      <c r="B127" s="55" t="s">
        <v>2325</v>
      </c>
      <c r="C127" s="13" t="s">
        <v>5133</v>
      </c>
      <c r="D127" s="59">
        <v>46357</v>
      </c>
      <c r="E127" s="6">
        <v>28305</v>
      </c>
      <c r="F127" s="13">
        <v>126</v>
      </c>
    </row>
    <row r="128" spans="1:6" x14ac:dyDescent="0.4">
      <c r="A128" s="13" t="s">
        <v>2324</v>
      </c>
      <c r="B128" s="55" t="s">
        <v>2325</v>
      </c>
      <c r="C128" s="13" t="s">
        <v>5133</v>
      </c>
      <c r="D128" s="59">
        <v>46388</v>
      </c>
      <c r="E128" s="6">
        <v>28305</v>
      </c>
      <c r="F128" s="54">
        <v>127</v>
      </c>
    </row>
    <row r="129" spans="1:6" x14ac:dyDescent="0.4">
      <c r="A129" s="13" t="s">
        <v>2324</v>
      </c>
      <c r="B129" s="55" t="s">
        <v>2325</v>
      </c>
      <c r="C129" s="13" t="s">
        <v>5133</v>
      </c>
      <c r="D129" s="59">
        <v>46419</v>
      </c>
      <c r="E129" s="6">
        <v>28305</v>
      </c>
      <c r="F129" s="13">
        <v>128</v>
      </c>
    </row>
    <row r="130" spans="1:6" x14ac:dyDescent="0.4">
      <c r="A130" s="13" t="s">
        <v>2324</v>
      </c>
      <c r="B130" s="55" t="s">
        <v>2325</v>
      </c>
      <c r="C130" s="13" t="s">
        <v>5133</v>
      </c>
      <c r="D130" s="59">
        <v>46447</v>
      </c>
      <c r="E130" s="6">
        <v>28305</v>
      </c>
      <c r="F130" s="54">
        <v>129</v>
      </c>
    </row>
    <row r="131" spans="1:6" x14ac:dyDescent="0.4">
      <c r="A131" s="13" t="s">
        <v>2324</v>
      </c>
      <c r="B131" s="55" t="s">
        <v>2325</v>
      </c>
      <c r="C131" s="13" t="s">
        <v>5133</v>
      </c>
      <c r="D131" s="59">
        <v>46478</v>
      </c>
      <c r="E131" s="6">
        <v>28305</v>
      </c>
      <c r="F131" s="13">
        <v>130</v>
      </c>
    </row>
    <row r="132" spans="1:6" x14ac:dyDescent="0.4">
      <c r="A132" s="13" t="s">
        <v>2324</v>
      </c>
      <c r="B132" s="55" t="s">
        <v>2325</v>
      </c>
      <c r="C132" s="13" t="s">
        <v>5133</v>
      </c>
      <c r="D132" s="59">
        <v>46508</v>
      </c>
      <c r="E132" s="6">
        <v>28305</v>
      </c>
      <c r="F132" s="54">
        <v>131</v>
      </c>
    </row>
    <row r="133" spans="1:6" x14ac:dyDescent="0.4">
      <c r="A133" s="13" t="s">
        <v>2324</v>
      </c>
      <c r="B133" s="55" t="s">
        <v>2325</v>
      </c>
      <c r="C133" s="13" t="s">
        <v>5133</v>
      </c>
      <c r="D133" s="59">
        <v>46539</v>
      </c>
      <c r="E133" s="6">
        <v>28305</v>
      </c>
      <c r="F133" s="13">
        <v>132</v>
      </c>
    </row>
    <row r="134" spans="1:6" x14ac:dyDescent="0.4">
      <c r="A134" s="13" t="s">
        <v>2324</v>
      </c>
      <c r="B134" s="55" t="s">
        <v>2325</v>
      </c>
      <c r="C134" s="13" t="s">
        <v>5133</v>
      </c>
      <c r="D134" s="59">
        <v>46569</v>
      </c>
      <c r="E134" s="6">
        <v>28305</v>
      </c>
      <c r="F134" s="54">
        <v>133</v>
      </c>
    </row>
    <row r="135" spans="1:6" x14ac:dyDescent="0.4">
      <c r="A135" s="13" t="s">
        <v>2324</v>
      </c>
      <c r="B135" s="55" t="s">
        <v>2325</v>
      </c>
      <c r="C135" s="13" t="s">
        <v>5133</v>
      </c>
      <c r="D135" s="59">
        <v>46600</v>
      </c>
      <c r="E135" s="6">
        <v>28305</v>
      </c>
      <c r="F135" s="13">
        <v>134</v>
      </c>
    </row>
    <row r="136" spans="1:6" x14ac:dyDescent="0.4">
      <c r="A136" s="13" t="s">
        <v>2324</v>
      </c>
      <c r="B136" s="13" t="s">
        <v>2345</v>
      </c>
      <c r="C136" s="10" t="s">
        <v>25</v>
      </c>
      <c r="D136" s="59">
        <v>45931</v>
      </c>
      <c r="E136" s="6">
        <v>0</v>
      </c>
      <c r="F136" s="13">
        <v>135</v>
      </c>
    </row>
    <row r="137" spans="1:6" x14ac:dyDescent="0.4">
      <c r="A137" s="13" t="s">
        <v>2324</v>
      </c>
      <c r="B137" s="13" t="s">
        <v>2345</v>
      </c>
      <c r="C137" s="10" t="s">
        <v>25</v>
      </c>
      <c r="D137" s="59">
        <v>45962</v>
      </c>
      <c r="E137" s="6">
        <v>133650</v>
      </c>
      <c r="F137" s="54">
        <v>136</v>
      </c>
    </row>
    <row r="138" spans="1:6" x14ac:dyDescent="0.4">
      <c r="A138" s="13" t="s">
        <v>2324</v>
      </c>
      <c r="B138" s="13" t="s">
        <v>2345</v>
      </c>
      <c r="C138" s="10" t="s">
        <v>25</v>
      </c>
      <c r="D138" s="59">
        <v>45992</v>
      </c>
      <c r="E138" s="6">
        <v>151470</v>
      </c>
      <c r="F138" s="13">
        <v>137</v>
      </c>
    </row>
    <row r="139" spans="1:6" x14ac:dyDescent="0.4">
      <c r="A139" s="13" t="s">
        <v>2324</v>
      </c>
      <c r="B139" s="13" t="s">
        <v>2345</v>
      </c>
      <c r="C139" s="10" t="s">
        <v>25</v>
      </c>
      <c r="D139" s="59">
        <v>46023</v>
      </c>
      <c r="E139" s="6">
        <v>588060</v>
      </c>
      <c r="F139" s="13">
        <v>138</v>
      </c>
    </row>
    <row r="140" spans="1:6" x14ac:dyDescent="0.4">
      <c r="A140" s="13" t="s">
        <v>2324</v>
      </c>
      <c r="B140" s="13" t="s">
        <v>2345</v>
      </c>
      <c r="C140" s="10" t="s">
        <v>25</v>
      </c>
      <c r="D140" s="59">
        <v>46054</v>
      </c>
      <c r="E140" s="6">
        <v>472230</v>
      </c>
      <c r="F140" s="54">
        <v>139</v>
      </c>
    </row>
    <row r="141" spans="1:6" x14ac:dyDescent="0.4">
      <c r="A141" s="13" t="s">
        <v>2324</v>
      </c>
      <c r="B141" s="13" t="s">
        <v>2345</v>
      </c>
      <c r="C141" s="10" t="s">
        <v>25</v>
      </c>
      <c r="D141" s="59">
        <v>46082</v>
      </c>
      <c r="E141" s="6">
        <v>454410</v>
      </c>
      <c r="F141" s="13">
        <v>140</v>
      </c>
    </row>
    <row r="142" spans="1:6" x14ac:dyDescent="0.4">
      <c r="A142" s="13" t="s">
        <v>2324</v>
      </c>
      <c r="B142" s="13" t="s">
        <v>2345</v>
      </c>
      <c r="C142" s="10" t="s">
        <v>25</v>
      </c>
      <c r="D142" s="59">
        <v>46113</v>
      </c>
      <c r="E142" s="6">
        <v>17820</v>
      </c>
      <c r="F142" s="13">
        <v>141</v>
      </c>
    </row>
    <row r="143" spans="1:6" x14ac:dyDescent="0.4">
      <c r="A143" s="13" t="s">
        <v>2324</v>
      </c>
      <c r="B143" s="13" t="s">
        <v>2345</v>
      </c>
      <c r="C143" s="10" t="s">
        <v>25</v>
      </c>
      <c r="D143" s="59">
        <v>46143</v>
      </c>
      <c r="E143" s="6">
        <v>0</v>
      </c>
      <c r="F143" s="54">
        <v>142</v>
      </c>
    </row>
    <row r="144" spans="1:6" x14ac:dyDescent="0.4">
      <c r="A144" s="13" t="s">
        <v>2324</v>
      </c>
      <c r="B144" s="13" t="s">
        <v>2345</v>
      </c>
      <c r="C144" s="10" t="s">
        <v>25</v>
      </c>
      <c r="D144" s="59">
        <v>46174</v>
      </c>
      <c r="E144" s="6">
        <v>0</v>
      </c>
      <c r="F144" s="13">
        <v>143</v>
      </c>
    </row>
    <row r="145" spans="1:6" x14ac:dyDescent="0.4">
      <c r="A145" s="13" t="s">
        <v>2324</v>
      </c>
      <c r="B145" s="13" t="s">
        <v>2345</v>
      </c>
      <c r="C145" s="10" t="s">
        <v>25</v>
      </c>
      <c r="D145" s="59">
        <v>46204</v>
      </c>
      <c r="E145" s="6">
        <v>0</v>
      </c>
      <c r="F145" s="13">
        <v>144</v>
      </c>
    </row>
    <row r="146" spans="1:6" x14ac:dyDescent="0.4">
      <c r="A146" s="13" t="s">
        <v>2324</v>
      </c>
      <c r="B146" s="13" t="s">
        <v>2345</v>
      </c>
      <c r="C146" s="10" t="s">
        <v>25</v>
      </c>
      <c r="D146" s="59">
        <v>46235</v>
      </c>
      <c r="E146" s="6">
        <v>0</v>
      </c>
      <c r="F146" s="54">
        <v>145</v>
      </c>
    </row>
    <row r="147" spans="1:6" x14ac:dyDescent="0.4">
      <c r="A147" s="13" t="s">
        <v>2324</v>
      </c>
      <c r="B147" s="13" t="s">
        <v>2345</v>
      </c>
      <c r="C147" s="10" t="s">
        <v>25</v>
      </c>
      <c r="D147" s="59">
        <v>46266</v>
      </c>
      <c r="E147" s="6">
        <v>0</v>
      </c>
      <c r="F147" s="13">
        <v>146</v>
      </c>
    </row>
    <row r="148" spans="1:6" x14ac:dyDescent="0.4">
      <c r="A148" s="13" t="s">
        <v>2324</v>
      </c>
      <c r="B148" s="13" t="s">
        <v>2345</v>
      </c>
      <c r="C148" s="10" t="s">
        <v>25</v>
      </c>
      <c r="D148" s="59">
        <v>46296</v>
      </c>
      <c r="E148" s="6">
        <v>0</v>
      </c>
      <c r="F148" s="13">
        <v>147</v>
      </c>
    </row>
    <row r="149" spans="1:6" x14ac:dyDescent="0.4">
      <c r="A149" s="13" t="s">
        <v>2324</v>
      </c>
      <c r="B149" s="13" t="s">
        <v>2345</v>
      </c>
      <c r="C149" s="10" t="s">
        <v>25</v>
      </c>
      <c r="D149" s="59">
        <v>46327</v>
      </c>
      <c r="E149" s="6">
        <v>0</v>
      </c>
      <c r="F149" s="54">
        <v>148</v>
      </c>
    </row>
    <row r="150" spans="1:6" x14ac:dyDescent="0.4">
      <c r="A150" s="13" t="s">
        <v>2324</v>
      </c>
      <c r="B150" s="13" t="s">
        <v>2345</v>
      </c>
      <c r="C150" s="10" t="s">
        <v>25</v>
      </c>
      <c r="D150" s="59">
        <v>46357</v>
      </c>
      <c r="E150" s="6">
        <v>0</v>
      </c>
      <c r="F150" s="13">
        <v>149</v>
      </c>
    </row>
    <row r="151" spans="1:6" x14ac:dyDescent="0.4">
      <c r="A151" s="13" t="s">
        <v>2324</v>
      </c>
      <c r="B151" s="13" t="s">
        <v>2345</v>
      </c>
      <c r="C151" s="10" t="s">
        <v>25</v>
      </c>
      <c r="D151" s="59">
        <v>46388</v>
      </c>
      <c r="E151" s="6">
        <v>0</v>
      </c>
      <c r="F151" s="13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46419</v>
      </c>
      <c r="E152" s="6">
        <v>0</v>
      </c>
      <c r="F152" s="54">
        <v>151</v>
      </c>
    </row>
    <row r="153" spans="1:6" x14ac:dyDescent="0.4">
      <c r="A153" s="13" t="s">
        <v>2324</v>
      </c>
      <c r="B153" s="13" t="s">
        <v>2345</v>
      </c>
      <c r="C153" s="10" t="s">
        <v>25</v>
      </c>
      <c r="D153" s="59">
        <v>46447</v>
      </c>
      <c r="E153" s="6">
        <v>0</v>
      </c>
      <c r="F153" s="13">
        <v>152</v>
      </c>
    </row>
    <row r="154" spans="1:6" x14ac:dyDescent="0.4">
      <c r="A154" s="13" t="s">
        <v>2324</v>
      </c>
      <c r="B154" s="13" t="s">
        <v>2345</v>
      </c>
      <c r="C154" s="10" t="s">
        <v>25</v>
      </c>
      <c r="D154" s="59">
        <v>46478</v>
      </c>
      <c r="E154" s="6">
        <v>0</v>
      </c>
      <c r="F154" s="13">
        <v>153</v>
      </c>
    </row>
    <row r="155" spans="1:6" x14ac:dyDescent="0.4">
      <c r="A155" s="13" t="s">
        <v>2324</v>
      </c>
      <c r="B155" s="13" t="s">
        <v>2345</v>
      </c>
      <c r="C155" s="10" t="s">
        <v>25</v>
      </c>
      <c r="D155" s="59">
        <v>46508</v>
      </c>
      <c r="E155" s="6">
        <v>0</v>
      </c>
      <c r="F155" s="54">
        <v>154</v>
      </c>
    </row>
    <row r="156" spans="1:6" x14ac:dyDescent="0.4">
      <c r="A156" s="13" t="s">
        <v>2324</v>
      </c>
      <c r="B156" s="13" t="s">
        <v>2345</v>
      </c>
      <c r="C156" s="10" t="s">
        <v>25</v>
      </c>
      <c r="D156" s="59">
        <v>46539</v>
      </c>
      <c r="E156" s="6">
        <v>0</v>
      </c>
      <c r="F156" s="13">
        <v>155</v>
      </c>
    </row>
    <row r="157" spans="1:6" x14ac:dyDescent="0.4">
      <c r="A157" s="13" t="s">
        <v>2324</v>
      </c>
      <c r="B157" s="13" t="s">
        <v>2345</v>
      </c>
      <c r="C157" s="10" t="s">
        <v>25</v>
      </c>
      <c r="D157" s="59">
        <v>46569</v>
      </c>
      <c r="E157" s="6">
        <v>0</v>
      </c>
      <c r="F157" s="13">
        <v>156</v>
      </c>
    </row>
    <row r="158" spans="1:6" x14ac:dyDescent="0.4">
      <c r="A158" s="13" t="s">
        <v>2324</v>
      </c>
      <c r="B158" s="13" t="s">
        <v>2345</v>
      </c>
      <c r="C158" s="13" t="s">
        <v>44</v>
      </c>
      <c r="D158" s="59">
        <v>45931</v>
      </c>
      <c r="E158" s="6">
        <v>0</v>
      </c>
      <c r="F158" s="54">
        <v>157</v>
      </c>
    </row>
    <row r="159" spans="1:6" x14ac:dyDescent="0.4">
      <c r="A159" s="13" t="s">
        <v>2324</v>
      </c>
      <c r="B159" s="13" t="s">
        <v>2345</v>
      </c>
      <c r="C159" s="13" t="s">
        <v>44</v>
      </c>
      <c r="D159" s="59">
        <v>45962</v>
      </c>
      <c r="E159" s="6">
        <v>857250</v>
      </c>
      <c r="F159" s="13">
        <v>158</v>
      </c>
    </row>
    <row r="160" spans="1:6" x14ac:dyDescent="0.4">
      <c r="A160" s="13" t="s">
        <v>2324</v>
      </c>
      <c r="B160" s="13" t="s">
        <v>2345</v>
      </c>
      <c r="C160" s="13" t="s">
        <v>44</v>
      </c>
      <c r="D160" s="59">
        <v>45992</v>
      </c>
      <c r="E160" s="6">
        <v>917258</v>
      </c>
      <c r="F160" s="13">
        <v>159</v>
      </c>
    </row>
    <row r="161" spans="1:6" x14ac:dyDescent="0.4">
      <c r="A161" s="13" t="s">
        <v>2324</v>
      </c>
      <c r="B161" s="13" t="s">
        <v>2345</v>
      </c>
      <c r="C161" s="13" t="s">
        <v>44</v>
      </c>
      <c r="D161" s="59">
        <v>46023</v>
      </c>
      <c r="E161" s="6">
        <v>3180398</v>
      </c>
      <c r="F161" s="54">
        <v>160</v>
      </c>
    </row>
    <row r="162" spans="1:6" x14ac:dyDescent="0.4">
      <c r="A162" s="13" t="s">
        <v>2324</v>
      </c>
      <c r="B162" s="13" t="s">
        <v>2345</v>
      </c>
      <c r="C162" s="13" t="s">
        <v>44</v>
      </c>
      <c r="D162" s="59">
        <v>46054</v>
      </c>
      <c r="E162" s="6">
        <v>3231833</v>
      </c>
      <c r="F162" s="13">
        <v>161</v>
      </c>
    </row>
    <row r="163" spans="1:6" x14ac:dyDescent="0.4">
      <c r="A163" s="13" t="s">
        <v>2324</v>
      </c>
      <c r="B163" s="13" t="s">
        <v>2345</v>
      </c>
      <c r="C163" s="13" t="s">
        <v>44</v>
      </c>
      <c r="D163" s="59">
        <v>46082</v>
      </c>
      <c r="E163" s="6">
        <v>3291840</v>
      </c>
      <c r="F163" s="13">
        <v>162</v>
      </c>
    </row>
    <row r="164" spans="1:6" x14ac:dyDescent="0.4">
      <c r="A164" s="13" t="s">
        <v>2324</v>
      </c>
      <c r="B164" s="13" t="s">
        <v>2345</v>
      </c>
      <c r="C164" s="13" t="s">
        <v>44</v>
      </c>
      <c r="D164" s="59">
        <v>46113</v>
      </c>
      <c r="E164" s="6">
        <v>3386138</v>
      </c>
      <c r="F164" s="54">
        <v>163</v>
      </c>
    </row>
    <row r="165" spans="1:6" x14ac:dyDescent="0.4">
      <c r="A165" s="13" t="s">
        <v>2324</v>
      </c>
      <c r="B165" s="13" t="s">
        <v>2345</v>
      </c>
      <c r="C165" s="13" t="s">
        <v>44</v>
      </c>
      <c r="D165" s="59">
        <v>46143</v>
      </c>
      <c r="E165" s="6">
        <v>2528888</v>
      </c>
      <c r="F165" s="13">
        <v>164</v>
      </c>
    </row>
    <row r="166" spans="1:6" x14ac:dyDescent="0.4">
      <c r="A166" s="13" t="s">
        <v>2324</v>
      </c>
      <c r="B166" s="13" t="s">
        <v>2345</v>
      </c>
      <c r="C166" s="13" t="s">
        <v>44</v>
      </c>
      <c r="D166" s="59">
        <v>46174</v>
      </c>
      <c r="E166" s="6">
        <v>2468880</v>
      </c>
      <c r="F166" s="13">
        <v>165</v>
      </c>
    </row>
    <row r="167" spans="1:6" x14ac:dyDescent="0.4">
      <c r="A167" s="13" t="s">
        <v>2324</v>
      </c>
      <c r="B167" s="13" t="s">
        <v>2345</v>
      </c>
      <c r="C167" s="13" t="s">
        <v>44</v>
      </c>
      <c r="D167" s="59">
        <v>46204</v>
      </c>
      <c r="E167" s="6">
        <v>205740</v>
      </c>
      <c r="F167" s="54">
        <v>166</v>
      </c>
    </row>
    <row r="168" spans="1:6" x14ac:dyDescent="0.4">
      <c r="A168" s="13" t="s">
        <v>2324</v>
      </c>
      <c r="B168" s="13" t="s">
        <v>2345</v>
      </c>
      <c r="C168" s="13" t="s">
        <v>44</v>
      </c>
      <c r="D168" s="59">
        <v>46235</v>
      </c>
      <c r="E168" s="6">
        <v>154305</v>
      </c>
      <c r="F168" s="13">
        <v>167</v>
      </c>
    </row>
    <row r="169" spans="1:6" x14ac:dyDescent="0.4">
      <c r="A169" s="13" t="s">
        <v>2324</v>
      </c>
      <c r="B169" s="13" t="s">
        <v>2345</v>
      </c>
      <c r="C169" s="13" t="s">
        <v>44</v>
      </c>
      <c r="D169" s="59">
        <v>46266</v>
      </c>
      <c r="E169" s="6">
        <v>94298</v>
      </c>
      <c r="F169" s="13">
        <v>168</v>
      </c>
    </row>
    <row r="170" spans="1:6" x14ac:dyDescent="0.4">
      <c r="A170" s="13" t="s">
        <v>2324</v>
      </c>
      <c r="B170" s="13" t="s">
        <v>2345</v>
      </c>
      <c r="C170" s="13" t="s">
        <v>44</v>
      </c>
      <c r="D170" s="59">
        <v>46296</v>
      </c>
      <c r="E170" s="6">
        <v>0</v>
      </c>
      <c r="F170" s="54">
        <v>169</v>
      </c>
    </row>
    <row r="171" spans="1:6" x14ac:dyDescent="0.4">
      <c r="A171" s="13" t="s">
        <v>2324</v>
      </c>
      <c r="B171" s="13" t="s">
        <v>2345</v>
      </c>
      <c r="C171" s="13" t="s">
        <v>44</v>
      </c>
      <c r="D171" s="59">
        <v>46327</v>
      </c>
      <c r="E171" s="6">
        <v>0</v>
      </c>
      <c r="F171" s="13">
        <v>170</v>
      </c>
    </row>
    <row r="172" spans="1:6" x14ac:dyDescent="0.4">
      <c r="A172" s="13" t="s">
        <v>2324</v>
      </c>
      <c r="B172" s="13" t="s">
        <v>2345</v>
      </c>
      <c r="C172" s="13" t="s">
        <v>44</v>
      </c>
      <c r="D172" s="59">
        <v>46357</v>
      </c>
      <c r="E172" s="6">
        <v>0</v>
      </c>
      <c r="F172" s="13">
        <v>171</v>
      </c>
    </row>
    <row r="173" spans="1:6" x14ac:dyDescent="0.4">
      <c r="A173" s="13" t="s">
        <v>2324</v>
      </c>
      <c r="B173" s="13" t="s">
        <v>2345</v>
      </c>
      <c r="C173" s="13" t="s">
        <v>44</v>
      </c>
      <c r="D173" s="59">
        <v>46388</v>
      </c>
      <c r="E173" s="6">
        <v>0</v>
      </c>
      <c r="F173" s="54">
        <v>172</v>
      </c>
    </row>
    <row r="174" spans="1:6" x14ac:dyDescent="0.4">
      <c r="A174" s="13" t="s">
        <v>2324</v>
      </c>
      <c r="B174" s="13" t="s">
        <v>2345</v>
      </c>
      <c r="C174" s="13" t="s">
        <v>44</v>
      </c>
      <c r="D174" s="59">
        <v>46419</v>
      </c>
      <c r="E174" s="6">
        <v>0</v>
      </c>
      <c r="F174" s="13">
        <v>173</v>
      </c>
    </row>
    <row r="175" spans="1:6" x14ac:dyDescent="0.4">
      <c r="A175" s="13" t="s">
        <v>2324</v>
      </c>
      <c r="B175" s="13" t="s">
        <v>2345</v>
      </c>
      <c r="C175" s="13" t="s">
        <v>44</v>
      </c>
      <c r="D175" s="59">
        <v>46447</v>
      </c>
      <c r="E175" s="6">
        <v>0</v>
      </c>
      <c r="F175" s="13">
        <v>174</v>
      </c>
    </row>
    <row r="176" spans="1:6" x14ac:dyDescent="0.4">
      <c r="A176" s="13" t="s">
        <v>2324</v>
      </c>
      <c r="B176" s="13" t="s">
        <v>2345</v>
      </c>
      <c r="C176" s="13" t="s">
        <v>44</v>
      </c>
      <c r="D176" s="59">
        <v>46478</v>
      </c>
      <c r="E176" s="6">
        <v>0</v>
      </c>
      <c r="F176" s="54">
        <v>175</v>
      </c>
    </row>
    <row r="177" spans="1:6" x14ac:dyDescent="0.4">
      <c r="A177" s="13" t="s">
        <v>2324</v>
      </c>
      <c r="B177" s="13" t="s">
        <v>2345</v>
      </c>
      <c r="C177" s="13" t="s">
        <v>44</v>
      </c>
      <c r="D177" s="59">
        <v>46508</v>
      </c>
      <c r="E177" s="6">
        <v>0</v>
      </c>
      <c r="F177" s="13">
        <v>176</v>
      </c>
    </row>
    <row r="178" spans="1:6" x14ac:dyDescent="0.4">
      <c r="A178" s="13" t="s">
        <v>2324</v>
      </c>
      <c r="B178" s="13" t="s">
        <v>2345</v>
      </c>
      <c r="C178" s="13" t="s">
        <v>44</v>
      </c>
      <c r="D178" s="59">
        <v>46539</v>
      </c>
      <c r="E178" s="6">
        <v>0</v>
      </c>
      <c r="F178" s="13">
        <v>177</v>
      </c>
    </row>
    <row r="179" spans="1:6" x14ac:dyDescent="0.4">
      <c r="A179" s="13" t="s">
        <v>2324</v>
      </c>
      <c r="B179" s="13" t="s">
        <v>2345</v>
      </c>
      <c r="C179" s="13" t="s">
        <v>44</v>
      </c>
      <c r="D179" s="59">
        <v>46569</v>
      </c>
      <c r="E179" s="6">
        <v>0</v>
      </c>
      <c r="F179" s="54">
        <v>178</v>
      </c>
    </row>
    <row r="180" spans="1:6" x14ac:dyDescent="0.4">
      <c r="A180" s="13" t="s">
        <v>2324</v>
      </c>
      <c r="B180" s="13" t="s">
        <v>2345</v>
      </c>
      <c r="C180" s="13" t="s">
        <v>1944</v>
      </c>
      <c r="D180" s="59">
        <v>45931</v>
      </c>
      <c r="E180" s="6">
        <v>0</v>
      </c>
      <c r="F180" s="13">
        <v>179</v>
      </c>
    </row>
    <row r="181" spans="1:6" x14ac:dyDescent="0.4">
      <c r="A181" s="13" t="s">
        <v>2324</v>
      </c>
      <c r="B181" s="13" t="s">
        <v>2345</v>
      </c>
      <c r="C181" s="13" t="s">
        <v>1944</v>
      </c>
      <c r="D181" s="59">
        <v>45962</v>
      </c>
      <c r="E181" s="6">
        <v>0</v>
      </c>
      <c r="F181" s="13">
        <v>180</v>
      </c>
    </row>
    <row r="182" spans="1:6" x14ac:dyDescent="0.4">
      <c r="A182" s="13" t="s">
        <v>2324</v>
      </c>
      <c r="B182" s="13" t="s">
        <v>2345</v>
      </c>
      <c r="C182" s="13" t="s">
        <v>1944</v>
      </c>
      <c r="D182" s="59">
        <v>45992</v>
      </c>
      <c r="E182" s="6">
        <v>0</v>
      </c>
      <c r="F182" s="54">
        <v>181</v>
      </c>
    </row>
    <row r="183" spans="1:6" x14ac:dyDescent="0.4">
      <c r="A183" s="13" t="s">
        <v>2324</v>
      </c>
      <c r="B183" s="13" t="s">
        <v>2345</v>
      </c>
      <c r="C183" s="13" t="s">
        <v>1944</v>
      </c>
      <c r="D183" s="59">
        <v>46023</v>
      </c>
      <c r="E183" s="6">
        <v>4246</v>
      </c>
      <c r="F183" s="13">
        <v>182</v>
      </c>
    </row>
    <row r="184" spans="1:6" x14ac:dyDescent="0.4">
      <c r="A184" s="13" t="s">
        <v>2324</v>
      </c>
      <c r="B184" s="13" t="s">
        <v>2345</v>
      </c>
      <c r="C184" s="13" t="s">
        <v>1944</v>
      </c>
      <c r="D184" s="59">
        <v>46054</v>
      </c>
      <c r="E184" s="6">
        <v>4246</v>
      </c>
      <c r="F184" s="13">
        <v>183</v>
      </c>
    </row>
    <row r="185" spans="1:6" x14ac:dyDescent="0.4">
      <c r="A185" s="13" t="s">
        <v>2324</v>
      </c>
      <c r="B185" s="13" t="s">
        <v>2345</v>
      </c>
      <c r="C185" s="13" t="s">
        <v>1944</v>
      </c>
      <c r="D185" s="59">
        <v>46082</v>
      </c>
      <c r="E185" s="6">
        <v>46703</v>
      </c>
      <c r="F185" s="54">
        <v>184</v>
      </c>
    </row>
    <row r="186" spans="1:6" x14ac:dyDescent="0.4">
      <c r="A186" s="13" t="s">
        <v>2324</v>
      </c>
      <c r="B186" s="13" t="s">
        <v>2345</v>
      </c>
      <c r="C186" s="13" t="s">
        <v>1944</v>
      </c>
      <c r="D186" s="59">
        <v>46113</v>
      </c>
      <c r="E186" s="6">
        <v>46703</v>
      </c>
      <c r="F186" s="13">
        <v>185</v>
      </c>
    </row>
    <row r="187" spans="1:6" x14ac:dyDescent="0.4">
      <c r="A187" s="13" t="s">
        <v>2324</v>
      </c>
      <c r="B187" s="13" t="s">
        <v>2345</v>
      </c>
      <c r="C187" s="13" t="s">
        <v>1944</v>
      </c>
      <c r="D187" s="59">
        <v>46143</v>
      </c>
      <c r="E187" s="6">
        <v>72178</v>
      </c>
      <c r="F187" s="13">
        <v>186</v>
      </c>
    </row>
    <row r="188" spans="1:6" x14ac:dyDescent="0.4">
      <c r="A188" s="13" t="s">
        <v>2324</v>
      </c>
      <c r="B188" s="13" t="s">
        <v>2345</v>
      </c>
      <c r="C188" s="13" t="s">
        <v>1944</v>
      </c>
      <c r="D188" s="59">
        <v>46174</v>
      </c>
      <c r="E188" s="6">
        <v>97652</v>
      </c>
      <c r="F188" s="54">
        <v>187</v>
      </c>
    </row>
    <row r="189" spans="1:6" x14ac:dyDescent="0.4">
      <c r="A189" s="13" t="s">
        <v>2324</v>
      </c>
      <c r="B189" s="13" t="s">
        <v>2345</v>
      </c>
      <c r="C189" s="13" t="s">
        <v>1944</v>
      </c>
      <c r="D189" s="59">
        <v>46204</v>
      </c>
      <c r="E189" s="6">
        <v>106144</v>
      </c>
      <c r="F189" s="13">
        <v>188</v>
      </c>
    </row>
    <row r="190" spans="1:6" x14ac:dyDescent="0.4">
      <c r="A190" s="13" t="s">
        <v>2324</v>
      </c>
      <c r="B190" s="13" t="s">
        <v>2345</v>
      </c>
      <c r="C190" s="13" t="s">
        <v>1944</v>
      </c>
      <c r="D190" s="59">
        <v>46235</v>
      </c>
      <c r="E190" s="6">
        <v>110390</v>
      </c>
      <c r="F190" s="13">
        <v>189</v>
      </c>
    </row>
    <row r="191" spans="1:6" x14ac:dyDescent="0.4">
      <c r="A191" s="13" t="s">
        <v>2324</v>
      </c>
      <c r="B191" s="13" t="s">
        <v>2345</v>
      </c>
      <c r="C191" s="13" t="s">
        <v>1944</v>
      </c>
      <c r="D191" s="59">
        <v>46266</v>
      </c>
      <c r="E191" s="6">
        <v>178322</v>
      </c>
      <c r="F191" s="54">
        <v>190</v>
      </c>
    </row>
    <row r="192" spans="1:6" x14ac:dyDescent="0.4">
      <c r="A192" s="13" t="s">
        <v>2324</v>
      </c>
      <c r="B192" s="13" t="s">
        <v>2345</v>
      </c>
      <c r="C192" s="13" t="s">
        <v>1944</v>
      </c>
      <c r="D192" s="59">
        <v>46296</v>
      </c>
      <c r="E192" s="6">
        <v>267482</v>
      </c>
      <c r="F192" s="13">
        <v>191</v>
      </c>
    </row>
    <row r="193" spans="1:6" x14ac:dyDescent="0.4">
      <c r="A193" s="13" t="s">
        <v>2324</v>
      </c>
      <c r="B193" s="13" t="s">
        <v>2345</v>
      </c>
      <c r="C193" s="13" t="s">
        <v>1944</v>
      </c>
      <c r="D193" s="59">
        <v>46327</v>
      </c>
      <c r="E193" s="6">
        <v>267482</v>
      </c>
      <c r="F193" s="13">
        <v>192</v>
      </c>
    </row>
    <row r="194" spans="1:6" x14ac:dyDescent="0.4">
      <c r="A194" s="13" t="s">
        <v>2324</v>
      </c>
      <c r="B194" s="13" t="s">
        <v>2345</v>
      </c>
      <c r="C194" s="13" t="s">
        <v>1944</v>
      </c>
      <c r="D194" s="59">
        <v>46357</v>
      </c>
      <c r="E194" s="6">
        <v>267482</v>
      </c>
      <c r="F194" s="54">
        <v>193</v>
      </c>
    </row>
    <row r="195" spans="1:6" x14ac:dyDescent="0.4">
      <c r="A195" s="13" t="s">
        <v>2324</v>
      </c>
      <c r="B195" s="13" t="s">
        <v>2345</v>
      </c>
      <c r="C195" s="13" t="s">
        <v>1944</v>
      </c>
      <c r="D195" s="59">
        <v>46388</v>
      </c>
      <c r="E195" s="6">
        <v>263237</v>
      </c>
      <c r="F195" s="13">
        <v>194</v>
      </c>
    </row>
    <row r="196" spans="1:6" x14ac:dyDescent="0.4">
      <c r="A196" s="13" t="s">
        <v>2324</v>
      </c>
      <c r="B196" s="13" t="s">
        <v>2345</v>
      </c>
      <c r="C196" s="13" t="s">
        <v>1944</v>
      </c>
      <c r="D196" s="59">
        <v>46419</v>
      </c>
      <c r="E196" s="6">
        <v>263237</v>
      </c>
      <c r="F196" s="13">
        <v>195</v>
      </c>
    </row>
    <row r="197" spans="1:6" x14ac:dyDescent="0.4">
      <c r="A197" s="13" t="s">
        <v>2324</v>
      </c>
      <c r="B197" s="13" t="s">
        <v>2345</v>
      </c>
      <c r="C197" s="13" t="s">
        <v>1944</v>
      </c>
      <c r="D197" s="59">
        <v>46447</v>
      </c>
      <c r="E197" s="6">
        <v>220779</v>
      </c>
      <c r="F197" s="54">
        <v>196</v>
      </c>
    </row>
    <row r="198" spans="1:6" x14ac:dyDescent="0.4">
      <c r="A198" s="13" t="s">
        <v>2324</v>
      </c>
      <c r="B198" s="13" t="s">
        <v>2345</v>
      </c>
      <c r="C198" s="13" t="s">
        <v>1944</v>
      </c>
      <c r="D198" s="59">
        <v>46478</v>
      </c>
      <c r="E198" s="6">
        <v>220779</v>
      </c>
      <c r="F198" s="13">
        <v>197</v>
      </c>
    </row>
    <row r="199" spans="1:6" x14ac:dyDescent="0.4">
      <c r="A199" s="13" t="s">
        <v>2324</v>
      </c>
      <c r="B199" s="13" t="s">
        <v>2345</v>
      </c>
      <c r="C199" s="13" t="s">
        <v>1944</v>
      </c>
      <c r="D199" s="59">
        <v>46508</v>
      </c>
      <c r="E199" s="6">
        <v>195305</v>
      </c>
      <c r="F199" s="13">
        <v>198</v>
      </c>
    </row>
    <row r="200" spans="1:6" x14ac:dyDescent="0.4">
      <c r="A200" s="13" t="s">
        <v>2324</v>
      </c>
      <c r="B200" s="13" t="s">
        <v>2345</v>
      </c>
      <c r="C200" s="13" t="s">
        <v>1944</v>
      </c>
      <c r="D200" s="59">
        <v>46539</v>
      </c>
      <c r="E200" s="6">
        <v>169830</v>
      </c>
      <c r="F200" s="54">
        <v>199</v>
      </c>
    </row>
    <row r="201" spans="1:6" x14ac:dyDescent="0.4">
      <c r="A201" s="13" t="s">
        <v>2324</v>
      </c>
      <c r="B201" s="13" t="s">
        <v>2345</v>
      </c>
      <c r="C201" s="13" t="s">
        <v>1944</v>
      </c>
      <c r="D201" s="59">
        <v>46569</v>
      </c>
      <c r="E201" s="6">
        <v>161339</v>
      </c>
      <c r="F201" s="13">
        <v>200</v>
      </c>
    </row>
    <row r="202" spans="1:6" x14ac:dyDescent="0.4">
      <c r="A202" s="13" t="s">
        <v>2324</v>
      </c>
      <c r="B202" s="13" t="s">
        <v>2345</v>
      </c>
      <c r="C202" s="13" t="s">
        <v>1944</v>
      </c>
      <c r="D202" s="59">
        <v>46600</v>
      </c>
      <c r="E202" s="6">
        <v>157093</v>
      </c>
      <c r="F202" s="13">
        <v>201</v>
      </c>
    </row>
    <row r="203" spans="1:6" x14ac:dyDescent="0.4">
      <c r="A203" s="13" t="s">
        <v>2324</v>
      </c>
      <c r="B203" s="13" t="s">
        <v>2345</v>
      </c>
      <c r="C203" s="13" t="s">
        <v>70</v>
      </c>
      <c r="D203" s="59">
        <v>45931</v>
      </c>
      <c r="E203" s="6">
        <v>0</v>
      </c>
      <c r="F203" s="54">
        <v>202</v>
      </c>
    </row>
    <row r="204" spans="1:6" x14ac:dyDescent="0.4">
      <c r="A204" s="13" t="s">
        <v>2324</v>
      </c>
      <c r="B204" s="13" t="s">
        <v>2345</v>
      </c>
      <c r="C204" s="13" t="s">
        <v>70</v>
      </c>
      <c r="D204" s="59">
        <v>45962</v>
      </c>
      <c r="E204" s="6">
        <v>0</v>
      </c>
      <c r="F204" s="13">
        <v>203</v>
      </c>
    </row>
    <row r="205" spans="1:6" x14ac:dyDescent="0.4">
      <c r="A205" s="13" t="s">
        <v>2324</v>
      </c>
      <c r="B205" s="13" t="s">
        <v>2345</v>
      </c>
      <c r="C205" s="13" t="s">
        <v>70</v>
      </c>
      <c r="D205" s="59">
        <v>45992</v>
      </c>
      <c r="E205" s="6">
        <v>0</v>
      </c>
      <c r="F205" s="13">
        <v>204</v>
      </c>
    </row>
    <row r="206" spans="1:6" x14ac:dyDescent="0.4">
      <c r="A206" s="13" t="s">
        <v>2324</v>
      </c>
      <c r="B206" s="13" t="s">
        <v>2345</v>
      </c>
      <c r="C206" s="13" t="s">
        <v>70</v>
      </c>
      <c r="D206" s="59">
        <v>46023</v>
      </c>
      <c r="E206" s="6">
        <v>17820</v>
      </c>
      <c r="F206" s="54">
        <v>205</v>
      </c>
    </row>
    <row r="207" spans="1:6" x14ac:dyDescent="0.4">
      <c r="A207" s="13" t="s">
        <v>2324</v>
      </c>
      <c r="B207" s="13" t="s">
        <v>2345</v>
      </c>
      <c r="C207" s="13" t="s">
        <v>70</v>
      </c>
      <c r="D207" s="59">
        <v>46054</v>
      </c>
      <c r="E207" s="6">
        <v>17820</v>
      </c>
      <c r="F207" s="13">
        <v>206</v>
      </c>
    </row>
    <row r="208" spans="1:6" x14ac:dyDescent="0.4">
      <c r="A208" s="13" t="s">
        <v>2324</v>
      </c>
      <c r="B208" s="13" t="s">
        <v>2345</v>
      </c>
      <c r="C208" s="13" t="s">
        <v>70</v>
      </c>
      <c r="D208" s="59">
        <v>46082</v>
      </c>
      <c r="E208" s="6">
        <v>17820</v>
      </c>
      <c r="F208" s="13">
        <v>207</v>
      </c>
    </row>
    <row r="209" spans="1:6" x14ac:dyDescent="0.4">
      <c r="A209" s="13" t="s">
        <v>2324</v>
      </c>
      <c r="B209" s="13" t="s">
        <v>2345</v>
      </c>
      <c r="C209" s="13" t="s">
        <v>70</v>
      </c>
      <c r="D209" s="59">
        <v>46113</v>
      </c>
      <c r="E209" s="6">
        <v>0</v>
      </c>
      <c r="F209" s="54">
        <v>208</v>
      </c>
    </row>
    <row r="210" spans="1:6" x14ac:dyDescent="0.4">
      <c r="A210" s="13" t="s">
        <v>2324</v>
      </c>
      <c r="B210" s="13" t="s">
        <v>2345</v>
      </c>
      <c r="C210" s="13" t="s">
        <v>70</v>
      </c>
      <c r="D210" s="59">
        <v>46143</v>
      </c>
      <c r="E210" s="6">
        <v>0</v>
      </c>
      <c r="F210" s="13">
        <v>209</v>
      </c>
    </row>
    <row r="211" spans="1:6" x14ac:dyDescent="0.4">
      <c r="A211" s="13" t="s">
        <v>2324</v>
      </c>
      <c r="B211" s="13" t="s">
        <v>2345</v>
      </c>
      <c r="C211" s="13" t="s">
        <v>70</v>
      </c>
      <c r="D211" s="59">
        <v>46174</v>
      </c>
      <c r="E211" s="6">
        <v>0</v>
      </c>
      <c r="F211" s="13">
        <v>210</v>
      </c>
    </row>
    <row r="212" spans="1:6" x14ac:dyDescent="0.4">
      <c r="A212" s="13" t="s">
        <v>2324</v>
      </c>
      <c r="B212" s="13" t="s">
        <v>2345</v>
      </c>
      <c r="C212" s="13" t="s">
        <v>70</v>
      </c>
      <c r="D212" s="59">
        <v>46204</v>
      </c>
      <c r="E212" s="6">
        <v>0</v>
      </c>
      <c r="F212" s="54">
        <v>211</v>
      </c>
    </row>
    <row r="213" spans="1:6" x14ac:dyDescent="0.4">
      <c r="A213" s="13" t="s">
        <v>2324</v>
      </c>
      <c r="B213" s="13" t="s">
        <v>2345</v>
      </c>
      <c r="C213" s="13" t="s">
        <v>70</v>
      </c>
      <c r="D213" s="59">
        <v>46235</v>
      </c>
      <c r="E213" s="6">
        <v>0</v>
      </c>
      <c r="F213" s="13">
        <v>212</v>
      </c>
    </row>
    <row r="214" spans="1:6" x14ac:dyDescent="0.4">
      <c r="A214" s="13" t="s">
        <v>2324</v>
      </c>
      <c r="B214" s="13" t="s">
        <v>2345</v>
      </c>
      <c r="C214" s="13" t="s">
        <v>70</v>
      </c>
      <c r="D214" s="59">
        <v>46266</v>
      </c>
      <c r="E214" s="6">
        <v>0</v>
      </c>
      <c r="F214" s="13">
        <v>213</v>
      </c>
    </row>
    <row r="215" spans="1:6" x14ac:dyDescent="0.4">
      <c r="A215" s="13" t="s">
        <v>2324</v>
      </c>
      <c r="B215" s="13" t="s">
        <v>2345</v>
      </c>
      <c r="C215" s="13" t="s">
        <v>70</v>
      </c>
      <c r="D215" s="59">
        <v>46296</v>
      </c>
      <c r="E215" s="6">
        <v>0</v>
      </c>
      <c r="F215" s="54">
        <v>214</v>
      </c>
    </row>
    <row r="216" spans="1:6" x14ac:dyDescent="0.4">
      <c r="A216" s="13" t="s">
        <v>2324</v>
      </c>
      <c r="B216" s="13" t="s">
        <v>2345</v>
      </c>
      <c r="C216" s="13" t="s">
        <v>70</v>
      </c>
      <c r="D216" s="59">
        <v>46327</v>
      </c>
      <c r="E216" s="6">
        <v>0</v>
      </c>
      <c r="F216" s="13">
        <v>215</v>
      </c>
    </row>
    <row r="217" spans="1:6" x14ac:dyDescent="0.4">
      <c r="A217" s="13" t="s">
        <v>2324</v>
      </c>
      <c r="B217" s="13" t="s">
        <v>2345</v>
      </c>
      <c r="C217" s="13" t="s">
        <v>70</v>
      </c>
      <c r="D217" s="59">
        <v>46357</v>
      </c>
      <c r="E217" s="6">
        <v>0</v>
      </c>
      <c r="F217" s="13">
        <v>216</v>
      </c>
    </row>
    <row r="218" spans="1:6" x14ac:dyDescent="0.4">
      <c r="A218" s="13" t="s">
        <v>2324</v>
      </c>
      <c r="B218" s="13" t="s">
        <v>2345</v>
      </c>
      <c r="C218" s="13" t="s">
        <v>70</v>
      </c>
      <c r="D218" s="59">
        <v>46388</v>
      </c>
      <c r="E218" s="6">
        <v>0</v>
      </c>
      <c r="F218" s="54">
        <v>217</v>
      </c>
    </row>
    <row r="219" spans="1:6" x14ac:dyDescent="0.4">
      <c r="A219" s="13" t="s">
        <v>2324</v>
      </c>
      <c r="B219" s="13" t="s">
        <v>2345</v>
      </c>
      <c r="C219" s="13" t="s">
        <v>70</v>
      </c>
      <c r="D219" s="59">
        <v>46419</v>
      </c>
      <c r="E219" s="6">
        <v>0</v>
      </c>
      <c r="F219" s="13">
        <v>218</v>
      </c>
    </row>
    <row r="220" spans="1:6" x14ac:dyDescent="0.4">
      <c r="A220" s="13" t="s">
        <v>2324</v>
      </c>
      <c r="B220" s="13" t="s">
        <v>2345</v>
      </c>
      <c r="C220" s="13" t="s">
        <v>70</v>
      </c>
      <c r="D220" s="59">
        <v>46447</v>
      </c>
      <c r="E220" s="6">
        <v>0</v>
      </c>
      <c r="F220" s="13">
        <v>219</v>
      </c>
    </row>
    <row r="221" spans="1:6" x14ac:dyDescent="0.4">
      <c r="A221" s="13" t="s">
        <v>2324</v>
      </c>
      <c r="B221" s="13" t="s">
        <v>2345</v>
      </c>
      <c r="C221" s="13" t="s">
        <v>70</v>
      </c>
      <c r="D221" s="59">
        <v>46478</v>
      </c>
      <c r="E221" s="6">
        <v>0</v>
      </c>
      <c r="F221" s="54">
        <v>220</v>
      </c>
    </row>
    <row r="222" spans="1:6" x14ac:dyDescent="0.4">
      <c r="A222" s="13" t="s">
        <v>2324</v>
      </c>
      <c r="B222" s="13" t="s">
        <v>2345</v>
      </c>
      <c r="C222" s="13" t="s">
        <v>70</v>
      </c>
      <c r="D222" s="59">
        <v>46508</v>
      </c>
      <c r="E222" s="6">
        <v>0</v>
      </c>
      <c r="F222" s="13">
        <v>221</v>
      </c>
    </row>
    <row r="223" spans="1:6" x14ac:dyDescent="0.4">
      <c r="A223" s="13" t="s">
        <v>2324</v>
      </c>
      <c r="B223" s="13" t="s">
        <v>2345</v>
      </c>
      <c r="C223" s="13" t="s">
        <v>70</v>
      </c>
      <c r="D223" s="59">
        <v>46539</v>
      </c>
      <c r="E223" s="6">
        <v>0</v>
      </c>
      <c r="F223" s="13">
        <v>222</v>
      </c>
    </row>
    <row r="224" spans="1:6" x14ac:dyDescent="0.4">
      <c r="A224" s="13" t="s">
        <v>2324</v>
      </c>
      <c r="B224" s="13" t="s">
        <v>2345</v>
      </c>
      <c r="C224" s="13" t="s">
        <v>70</v>
      </c>
      <c r="D224" s="59">
        <v>46569</v>
      </c>
      <c r="E224" s="6">
        <v>0</v>
      </c>
      <c r="F224" s="54">
        <v>223</v>
      </c>
    </row>
    <row r="225" spans="1:6" x14ac:dyDescent="0.4">
      <c r="A225" s="13" t="s">
        <v>2324</v>
      </c>
      <c r="B225" s="13" t="s">
        <v>2345</v>
      </c>
      <c r="C225" s="13" t="s">
        <v>50</v>
      </c>
      <c r="D225" s="59">
        <v>45931</v>
      </c>
      <c r="E225" s="6">
        <v>0</v>
      </c>
      <c r="F225" s="13">
        <v>224</v>
      </c>
    </row>
    <row r="226" spans="1:6" x14ac:dyDescent="0.4">
      <c r="A226" s="13" t="s">
        <v>2324</v>
      </c>
      <c r="B226" s="13" t="s">
        <v>2345</v>
      </c>
      <c r="C226" s="13" t="s">
        <v>50</v>
      </c>
      <c r="D226" s="59">
        <v>45962</v>
      </c>
      <c r="E226" s="6">
        <v>17145</v>
      </c>
      <c r="F226" s="13">
        <v>225</v>
      </c>
    </row>
    <row r="227" spans="1:6" x14ac:dyDescent="0.4">
      <c r="A227" s="13" t="s">
        <v>2324</v>
      </c>
      <c r="B227" s="13" t="s">
        <v>2345</v>
      </c>
      <c r="C227" s="13" t="s">
        <v>50</v>
      </c>
      <c r="D227" s="59">
        <v>45992</v>
      </c>
      <c r="E227" s="6">
        <v>17145</v>
      </c>
      <c r="F227" s="54">
        <v>226</v>
      </c>
    </row>
    <row r="228" spans="1:6" x14ac:dyDescent="0.4">
      <c r="A228" s="13" t="s">
        <v>2324</v>
      </c>
      <c r="B228" s="13" t="s">
        <v>2345</v>
      </c>
      <c r="C228" s="13" t="s">
        <v>50</v>
      </c>
      <c r="D228" s="59">
        <v>46023</v>
      </c>
      <c r="E228" s="6">
        <v>171450</v>
      </c>
      <c r="F228" s="13">
        <v>227</v>
      </c>
    </row>
    <row r="229" spans="1:6" x14ac:dyDescent="0.4">
      <c r="A229" s="13" t="s">
        <v>2324</v>
      </c>
      <c r="B229" s="13" t="s">
        <v>2345</v>
      </c>
      <c r="C229" s="13" t="s">
        <v>50</v>
      </c>
      <c r="D229" s="59">
        <v>46054</v>
      </c>
      <c r="E229" s="6">
        <v>171450</v>
      </c>
      <c r="F229" s="13">
        <v>228</v>
      </c>
    </row>
    <row r="230" spans="1:6" x14ac:dyDescent="0.4">
      <c r="A230" s="13" t="s">
        <v>2324</v>
      </c>
      <c r="B230" s="13" t="s">
        <v>2345</v>
      </c>
      <c r="C230" s="13" t="s">
        <v>50</v>
      </c>
      <c r="D230" s="59">
        <v>46082</v>
      </c>
      <c r="E230" s="6">
        <v>171450</v>
      </c>
      <c r="F230" s="54">
        <v>229</v>
      </c>
    </row>
    <row r="231" spans="1:6" x14ac:dyDescent="0.4">
      <c r="A231" s="13" t="s">
        <v>2324</v>
      </c>
      <c r="B231" s="13" t="s">
        <v>2345</v>
      </c>
      <c r="C231" s="13" t="s">
        <v>50</v>
      </c>
      <c r="D231" s="59">
        <v>46113</v>
      </c>
      <c r="E231" s="6">
        <v>180023</v>
      </c>
      <c r="F231" s="13">
        <v>230</v>
      </c>
    </row>
    <row r="232" spans="1:6" x14ac:dyDescent="0.4">
      <c r="A232" s="13" t="s">
        <v>2324</v>
      </c>
      <c r="B232" s="13" t="s">
        <v>2345</v>
      </c>
      <c r="C232" s="13" t="s">
        <v>50</v>
      </c>
      <c r="D232" s="59">
        <v>46143</v>
      </c>
      <c r="E232" s="6">
        <v>188595</v>
      </c>
      <c r="F232" s="13">
        <v>231</v>
      </c>
    </row>
    <row r="233" spans="1:6" x14ac:dyDescent="0.4">
      <c r="A233" s="13" t="s">
        <v>2324</v>
      </c>
      <c r="B233" s="13" t="s">
        <v>2345</v>
      </c>
      <c r="C233" s="13" t="s">
        <v>50</v>
      </c>
      <c r="D233" s="59">
        <v>46174</v>
      </c>
      <c r="E233" s="6">
        <v>188595</v>
      </c>
      <c r="F233" s="54">
        <v>232</v>
      </c>
    </row>
    <row r="234" spans="1:6" x14ac:dyDescent="0.4">
      <c r="A234" s="13" t="s">
        <v>2324</v>
      </c>
      <c r="B234" s="13" t="s">
        <v>2345</v>
      </c>
      <c r="C234" s="13" t="s">
        <v>50</v>
      </c>
      <c r="D234" s="59">
        <v>46204</v>
      </c>
      <c r="E234" s="6">
        <v>34290</v>
      </c>
      <c r="F234" s="13">
        <v>233</v>
      </c>
    </row>
    <row r="235" spans="1:6" x14ac:dyDescent="0.4">
      <c r="A235" s="13" t="s">
        <v>2324</v>
      </c>
      <c r="B235" s="13" t="s">
        <v>2345</v>
      </c>
      <c r="C235" s="13" t="s">
        <v>50</v>
      </c>
      <c r="D235" s="59">
        <v>46235</v>
      </c>
      <c r="E235" s="6">
        <v>34290</v>
      </c>
      <c r="F235" s="13">
        <v>234</v>
      </c>
    </row>
    <row r="236" spans="1:6" x14ac:dyDescent="0.4">
      <c r="A236" s="13" t="s">
        <v>2324</v>
      </c>
      <c r="B236" s="13" t="s">
        <v>2345</v>
      </c>
      <c r="C236" s="13" t="s">
        <v>50</v>
      </c>
      <c r="D236" s="59">
        <v>46266</v>
      </c>
      <c r="E236" s="6">
        <v>34290</v>
      </c>
      <c r="F236" s="54">
        <v>235</v>
      </c>
    </row>
    <row r="237" spans="1:6" x14ac:dyDescent="0.4">
      <c r="A237" s="13" t="s">
        <v>2324</v>
      </c>
      <c r="B237" s="13" t="s">
        <v>2345</v>
      </c>
      <c r="C237" s="13" t="s">
        <v>50</v>
      </c>
      <c r="D237" s="59">
        <v>46296</v>
      </c>
      <c r="E237" s="6">
        <v>25718</v>
      </c>
      <c r="F237" s="13">
        <v>236</v>
      </c>
    </row>
    <row r="238" spans="1:6" x14ac:dyDescent="0.4">
      <c r="A238" s="13" t="s">
        <v>2324</v>
      </c>
      <c r="B238" s="13" t="s">
        <v>2345</v>
      </c>
      <c r="C238" s="13" t="s">
        <v>50</v>
      </c>
      <c r="D238" s="59">
        <v>46327</v>
      </c>
      <c r="E238" s="6">
        <v>0</v>
      </c>
      <c r="F238" s="13">
        <v>237</v>
      </c>
    </row>
    <row r="239" spans="1:6" x14ac:dyDescent="0.4">
      <c r="A239" s="13" t="s">
        <v>2324</v>
      </c>
      <c r="B239" s="13" t="s">
        <v>2345</v>
      </c>
      <c r="C239" s="13" t="s">
        <v>50</v>
      </c>
      <c r="D239" s="59">
        <v>46357</v>
      </c>
      <c r="E239" s="6">
        <v>0</v>
      </c>
      <c r="F239" s="54">
        <v>238</v>
      </c>
    </row>
    <row r="240" spans="1:6" x14ac:dyDescent="0.4">
      <c r="A240" s="13" t="s">
        <v>2324</v>
      </c>
      <c r="B240" s="13" t="s">
        <v>2345</v>
      </c>
      <c r="C240" s="13" t="s">
        <v>50</v>
      </c>
      <c r="D240" s="59">
        <v>46388</v>
      </c>
      <c r="E240" s="6">
        <v>0</v>
      </c>
      <c r="F240" s="13">
        <v>239</v>
      </c>
    </row>
    <row r="241" spans="1:6" x14ac:dyDescent="0.4">
      <c r="A241" s="13" t="s">
        <v>2324</v>
      </c>
      <c r="B241" s="13" t="s">
        <v>2345</v>
      </c>
      <c r="C241" s="13" t="s">
        <v>50</v>
      </c>
      <c r="D241" s="59">
        <v>46419</v>
      </c>
      <c r="E241" s="6">
        <v>0</v>
      </c>
      <c r="F241" s="13">
        <v>240</v>
      </c>
    </row>
    <row r="242" spans="1:6" x14ac:dyDescent="0.4">
      <c r="A242" s="13" t="s">
        <v>2324</v>
      </c>
      <c r="B242" s="13" t="s">
        <v>2345</v>
      </c>
      <c r="C242" s="13" t="s">
        <v>50</v>
      </c>
      <c r="D242" s="59">
        <v>46447</v>
      </c>
      <c r="E242" s="6">
        <v>0</v>
      </c>
      <c r="F242" s="54">
        <v>241</v>
      </c>
    </row>
    <row r="243" spans="1:6" x14ac:dyDescent="0.4">
      <c r="A243" s="13" t="s">
        <v>2324</v>
      </c>
      <c r="B243" s="13" t="s">
        <v>2345</v>
      </c>
      <c r="C243" s="13" t="s">
        <v>50</v>
      </c>
      <c r="D243" s="59">
        <v>46478</v>
      </c>
      <c r="E243" s="6">
        <v>0</v>
      </c>
      <c r="F243" s="13">
        <v>242</v>
      </c>
    </row>
    <row r="244" spans="1:6" x14ac:dyDescent="0.4">
      <c r="A244" s="13" t="s">
        <v>2324</v>
      </c>
      <c r="B244" s="13" t="s">
        <v>2345</v>
      </c>
      <c r="C244" s="13" t="s">
        <v>50</v>
      </c>
      <c r="D244" s="59">
        <v>46508</v>
      </c>
      <c r="E244" s="6">
        <v>0</v>
      </c>
      <c r="F244" s="13">
        <v>243</v>
      </c>
    </row>
    <row r="245" spans="1:6" x14ac:dyDescent="0.4">
      <c r="A245" s="13" t="s">
        <v>2324</v>
      </c>
      <c r="B245" s="13" t="s">
        <v>2345</v>
      </c>
      <c r="C245" s="13" t="s">
        <v>50</v>
      </c>
      <c r="D245" s="59">
        <v>46539</v>
      </c>
      <c r="E245" s="6">
        <v>0</v>
      </c>
      <c r="F245" s="54">
        <v>244</v>
      </c>
    </row>
    <row r="246" spans="1:6" x14ac:dyDescent="0.4">
      <c r="A246" s="13" t="s">
        <v>2324</v>
      </c>
      <c r="B246" s="13" t="s">
        <v>2345</v>
      </c>
      <c r="C246" s="13" t="s">
        <v>50</v>
      </c>
      <c r="D246" s="59">
        <v>46569</v>
      </c>
      <c r="E246" s="6">
        <v>0</v>
      </c>
      <c r="F246" s="13">
        <v>245</v>
      </c>
    </row>
    <row r="247" spans="1:6" x14ac:dyDescent="0.4">
      <c r="A247" s="13" t="s">
        <v>2324</v>
      </c>
      <c r="B247" s="13" t="s">
        <v>2345</v>
      </c>
      <c r="C247" s="13" t="s">
        <v>5133</v>
      </c>
      <c r="D247" s="59">
        <v>45931</v>
      </c>
      <c r="E247" s="6">
        <v>0</v>
      </c>
      <c r="F247" s="13">
        <v>246</v>
      </c>
    </row>
    <row r="248" spans="1:6" x14ac:dyDescent="0.4">
      <c r="A248" s="13" t="s">
        <v>2324</v>
      </c>
      <c r="B248" s="13" t="s">
        <v>2345</v>
      </c>
      <c r="C248" s="13" t="s">
        <v>5133</v>
      </c>
      <c r="D248" s="59">
        <v>45962</v>
      </c>
      <c r="E248" s="6">
        <v>0</v>
      </c>
      <c r="F248" s="54">
        <v>247</v>
      </c>
    </row>
    <row r="249" spans="1:6" x14ac:dyDescent="0.4">
      <c r="A249" s="13" t="s">
        <v>2324</v>
      </c>
      <c r="B249" s="13" t="s">
        <v>2345</v>
      </c>
      <c r="C249" s="13" t="s">
        <v>5133</v>
      </c>
      <c r="D249" s="59">
        <v>45992</v>
      </c>
      <c r="E249" s="6">
        <v>0</v>
      </c>
      <c r="F249" s="13">
        <v>248</v>
      </c>
    </row>
    <row r="250" spans="1:6" x14ac:dyDescent="0.4">
      <c r="A250" s="13" t="s">
        <v>2324</v>
      </c>
      <c r="B250" s="13" t="s">
        <v>2345</v>
      </c>
      <c r="C250" s="13" t="s">
        <v>5133</v>
      </c>
      <c r="D250" s="59">
        <v>46023</v>
      </c>
      <c r="E250" s="6">
        <v>0</v>
      </c>
      <c r="F250" s="13">
        <v>249</v>
      </c>
    </row>
    <row r="251" spans="1:6" x14ac:dyDescent="0.4">
      <c r="A251" s="13" t="s">
        <v>2324</v>
      </c>
      <c r="B251" s="13" t="s">
        <v>2345</v>
      </c>
      <c r="C251" s="13" t="s">
        <v>5133</v>
      </c>
      <c r="D251" s="59">
        <v>46054</v>
      </c>
      <c r="E251" s="6">
        <v>0</v>
      </c>
      <c r="F251" s="54">
        <v>250</v>
      </c>
    </row>
    <row r="252" spans="1:6" x14ac:dyDescent="0.4">
      <c r="A252" s="13" t="s">
        <v>2324</v>
      </c>
      <c r="B252" s="13" t="s">
        <v>2345</v>
      </c>
      <c r="C252" s="13" t="s">
        <v>5133</v>
      </c>
      <c r="D252" s="59">
        <v>46082</v>
      </c>
      <c r="E252" s="6">
        <v>0</v>
      </c>
      <c r="F252" s="13">
        <v>251</v>
      </c>
    </row>
    <row r="253" spans="1:6" x14ac:dyDescent="0.4">
      <c r="A253" s="13" t="s">
        <v>2324</v>
      </c>
      <c r="B253" s="13" t="s">
        <v>2345</v>
      </c>
      <c r="C253" s="13" t="s">
        <v>5133</v>
      </c>
      <c r="D253" s="59">
        <v>46113</v>
      </c>
      <c r="E253" s="6">
        <v>0</v>
      </c>
      <c r="F253" s="13">
        <v>252</v>
      </c>
    </row>
    <row r="254" spans="1:6" x14ac:dyDescent="0.4">
      <c r="A254" s="13" t="s">
        <v>2324</v>
      </c>
      <c r="B254" s="13" t="s">
        <v>2345</v>
      </c>
      <c r="C254" s="13" t="s">
        <v>5133</v>
      </c>
      <c r="D254" s="59">
        <v>46143</v>
      </c>
      <c r="E254" s="6">
        <v>0</v>
      </c>
      <c r="F254" s="54">
        <v>253</v>
      </c>
    </row>
    <row r="255" spans="1:6" x14ac:dyDescent="0.4">
      <c r="A255" s="13" t="s">
        <v>2324</v>
      </c>
      <c r="B255" s="13" t="s">
        <v>2345</v>
      </c>
      <c r="C255" s="13" t="s">
        <v>5133</v>
      </c>
      <c r="D255" s="59">
        <v>46174</v>
      </c>
      <c r="E255" s="6">
        <v>0</v>
      </c>
      <c r="F255" s="13">
        <v>254</v>
      </c>
    </row>
    <row r="256" spans="1:6" x14ac:dyDescent="0.4">
      <c r="A256" s="13" t="s">
        <v>2324</v>
      </c>
      <c r="B256" s="13" t="s">
        <v>2345</v>
      </c>
      <c r="C256" s="13" t="s">
        <v>5133</v>
      </c>
      <c r="D256" s="59">
        <v>46204</v>
      </c>
      <c r="E256" s="6">
        <v>0</v>
      </c>
      <c r="F256" s="13">
        <v>255</v>
      </c>
    </row>
    <row r="257" spans="1:6" x14ac:dyDescent="0.4">
      <c r="A257" s="13" t="s">
        <v>2324</v>
      </c>
      <c r="B257" s="13" t="s">
        <v>2345</v>
      </c>
      <c r="C257" s="13" t="s">
        <v>5133</v>
      </c>
      <c r="D257" s="59">
        <v>46235</v>
      </c>
      <c r="E257" s="6">
        <v>0</v>
      </c>
      <c r="F257" s="54">
        <v>256</v>
      </c>
    </row>
    <row r="258" spans="1:6" x14ac:dyDescent="0.4">
      <c r="A258" s="13" t="s">
        <v>2324</v>
      </c>
      <c r="B258" s="13" t="s">
        <v>2345</v>
      </c>
      <c r="C258" s="13" t="s">
        <v>5133</v>
      </c>
      <c r="D258" s="59">
        <v>46266</v>
      </c>
      <c r="E258" s="6">
        <v>12737</v>
      </c>
      <c r="F258" s="13">
        <v>257</v>
      </c>
    </row>
    <row r="259" spans="1:6" x14ac:dyDescent="0.4">
      <c r="A259" s="13" t="s">
        <v>2324</v>
      </c>
      <c r="B259" s="13" t="s">
        <v>2345</v>
      </c>
      <c r="C259" s="13" t="s">
        <v>5133</v>
      </c>
      <c r="D259" s="59">
        <v>46296</v>
      </c>
      <c r="E259" s="6">
        <v>12737</v>
      </c>
      <c r="F259" s="13">
        <v>258</v>
      </c>
    </row>
    <row r="260" spans="1:6" x14ac:dyDescent="0.4">
      <c r="A260" s="13" t="s">
        <v>2324</v>
      </c>
      <c r="B260" s="13" t="s">
        <v>2345</v>
      </c>
      <c r="C260" s="13" t="s">
        <v>5133</v>
      </c>
      <c r="D260" s="59">
        <v>46327</v>
      </c>
      <c r="E260" s="6">
        <v>12737</v>
      </c>
      <c r="F260" s="54">
        <v>259</v>
      </c>
    </row>
    <row r="261" spans="1:6" x14ac:dyDescent="0.4">
      <c r="A261" s="13" t="s">
        <v>2324</v>
      </c>
      <c r="B261" s="13" t="s">
        <v>2345</v>
      </c>
      <c r="C261" s="13" t="s">
        <v>5133</v>
      </c>
      <c r="D261" s="59">
        <v>46357</v>
      </c>
      <c r="E261" s="6">
        <v>12737</v>
      </c>
      <c r="F261" s="13">
        <v>260</v>
      </c>
    </row>
    <row r="262" spans="1:6" x14ac:dyDescent="0.4">
      <c r="A262" s="13" t="s">
        <v>2324</v>
      </c>
      <c r="B262" s="13" t="s">
        <v>2345</v>
      </c>
      <c r="C262" s="13" t="s">
        <v>5133</v>
      </c>
      <c r="D262" s="59">
        <v>46388</v>
      </c>
      <c r="E262" s="6">
        <v>12737</v>
      </c>
      <c r="F262" s="13">
        <v>261</v>
      </c>
    </row>
    <row r="263" spans="1:6" x14ac:dyDescent="0.4">
      <c r="A263" s="13" t="s">
        <v>2324</v>
      </c>
      <c r="B263" s="13" t="s">
        <v>2345</v>
      </c>
      <c r="C263" s="13" t="s">
        <v>5133</v>
      </c>
      <c r="D263" s="59">
        <v>46419</v>
      </c>
      <c r="E263" s="6">
        <v>12737</v>
      </c>
      <c r="F263" s="54">
        <v>262</v>
      </c>
    </row>
    <row r="264" spans="1:6" x14ac:dyDescent="0.4">
      <c r="A264" s="13" t="s">
        <v>2324</v>
      </c>
      <c r="B264" s="13" t="s">
        <v>2345</v>
      </c>
      <c r="C264" s="13" t="s">
        <v>5133</v>
      </c>
      <c r="D264" s="59">
        <v>46447</v>
      </c>
      <c r="E264" s="6">
        <v>12737</v>
      </c>
      <c r="F264" s="13">
        <v>263</v>
      </c>
    </row>
    <row r="265" spans="1:6" x14ac:dyDescent="0.4">
      <c r="A265" s="13" t="s">
        <v>2324</v>
      </c>
      <c r="B265" s="13" t="s">
        <v>2345</v>
      </c>
      <c r="C265" s="13" t="s">
        <v>5133</v>
      </c>
      <c r="D265" s="59">
        <v>46478</v>
      </c>
      <c r="E265" s="6">
        <v>12737</v>
      </c>
      <c r="F265" s="13">
        <v>264</v>
      </c>
    </row>
    <row r="266" spans="1:6" x14ac:dyDescent="0.4">
      <c r="A266" s="13" t="s">
        <v>2324</v>
      </c>
      <c r="B266" s="13" t="s">
        <v>2345</v>
      </c>
      <c r="C266" s="13" t="s">
        <v>5133</v>
      </c>
      <c r="D266" s="59">
        <v>46508</v>
      </c>
      <c r="E266" s="6">
        <v>12737</v>
      </c>
      <c r="F266" s="54">
        <v>265</v>
      </c>
    </row>
    <row r="267" spans="1:6" x14ac:dyDescent="0.4">
      <c r="A267" s="13" t="s">
        <v>2324</v>
      </c>
      <c r="B267" s="13" t="s">
        <v>2345</v>
      </c>
      <c r="C267" s="13" t="s">
        <v>5133</v>
      </c>
      <c r="D267" s="59">
        <v>46539</v>
      </c>
      <c r="E267" s="6">
        <v>12737</v>
      </c>
      <c r="F267" s="13">
        <v>266</v>
      </c>
    </row>
    <row r="268" spans="1:6" x14ac:dyDescent="0.4">
      <c r="A268" s="13" t="s">
        <v>2324</v>
      </c>
      <c r="B268" s="13" t="s">
        <v>2345</v>
      </c>
      <c r="C268" s="13" t="s">
        <v>5133</v>
      </c>
      <c r="D268" s="59">
        <v>46569</v>
      </c>
      <c r="E268" s="6">
        <v>12737</v>
      </c>
      <c r="F268" s="13">
        <v>267</v>
      </c>
    </row>
    <row r="269" spans="1:6" x14ac:dyDescent="0.4">
      <c r="A269" s="13" t="s">
        <v>2324</v>
      </c>
      <c r="B269" s="13" t="s">
        <v>2345</v>
      </c>
      <c r="C269" s="13" t="s">
        <v>5133</v>
      </c>
      <c r="D269" s="59">
        <v>46600</v>
      </c>
      <c r="E269" s="6">
        <v>12737</v>
      </c>
      <c r="F269" s="54">
        <v>268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2C34-080A-49EE-9C4F-14D8357438A2}">
  <sheetPr>
    <tabColor theme="7" tint="0.59999389629810485"/>
  </sheetPr>
  <dimension ref="A1:R282"/>
  <sheetViews>
    <sheetView zoomScale="70" zoomScaleNormal="70" workbookViewId="0">
      <selection activeCell="L11" sqref="L11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9" width="10.625" bestFit="1" customWidth="1"/>
    <col min="11" max="11" width="18.5" bestFit="1" customWidth="1"/>
    <col min="12" max="13" width="10.625" bestFit="1" customWidth="1"/>
    <col min="14" max="14" width="9.125" bestFit="1" customWidth="1"/>
    <col min="15" max="15" width="31.875" customWidth="1"/>
    <col min="16" max="17" width="9.125" bestFit="1" customWidth="1"/>
    <col min="18" max="18" width="10.625" bestFit="1" customWidth="1"/>
  </cols>
  <sheetData>
    <row r="1" spans="1:1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/>
    </row>
    <row r="2" spans="1:18" x14ac:dyDescent="0.4">
      <c r="A2" s="13" t="s">
        <v>2324</v>
      </c>
      <c r="B2" s="55" t="s">
        <v>2325</v>
      </c>
      <c r="C2" s="10" t="s">
        <v>25</v>
      </c>
      <c r="D2" s="59">
        <v>45901</v>
      </c>
      <c r="E2" s="6">
        <v>0</v>
      </c>
      <c r="F2" s="13">
        <v>1</v>
      </c>
      <c r="H2" s="61"/>
      <c r="I2" s="20"/>
    </row>
    <row r="3" spans="1:18" x14ac:dyDescent="0.4">
      <c r="A3" s="13" t="s">
        <v>2324</v>
      </c>
      <c r="B3" s="55" t="s">
        <v>2325</v>
      </c>
      <c r="C3" s="13" t="s">
        <v>44</v>
      </c>
      <c r="D3" s="59">
        <v>45901</v>
      </c>
      <c r="E3" s="6">
        <v>0</v>
      </c>
      <c r="F3" s="54">
        <v>24</v>
      </c>
      <c r="H3" s="61"/>
      <c r="I3" s="20"/>
      <c r="L3" s="20"/>
      <c r="M3" s="20"/>
      <c r="N3" s="20"/>
      <c r="O3" s="20"/>
      <c r="P3" s="20"/>
      <c r="Q3" s="20"/>
      <c r="R3" s="20"/>
    </row>
    <row r="4" spans="1:18" x14ac:dyDescent="0.4">
      <c r="A4" s="13" t="s">
        <v>2324</v>
      </c>
      <c r="B4" s="55" t="s">
        <v>2325</v>
      </c>
      <c r="C4" s="13" t="s">
        <v>1944</v>
      </c>
      <c r="D4" s="59">
        <v>45901</v>
      </c>
      <c r="E4" s="6">
        <v>0</v>
      </c>
      <c r="F4" s="13">
        <v>47</v>
      </c>
      <c r="H4" s="61"/>
      <c r="I4" s="20"/>
      <c r="L4" s="20"/>
      <c r="M4" s="20"/>
      <c r="N4" s="20"/>
      <c r="O4" s="20"/>
      <c r="P4" s="20"/>
      <c r="Q4" s="20"/>
      <c r="R4" s="20"/>
    </row>
    <row r="5" spans="1:18" x14ac:dyDescent="0.4">
      <c r="A5" s="13" t="s">
        <v>2324</v>
      </c>
      <c r="B5" s="55" t="s">
        <v>2325</v>
      </c>
      <c r="C5" s="13" t="s">
        <v>70</v>
      </c>
      <c r="D5" s="59">
        <v>45901</v>
      </c>
      <c r="E5" s="6">
        <v>0</v>
      </c>
      <c r="F5" s="54">
        <v>71</v>
      </c>
      <c r="H5" s="61"/>
      <c r="I5" s="20"/>
      <c r="L5" s="20"/>
      <c r="M5" s="20"/>
      <c r="N5" s="20"/>
      <c r="O5" s="20"/>
      <c r="P5" s="20"/>
      <c r="Q5" s="20"/>
      <c r="R5" s="20"/>
    </row>
    <row r="6" spans="1:18" x14ac:dyDescent="0.4">
      <c r="A6" s="13" t="s">
        <v>2324</v>
      </c>
      <c r="B6" s="55" t="s">
        <v>2325</v>
      </c>
      <c r="C6" s="13" t="s">
        <v>50</v>
      </c>
      <c r="D6" s="59">
        <v>45901</v>
      </c>
      <c r="E6" s="6">
        <v>0</v>
      </c>
      <c r="F6" s="54">
        <v>94</v>
      </c>
      <c r="H6" s="61"/>
      <c r="I6" s="20"/>
      <c r="L6" s="20"/>
      <c r="M6" s="20"/>
      <c r="N6" s="20"/>
      <c r="O6" s="20"/>
      <c r="P6" s="20"/>
      <c r="Q6" s="20"/>
      <c r="R6" s="20"/>
    </row>
    <row r="7" spans="1:18" x14ac:dyDescent="0.4">
      <c r="A7" s="13" t="s">
        <v>2324</v>
      </c>
      <c r="B7" s="55" t="s">
        <v>2325</v>
      </c>
      <c r="C7" s="13" t="s">
        <v>5133</v>
      </c>
      <c r="D7" s="59">
        <v>45901</v>
      </c>
      <c r="E7" s="6">
        <v>0</v>
      </c>
      <c r="F7" s="13">
        <v>117</v>
      </c>
      <c r="H7" s="61"/>
      <c r="I7" s="20"/>
      <c r="L7" s="20"/>
      <c r="M7" s="20"/>
      <c r="N7" s="20"/>
      <c r="O7" s="20"/>
      <c r="P7" s="20"/>
      <c r="Q7" s="20"/>
      <c r="R7" s="20"/>
    </row>
    <row r="8" spans="1:18" x14ac:dyDescent="0.4">
      <c r="A8" s="13" t="s">
        <v>2324</v>
      </c>
      <c r="B8" s="13" t="s">
        <v>2345</v>
      </c>
      <c r="C8" s="10" t="s">
        <v>25</v>
      </c>
      <c r="D8" s="59">
        <v>45901</v>
      </c>
      <c r="E8" s="6">
        <v>0</v>
      </c>
      <c r="F8" s="54">
        <v>141</v>
      </c>
      <c r="H8" s="61"/>
      <c r="I8" s="20"/>
      <c r="L8" s="20"/>
      <c r="M8" s="20"/>
      <c r="N8" s="20"/>
      <c r="O8" s="20"/>
      <c r="P8" s="20"/>
      <c r="Q8" s="20"/>
      <c r="R8" s="20"/>
    </row>
    <row r="9" spans="1:18" x14ac:dyDescent="0.4">
      <c r="A9" s="13" t="s">
        <v>2324</v>
      </c>
      <c r="B9" s="13" t="s">
        <v>2345</v>
      </c>
      <c r="C9" s="13" t="s">
        <v>44</v>
      </c>
      <c r="D9" s="59">
        <v>45901</v>
      </c>
      <c r="E9" s="6">
        <v>0</v>
      </c>
      <c r="F9" s="54">
        <v>164</v>
      </c>
      <c r="H9" s="61"/>
      <c r="I9" s="20"/>
      <c r="L9" s="20"/>
      <c r="M9" s="20"/>
      <c r="N9" s="20"/>
      <c r="O9" s="20"/>
      <c r="P9" s="20"/>
      <c r="Q9" s="20"/>
      <c r="R9" s="20"/>
    </row>
    <row r="10" spans="1:18" x14ac:dyDescent="0.4">
      <c r="A10" s="13" t="s">
        <v>2324</v>
      </c>
      <c r="B10" s="13" t="s">
        <v>2345</v>
      </c>
      <c r="C10" s="13" t="s">
        <v>1944</v>
      </c>
      <c r="D10" s="59">
        <v>45901</v>
      </c>
      <c r="E10" s="6">
        <v>0</v>
      </c>
      <c r="F10" s="54">
        <v>187</v>
      </c>
      <c r="H10" s="61"/>
      <c r="I10" s="20"/>
      <c r="L10" s="20"/>
      <c r="M10" s="20"/>
      <c r="N10" s="20"/>
      <c r="O10" s="20"/>
      <c r="P10" s="20"/>
      <c r="Q10" s="20"/>
      <c r="R10" s="20"/>
    </row>
    <row r="11" spans="1:18" x14ac:dyDescent="0.4">
      <c r="A11" s="13" t="s">
        <v>2324</v>
      </c>
      <c r="B11" s="13" t="s">
        <v>2345</v>
      </c>
      <c r="C11" s="13" t="s">
        <v>70</v>
      </c>
      <c r="D11" s="59">
        <v>45901</v>
      </c>
      <c r="E11" s="6">
        <v>0</v>
      </c>
      <c r="F11" s="54">
        <v>211</v>
      </c>
      <c r="H11" s="61"/>
      <c r="I11" s="20"/>
      <c r="L11" s="20"/>
      <c r="M11" s="20"/>
      <c r="N11" s="20"/>
      <c r="O11" s="20"/>
      <c r="P11" s="20"/>
      <c r="Q11" s="20"/>
      <c r="R11" s="20"/>
    </row>
    <row r="12" spans="1:18" x14ac:dyDescent="0.4">
      <c r="A12" s="13" t="s">
        <v>2324</v>
      </c>
      <c r="B12" s="13" t="s">
        <v>2345</v>
      </c>
      <c r="C12" s="13" t="s">
        <v>50</v>
      </c>
      <c r="D12" s="59">
        <v>45901</v>
      </c>
      <c r="E12" s="6">
        <v>0</v>
      </c>
      <c r="F12" s="54">
        <v>234</v>
      </c>
      <c r="H12" s="61"/>
      <c r="I12" s="20"/>
      <c r="L12" s="20"/>
      <c r="M12" s="20"/>
      <c r="N12" s="20"/>
      <c r="O12" s="20"/>
      <c r="P12" s="20"/>
      <c r="Q12" s="20"/>
      <c r="R12" s="20"/>
    </row>
    <row r="13" spans="1:18" x14ac:dyDescent="0.4">
      <c r="A13" s="13" t="s">
        <v>2324</v>
      </c>
      <c r="B13" s="13" t="s">
        <v>2345</v>
      </c>
      <c r="C13" s="13" t="s">
        <v>5133</v>
      </c>
      <c r="D13" s="59">
        <v>45901</v>
      </c>
      <c r="E13" s="6">
        <v>0</v>
      </c>
      <c r="F13" s="54">
        <v>257</v>
      </c>
      <c r="H13" s="61"/>
      <c r="I13" s="20"/>
      <c r="L13" s="20"/>
      <c r="M13" s="20"/>
      <c r="N13" s="20"/>
      <c r="O13" s="20"/>
      <c r="P13" s="20"/>
      <c r="Q13" s="20"/>
      <c r="R13" s="20"/>
    </row>
    <row r="14" spans="1:18" x14ac:dyDescent="0.4">
      <c r="A14" s="13" t="s">
        <v>2324</v>
      </c>
      <c r="B14" s="55" t="s">
        <v>2325</v>
      </c>
      <c r="C14" s="10" t="s">
        <v>25</v>
      </c>
      <c r="D14" s="59">
        <v>45931</v>
      </c>
      <c r="E14" s="6">
        <v>990000</v>
      </c>
      <c r="F14" s="54">
        <v>2</v>
      </c>
      <c r="H14" s="61"/>
      <c r="I14" s="20"/>
      <c r="L14" s="20"/>
      <c r="M14" s="20"/>
      <c r="N14" s="20"/>
      <c r="O14" s="20"/>
      <c r="P14" s="20"/>
      <c r="Q14" s="20"/>
      <c r="R14" s="20"/>
    </row>
    <row r="15" spans="1:18" x14ac:dyDescent="0.4">
      <c r="A15" s="13" t="s">
        <v>2324</v>
      </c>
      <c r="B15" s="55" t="s">
        <v>2325</v>
      </c>
      <c r="C15" s="13" t="s">
        <v>44</v>
      </c>
      <c r="D15" s="59">
        <v>45931</v>
      </c>
      <c r="E15" s="6">
        <v>247650</v>
      </c>
      <c r="F15" s="13">
        <v>25</v>
      </c>
      <c r="H15" s="61"/>
      <c r="I15" s="20"/>
      <c r="L15" s="20"/>
      <c r="M15" s="20"/>
      <c r="N15" s="20"/>
      <c r="O15" s="20"/>
      <c r="P15" s="20"/>
      <c r="Q15" s="20"/>
      <c r="R15" s="20"/>
    </row>
    <row r="16" spans="1:18" x14ac:dyDescent="0.4">
      <c r="A16" s="13" t="s">
        <v>2324</v>
      </c>
      <c r="B16" s="55" t="s">
        <v>2325</v>
      </c>
      <c r="C16" s="13" t="s">
        <v>1944</v>
      </c>
      <c r="D16" s="59">
        <v>45931</v>
      </c>
      <c r="E16" s="6">
        <v>0</v>
      </c>
      <c r="F16" s="54">
        <v>48</v>
      </c>
      <c r="H16" s="61"/>
      <c r="I16" s="20"/>
      <c r="L16" s="20"/>
      <c r="M16" s="20"/>
      <c r="N16" s="20"/>
      <c r="O16" s="20"/>
      <c r="P16" s="20"/>
      <c r="Q16" s="20"/>
      <c r="R16" s="20"/>
    </row>
    <row r="17" spans="1:18" x14ac:dyDescent="0.4">
      <c r="A17" s="13" t="s">
        <v>2324</v>
      </c>
      <c r="B17" s="55" t="s">
        <v>2325</v>
      </c>
      <c r="C17" s="13" t="s">
        <v>70</v>
      </c>
      <c r="D17" s="59">
        <v>45931</v>
      </c>
      <c r="E17" s="6">
        <v>39600</v>
      </c>
      <c r="F17" s="13">
        <v>72</v>
      </c>
      <c r="H17" s="61"/>
      <c r="I17" s="20"/>
      <c r="L17" s="20"/>
      <c r="M17" s="20"/>
      <c r="N17" s="20"/>
      <c r="O17" s="20"/>
      <c r="P17" s="20"/>
      <c r="Q17" s="20"/>
      <c r="R17" s="20"/>
    </row>
    <row r="18" spans="1:18" x14ac:dyDescent="0.4">
      <c r="A18" s="13" t="s">
        <v>2324</v>
      </c>
      <c r="B18" s="55" t="s">
        <v>2325</v>
      </c>
      <c r="C18" s="13" t="s">
        <v>50</v>
      </c>
      <c r="D18" s="59">
        <v>45931</v>
      </c>
      <c r="E18" s="6">
        <v>19050</v>
      </c>
      <c r="F18" s="13">
        <v>95</v>
      </c>
      <c r="H18" s="61"/>
      <c r="I18" s="20"/>
      <c r="L18" s="20"/>
      <c r="M18" s="20"/>
      <c r="N18" s="20"/>
      <c r="O18" s="20"/>
      <c r="P18" s="20"/>
      <c r="Q18" s="20"/>
      <c r="R18" s="20"/>
    </row>
    <row r="19" spans="1:18" x14ac:dyDescent="0.4">
      <c r="A19" s="13" t="s">
        <v>2324</v>
      </c>
      <c r="B19" s="55" t="s">
        <v>2325</v>
      </c>
      <c r="C19" s="13" t="s">
        <v>5133</v>
      </c>
      <c r="D19" s="59">
        <v>45931</v>
      </c>
      <c r="E19" s="6">
        <v>0</v>
      </c>
      <c r="F19" s="54">
        <v>118</v>
      </c>
      <c r="H19" s="61"/>
      <c r="I19" s="20"/>
      <c r="L19" s="20"/>
      <c r="M19" s="20"/>
      <c r="N19" s="20"/>
      <c r="O19" s="20"/>
      <c r="P19" s="20"/>
      <c r="Q19" s="20"/>
      <c r="R19" s="20"/>
    </row>
    <row r="20" spans="1:18" x14ac:dyDescent="0.4">
      <c r="A20" s="13" t="s">
        <v>2324</v>
      </c>
      <c r="B20" s="13" t="s">
        <v>2345</v>
      </c>
      <c r="C20" s="10" t="s">
        <v>25</v>
      </c>
      <c r="D20" s="59">
        <v>45931</v>
      </c>
      <c r="E20" s="6">
        <v>445500</v>
      </c>
      <c r="F20" s="13">
        <v>142</v>
      </c>
      <c r="H20" s="61"/>
      <c r="I20" s="20"/>
      <c r="L20" s="20"/>
      <c r="M20" s="20"/>
      <c r="N20" s="20"/>
      <c r="O20" s="20"/>
      <c r="P20" s="20"/>
      <c r="Q20" s="20"/>
      <c r="R20" s="20"/>
    </row>
    <row r="21" spans="1:18" x14ac:dyDescent="0.4">
      <c r="A21" s="13" t="s">
        <v>2324</v>
      </c>
      <c r="B21" s="13" t="s">
        <v>2345</v>
      </c>
      <c r="C21" s="13" t="s">
        <v>44</v>
      </c>
      <c r="D21" s="59">
        <v>45931</v>
      </c>
      <c r="E21" s="6">
        <v>111442.5</v>
      </c>
      <c r="F21" s="13">
        <v>165</v>
      </c>
      <c r="H21" s="61"/>
      <c r="I21" s="20"/>
      <c r="L21" s="20"/>
      <c r="M21" s="20"/>
      <c r="N21" s="20"/>
      <c r="O21" s="20"/>
      <c r="P21" s="20"/>
      <c r="Q21" s="20"/>
      <c r="R21" s="20"/>
    </row>
    <row r="22" spans="1:18" x14ac:dyDescent="0.4">
      <c r="A22" s="13" t="s">
        <v>2324</v>
      </c>
      <c r="B22" s="13" t="s">
        <v>2345</v>
      </c>
      <c r="C22" s="13" t="s">
        <v>1944</v>
      </c>
      <c r="D22" s="59">
        <v>45931</v>
      </c>
      <c r="E22" s="6">
        <v>0</v>
      </c>
      <c r="F22" s="13">
        <v>188</v>
      </c>
      <c r="H22" s="61"/>
      <c r="I22" s="20"/>
      <c r="L22" s="20"/>
      <c r="M22" s="20"/>
      <c r="N22" s="20"/>
      <c r="O22" s="20"/>
      <c r="P22" s="20"/>
      <c r="Q22" s="20"/>
      <c r="R22" s="20"/>
    </row>
    <row r="23" spans="1:18" x14ac:dyDescent="0.4">
      <c r="A23" s="13" t="s">
        <v>2324</v>
      </c>
      <c r="B23" s="13" t="s">
        <v>2345</v>
      </c>
      <c r="C23" s="13" t="s">
        <v>70</v>
      </c>
      <c r="D23" s="59">
        <v>45931</v>
      </c>
      <c r="E23" s="6">
        <v>17820</v>
      </c>
      <c r="F23" s="13">
        <v>212</v>
      </c>
      <c r="H23" s="61"/>
      <c r="I23" s="20"/>
      <c r="L23" s="20"/>
      <c r="M23" s="20"/>
      <c r="N23" s="20"/>
      <c r="O23" s="20"/>
      <c r="P23" s="20"/>
      <c r="Q23" s="20"/>
      <c r="R23" s="20"/>
    </row>
    <row r="24" spans="1:18" x14ac:dyDescent="0.4">
      <c r="A24" s="13" t="s">
        <v>2324</v>
      </c>
      <c r="B24" s="13" t="s">
        <v>2345</v>
      </c>
      <c r="C24" s="13" t="s">
        <v>50</v>
      </c>
      <c r="D24" s="59">
        <v>45931</v>
      </c>
      <c r="E24" s="6">
        <v>8572.5</v>
      </c>
      <c r="F24" s="13">
        <v>235</v>
      </c>
      <c r="H24" s="61"/>
      <c r="I24" s="20"/>
      <c r="L24" s="20"/>
      <c r="M24" s="20"/>
      <c r="N24" s="20"/>
      <c r="O24" s="20"/>
      <c r="P24" s="20"/>
      <c r="Q24" s="20"/>
      <c r="R24" s="20"/>
    </row>
    <row r="25" spans="1:18" x14ac:dyDescent="0.4">
      <c r="A25" s="13" t="s">
        <v>2324</v>
      </c>
      <c r="B25" s="13" t="s">
        <v>2345</v>
      </c>
      <c r="C25" s="13" t="s">
        <v>5133</v>
      </c>
      <c r="D25" s="59">
        <v>45931</v>
      </c>
      <c r="E25" s="6">
        <v>0</v>
      </c>
      <c r="F25" s="13">
        <v>258</v>
      </c>
      <c r="H25" s="61"/>
      <c r="I25" s="20"/>
      <c r="L25" s="20"/>
      <c r="M25" s="20"/>
      <c r="N25" s="20"/>
      <c r="O25" s="20"/>
      <c r="P25" s="20"/>
      <c r="Q25" s="20"/>
      <c r="R25" s="20"/>
    </row>
    <row r="26" spans="1:18" x14ac:dyDescent="0.4">
      <c r="A26" s="13" t="s">
        <v>2324</v>
      </c>
      <c r="B26" s="55" t="s">
        <v>2325</v>
      </c>
      <c r="C26" s="10" t="s">
        <v>25</v>
      </c>
      <c r="D26" s="59">
        <v>45962</v>
      </c>
      <c r="E26" s="6">
        <v>1287000</v>
      </c>
      <c r="F26" s="13">
        <v>3</v>
      </c>
      <c r="H26" s="61"/>
      <c r="I26" s="20"/>
      <c r="L26" s="20"/>
      <c r="M26" s="20"/>
      <c r="N26" s="20"/>
      <c r="O26" s="20"/>
      <c r="P26" s="20"/>
      <c r="Q26" s="20"/>
      <c r="R26" s="20"/>
    </row>
    <row r="27" spans="1:18" x14ac:dyDescent="0.4">
      <c r="A27" s="13" t="s">
        <v>2324</v>
      </c>
      <c r="B27" s="55" t="s">
        <v>2325</v>
      </c>
      <c r="C27" s="13" t="s">
        <v>44</v>
      </c>
      <c r="D27" s="59">
        <v>45962</v>
      </c>
      <c r="E27" s="6">
        <v>2171700</v>
      </c>
      <c r="F27" s="54">
        <v>26</v>
      </c>
      <c r="H27" s="61"/>
      <c r="I27" s="20"/>
    </row>
    <row r="28" spans="1:18" x14ac:dyDescent="0.4">
      <c r="A28" s="13" t="s">
        <v>2324</v>
      </c>
      <c r="B28" s="55" t="s">
        <v>2325</v>
      </c>
      <c r="C28" s="13" t="s">
        <v>1944</v>
      </c>
      <c r="D28" s="59">
        <v>45962</v>
      </c>
      <c r="E28" s="6">
        <v>0</v>
      </c>
      <c r="F28" s="13">
        <v>49</v>
      </c>
      <c r="H28" s="61"/>
      <c r="I28" s="20"/>
    </row>
    <row r="29" spans="1:18" x14ac:dyDescent="0.4">
      <c r="A29" s="13" t="s">
        <v>2324</v>
      </c>
      <c r="B29" s="55" t="s">
        <v>2325</v>
      </c>
      <c r="C29" s="13" t="s">
        <v>70</v>
      </c>
      <c r="D29" s="59">
        <v>45962</v>
      </c>
      <c r="E29" s="6">
        <v>39600</v>
      </c>
      <c r="F29" s="54">
        <v>73</v>
      </c>
      <c r="H29" s="61"/>
      <c r="I29" s="20"/>
    </row>
    <row r="30" spans="1:18" x14ac:dyDescent="0.4">
      <c r="A30" s="13" t="s">
        <v>2324</v>
      </c>
      <c r="B30" s="55" t="s">
        <v>2325</v>
      </c>
      <c r="C30" s="13" t="s">
        <v>50</v>
      </c>
      <c r="D30" s="59">
        <v>45962</v>
      </c>
      <c r="E30" s="6">
        <v>114300</v>
      </c>
      <c r="F30" s="54">
        <v>96</v>
      </c>
      <c r="H30" s="61"/>
      <c r="I30" s="20"/>
    </row>
    <row r="31" spans="1:18" x14ac:dyDescent="0.4">
      <c r="A31" s="13" t="s">
        <v>2324</v>
      </c>
      <c r="B31" s="55" t="s">
        <v>2325</v>
      </c>
      <c r="C31" s="13" t="s">
        <v>5133</v>
      </c>
      <c r="D31" s="59">
        <v>45962</v>
      </c>
      <c r="E31" s="6">
        <v>0</v>
      </c>
      <c r="F31" s="13">
        <v>119</v>
      </c>
      <c r="H31" s="61"/>
      <c r="I31" s="20"/>
    </row>
    <row r="32" spans="1:18" x14ac:dyDescent="0.4">
      <c r="A32" s="13" t="s">
        <v>2324</v>
      </c>
      <c r="B32" s="13" t="s">
        <v>2345</v>
      </c>
      <c r="C32" s="10" t="s">
        <v>25</v>
      </c>
      <c r="D32" s="59">
        <v>45962</v>
      </c>
      <c r="E32" s="6">
        <v>579150</v>
      </c>
      <c r="F32" s="54">
        <v>143</v>
      </c>
      <c r="H32" s="61"/>
      <c r="I32" s="20"/>
    </row>
    <row r="33" spans="1:9" x14ac:dyDescent="0.4">
      <c r="A33" s="13" t="s">
        <v>2324</v>
      </c>
      <c r="B33" s="13" t="s">
        <v>2345</v>
      </c>
      <c r="C33" s="13" t="s">
        <v>44</v>
      </c>
      <c r="D33" s="59">
        <v>45962</v>
      </c>
      <c r="E33" s="6">
        <v>977265</v>
      </c>
      <c r="F33" s="54">
        <v>166</v>
      </c>
      <c r="H33" s="61"/>
      <c r="I33" s="20"/>
    </row>
    <row r="34" spans="1:9" x14ac:dyDescent="0.4">
      <c r="A34" s="13" t="s">
        <v>2324</v>
      </c>
      <c r="B34" s="13" t="s">
        <v>2345</v>
      </c>
      <c r="C34" s="13" t="s">
        <v>1944</v>
      </c>
      <c r="D34" s="59">
        <v>45962</v>
      </c>
      <c r="E34" s="6">
        <v>0</v>
      </c>
      <c r="F34" s="54">
        <v>189</v>
      </c>
      <c r="H34" s="61"/>
      <c r="I34" s="20"/>
    </row>
    <row r="35" spans="1:9" x14ac:dyDescent="0.4">
      <c r="A35" s="13" t="s">
        <v>2324</v>
      </c>
      <c r="B35" s="13" t="s">
        <v>2345</v>
      </c>
      <c r="C35" s="13" t="s">
        <v>70</v>
      </c>
      <c r="D35" s="59">
        <v>45962</v>
      </c>
      <c r="E35" s="6">
        <v>17820</v>
      </c>
      <c r="F35" s="54">
        <v>213</v>
      </c>
      <c r="H35" s="61"/>
      <c r="I35" s="20"/>
    </row>
    <row r="36" spans="1:9" x14ac:dyDescent="0.4">
      <c r="A36" s="13" t="s">
        <v>2324</v>
      </c>
      <c r="B36" s="13" t="s">
        <v>2345</v>
      </c>
      <c r="C36" s="13" t="s">
        <v>50</v>
      </c>
      <c r="D36" s="59">
        <v>45962</v>
      </c>
      <c r="E36" s="6">
        <v>51435</v>
      </c>
      <c r="F36" s="54">
        <v>236</v>
      </c>
      <c r="H36" s="61"/>
      <c r="I36" s="20"/>
    </row>
    <row r="37" spans="1:9" x14ac:dyDescent="0.4">
      <c r="A37" s="13" t="s">
        <v>2324</v>
      </c>
      <c r="B37" s="13" t="s">
        <v>2345</v>
      </c>
      <c r="C37" s="13" t="s">
        <v>5133</v>
      </c>
      <c r="D37" s="59">
        <v>45962</v>
      </c>
      <c r="E37" s="6">
        <v>0</v>
      </c>
      <c r="F37" s="54">
        <v>259</v>
      </c>
      <c r="H37" s="61"/>
      <c r="I37" s="20"/>
    </row>
    <row r="38" spans="1:9" x14ac:dyDescent="0.4">
      <c r="A38" s="13" t="s">
        <v>2324</v>
      </c>
      <c r="B38" s="55" t="s">
        <v>2325</v>
      </c>
      <c r="C38" s="10" t="s">
        <v>25</v>
      </c>
      <c r="D38" s="59">
        <v>45992</v>
      </c>
      <c r="E38" s="6">
        <v>1326600</v>
      </c>
      <c r="F38" s="54">
        <v>4</v>
      </c>
      <c r="H38" s="61"/>
      <c r="I38" s="20"/>
    </row>
    <row r="39" spans="1:9" x14ac:dyDescent="0.4">
      <c r="A39" s="13" t="s">
        <v>2324</v>
      </c>
      <c r="B39" s="55" t="s">
        <v>2325</v>
      </c>
      <c r="C39" s="13" t="s">
        <v>44</v>
      </c>
      <c r="D39" s="59">
        <v>45992</v>
      </c>
      <c r="E39" s="6">
        <v>2305050</v>
      </c>
      <c r="F39" s="13">
        <v>27</v>
      </c>
      <c r="H39" s="61"/>
      <c r="I39" s="20"/>
    </row>
    <row r="40" spans="1:9" x14ac:dyDescent="0.4">
      <c r="A40" s="13" t="s">
        <v>2324</v>
      </c>
      <c r="B40" s="55" t="s">
        <v>2325</v>
      </c>
      <c r="C40" s="13" t="s">
        <v>1944</v>
      </c>
      <c r="D40" s="59">
        <v>45992</v>
      </c>
      <c r="E40" s="6">
        <v>0</v>
      </c>
      <c r="F40" s="54">
        <v>50</v>
      </c>
      <c r="H40" s="61"/>
      <c r="I40" s="20"/>
    </row>
    <row r="41" spans="1:9" x14ac:dyDescent="0.4">
      <c r="A41" s="13" t="s">
        <v>2324</v>
      </c>
      <c r="B41" s="55" t="s">
        <v>2325</v>
      </c>
      <c r="C41" s="13" t="s">
        <v>70</v>
      </c>
      <c r="D41" s="59">
        <v>45992</v>
      </c>
      <c r="E41" s="6">
        <v>39600</v>
      </c>
      <c r="F41" s="13">
        <v>74</v>
      </c>
      <c r="H41" s="61"/>
      <c r="I41" s="20"/>
    </row>
    <row r="42" spans="1:9" x14ac:dyDescent="0.4">
      <c r="A42" s="13" t="s">
        <v>2324</v>
      </c>
      <c r="B42" s="55" t="s">
        <v>2325</v>
      </c>
      <c r="C42" s="13" t="s">
        <v>50</v>
      </c>
      <c r="D42" s="59">
        <v>45992</v>
      </c>
      <c r="E42" s="6">
        <v>114300</v>
      </c>
      <c r="F42" s="13">
        <v>97</v>
      </c>
      <c r="H42" s="61"/>
      <c r="I42" s="20"/>
    </row>
    <row r="43" spans="1:9" x14ac:dyDescent="0.4">
      <c r="A43" s="13" t="s">
        <v>2324</v>
      </c>
      <c r="B43" s="55" t="s">
        <v>2325</v>
      </c>
      <c r="C43" s="13" t="s">
        <v>5133</v>
      </c>
      <c r="D43" s="59">
        <v>45992</v>
      </c>
      <c r="E43" s="6">
        <v>0</v>
      </c>
      <c r="F43" s="54">
        <v>120</v>
      </c>
      <c r="H43" s="61"/>
      <c r="I43" s="20"/>
    </row>
    <row r="44" spans="1:9" x14ac:dyDescent="0.4">
      <c r="A44" s="13" t="s">
        <v>2324</v>
      </c>
      <c r="B44" s="13" t="s">
        <v>2345</v>
      </c>
      <c r="C44" s="10" t="s">
        <v>25</v>
      </c>
      <c r="D44" s="59">
        <v>45992</v>
      </c>
      <c r="E44" s="6">
        <v>596970</v>
      </c>
      <c r="F44" s="13">
        <v>144</v>
      </c>
      <c r="H44" s="61"/>
      <c r="I44" s="20"/>
    </row>
    <row r="45" spans="1:9" x14ac:dyDescent="0.4">
      <c r="A45" s="13" t="s">
        <v>2324</v>
      </c>
      <c r="B45" s="13" t="s">
        <v>2345</v>
      </c>
      <c r="C45" s="13" t="s">
        <v>44</v>
      </c>
      <c r="D45" s="59">
        <v>45992</v>
      </c>
      <c r="E45" s="6">
        <v>1037272.5</v>
      </c>
      <c r="F45" s="13">
        <v>167</v>
      </c>
      <c r="H45" s="61"/>
      <c r="I45" s="20"/>
    </row>
    <row r="46" spans="1:9" x14ac:dyDescent="0.4">
      <c r="A46" s="13" t="s">
        <v>2324</v>
      </c>
      <c r="B46" s="13" t="s">
        <v>2345</v>
      </c>
      <c r="C46" s="13" t="s">
        <v>1944</v>
      </c>
      <c r="D46" s="59">
        <v>45992</v>
      </c>
      <c r="E46" s="6">
        <v>0</v>
      </c>
      <c r="F46" s="54">
        <v>190</v>
      </c>
      <c r="H46" s="61"/>
      <c r="I46" s="20"/>
    </row>
    <row r="47" spans="1:9" x14ac:dyDescent="0.4">
      <c r="A47" s="13" t="s">
        <v>2324</v>
      </c>
      <c r="B47" s="13" t="s">
        <v>2345</v>
      </c>
      <c r="C47" s="13" t="s">
        <v>70</v>
      </c>
      <c r="D47" s="59">
        <v>45992</v>
      </c>
      <c r="E47" s="6">
        <v>17820</v>
      </c>
      <c r="F47" s="13">
        <v>214</v>
      </c>
      <c r="H47" s="61"/>
      <c r="I47" s="20"/>
    </row>
    <row r="48" spans="1:9" x14ac:dyDescent="0.4">
      <c r="A48" s="13" t="s">
        <v>2324</v>
      </c>
      <c r="B48" s="13" t="s">
        <v>2345</v>
      </c>
      <c r="C48" s="13" t="s">
        <v>50</v>
      </c>
      <c r="D48" s="59">
        <v>45992</v>
      </c>
      <c r="E48" s="6">
        <v>51435</v>
      </c>
      <c r="F48" s="13">
        <v>237</v>
      </c>
      <c r="H48" s="61"/>
      <c r="I48" s="20"/>
    </row>
    <row r="49" spans="1:9" x14ac:dyDescent="0.4">
      <c r="A49" s="13" t="s">
        <v>2324</v>
      </c>
      <c r="B49" s="13" t="s">
        <v>2345</v>
      </c>
      <c r="C49" s="13" t="s">
        <v>5133</v>
      </c>
      <c r="D49" s="59">
        <v>45992</v>
      </c>
      <c r="E49" s="6">
        <v>0</v>
      </c>
      <c r="F49" s="54">
        <v>260</v>
      </c>
      <c r="H49" s="61"/>
      <c r="I49" s="20"/>
    </row>
    <row r="50" spans="1:9" x14ac:dyDescent="0.4">
      <c r="A50" s="13" t="s">
        <v>2324</v>
      </c>
      <c r="B50" s="55" t="s">
        <v>2325</v>
      </c>
      <c r="C50" s="10" t="s">
        <v>25</v>
      </c>
      <c r="D50" s="59">
        <v>46023</v>
      </c>
      <c r="E50" s="6">
        <v>336600</v>
      </c>
      <c r="F50" s="13">
        <v>5</v>
      </c>
      <c r="H50" s="61"/>
      <c r="I50" s="20"/>
    </row>
    <row r="51" spans="1:9" x14ac:dyDescent="0.4">
      <c r="A51" s="13" t="s">
        <v>2324</v>
      </c>
      <c r="B51" s="55" t="s">
        <v>2325</v>
      </c>
      <c r="C51" s="13" t="s">
        <v>44</v>
      </c>
      <c r="D51" s="59">
        <v>46023</v>
      </c>
      <c r="E51" s="6">
        <v>7334250</v>
      </c>
      <c r="F51" s="54">
        <v>28</v>
      </c>
      <c r="H51" s="61"/>
      <c r="I51" s="20"/>
    </row>
    <row r="52" spans="1:9" x14ac:dyDescent="0.4">
      <c r="A52" s="13" t="s">
        <v>2324</v>
      </c>
      <c r="B52" s="55" t="s">
        <v>2325</v>
      </c>
      <c r="C52" s="13" t="s">
        <v>1944</v>
      </c>
      <c r="D52" s="59">
        <v>46023</v>
      </c>
      <c r="E52" s="6">
        <v>9435</v>
      </c>
      <c r="F52" s="13">
        <v>51</v>
      </c>
      <c r="H52" s="61"/>
      <c r="I52" s="20"/>
    </row>
    <row r="53" spans="1:9" x14ac:dyDescent="0.4">
      <c r="A53" s="13" t="s">
        <v>2324</v>
      </c>
      <c r="B53" s="55" t="s">
        <v>2325</v>
      </c>
      <c r="C53" s="13" t="s">
        <v>70</v>
      </c>
      <c r="D53" s="59">
        <v>46023</v>
      </c>
      <c r="E53" s="6">
        <v>0</v>
      </c>
      <c r="F53" s="54">
        <v>75</v>
      </c>
      <c r="H53" s="61"/>
      <c r="I53" s="20"/>
    </row>
    <row r="54" spans="1:9" x14ac:dyDescent="0.4">
      <c r="A54" s="13" t="s">
        <v>2324</v>
      </c>
      <c r="B54" s="55" t="s">
        <v>2325</v>
      </c>
      <c r="C54" s="13" t="s">
        <v>50</v>
      </c>
      <c r="D54" s="59">
        <v>46023</v>
      </c>
      <c r="E54" s="6">
        <v>457200</v>
      </c>
      <c r="F54" s="54">
        <v>98</v>
      </c>
      <c r="H54" s="61"/>
      <c r="I54" s="20"/>
    </row>
    <row r="55" spans="1:9" x14ac:dyDescent="0.4">
      <c r="A55" s="13" t="s">
        <v>2324</v>
      </c>
      <c r="B55" s="55" t="s">
        <v>2325</v>
      </c>
      <c r="C55" s="13" t="s">
        <v>5133</v>
      </c>
      <c r="D55" s="59">
        <v>46023</v>
      </c>
      <c r="E55" s="6">
        <v>0</v>
      </c>
      <c r="F55" s="13">
        <v>121</v>
      </c>
      <c r="H55" s="61"/>
      <c r="I55" s="20"/>
    </row>
    <row r="56" spans="1:9" x14ac:dyDescent="0.4">
      <c r="A56" s="13" t="s">
        <v>2324</v>
      </c>
      <c r="B56" s="13" t="s">
        <v>2345</v>
      </c>
      <c r="C56" s="10" t="s">
        <v>25</v>
      </c>
      <c r="D56" s="59">
        <v>46023</v>
      </c>
      <c r="E56" s="6">
        <v>151470</v>
      </c>
      <c r="F56" s="54">
        <v>145</v>
      </c>
      <c r="H56" s="61"/>
      <c r="I56" s="20"/>
    </row>
    <row r="57" spans="1:9" x14ac:dyDescent="0.4">
      <c r="A57" s="13" t="s">
        <v>2324</v>
      </c>
      <c r="B57" s="13" t="s">
        <v>2345</v>
      </c>
      <c r="C57" s="13" t="s">
        <v>44</v>
      </c>
      <c r="D57" s="59">
        <v>46023</v>
      </c>
      <c r="E57" s="6">
        <v>3300412.5</v>
      </c>
      <c r="F57" s="54">
        <v>168</v>
      </c>
      <c r="H57" s="61"/>
      <c r="I57" s="20"/>
    </row>
    <row r="58" spans="1:9" x14ac:dyDescent="0.4">
      <c r="A58" s="13" t="s">
        <v>2324</v>
      </c>
      <c r="B58" s="13" t="s">
        <v>2345</v>
      </c>
      <c r="C58" s="13" t="s">
        <v>1944</v>
      </c>
      <c r="D58" s="59">
        <v>46023</v>
      </c>
      <c r="E58" s="6">
        <v>4245.75</v>
      </c>
      <c r="F58" s="13">
        <v>191</v>
      </c>
      <c r="H58" s="61"/>
      <c r="I58" s="20"/>
    </row>
    <row r="59" spans="1:9" x14ac:dyDescent="0.4">
      <c r="A59" s="13" t="s">
        <v>2324</v>
      </c>
      <c r="B59" s="13" t="s">
        <v>2345</v>
      </c>
      <c r="C59" s="13" t="s">
        <v>70</v>
      </c>
      <c r="D59" s="59">
        <v>46023</v>
      </c>
      <c r="E59" s="6">
        <v>0</v>
      </c>
      <c r="F59" s="54">
        <v>215</v>
      </c>
      <c r="H59" s="61"/>
      <c r="I59" s="20"/>
    </row>
    <row r="60" spans="1:9" x14ac:dyDescent="0.4">
      <c r="A60" s="13" t="s">
        <v>2324</v>
      </c>
      <c r="B60" s="13" t="s">
        <v>2345</v>
      </c>
      <c r="C60" s="13" t="s">
        <v>50</v>
      </c>
      <c r="D60" s="59">
        <v>46023</v>
      </c>
      <c r="E60" s="6">
        <v>205740</v>
      </c>
      <c r="F60" s="54">
        <v>238</v>
      </c>
      <c r="H60" s="61"/>
      <c r="I60" s="20"/>
    </row>
    <row r="61" spans="1:9" x14ac:dyDescent="0.4">
      <c r="A61" s="13" t="s">
        <v>2324</v>
      </c>
      <c r="B61" s="13" t="s">
        <v>2345</v>
      </c>
      <c r="C61" s="13" t="s">
        <v>5133</v>
      </c>
      <c r="D61" s="59">
        <v>46023</v>
      </c>
      <c r="E61" s="6">
        <v>0</v>
      </c>
      <c r="F61" s="13">
        <v>261</v>
      </c>
      <c r="H61" s="61"/>
      <c r="I61" s="20"/>
    </row>
    <row r="62" spans="1:9" x14ac:dyDescent="0.4">
      <c r="A62" s="13" t="s">
        <v>2324</v>
      </c>
      <c r="B62" s="55" t="s">
        <v>2325</v>
      </c>
      <c r="C62" s="10" t="s">
        <v>25</v>
      </c>
      <c r="D62" s="59">
        <v>46054</v>
      </c>
      <c r="E62" s="6">
        <v>39600</v>
      </c>
      <c r="F62" s="54">
        <v>6</v>
      </c>
      <c r="H62" s="61"/>
      <c r="I62" s="20"/>
    </row>
    <row r="63" spans="1:9" x14ac:dyDescent="0.4">
      <c r="A63" s="13" t="s">
        <v>2324</v>
      </c>
      <c r="B63" s="55" t="s">
        <v>2325</v>
      </c>
      <c r="C63" s="13" t="s">
        <v>44</v>
      </c>
      <c r="D63" s="59">
        <v>46054</v>
      </c>
      <c r="E63" s="6">
        <v>7448550</v>
      </c>
      <c r="F63" s="13">
        <v>29</v>
      </c>
      <c r="H63" s="61"/>
      <c r="I63" s="20"/>
    </row>
    <row r="64" spans="1:9" x14ac:dyDescent="0.4">
      <c r="A64" s="13" t="s">
        <v>2324</v>
      </c>
      <c r="B64" s="55" t="s">
        <v>2325</v>
      </c>
      <c r="C64" s="13" t="s">
        <v>1944</v>
      </c>
      <c r="D64" s="59">
        <v>46054</v>
      </c>
      <c r="E64" s="6">
        <v>9435</v>
      </c>
      <c r="F64" s="54">
        <v>52</v>
      </c>
      <c r="H64" s="61"/>
      <c r="I64" s="20"/>
    </row>
    <row r="65" spans="1:9" x14ac:dyDescent="0.4">
      <c r="A65" s="13" t="s">
        <v>2324</v>
      </c>
      <c r="B65" s="55" t="s">
        <v>2325</v>
      </c>
      <c r="C65" s="13" t="s">
        <v>70</v>
      </c>
      <c r="D65" s="59">
        <v>46054</v>
      </c>
      <c r="E65" s="6">
        <v>0</v>
      </c>
      <c r="F65" s="13">
        <v>76</v>
      </c>
      <c r="H65" s="61"/>
      <c r="I65" s="20"/>
    </row>
    <row r="66" spans="1:9" x14ac:dyDescent="0.4">
      <c r="A66" s="13" t="s">
        <v>2324</v>
      </c>
      <c r="B66" s="55" t="s">
        <v>2325</v>
      </c>
      <c r="C66" s="13" t="s">
        <v>50</v>
      </c>
      <c r="D66" s="59">
        <v>46054</v>
      </c>
      <c r="E66" s="6">
        <v>457200</v>
      </c>
      <c r="F66" s="13">
        <v>99</v>
      </c>
      <c r="H66" s="61"/>
      <c r="I66" s="20"/>
    </row>
    <row r="67" spans="1:9" x14ac:dyDescent="0.4">
      <c r="A67" s="13" t="s">
        <v>2324</v>
      </c>
      <c r="B67" s="55" t="s">
        <v>2325</v>
      </c>
      <c r="C67" s="13" t="s">
        <v>5133</v>
      </c>
      <c r="D67" s="59">
        <v>46054</v>
      </c>
      <c r="E67" s="6">
        <v>0</v>
      </c>
      <c r="F67" s="54">
        <v>122</v>
      </c>
      <c r="H67" s="61"/>
      <c r="I67" s="20"/>
    </row>
    <row r="68" spans="1:9" x14ac:dyDescent="0.4">
      <c r="A68" s="13" t="s">
        <v>2324</v>
      </c>
      <c r="B68" s="13" t="s">
        <v>2345</v>
      </c>
      <c r="C68" s="10" t="s">
        <v>25</v>
      </c>
      <c r="D68" s="59">
        <v>46054</v>
      </c>
      <c r="E68" s="6">
        <v>17820</v>
      </c>
      <c r="F68" s="13">
        <v>146</v>
      </c>
      <c r="H68" s="61"/>
      <c r="I68" s="20"/>
    </row>
    <row r="69" spans="1:9" x14ac:dyDescent="0.4">
      <c r="A69" s="13" t="s">
        <v>2324</v>
      </c>
      <c r="B69" s="13" t="s">
        <v>2345</v>
      </c>
      <c r="C69" s="13" t="s">
        <v>44</v>
      </c>
      <c r="D69" s="59">
        <v>46054</v>
      </c>
      <c r="E69" s="6">
        <v>3351847.5</v>
      </c>
      <c r="F69" s="54">
        <v>169</v>
      </c>
      <c r="H69" s="61"/>
      <c r="I69" s="20"/>
    </row>
    <row r="70" spans="1:9" x14ac:dyDescent="0.4">
      <c r="A70" s="13" t="s">
        <v>2324</v>
      </c>
      <c r="B70" s="13" t="s">
        <v>2345</v>
      </c>
      <c r="C70" s="13" t="s">
        <v>1944</v>
      </c>
      <c r="D70" s="59">
        <v>46054</v>
      </c>
      <c r="E70" s="6">
        <v>4245.75</v>
      </c>
      <c r="F70" s="54">
        <v>192</v>
      </c>
      <c r="H70" s="61"/>
      <c r="I70" s="20"/>
    </row>
    <row r="71" spans="1:9" x14ac:dyDescent="0.4">
      <c r="A71" s="13" t="s">
        <v>2324</v>
      </c>
      <c r="B71" s="13" t="s">
        <v>2345</v>
      </c>
      <c r="C71" s="13" t="s">
        <v>70</v>
      </c>
      <c r="D71" s="59">
        <v>46054</v>
      </c>
      <c r="E71" s="6">
        <v>0</v>
      </c>
      <c r="F71" s="13">
        <v>216</v>
      </c>
      <c r="H71" s="61"/>
      <c r="I71" s="20"/>
    </row>
    <row r="72" spans="1:9" x14ac:dyDescent="0.4">
      <c r="A72" s="13" t="s">
        <v>2324</v>
      </c>
      <c r="B72" s="13" t="s">
        <v>2345</v>
      </c>
      <c r="C72" s="13" t="s">
        <v>50</v>
      </c>
      <c r="D72" s="59">
        <v>46054</v>
      </c>
      <c r="E72" s="6">
        <v>205740</v>
      </c>
      <c r="F72" s="54">
        <v>239</v>
      </c>
      <c r="H72" s="61"/>
      <c r="I72" s="20"/>
    </row>
    <row r="73" spans="1:9" x14ac:dyDescent="0.4">
      <c r="A73" s="13" t="s">
        <v>2324</v>
      </c>
      <c r="B73" s="13" t="s">
        <v>2345</v>
      </c>
      <c r="C73" s="13" t="s">
        <v>5133</v>
      </c>
      <c r="D73" s="59">
        <v>46054</v>
      </c>
      <c r="E73" s="6">
        <v>0</v>
      </c>
      <c r="F73" s="54">
        <v>262</v>
      </c>
      <c r="H73" s="61"/>
      <c r="I73" s="20"/>
    </row>
    <row r="74" spans="1:9" x14ac:dyDescent="0.4">
      <c r="A74" s="13" t="s">
        <v>2324</v>
      </c>
      <c r="B74" s="55" t="s">
        <v>2325</v>
      </c>
      <c r="C74" s="10" t="s">
        <v>25</v>
      </c>
      <c r="D74" s="59">
        <v>46082</v>
      </c>
      <c r="E74" s="6">
        <v>0</v>
      </c>
      <c r="F74" s="13">
        <v>7</v>
      </c>
      <c r="H74" s="61"/>
      <c r="I74" s="20"/>
    </row>
    <row r="75" spans="1:9" x14ac:dyDescent="0.4">
      <c r="A75" s="13" t="s">
        <v>2324</v>
      </c>
      <c r="B75" s="55" t="s">
        <v>2325</v>
      </c>
      <c r="C75" s="13" t="s">
        <v>44</v>
      </c>
      <c r="D75" s="59">
        <v>46082</v>
      </c>
      <c r="E75" s="6">
        <v>7581900</v>
      </c>
      <c r="F75" s="54">
        <v>30</v>
      </c>
      <c r="H75" s="61"/>
      <c r="I75" s="20"/>
    </row>
    <row r="76" spans="1:9" x14ac:dyDescent="0.4">
      <c r="A76" s="13" t="s">
        <v>2324</v>
      </c>
      <c r="B76" s="55" t="s">
        <v>2325</v>
      </c>
      <c r="C76" s="13" t="s">
        <v>1944</v>
      </c>
      <c r="D76" s="59">
        <v>46082</v>
      </c>
      <c r="E76" s="6">
        <v>103785</v>
      </c>
      <c r="F76" s="13">
        <v>53</v>
      </c>
      <c r="H76" s="61"/>
      <c r="I76" s="20"/>
    </row>
    <row r="77" spans="1:9" x14ac:dyDescent="0.4">
      <c r="A77" s="13" t="s">
        <v>2324</v>
      </c>
      <c r="B77" s="55" t="s">
        <v>2325</v>
      </c>
      <c r="C77" s="13" t="s">
        <v>70</v>
      </c>
      <c r="D77" s="59">
        <v>46082</v>
      </c>
      <c r="E77" s="6">
        <v>0</v>
      </c>
      <c r="F77" s="54">
        <v>77</v>
      </c>
      <c r="H77" s="61"/>
      <c r="I77" s="20"/>
    </row>
    <row r="78" spans="1:9" x14ac:dyDescent="0.4">
      <c r="A78" s="13" t="s">
        <v>2324</v>
      </c>
      <c r="B78" s="55" t="s">
        <v>2325</v>
      </c>
      <c r="C78" s="13" t="s">
        <v>50</v>
      </c>
      <c r="D78" s="59">
        <v>46082</v>
      </c>
      <c r="E78" s="6">
        <v>457200</v>
      </c>
      <c r="F78" s="54">
        <v>100</v>
      </c>
      <c r="H78" s="61"/>
      <c r="I78" s="20"/>
    </row>
    <row r="79" spans="1:9" x14ac:dyDescent="0.4">
      <c r="A79" s="13" t="s">
        <v>2324</v>
      </c>
      <c r="B79" s="55" t="s">
        <v>2325</v>
      </c>
      <c r="C79" s="13" t="s">
        <v>5133</v>
      </c>
      <c r="D79" s="59">
        <v>46082</v>
      </c>
      <c r="E79" s="6">
        <v>0</v>
      </c>
      <c r="F79" s="13">
        <v>123</v>
      </c>
      <c r="H79" s="61"/>
      <c r="I79" s="20"/>
    </row>
    <row r="80" spans="1:9" x14ac:dyDescent="0.4">
      <c r="A80" s="13" t="s">
        <v>2324</v>
      </c>
      <c r="B80" s="13" t="s">
        <v>2345</v>
      </c>
      <c r="C80" s="10" t="s">
        <v>25</v>
      </c>
      <c r="D80" s="59">
        <v>46082</v>
      </c>
      <c r="E80" s="6">
        <v>0</v>
      </c>
      <c r="F80" s="54">
        <v>147</v>
      </c>
      <c r="H80" s="61"/>
      <c r="I80" s="20"/>
    </row>
    <row r="81" spans="1:9" x14ac:dyDescent="0.4">
      <c r="A81" s="13" t="s">
        <v>2324</v>
      </c>
      <c r="B81" s="13" t="s">
        <v>2345</v>
      </c>
      <c r="C81" s="13" t="s">
        <v>44</v>
      </c>
      <c r="D81" s="59">
        <v>46082</v>
      </c>
      <c r="E81" s="6">
        <v>3411855</v>
      </c>
      <c r="F81" s="13">
        <v>170</v>
      </c>
      <c r="H81" s="61"/>
      <c r="I81" s="20"/>
    </row>
    <row r="82" spans="1:9" x14ac:dyDescent="0.4">
      <c r="A82" s="13" t="s">
        <v>2324</v>
      </c>
      <c r="B82" s="13" t="s">
        <v>2345</v>
      </c>
      <c r="C82" s="13" t="s">
        <v>1944</v>
      </c>
      <c r="D82" s="59">
        <v>46082</v>
      </c>
      <c r="E82" s="6">
        <v>46703.25</v>
      </c>
      <c r="F82" s="13">
        <v>193</v>
      </c>
      <c r="H82" s="61"/>
      <c r="I82" s="20"/>
    </row>
    <row r="83" spans="1:9" x14ac:dyDescent="0.4">
      <c r="A83" s="13" t="s">
        <v>2324</v>
      </c>
      <c r="B83" s="13" t="s">
        <v>2345</v>
      </c>
      <c r="C83" s="13" t="s">
        <v>70</v>
      </c>
      <c r="D83" s="59">
        <v>46082</v>
      </c>
      <c r="E83" s="6">
        <v>0</v>
      </c>
      <c r="F83" s="54">
        <v>217</v>
      </c>
      <c r="H83" s="61"/>
      <c r="I83" s="20"/>
    </row>
    <row r="84" spans="1:9" x14ac:dyDescent="0.4">
      <c r="A84" s="13" t="s">
        <v>2324</v>
      </c>
      <c r="B84" s="13" t="s">
        <v>2345</v>
      </c>
      <c r="C84" s="13" t="s">
        <v>50</v>
      </c>
      <c r="D84" s="59">
        <v>46082</v>
      </c>
      <c r="E84" s="6">
        <v>205740</v>
      </c>
      <c r="F84" s="13">
        <v>240</v>
      </c>
      <c r="H84" s="61"/>
      <c r="I84" s="20"/>
    </row>
    <row r="85" spans="1:9" x14ac:dyDescent="0.4">
      <c r="A85" s="13" t="s">
        <v>2324</v>
      </c>
      <c r="B85" s="13" t="s">
        <v>2345</v>
      </c>
      <c r="C85" s="13" t="s">
        <v>5133</v>
      </c>
      <c r="D85" s="59">
        <v>46082</v>
      </c>
      <c r="E85" s="6">
        <v>0</v>
      </c>
      <c r="F85" s="13">
        <v>263</v>
      </c>
      <c r="H85" s="61"/>
      <c r="I85" s="20"/>
    </row>
    <row r="86" spans="1:9" x14ac:dyDescent="0.4">
      <c r="A86" s="13" t="s">
        <v>2324</v>
      </c>
      <c r="B86" s="55" t="s">
        <v>2325</v>
      </c>
      <c r="C86" s="10" t="s">
        <v>25</v>
      </c>
      <c r="D86" s="59">
        <v>46113</v>
      </c>
      <c r="E86" s="6">
        <v>0</v>
      </c>
      <c r="F86" s="54">
        <v>8</v>
      </c>
      <c r="H86" s="61"/>
      <c r="I86" s="20"/>
    </row>
    <row r="87" spans="1:9" x14ac:dyDescent="0.4">
      <c r="A87" s="13" t="s">
        <v>2324</v>
      </c>
      <c r="B87" s="55" t="s">
        <v>2325</v>
      </c>
      <c r="C87" s="13" t="s">
        <v>44</v>
      </c>
      <c r="D87" s="59">
        <v>46113</v>
      </c>
      <c r="E87" s="6">
        <v>7353300</v>
      </c>
      <c r="F87" s="13">
        <v>31</v>
      </c>
      <c r="H87" s="61"/>
      <c r="I87" s="20"/>
    </row>
    <row r="88" spans="1:9" x14ac:dyDescent="0.4">
      <c r="A88" s="13" t="s">
        <v>2324</v>
      </c>
      <c r="B88" s="55" t="s">
        <v>2325</v>
      </c>
      <c r="C88" s="13" t="s">
        <v>1944</v>
      </c>
      <c r="D88" s="59">
        <v>46113</v>
      </c>
      <c r="E88" s="6">
        <v>103785</v>
      </c>
      <c r="F88" s="54">
        <v>54</v>
      </c>
      <c r="H88" s="61"/>
      <c r="I88" s="20"/>
    </row>
    <row r="89" spans="1:9" x14ac:dyDescent="0.4">
      <c r="A89" s="13" t="s">
        <v>2324</v>
      </c>
      <c r="B89" s="55" t="s">
        <v>2325</v>
      </c>
      <c r="C89" s="13" t="s">
        <v>70</v>
      </c>
      <c r="D89" s="59">
        <v>46113</v>
      </c>
      <c r="E89" s="6">
        <v>0</v>
      </c>
      <c r="F89" s="13">
        <v>78</v>
      </c>
      <c r="H89" s="61"/>
      <c r="I89" s="20"/>
    </row>
    <row r="90" spans="1:9" x14ac:dyDescent="0.4">
      <c r="A90" s="13" t="s">
        <v>2324</v>
      </c>
      <c r="B90" s="55" t="s">
        <v>2325</v>
      </c>
      <c r="C90" s="13" t="s">
        <v>50</v>
      </c>
      <c r="D90" s="59">
        <v>46113</v>
      </c>
      <c r="E90" s="6">
        <v>438150</v>
      </c>
      <c r="F90" s="13">
        <v>101</v>
      </c>
      <c r="H90" s="61"/>
      <c r="I90" s="20"/>
    </row>
    <row r="91" spans="1:9" x14ac:dyDescent="0.4">
      <c r="A91" s="13" t="s">
        <v>2324</v>
      </c>
      <c r="B91" s="55" t="s">
        <v>2325</v>
      </c>
      <c r="C91" s="13" t="s">
        <v>5133</v>
      </c>
      <c r="D91" s="59">
        <v>46113</v>
      </c>
      <c r="E91" s="6">
        <v>0</v>
      </c>
      <c r="F91" s="54">
        <v>124</v>
      </c>
      <c r="H91" s="61"/>
      <c r="I91" s="20"/>
    </row>
    <row r="92" spans="1:9" x14ac:dyDescent="0.4">
      <c r="A92" s="13" t="s">
        <v>2324</v>
      </c>
      <c r="B92" s="13" t="s">
        <v>2345</v>
      </c>
      <c r="C92" s="10" t="s">
        <v>25</v>
      </c>
      <c r="D92" s="59">
        <v>46113</v>
      </c>
      <c r="E92" s="6">
        <v>0</v>
      </c>
      <c r="F92" s="54">
        <v>148</v>
      </c>
      <c r="H92" s="61"/>
      <c r="I92" s="20"/>
    </row>
    <row r="93" spans="1:9" x14ac:dyDescent="0.4">
      <c r="A93" s="13" t="s">
        <v>2324</v>
      </c>
      <c r="B93" s="13" t="s">
        <v>2345</v>
      </c>
      <c r="C93" s="13" t="s">
        <v>44</v>
      </c>
      <c r="D93" s="59">
        <v>46113</v>
      </c>
      <c r="E93" s="6">
        <v>3308985</v>
      </c>
      <c r="F93" s="54">
        <v>171</v>
      </c>
      <c r="H93" s="61"/>
      <c r="I93" s="20"/>
    </row>
    <row r="94" spans="1:9" x14ac:dyDescent="0.4">
      <c r="A94" s="13" t="s">
        <v>2324</v>
      </c>
      <c r="B94" s="13" t="s">
        <v>2345</v>
      </c>
      <c r="C94" s="13" t="s">
        <v>1944</v>
      </c>
      <c r="D94" s="59">
        <v>46113</v>
      </c>
      <c r="E94" s="6">
        <v>46703.25</v>
      </c>
      <c r="F94" s="54">
        <v>194</v>
      </c>
      <c r="H94" s="61"/>
      <c r="I94" s="20"/>
    </row>
    <row r="95" spans="1:9" x14ac:dyDescent="0.4">
      <c r="A95" s="13" t="s">
        <v>2324</v>
      </c>
      <c r="B95" s="13" t="s">
        <v>2345</v>
      </c>
      <c r="C95" s="13" t="s">
        <v>70</v>
      </c>
      <c r="D95" s="59">
        <v>46113</v>
      </c>
      <c r="E95" s="6">
        <v>0</v>
      </c>
      <c r="F95" s="54">
        <v>218</v>
      </c>
      <c r="H95" s="61"/>
      <c r="I95" s="20"/>
    </row>
    <row r="96" spans="1:9" x14ac:dyDescent="0.4">
      <c r="A96" s="13" t="s">
        <v>2324</v>
      </c>
      <c r="B96" s="13" t="s">
        <v>2345</v>
      </c>
      <c r="C96" s="13" t="s">
        <v>50</v>
      </c>
      <c r="D96" s="59">
        <v>46113</v>
      </c>
      <c r="E96" s="6">
        <v>197167.5</v>
      </c>
      <c r="F96" s="54">
        <v>241</v>
      </c>
      <c r="H96" s="61"/>
      <c r="I96" s="20"/>
    </row>
    <row r="97" spans="1:9" x14ac:dyDescent="0.4">
      <c r="A97" s="13" t="s">
        <v>2324</v>
      </c>
      <c r="B97" s="13" t="s">
        <v>2345</v>
      </c>
      <c r="C97" s="13" t="s">
        <v>5133</v>
      </c>
      <c r="D97" s="59">
        <v>46113</v>
      </c>
      <c r="E97" s="6">
        <v>0</v>
      </c>
      <c r="F97" s="54">
        <v>264</v>
      </c>
      <c r="H97" s="61"/>
      <c r="I97" s="20"/>
    </row>
    <row r="98" spans="1:9" x14ac:dyDescent="0.4">
      <c r="A98" s="13" t="s">
        <v>2324</v>
      </c>
      <c r="B98" s="55" t="s">
        <v>2325</v>
      </c>
      <c r="C98" s="10" t="s">
        <v>25</v>
      </c>
      <c r="D98" s="59">
        <v>46143</v>
      </c>
      <c r="E98" s="6">
        <v>0</v>
      </c>
      <c r="F98" s="13">
        <v>9</v>
      </c>
      <c r="H98" s="61"/>
      <c r="I98" s="20"/>
    </row>
    <row r="99" spans="1:9" x14ac:dyDescent="0.4">
      <c r="A99" s="13" t="s">
        <v>2324</v>
      </c>
      <c r="B99" s="55" t="s">
        <v>2325</v>
      </c>
      <c r="C99" s="13" t="s">
        <v>44</v>
      </c>
      <c r="D99" s="59">
        <v>46143</v>
      </c>
      <c r="E99" s="6">
        <v>5429250</v>
      </c>
      <c r="F99" s="54">
        <v>32</v>
      </c>
      <c r="H99" s="61"/>
      <c r="I99" s="20"/>
    </row>
    <row r="100" spans="1:9" x14ac:dyDescent="0.4">
      <c r="A100" s="13" t="s">
        <v>2324</v>
      </c>
      <c r="B100" s="55" t="s">
        <v>2325</v>
      </c>
      <c r="C100" s="13" t="s">
        <v>1944</v>
      </c>
      <c r="D100" s="59">
        <v>46143</v>
      </c>
      <c r="E100" s="6">
        <v>160395</v>
      </c>
      <c r="F100" s="13">
        <v>55</v>
      </c>
      <c r="H100" s="61"/>
      <c r="I100" s="20"/>
    </row>
    <row r="101" spans="1:9" x14ac:dyDescent="0.4">
      <c r="A101" s="13" t="s">
        <v>2324</v>
      </c>
      <c r="B101" s="55" t="s">
        <v>2325</v>
      </c>
      <c r="C101" s="13" t="s">
        <v>70</v>
      </c>
      <c r="D101" s="59">
        <v>46143</v>
      </c>
      <c r="E101" s="6">
        <v>0</v>
      </c>
      <c r="F101" s="54">
        <v>79</v>
      </c>
      <c r="H101" s="61"/>
      <c r="I101" s="20"/>
    </row>
    <row r="102" spans="1:9" x14ac:dyDescent="0.4">
      <c r="A102" s="13" t="s">
        <v>2324</v>
      </c>
      <c r="B102" s="55" t="s">
        <v>2325</v>
      </c>
      <c r="C102" s="13" t="s">
        <v>50</v>
      </c>
      <c r="D102" s="59">
        <v>46143</v>
      </c>
      <c r="E102" s="6">
        <v>342900</v>
      </c>
      <c r="F102" s="54">
        <v>102</v>
      </c>
      <c r="H102" s="61"/>
      <c r="I102" s="20"/>
    </row>
    <row r="103" spans="1:9" x14ac:dyDescent="0.4">
      <c r="A103" s="13" t="s">
        <v>2324</v>
      </c>
      <c r="B103" s="55" t="s">
        <v>2325</v>
      </c>
      <c r="C103" s="13" t="s">
        <v>5133</v>
      </c>
      <c r="D103" s="59">
        <v>46143</v>
      </c>
      <c r="E103" s="6">
        <v>0</v>
      </c>
      <c r="F103" s="13">
        <v>125</v>
      </c>
      <c r="H103" s="61"/>
      <c r="I103" s="20"/>
    </row>
    <row r="104" spans="1:9" x14ac:dyDescent="0.4">
      <c r="A104" s="13" t="s">
        <v>2324</v>
      </c>
      <c r="B104" s="13" t="s">
        <v>2345</v>
      </c>
      <c r="C104" s="10" t="s">
        <v>25</v>
      </c>
      <c r="D104" s="59">
        <v>46143</v>
      </c>
      <c r="E104" s="6">
        <v>0</v>
      </c>
      <c r="F104" s="13">
        <v>149</v>
      </c>
      <c r="H104" s="61"/>
      <c r="I104" s="20"/>
    </row>
    <row r="105" spans="1:9" x14ac:dyDescent="0.4">
      <c r="A105" s="13" t="s">
        <v>2324</v>
      </c>
      <c r="B105" s="13" t="s">
        <v>2345</v>
      </c>
      <c r="C105" s="13" t="s">
        <v>44</v>
      </c>
      <c r="D105" s="59">
        <v>46143</v>
      </c>
      <c r="E105" s="6">
        <v>2443162.5</v>
      </c>
      <c r="F105" s="13">
        <v>172</v>
      </c>
      <c r="H105" s="61"/>
      <c r="I105" s="20"/>
    </row>
    <row r="106" spans="1:9" x14ac:dyDescent="0.4">
      <c r="A106" s="13" t="s">
        <v>2324</v>
      </c>
      <c r="B106" s="13" t="s">
        <v>2345</v>
      </c>
      <c r="C106" s="13" t="s">
        <v>1944</v>
      </c>
      <c r="D106" s="59">
        <v>46143</v>
      </c>
      <c r="E106" s="6">
        <v>72177.75</v>
      </c>
      <c r="F106" s="13">
        <v>195</v>
      </c>
      <c r="H106" s="61"/>
      <c r="I106" s="20"/>
    </row>
    <row r="107" spans="1:9" x14ac:dyDescent="0.4">
      <c r="A107" s="13" t="s">
        <v>2324</v>
      </c>
      <c r="B107" s="13" t="s">
        <v>2345</v>
      </c>
      <c r="C107" s="13" t="s">
        <v>70</v>
      </c>
      <c r="D107" s="59">
        <v>46143</v>
      </c>
      <c r="E107" s="6">
        <v>0</v>
      </c>
      <c r="F107" s="13">
        <v>219</v>
      </c>
      <c r="H107" s="61"/>
      <c r="I107" s="20"/>
    </row>
    <row r="108" spans="1:9" x14ac:dyDescent="0.4">
      <c r="A108" s="13" t="s">
        <v>2324</v>
      </c>
      <c r="B108" s="13" t="s">
        <v>2345</v>
      </c>
      <c r="C108" s="13" t="s">
        <v>50</v>
      </c>
      <c r="D108" s="59">
        <v>46143</v>
      </c>
      <c r="E108" s="6">
        <v>154305</v>
      </c>
      <c r="F108" s="13">
        <v>242</v>
      </c>
      <c r="H108" s="61"/>
      <c r="I108" s="20"/>
    </row>
    <row r="109" spans="1:9" x14ac:dyDescent="0.4">
      <c r="A109" s="13" t="s">
        <v>2324</v>
      </c>
      <c r="B109" s="13" t="s">
        <v>2345</v>
      </c>
      <c r="C109" s="13" t="s">
        <v>5133</v>
      </c>
      <c r="D109" s="59">
        <v>46143</v>
      </c>
      <c r="E109" s="6">
        <v>0</v>
      </c>
      <c r="F109" s="13">
        <v>265</v>
      </c>
      <c r="H109" s="61"/>
      <c r="I109" s="20"/>
    </row>
    <row r="110" spans="1:9" x14ac:dyDescent="0.4">
      <c r="A110" s="13" t="s">
        <v>2324</v>
      </c>
      <c r="B110" s="55" t="s">
        <v>2325</v>
      </c>
      <c r="C110" s="10" t="s">
        <v>25</v>
      </c>
      <c r="D110" s="59">
        <v>46174</v>
      </c>
      <c r="E110" s="6">
        <v>0</v>
      </c>
      <c r="F110" s="54">
        <v>10</v>
      </c>
      <c r="H110" s="61"/>
      <c r="I110" s="20"/>
    </row>
    <row r="111" spans="1:9" x14ac:dyDescent="0.4">
      <c r="A111" s="13" t="s">
        <v>2324</v>
      </c>
      <c r="B111" s="55" t="s">
        <v>2325</v>
      </c>
      <c r="C111" s="13" t="s">
        <v>44</v>
      </c>
      <c r="D111" s="59">
        <v>46174</v>
      </c>
      <c r="E111" s="6">
        <v>5295900</v>
      </c>
      <c r="F111" s="13">
        <v>33</v>
      </c>
      <c r="H111" s="61"/>
      <c r="I111" s="20"/>
    </row>
    <row r="112" spans="1:9" x14ac:dyDescent="0.4">
      <c r="A112" s="13" t="s">
        <v>2324</v>
      </c>
      <c r="B112" s="55" t="s">
        <v>2325</v>
      </c>
      <c r="C112" s="13" t="s">
        <v>1944</v>
      </c>
      <c r="D112" s="59">
        <v>46174</v>
      </c>
      <c r="E112" s="6">
        <v>217005</v>
      </c>
      <c r="F112" s="54">
        <v>56</v>
      </c>
      <c r="H112" s="61"/>
      <c r="I112" s="20"/>
    </row>
    <row r="113" spans="1:9" x14ac:dyDescent="0.4">
      <c r="A113" s="13" t="s">
        <v>2324</v>
      </c>
      <c r="B113" s="55" t="s">
        <v>2325</v>
      </c>
      <c r="C113" s="13" t="s">
        <v>70</v>
      </c>
      <c r="D113" s="59">
        <v>46174</v>
      </c>
      <c r="E113" s="6">
        <v>0</v>
      </c>
      <c r="F113" s="13">
        <v>80</v>
      </c>
      <c r="H113" s="61"/>
      <c r="I113" s="20"/>
    </row>
    <row r="114" spans="1:9" x14ac:dyDescent="0.4">
      <c r="A114" s="13" t="s">
        <v>2324</v>
      </c>
      <c r="B114" s="55" t="s">
        <v>2325</v>
      </c>
      <c r="C114" s="13" t="s">
        <v>50</v>
      </c>
      <c r="D114" s="59">
        <v>46174</v>
      </c>
      <c r="E114" s="6">
        <v>342900</v>
      </c>
      <c r="F114" s="13">
        <v>103</v>
      </c>
      <c r="H114" s="61"/>
      <c r="I114" s="20"/>
    </row>
    <row r="115" spans="1:9" x14ac:dyDescent="0.4">
      <c r="A115" s="13" t="s">
        <v>2324</v>
      </c>
      <c r="B115" s="55" t="s">
        <v>2325</v>
      </c>
      <c r="C115" s="13" t="s">
        <v>5133</v>
      </c>
      <c r="D115" s="59">
        <v>46174</v>
      </c>
      <c r="E115" s="6">
        <v>0</v>
      </c>
      <c r="F115" s="54">
        <v>126</v>
      </c>
      <c r="H115" s="61"/>
      <c r="I115" s="20"/>
    </row>
    <row r="116" spans="1:9" x14ac:dyDescent="0.4">
      <c r="A116" s="13" t="s">
        <v>2324</v>
      </c>
      <c r="B116" s="13" t="s">
        <v>2345</v>
      </c>
      <c r="C116" s="10" t="s">
        <v>25</v>
      </c>
      <c r="D116" s="59">
        <v>46174</v>
      </c>
      <c r="E116" s="6">
        <v>0</v>
      </c>
      <c r="F116" s="54">
        <v>150</v>
      </c>
      <c r="H116" s="61"/>
      <c r="I116" s="20"/>
    </row>
    <row r="117" spans="1:9" x14ac:dyDescent="0.4">
      <c r="A117" s="13" t="s">
        <v>2324</v>
      </c>
      <c r="B117" s="13" t="s">
        <v>2345</v>
      </c>
      <c r="C117" s="13" t="s">
        <v>44</v>
      </c>
      <c r="D117" s="59">
        <v>46174</v>
      </c>
      <c r="E117" s="6">
        <v>2383155</v>
      </c>
      <c r="F117" s="54">
        <v>173</v>
      </c>
      <c r="H117" s="61"/>
      <c r="I117" s="20"/>
    </row>
    <row r="118" spans="1:9" x14ac:dyDescent="0.4">
      <c r="A118" s="13" t="s">
        <v>2324</v>
      </c>
      <c r="B118" s="13" t="s">
        <v>2345</v>
      </c>
      <c r="C118" s="13" t="s">
        <v>1944</v>
      </c>
      <c r="D118" s="59">
        <v>46174</v>
      </c>
      <c r="E118" s="6">
        <v>97652.25</v>
      </c>
      <c r="F118" s="54">
        <v>196</v>
      </c>
      <c r="H118" s="61"/>
      <c r="I118" s="20"/>
    </row>
    <row r="119" spans="1:9" x14ac:dyDescent="0.4">
      <c r="A119" s="13" t="s">
        <v>2324</v>
      </c>
      <c r="B119" s="13" t="s">
        <v>2345</v>
      </c>
      <c r="C119" s="13" t="s">
        <v>70</v>
      </c>
      <c r="D119" s="59">
        <v>46174</v>
      </c>
      <c r="E119" s="6">
        <v>0</v>
      </c>
      <c r="F119" s="54">
        <v>220</v>
      </c>
      <c r="H119" s="61"/>
      <c r="I119" s="20"/>
    </row>
    <row r="120" spans="1:9" x14ac:dyDescent="0.4">
      <c r="A120" s="13" t="s">
        <v>2324</v>
      </c>
      <c r="B120" s="13" t="s">
        <v>2345</v>
      </c>
      <c r="C120" s="13" t="s">
        <v>50</v>
      </c>
      <c r="D120" s="59">
        <v>46174</v>
      </c>
      <c r="E120" s="6">
        <v>154305</v>
      </c>
      <c r="F120" s="54">
        <v>243</v>
      </c>
      <c r="H120" s="61"/>
      <c r="I120" s="20"/>
    </row>
    <row r="121" spans="1:9" x14ac:dyDescent="0.4">
      <c r="A121" s="13" t="s">
        <v>2324</v>
      </c>
      <c r="B121" s="13" t="s">
        <v>2345</v>
      </c>
      <c r="C121" s="13" t="s">
        <v>5133</v>
      </c>
      <c r="D121" s="59">
        <v>46174</v>
      </c>
      <c r="E121" s="6">
        <v>0</v>
      </c>
      <c r="F121" s="54">
        <v>266</v>
      </c>
      <c r="H121" s="61"/>
      <c r="I121" s="20"/>
    </row>
    <row r="122" spans="1:9" x14ac:dyDescent="0.4">
      <c r="A122" s="13" t="s">
        <v>2324</v>
      </c>
      <c r="B122" s="55" t="s">
        <v>2325</v>
      </c>
      <c r="C122" s="10" t="s">
        <v>25</v>
      </c>
      <c r="D122" s="59">
        <v>46204</v>
      </c>
      <c r="E122" s="6">
        <v>0</v>
      </c>
      <c r="F122" s="13">
        <v>11</v>
      </c>
      <c r="H122" s="61"/>
      <c r="I122" s="20"/>
    </row>
    <row r="123" spans="1:9" x14ac:dyDescent="0.4">
      <c r="A123" s="13" t="s">
        <v>2324</v>
      </c>
      <c r="B123" s="55" t="s">
        <v>2325</v>
      </c>
      <c r="C123" s="13" t="s">
        <v>44</v>
      </c>
      <c r="D123" s="59">
        <v>46204</v>
      </c>
      <c r="E123" s="6">
        <v>266700</v>
      </c>
      <c r="F123" s="54">
        <v>34</v>
      </c>
      <c r="H123" s="61"/>
      <c r="I123" s="20"/>
    </row>
    <row r="124" spans="1:9" x14ac:dyDescent="0.4">
      <c r="A124" s="13" t="s">
        <v>2324</v>
      </c>
      <c r="B124" s="55" t="s">
        <v>2325</v>
      </c>
      <c r="C124" s="13" t="s">
        <v>1944</v>
      </c>
      <c r="D124" s="59">
        <v>46204</v>
      </c>
      <c r="E124" s="6">
        <v>235875</v>
      </c>
      <c r="F124" s="13">
        <v>57</v>
      </c>
      <c r="H124" s="61"/>
      <c r="I124" s="20"/>
    </row>
    <row r="125" spans="1:9" x14ac:dyDescent="0.4">
      <c r="A125" s="13" t="s">
        <v>2324</v>
      </c>
      <c r="B125" s="55" t="s">
        <v>2325</v>
      </c>
      <c r="C125" s="13" t="s">
        <v>70</v>
      </c>
      <c r="D125" s="59">
        <v>46204</v>
      </c>
      <c r="E125" s="6">
        <v>0</v>
      </c>
      <c r="F125" s="13">
        <v>81</v>
      </c>
      <c r="H125" s="61"/>
      <c r="I125" s="20"/>
    </row>
    <row r="126" spans="1:9" x14ac:dyDescent="0.4">
      <c r="A126" s="13" t="s">
        <v>2324</v>
      </c>
      <c r="B126" s="55" t="s">
        <v>2325</v>
      </c>
      <c r="C126" s="13" t="s">
        <v>50</v>
      </c>
      <c r="D126" s="59">
        <v>46204</v>
      </c>
      <c r="E126" s="6">
        <v>0</v>
      </c>
      <c r="F126" s="54">
        <v>104</v>
      </c>
      <c r="H126" s="61"/>
      <c r="I126" s="20"/>
    </row>
    <row r="127" spans="1:9" x14ac:dyDescent="0.4">
      <c r="A127" s="13" t="s">
        <v>2324</v>
      </c>
      <c r="B127" s="55" t="s">
        <v>2325</v>
      </c>
      <c r="C127" s="13" t="s">
        <v>5133</v>
      </c>
      <c r="D127" s="59">
        <v>46204</v>
      </c>
      <c r="E127" s="6">
        <v>0</v>
      </c>
      <c r="F127" s="13">
        <v>127</v>
      </c>
      <c r="H127" s="61"/>
      <c r="I127" s="20"/>
    </row>
    <row r="128" spans="1:9" x14ac:dyDescent="0.4">
      <c r="A128" s="13" t="s">
        <v>2324</v>
      </c>
      <c r="B128" s="13" t="s">
        <v>2345</v>
      </c>
      <c r="C128" s="10" t="s">
        <v>25</v>
      </c>
      <c r="D128" s="59">
        <v>46204</v>
      </c>
      <c r="E128" s="6">
        <v>0</v>
      </c>
      <c r="F128" s="13">
        <v>151</v>
      </c>
      <c r="H128" s="61"/>
      <c r="I128" s="20"/>
    </row>
    <row r="129" spans="1:9" x14ac:dyDescent="0.4">
      <c r="A129" s="13" t="s">
        <v>2324</v>
      </c>
      <c r="B129" s="13" t="s">
        <v>2345</v>
      </c>
      <c r="C129" s="13" t="s">
        <v>44</v>
      </c>
      <c r="D129" s="59">
        <v>46204</v>
      </c>
      <c r="E129" s="6">
        <v>120015</v>
      </c>
      <c r="F129" s="13">
        <v>174</v>
      </c>
      <c r="H129" s="61"/>
      <c r="I129" s="20"/>
    </row>
    <row r="130" spans="1:9" x14ac:dyDescent="0.4">
      <c r="A130" s="13" t="s">
        <v>2324</v>
      </c>
      <c r="B130" s="13" t="s">
        <v>2345</v>
      </c>
      <c r="C130" s="13" t="s">
        <v>1944</v>
      </c>
      <c r="D130" s="59">
        <v>46204</v>
      </c>
      <c r="E130" s="6">
        <v>106143.75</v>
      </c>
      <c r="F130" s="54">
        <v>197</v>
      </c>
      <c r="H130" s="61"/>
      <c r="I130" s="20"/>
    </row>
    <row r="131" spans="1:9" x14ac:dyDescent="0.4">
      <c r="A131" s="13" t="s">
        <v>2324</v>
      </c>
      <c r="B131" s="13" t="s">
        <v>2345</v>
      </c>
      <c r="C131" s="13" t="s">
        <v>70</v>
      </c>
      <c r="D131" s="59">
        <v>46204</v>
      </c>
      <c r="E131" s="6">
        <v>0</v>
      </c>
      <c r="F131" s="13">
        <v>221</v>
      </c>
      <c r="H131" s="61"/>
      <c r="I131" s="20"/>
    </row>
    <row r="132" spans="1:9" x14ac:dyDescent="0.4">
      <c r="A132" s="13" t="s">
        <v>2324</v>
      </c>
      <c r="B132" s="13" t="s">
        <v>2345</v>
      </c>
      <c r="C132" s="13" t="s">
        <v>50</v>
      </c>
      <c r="D132" s="59">
        <v>46204</v>
      </c>
      <c r="E132" s="6">
        <v>0</v>
      </c>
      <c r="F132" s="13">
        <v>244</v>
      </c>
      <c r="H132" s="61"/>
      <c r="I132" s="20"/>
    </row>
    <row r="133" spans="1:9" x14ac:dyDescent="0.4">
      <c r="A133" s="13" t="s">
        <v>2324</v>
      </c>
      <c r="B133" s="13" t="s">
        <v>2345</v>
      </c>
      <c r="C133" s="13" t="s">
        <v>5133</v>
      </c>
      <c r="D133" s="59">
        <v>46204</v>
      </c>
      <c r="E133" s="6">
        <v>0</v>
      </c>
      <c r="F133" s="54">
        <v>267</v>
      </c>
      <c r="H133" s="61"/>
      <c r="I133" s="20"/>
    </row>
    <row r="134" spans="1:9" x14ac:dyDescent="0.4">
      <c r="A134" s="13" t="s">
        <v>2324</v>
      </c>
      <c r="B134" s="55" t="s">
        <v>2325</v>
      </c>
      <c r="C134" s="10" t="s">
        <v>25</v>
      </c>
      <c r="D134" s="59">
        <v>46235</v>
      </c>
      <c r="E134" s="6">
        <v>0</v>
      </c>
      <c r="F134" s="54">
        <v>12</v>
      </c>
      <c r="H134" s="61"/>
      <c r="I134" s="20"/>
    </row>
    <row r="135" spans="1:9" x14ac:dyDescent="0.4">
      <c r="A135" s="13" t="s">
        <v>2324</v>
      </c>
      <c r="B135" s="55" t="s">
        <v>2325</v>
      </c>
      <c r="C135" s="13" t="s">
        <v>44</v>
      </c>
      <c r="D135" s="59">
        <v>46235</v>
      </c>
      <c r="E135" s="6">
        <v>152400</v>
      </c>
      <c r="F135" s="13">
        <v>35</v>
      </c>
      <c r="H135" s="61"/>
      <c r="I135" s="20"/>
    </row>
    <row r="136" spans="1:9" x14ac:dyDescent="0.4">
      <c r="A136" s="13" t="s">
        <v>2324</v>
      </c>
      <c r="B136" s="55" t="s">
        <v>2325</v>
      </c>
      <c r="C136" s="13" t="s">
        <v>1944</v>
      </c>
      <c r="D136" s="59">
        <v>46235</v>
      </c>
      <c r="E136" s="6">
        <v>245310</v>
      </c>
      <c r="F136" s="54">
        <v>58</v>
      </c>
      <c r="H136" s="61"/>
      <c r="I136" s="20"/>
    </row>
    <row r="137" spans="1:9" x14ac:dyDescent="0.4">
      <c r="A137" s="13" t="s">
        <v>2324</v>
      </c>
      <c r="B137" s="55" t="s">
        <v>2325</v>
      </c>
      <c r="C137" s="13" t="s">
        <v>70</v>
      </c>
      <c r="D137" s="59">
        <v>46235</v>
      </c>
      <c r="E137" s="6">
        <v>0</v>
      </c>
      <c r="F137" s="54">
        <v>82</v>
      </c>
      <c r="H137" s="61"/>
      <c r="I137" s="20"/>
    </row>
    <row r="138" spans="1:9" x14ac:dyDescent="0.4">
      <c r="A138" s="13" t="s">
        <v>2324</v>
      </c>
      <c r="B138" s="55" t="s">
        <v>2325</v>
      </c>
      <c r="C138" s="13" t="s">
        <v>50</v>
      </c>
      <c r="D138" s="59">
        <v>46235</v>
      </c>
      <c r="E138" s="6">
        <v>0</v>
      </c>
      <c r="F138" s="13">
        <v>105</v>
      </c>
      <c r="H138" s="61"/>
      <c r="I138" s="20"/>
    </row>
    <row r="139" spans="1:9" x14ac:dyDescent="0.4">
      <c r="A139" s="13" t="s">
        <v>2324</v>
      </c>
      <c r="B139" s="55" t="s">
        <v>2325</v>
      </c>
      <c r="C139" s="13" t="s">
        <v>5133</v>
      </c>
      <c r="D139" s="59">
        <v>46235</v>
      </c>
      <c r="E139" s="6">
        <v>0</v>
      </c>
      <c r="F139" s="54">
        <v>128</v>
      </c>
      <c r="H139" s="61"/>
      <c r="I139" s="20"/>
    </row>
    <row r="140" spans="1:9" x14ac:dyDescent="0.4">
      <c r="A140" s="13" t="s">
        <v>2324</v>
      </c>
      <c r="B140" s="13" t="s">
        <v>2345</v>
      </c>
      <c r="C140" s="10" t="s">
        <v>25</v>
      </c>
      <c r="D140" s="59">
        <v>46235</v>
      </c>
      <c r="E140" s="6">
        <v>0</v>
      </c>
      <c r="F140" s="54">
        <v>152</v>
      </c>
      <c r="H140" s="61"/>
      <c r="I140" s="20"/>
    </row>
    <row r="141" spans="1:9" x14ac:dyDescent="0.4">
      <c r="A141" s="13" t="s">
        <v>2324</v>
      </c>
      <c r="B141" s="13" t="s">
        <v>2345</v>
      </c>
      <c r="C141" s="13" t="s">
        <v>44</v>
      </c>
      <c r="D141" s="59">
        <v>46235</v>
      </c>
      <c r="E141" s="6">
        <v>68580</v>
      </c>
      <c r="F141" s="54">
        <v>175</v>
      </c>
      <c r="H141" s="61"/>
      <c r="I141" s="20"/>
    </row>
    <row r="142" spans="1:9" x14ac:dyDescent="0.4">
      <c r="A142" s="13" t="s">
        <v>2324</v>
      </c>
      <c r="B142" s="13" t="s">
        <v>2345</v>
      </c>
      <c r="C142" s="13" t="s">
        <v>1944</v>
      </c>
      <c r="D142" s="59">
        <v>46235</v>
      </c>
      <c r="E142" s="6">
        <v>110389.5</v>
      </c>
      <c r="F142" s="13">
        <v>198</v>
      </c>
      <c r="H142" s="61"/>
    </row>
    <row r="143" spans="1:9" x14ac:dyDescent="0.4">
      <c r="A143" s="13" t="s">
        <v>2324</v>
      </c>
      <c r="B143" s="13" t="s">
        <v>2345</v>
      </c>
      <c r="C143" s="13" t="s">
        <v>70</v>
      </c>
      <c r="D143" s="59">
        <v>46235</v>
      </c>
      <c r="E143" s="6">
        <v>0</v>
      </c>
      <c r="F143" s="54">
        <v>222</v>
      </c>
      <c r="H143" s="61"/>
    </row>
    <row r="144" spans="1:9" x14ac:dyDescent="0.4">
      <c r="A144" s="13" t="s">
        <v>2324</v>
      </c>
      <c r="B144" s="13" t="s">
        <v>2345</v>
      </c>
      <c r="C144" s="13" t="s">
        <v>50</v>
      </c>
      <c r="D144" s="59">
        <v>46235</v>
      </c>
      <c r="E144" s="6">
        <v>0</v>
      </c>
      <c r="F144" s="54">
        <v>245</v>
      </c>
      <c r="H144" s="61"/>
    </row>
    <row r="145" spans="1:8" x14ac:dyDescent="0.4">
      <c r="A145" s="13" t="s">
        <v>2324</v>
      </c>
      <c r="B145" s="13" t="s">
        <v>2345</v>
      </c>
      <c r="C145" s="13" t="s">
        <v>5133</v>
      </c>
      <c r="D145" s="59">
        <v>46235</v>
      </c>
      <c r="E145" s="6">
        <v>0</v>
      </c>
      <c r="F145" s="13">
        <v>268</v>
      </c>
      <c r="H145" s="61"/>
    </row>
    <row r="146" spans="1:8" x14ac:dyDescent="0.4">
      <c r="A146" s="13" t="s">
        <v>2324</v>
      </c>
      <c r="B146" s="55" t="s">
        <v>2325</v>
      </c>
      <c r="C146" s="10" t="s">
        <v>25</v>
      </c>
      <c r="D146" s="59">
        <v>46266</v>
      </c>
      <c r="E146" s="6">
        <v>0</v>
      </c>
      <c r="F146" s="13">
        <v>13</v>
      </c>
      <c r="H146" s="61"/>
    </row>
    <row r="147" spans="1:8" x14ac:dyDescent="0.4">
      <c r="A147" s="13" t="s">
        <v>2324</v>
      </c>
      <c r="B147" s="55" t="s">
        <v>2325</v>
      </c>
      <c r="C147" s="13" t="s">
        <v>44</v>
      </c>
      <c r="D147" s="59">
        <v>46266</v>
      </c>
      <c r="E147" s="6">
        <v>19050</v>
      </c>
      <c r="F147" s="54">
        <v>36</v>
      </c>
      <c r="H147" s="61"/>
    </row>
    <row r="148" spans="1:8" x14ac:dyDescent="0.4">
      <c r="A148" s="13" t="s">
        <v>2324</v>
      </c>
      <c r="B148" s="55" t="s">
        <v>2325</v>
      </c>
      <c r="C148" s="13" t="s">
        <v>1944</v>
      </c>
      <c r="D148" s="59">
        <v>46266</v>
      </c>
      <c r="E148" s="6">
        <v>396270</v>
      </c>
      <c r="F148" s="13">
        <v>59</v>
      </c>
      <c r="H148" s="61"/>
    </row>
    <row r="149" spans="1:8" x14ac:dyDescent="0.4">
      <c r="A149" s="13" t="s">
        <v>2324</v>
      </c>
      <c r="B149" s="55" t="s">
        <v>2325</v>
      </c>
      <c r="C149" s="13" t="s">
        <v>70</v>
      </c>
      <c r="D149" s="59">
        <v>46266</v>
      </c>
      <c r="E149" s="6">
        <v>0</v>
      </c>
      <c r="F149" s="13">
        <v>83</v>
      </c>
      <c r="H149" s="61"/>
    </row>
    <row r="150" spans="1:8" x14ac:dyDescent="0.4">
      <c r="A150" s="13" t="s">
        <v>2324</v>
      </c>
      <c r="B150" s="55" t="s">
        <v>2325</v>
      </c>
      <c r="C150" s="13" t="s">
        <v>50</v>
      </c>
      <c r="D150" s="59">
        <v>46266</v>
      </c>
      <c r="E150" s="6">
        <v>0</v>
      </c>
      <c r="F150" s="54">
        <v>106</v>
      </c>
      <c r="H150" s="61"/>
    </row>
    <row r="151" spans="1:8" x14ac:dyDescent="0.4">
      <c r="A151" s="13" t="s">
        <v>2324</v>
      </c>
      <c r="B151" s="55" t="s">
        <v>2325</v>
      </c>
      <c r="C151" s="13" t="s">
        <v>5133</v>
      </c>
      <c r="D151" s="59">
        <v>46266</v>
      </c>
      <c r="E151" s="6">
        <v>28305</v>
      </c>
      <c r="F151" s="13">
        <v>129</v>
      </c>
      <c r="H151" s="61"/>
    </row>
    <row r="152" spans="1:8" x14ac:dyDescent="0.4">
      <c r="A152" s="13" t="s">
        <v>2324</v>
      </c>
      <c r="B152" s="13" t="s">
        <v>2345</v>
      </c>
      <c r="C152" s="10" t="s">
        <v>25</v>
      </c>
      <c r="D152" s="59">
        <v>46266</v>
      </c>
      <c r="E152" s="6">
        <v>0</v>
      </c>
      <c r="F152" s="13">
        <v>153</v>
      </c>
      <c r="H152" s="61"/>
    </row>
    <row r="153" spans="1:8" x14ac:dyDescent="0.4">
      <c r="A153" s="13" t="s">
        <v>2324</v>
      </c>
      <c r="B153" s="13" t="s">
        <v>2345</v>
      </c>
      <c r="C153" s="13" t="s">
        <v>44</v>
      </c>
      <c r="D153" s="59">
        <v>46266</v>
      </c>
      <c r="E153" s="6">
        <v>8572.5</v>
      </c>
      <c r="F153" s="54">
        <v>176</v>
      </c>
      <c r="H153" s="61"/>
    </row>
    <row r="154" spans="1:8" x14ac:dyDescent="0.4">
      <c r="A154" s="13" t="s">
        <v>2324</v>
      </c>
      <c r="B154" s="13" t="s">
        <v>2345</v>
      </c>
      <c r="C154" s="13" t="s">
        <v>1944</v>
      </c>
      <c r="D154" s="59">
        <v>46266</v>
      </c>
      <c r="E154" s="6">
        <v>178321.5</v>
      </c>
      <c r="F154" s="54">
        <v>199</v>
      </c>
      <c r="H154" s="61"/>
    </row>
    <row r="155" spans="1:8" x14ac:dyDescent="0.4">
      <c r="A155" s="13" t="s">
        <v>2324</v>
      </c>
      <c r="B155" s="13" t="s">
        <v>2345</v>
      </c>
      <c r="C155" s="13" t="s">
        <v>70</v>
      </c>
      <c r="D155" s="59">
        <v>46266</v>
      </c>
      <c r="E155" s="6">
        <v>0</v>
      </c>
      <c r="F155" s="13">
        <v>223</v>
      </c>
      <c r="H155" s="61"/>
    </row>
    <row r="156" spans="1:8" x14ac:dyDescent="0.4">
      <c r="A156" s="13" t="s">
        <v>2324</v>
      </c>
      <c r="B156" s="13" t="s">
        <v>2345</v>
      </c>
      <c r="C156" s="13" t="s">
        <v>50</v>
      </c>
      <c r="D156" s="59">
        <v>46266</v>
      </c>
      <c r="E156" s="6">
        <v>0</v>
      </c>
      <c r="F156" s="54">
        <v>246</v>
      </c>
      <c r="H156" s="61"/>
    </row>
    <row r="157" spans="1:8" x14ac:dyDescent="0.4">
      <c r="A157" s="13" t="s">
        <v>2324</v>
      </c>
      <c r="B157" s="13" t="s">
        <v>2345</v>
      </c>
      <c r="C157" s="13" t="s">
        <v>5133</v>
      </c>
      <c r="D157" s="59">
        <v>46266</v>
      </c>
      <c r="E157" s="6">
        <v>12737.25</v>
      </c>
      <c r="F157" s="54">
        <v>269</v>
      </c>
      <c r="H157" s="61"/>
    </row>
    <row r="158" spans="1:8" x14ac:dyDescent="0.4">
      <c r="A158" s="13" t="s">
        <v>2324</v>
      </c>
      <c r="B158" s="55" t="s">
        <v>2325</v>
      </c>
      <c r="C158" s="10" t="s">
        <v>25</v>
      </c>
      <c r="D158" s="59">
        <v>46296</v>
      </c>
      <c r="E158" s="6">
        <v>0</v>
      </c>
      <c r="F158" s="54">
        <v>14</v>
      </c>
      <c r="H158" s="61"/>
    </row>
    <row r="159" spans="1:8" x14ac:dyDescent="0.4">
      <c r="A159" s="13" t="s">
        <v>2324</v>
      </c>
      <c r="B159" s="55" t="s">
        <v>2325</v>
      </c>
      <c r="C159" s="13" t="s">
        <v>44</v>
      </c>
      <c r="D159" s="59">
        <v>46296</v>
      </c>
      <c r="E159" s="6">
        <v>0</v>
      </c>
      <c r="F159" s="13">
        <v>37</v>
      </c>
      <c r="H159" s="61"/>
    </row>
    <row r="160" spans="1:8" x14ac:dyDescent="0.4">
      <c r="A160" s="13" t="s">
        <v>2324</v>
      </c>
      <c r="B160" s="55" t="s">
        <v>2325</v>
      </c>
      <c r="C160" s="13" t="s">
        <v>1944</v>
      </c>
      <c r="D160" s="59">
        <v>46296</v>
      </c>
      <c r="E160" s="6">
        <v>396270</v>
      </c>
      <c r="F160" s="54">
        <v>60</v>
      </c>
      <c r="H160" s="61"/>
    </row>
    <row r="161" spans="1:8" x14ac:dyDescent="0.4">
      <c r="A161" s="13" t="s">
        <v>2324</v>
      </c>
      <c r="B161" s="55" t="s">
        <v>2325</v>
      </c>
      <c r="C161" s="13" t="s">
        <v>70</v>
      </c>
      <c r="D161" s="59">
        <v>46296</v>
      </c>
      <c r="E161" s="6">
        <v>0</v>
      </c>
      <c r="F161" s="54">
        <v>84</v>
      </c>
      <c r="H161" s="61"/>
    </row>
    <row r="162" spans="1:8" x14ac:dyDescent="0.4">
      <c r="A162" s="13" t="s">
        <v>2324</v>
      </c>
      <c r="B162" s="55" t="s">
        <v>2325</v>
      </c>
      <c r="C162" s="13" t="s">
        <v>50</v>
      </c>
      <c r="D162" s="59">
        <v>46296</v>
      </c>
      <c r="E162" s="6">
        <v>0</v>
      </c>
      <c r="F162" s="13">
        <v>107</v>
      </c>
      <c r="H162" s="61"/>
    </row>
    <row r="163" spans="1:8" x14ac:dyDescent="0.4">
      <c r="A163" s="13" t="s">
        <v>2324</v>
      </c>
      <c r="B163" s="55" t="s">
        <v>2325</v>
      </c>
      <c r="C163" s="13" t="s">
        <v>5133</v>
      </c>
      <c r="D163" s="59">
        <v>46296</v>
      </c>
      <c r="E163" s="6">
        <v>28305</v>
      </c>
      <c r="F163" s="54">
        <v>130</v>
      </c>
      <c r="H163" s="61"/>
    </row>
    <row r="164" spans="1:8" x14ac:dyDescent="0.4">
      <c r="A164" s="13" t="s">
        <v>2324</v>
      </c>
      <c r="B164" s="13" t="s">
        <v>2345</v>
      </c>
      <c r="C164" s="10" t="s">
        <v>25</v>
      </c>
      <c r="D164" s="59">
        <v>46296</v>
      </c>
      <c r="E164" s="6">
        <v>0</v>
      </c>
      <c r="F164" s="54">
        <v>154</v>
      </c>
      <c r="H164" s="61"/>
    </row>
    <row r="165" spans="1:8" x14ac:dyDescent="0.4">
      <c r="A165" s="13" t="s">
        <v>2324</v>
      </c>
      <c r="B165" s="13" t="s">
        <v>2345</v>
      </c>
      <c r="C165" s="13" t="s">
        <v>44</v>
      </c>
      <c r="D165" s="59">
        <v>46296</v>
      </c>
      <c r="E165" s="6">
        <v>0</v>
      </c>
      <c r="F165" s="13">
        <v>177</v>
      </c>
      <c r="H165" s="61"/>
    </row>
    <row r="166" spans="1:8" x14ac:dyDescent="0.4">
      <c r="A166" s="13" t="s">
        <v>2324</v>
      </c>
      <c r="B166" s="13" t="s">
        <v>2345</v>
      </c>
      <c r="C166" s="13" t="s">
        <v>1944</v>
      </c>
      <c r="D166" s="59">
        <v>46296</v>
      </c>
      <c r="E166" s="6">
        <v>178321.5</v>
      </c>
      <c r="F166" s="13">
        <v>200</v>
      </c>
      <c r="H166" s="61"/>
    </row>
    <row r="167" spans="1:8" x14ac:dyDescent="0.4">
      <c r="A167" s="13" t="s">
        <v>2324</v>
      </c>
      <c r="B167" s="13" t="s">
        <v>2345</v>
      </c>
      <c r="C167" s="13" t="s">
        <v>70</v>
      </c>
      <c r="D167" s="59">
        <v>46296</v>
      </c>
      <c r="E167" s="6">
        <v>0</v>
      </c>
      <c r="F167" s="54">
        <v>224</v>
      </c>
      <c r="H167" s="61"/>
    </row>
    <row r="168" spans="1:8" x14ac:dyDescent="0.4">
      <c r="A168" s="13" t="s">
        <v>2324</v>
      </c>
      <c r="B168" s="13" t="s">
        <v>2345</v>
      </c>
      <c r="C168" s="13" t="s">
        <v>50</v>
      </c>
      <c r="D168" s="59">
        <v>46296</v>
      </c>
      <c r="E168" s="6">
        <v>0</v>
      </c>
      <c r="F168" s="13">
        <v>247</v>
      </c>
      <c r="H168" s="61"/>
    </row>
    <row r="169" spans="1:8" x14ac:dyDescent="0.4">
      <c r="A169" s="13" t="s">
        <v>2324</v>
      </c>
      <c r="B169" s="13" t="s">
        <v>2345</v>
      </c>
      <c r="C169" s="13" t="s">
        <v>5133</v>
      </c>
      <c r="D169" s="59">
        <v>46296</v>
      </c>
      <c r="E169" s="6">
        <v>12737.25</v>
      </c>
      <c r="F169" s="13">
        <v>270</v>
      </c>
      <c r="H169" s="61"/>
    </row>
    <row r="170" spans="1:8" x14ac:dyDescent="0.4">
      <c r="A170" s="13" t="s">
        <v>2324</v>
      </c>
      <c r="B170" s="55" t="s">
        <v>2325</v>
      </c>
      <c r="C170" s="10" t="s">
        <v>25</v>
      </c>
      <c r="D170" s="59">
        <v>46327</v>
      </c>
      <c r="E170" s="6">
        <v>0</v>
      </c>
      <c r="F170" s="13">
        <v>15</v>
      </c>
      <c r="H170" s="61"/>
    </row>
    <row r="171" spans="1:8" x14ac:dyDescent="0.4">
      <c r="A171" s="13" t="s">
        <v>2324</v>
      </c>
      <c r="B171" s="55" t="s">
        <v>2325</v>
      </c>
      <c r="C171" s="13" t="s">
        <v>44</v>
      </c>
      <c r="D171" s="59">
        <v>46327</v>
      </c>
      <c r="E171" s="6">
        <v>0</v>
      </c>
      <c r="F171" s="54">
        <v>38</v>
      </c>
      <c r="H171" s="61"/>
    </row>
    <row r="172" spans="1:8" x14ac:dyDescent="0.4">
      <c r="A172" s="13" t="s">
        <v>2324</v>
      </c>
      <c r="B172" s="55" t="s">
        <v>2325</v>
      </c>
      <c r="C172" s="13" t="s">
        <v>1944</v>
      </c>
      <c r="D172" s="59">
        <v>46327</v>
      </c>
      <c r="E172" s="6">
        <v>396270</v>
      </c>
      <c r="F172" s="13">
        <v>61</v>
      </c>
      <c r="H172" s="61"/>
    </row>
    <row r="173" spans="1:8" x14ac:dyDescent="0.4">
      <c r="A173" s="13" t="s">
        <v>2324</v>
      </c>
      <c r="B173" s="55" t="s">
        <v>2325</v>
      </c>
      <c r="C173" s="13" t="s">
        <v>70</v>
      </c>
      <c r="D173" s="59">
        <v>46327</v>
      </c>
      <c r="E173" s="6">
        <v>0</v>
      </c>
      <c r="F173" s="13">
        <v>85</v>
      </c>
      <c r="H173" s="61"/>
    </row>
    <row r="174" spans="1:8" x14ac:dyDescent="0.4">
      <c r="A174" s="13" t="s">
        <v>2324</v>
      </c>
      <c r="B174" s="55" t="s">
        <v>2325</v>
      </c>
      <c r="C174" s="13" t="s">
        <v>50</v>
      </c>
      <c r="D174" s="59">
        <v>46327</v>
      </c>
      <c r="E174" s="6">
        <v>0</v>
      </c>
      <c r="F174" s="54">
        <v>108</v>
      </c>
      <c r="H174" s="61"/>
    </row>
    <row r="175" spans="1:8" x14ac:dyDescent="0.4">
      <c r="A175" s="13" t="s">
        <v>2324</v>
      </c>
      <c r="B175" s="55" t="s">
        <v>2325</v>
      </c>
      <c r="C175" s="13" t="s">
        <v>5133</v>
      </c>
      <c r="D175" s="59">
        <v>46327</v>
      </c>
      <c r="E175" s="6">
        <v>28305</v>
      </c>
      <c r="F175" s="13">
        <v>131</v>
      </c>
      <c r="H175" s="61"/>
    </row>
    <row r="176" spans="1:8" x14ac:dyDescent="0.4">
      <c r="A176" s="13" t="s">
        <v>2324</v>
      </c>
      <c r="B176" s="13" t="s">
        <v>2345</v>
      </c>
      <c r="C176" s="10" t="s">
        <v>25</v>
      </c>
      <c r="D176" s="59">
        <v>46327</v>
      </c>
      <c r="E176" s="6">
        <v>0</v>
      </c>
      <c r="F176" s="54">
        <v>155</v>
      </c>
      <c r="H176" s="61"/>
    </row>
    <row r="177" spans="1:8" x14ac:dyDescent="0.4">
      <c r="A177" s="13" t="s">
        <v>2324</v>
      </c>
      <c r="B177" s="13" t="s">
        <v>2345</v>
      </c>
      <c r="C177" s="13" t="s">
        <v>44</v>
      </c>
      <c r="D177" s="59">
        <v>46327</v>
      </c>
      <c r="E177" s="6">
        <v>0</v>
      </c>
      <c r="F177" s="54">
        <v>178</v>
      </c>
      <c r="H177" s="61"/>
    </row>
    <row r="178" spans="1:8" x14ac:dyDescent="0.4">
      <c r="A178" s="13" t="s">
        <v>2324</v>
      </c>
      <c r="B178" s="13" t="s">
        <v>2345</v>
      </c>
      <c r="C178" s="13" t="s">
        <v>1944</v>
      </c>
      <c r="D178" s="59">
        <v>46327</v>
      </c>
      <c r="E178" s="6">
        <v>178321.5</v>
      </c>
      <c r="F178" s="54">
        <v>201</v>
      </c>
      <c r="H178" s="61"/>
    </row>
    <row r="179" spans="1:8" x14ac:dyDescent="0.4">
      <c r="A179" s="13" t="s">
        <v>2324</v>
      </c>
      <c r="B179" s="13" t="s">
        <v>2345</v>
      </c>
      <c r="C179" s="13" t="s">
        <v>70</v>
      </c>
      <c r="D179" s="59">
        <v>46327</v>
      </c>
      <c r="E179" s="6">
        <v>0</v>
      </c>
      <c r="F179" s="54">
        <v>225</v>
      </c>
      <c r="H179" s="61"/>
    </row>
    <row r="180" spans="1:8" x14ac:dyDescent="0.4">
      <c r="A180" s="13" t="s">
        <v>2324</v>
      </c>
      <c r="B180" s="13" t="s">
        <v>2345</v>
      </c>
      <c r="C180" s="13" t="s">
        <v>50</v>
      </c>
      <c r="D180" s="59">
        <v>46327</v>
      </c>
      <c r="E180" s="6">
        <v>0</v>
      </c>
      <c r="F180" s="54">
        <v>248</v>
      </c>
      <c r="H180" s="61"/>
    </row>
    <row r="181" spans="1:8" x14ac:dyDescent="0.4">
      <c r="A181" s="13" t="s">
        <v>2324</v>
      </c>
      <c r="B181" s="13" t="s">
        <v>2345</v>
      </c>
      <c r="C181" s="13" t="s">
        <v>5133</v>
      </c>
      <c r="D181" s="59">
        <v>46327</v>
      </c>
      <c r="E181" s="6">
        <v>12737.25</v>
      </c>
      <c r="F181" s="54">
        <v>271</v>
      </c>
      <c r="H181" s="61"/>
    </row>
    <row r="182" spans="1:8" x14ac:dyDescent="0.4">
      <c r="A182" s="13" t="s">
        <v>2324</v>
      </c>
      <c r="B182" s="55" t="s">
        <v>2325</v>
      </c>
      <c r="C182" s="10" t="s">
        <v>25</v>
      </c>
      <c r="D182" s="59">
        <v>46357</v>
      </c>
      <c r="E182" s="6">
        <v>0</v>
      </c>
      <c r="F182" s="54">
        <v>16</v>
      </c>
      <c r="H182" s="61"/>
    </row>
    <row r="183" spans="1:8" x14ac:dyDescent="0.4">
      <c r="A183" s="13" t="s">
        <v>2324</v>
      </c>
      <c r="B183" s="55" t="s">
        <v>2325</v>
      </c>
      <c r="C183" s="13" t="s">
        <v>44</v>
      </c>
      <c r="D183" s="59">
        <v>46357</v>
      </c>
      <c r="E183" s="6">
        <v>0</v>
      </c>
      <c r="F183" s="13">
        <v>39</v>
      </c>
      <c r="H183" s="61"/>
    </row>
    <row r="184" spans="1:8" x14ac:dyDescent="0.4">
      <c r="A184" s="13" t="s">
        <v>2324</v>
      </c>
      <c r="B184" s="55" t="s">
        <v>2325</v>
      </c>
      <c r="C184" s="13" t="s">
        <v>1944</v>
      </c>
      <c r="D184" s="59">
        <v>46357</v>
      </c>
      <c r="E184" s="6">
        <v>396270</v>
      </c>
      <c r="F184" s="54">
        <v>62</v>
      </c>
      <c r="H184" s="61"/>
    </row>
    <row r="185" spans="1:8" x14ac:dyDescent="0.4">
      <c r="A185" s="13" t="s">
        <v>2324</v>
      </c>
      <c r="B185" s="55" t="s">
        <v>2325</v>
      </c>
      <c r="C185" s="13" t="s">
        <v>70</v>
      </c>
      <c r="D185" s="59">
        <v>46357</v>
      </c>
      <c r="E185" s="6">
        <v>0</v>
      </c>
      <c r="F185" s="54">
        <v>86</v>
      </c>
      <c r="H185" s="61"/>
    </row>
    <row r="186" spans="1:8" x14ac:dyDescent="0.4">
      <c r="A186" s="13" t="s">
        <v>2324</v>
      </c>
      <c r="B186" s="55" t="s">
        <v>2325</v>
      </c>
      <c r="C186" s="13" t="s">
        <v>50</v>
      </c>
      <c r="D186" s="59">
        <v>46357</v>
      </c>
      <c r="E186" s="6">
        <v>0</v>
      </c>
      <c r="F186" s="13">
        <v>109</v>
      </c>
      <c r="H186" s="61"/>
    </row>
    <row r="187" spans="1:8" x14ac:dyDescent="0.4">
      <c r="A187" s="13" t="s">
        <v>2324</v>
      </c>
      <c r="B187" s="55" t="s">
        <v>2325</v>
      </c>
      <c r="C187" s="13" t="s">
        <v>5133</v>
      </c>
      <c r="D187" s="59">
        <v>46357</v>
      </c>
      <c r="E187" s="6">
        <v>28305</v>
      </c>
      <c r="F187" s="54">
        <v>132</v>
      </c>
      <c r="H187" s="61"/>
    </row>
    <row r="188" spans="1:8" x14ac:dyDescent="0.4">
      <c r="A188" s="13" t="s">
        <v>2324</v>
      </c>
      <c r="B188" s="13" t="s">
        <v>2345</v>
      </c>
      <c r="C188" s="10" t="s">
        <v>25</v>
      </c>
      <c r="D188" s="59">
        <v>46357</v>
      </c>
      <c r="E188" s="6">
        <v>0</v>
      </c>
      <c r="F188" s="13">
        <v>156</v>
      </c>
      <c r="H188" s="61"/>
    </row>
    <row r="189" spans="1:8" x14ac:dyDescent="0.4">
      <c r="A189" s="13" t="s">
        <v>2324</v>
      </c>
      <c r="B189" s="13" t="s">
        <v>2345</v>
      </c>
      <c r="C189" s="13" t="s">
        <v>44</v>
      </c>
      <c r="D189" s="59">
        <v>46357</v>
      </c>
      <c r="E189" s="6">
        <v>0</v>
      </c>
      <c r="F189" s="13">
        <v>179</v>
      </c>
      <c r="H189" s="61"/>
    </row>
    <row r="190" spans="1:8" x14ac:dyDescent="0.4">
      <c r="A190" s="13" t="s">
        <v>2324</v>
      </c>
      <c r="B190" s="13" t="s">
        <v>2345</v>
      </c>
      <c r="C190" s="13" t="s">
        <v>1944</v>
      </c>
      <c r="D190" s="59">
        <v>46357</v>
      </c>
      <c r="E190" s="6">
        <v>178321.5</v>
      </c>
      <c r="F190" s="13">
        <v>202</v>
      </c>
      <c r="H190" s="61"/>
    </row>
    <row r="191" spans="1:8" x14ac:dyDescent="0.4">
      <c r="A191" s="13" t="s">
        <v>2324</v>
      </c>
      <c r="B191" s="13" t="s">
        <v>2345</v>
      </c>
      <c r="C191" s="13" t="s">
        <v>70</v>
      </c>
      <c r="D191" s="59">
        <v>46357</v>
      </c>
      <c r="E191" s="6">
        <v>0</v>
      </c>
      <c r="F191" s="13">
        <v>226</v>
      </c>
      <c r="H191" s="61"/>
    </row>
    <row r="192" spans="1:8" x14ac:dyDescent="0.4">
      <c r="A192" s="13" t="s">
        <v>2324</v>
      </c>
      <c r="B192" s="13" t="s">
        <v>2345</v>
      </c>
      <c r="C192" s="13" t="s">
        <v>50</v>
      </c>
      <c r="D192" s="59">
        <v>46357</v>
      </c>
      <c r="E192" s="6">
        <v>0</v>
      </c>
      <c r="F192" s="13">
        <v>249</v>
      </c>
      <c r="H192" s="61"/>
    </row>
    <row r="193" spans="1:8" x14ac:dyDescent="0.4">
      <c r="A193" s="13" t="s">
        <v>2324</v>
      </c>
      <c r="B193" s="13" t="s">
        <v>2345</v>
      </c>
      <c r="C193" s="13" t="s">
        <v>5133</v>
      </c>
      <c r="D193" s="59">
        <v>46357</v>
      </c>
      <c r="E193" s="6">
        <v>12737.25</v>
      </c>
      <c r="F193" s="13">
        <v>272</v>
      </c>
      <c r="H193" s="61"/>
    </row>
    <row r="194" spans="1:8" x14ac:dyDescent="0.4">
      <c r="A194" s="13" t="s">
        <v>2324</v>
      </c>
      <c r="B194" s="55" t="s">
        <v>2325</v>
      </c>
      <c r="C194" s="10" t="s">
        <v>25</v>
      </c>
      <c r="D194" s="59">
        <v>46388</v>
      </c>
      <c r="E194" s="6">
        <v>0</v>
      </c>
      <c r="F194" s="13">
        <v>17</v>
      </c>
      <c r="H194" s="61"/>
    </row>
    <row r="195" spans="1:8" x14ac:dyDescent="0.4">
      <c r="A195" s="13" t="s">
        <v>2324</v>
      </c>
      <c r="B195" s="55" t="s">
        <v>2325</v>
      </c>
      <c r="C195" s="13" t="s">
        <v>44</v>
      </c>
      <c r="D195" s="59">
        <v>46388</v>
      </c>
      <c r="E195" s="6">
        <v>0</v>
      </c>
      <c r="F195" s="54">
        <v>40</v>
      </c>
      <c r="H195" s="61"/>
    </row>
    <row r="196" spans="1:8" x14ac:dyDescent="0.4">
      <c r="A196" s="13" t="s">
        <v>2324</v>
      </c>
      <c r="B196" s="55" t="s">
        <v>2325</v>
      </c>
      <c r="C196" s="13" t="s">
        <v>1944</v>
      </c>
      <c r="D196" s="59">
        <v>46388</v>
      </c>
      <c r="E196" s="6">
        <v>386835</v>
      </c>
      <c r="F196" s="13">
        <v>63</v>
      </c>
      <c r="H196" s="61"/>
    </row>
    <row r="197" spans="1:8" x14ac:dyDescent="0.4">
      <c r="A197" s="13" t="s">
        <v>2324</v>
      </c>
      <c r="B197" s="55" t="s">
        <v>2325</v>
      </c>
      <c r="C197" s="13" t="s">
        <v>70</v>
      </c>
      <c r="D197" s="59">
        <v>46388</v>
      </c>
      <c r="E197" s="6">
        <v>0</v>
      </c>
      <c r="F197" s="13">
        <v>87</v>
      </c>
      <c r="H197" s="61"/>
    </row>
    <row r="198" spans="1:8" x14ac:dyDescent="0.4">
      <c r="A198" s="13" t="s">
        <v>2324</v>
      </c>
      <c r="B198" s="55" t="s">
        <v>2325</v>
      </c>
      <c r="C198" s="13" t="s">
        <v>50</v>
      </c>
      <c r="D198" s="59">
        <v>46388</v>
      </c>
      <c r="E198" s="6">
        <v>0</v>
      </c>
      <c r="F198" s="54">
        <v>110</v>
      </c>
      <c r="H198" s="61"/>
    </row>
    <row r="199" spans="1:8" x14ac:dyDescent="0.4">
      <c r="A199" s="13" t="s">
        <v>2324</v>
      </c>
      <c r="B199" s="55" t="s">
        <v>2325</v>
      </c>
      <c r="C199" s="13" t="s">
        <v>5133</v>
      </c>
      <c r="D199" s="59">
        <v>46388</v>
      </c>
      <c r="E199" s="6">
        <v>28305</v>
      </c>
      <c r="F199" s="13">
        <v>133</v>
      </c>
      <c r="H199" s="61"/>
    </row>
    <row r="200" spans="1:8" x14ac:dyDescent="0.4">
      <c r="A200" s="13" t="s">
        <v>2324</v>
      </c>
      <c r="B200" s="13" t="s">
        <v>2345</v>
      </c>
      <c r="C200" s="10" t="s">
        <v>25</v>
      </c>
      <c r="D200" s="59">
        <v>46388</v>
      </c>
      <c r="E200" s="6">
        <v>0</v>
      </c>
      <c r="F200" s="54">
        <v>157</v>
      </c>
      <c r="H200" s="61"/>
    </row>
    <row r="201" spans="1:8" x14ac:dyDescent="0.4">
      <c r="A201" s="13" t="s">
        <v>2324</v>
      </c>
      <c r="B201" s="13" t="s">
        <v>2345</v>
      </c>
      <c r="C201" s="13" t="s">
        <v>44</v>
      </c>
      <c r="D201" s="59">
        <v>46388</v>
      </c>
      <c r="E201" s="6">
        <v>0</v>
      </c>
      <c r="F201" s="54">
        <v>180</v>
      </c>
      <c r="H201" s="61"/>
    </row>
    <row r="202" spans="1:8" x14ac:dyDescent="0.4">
      <c r="A202" s="13" t="s">
        <v>2324</v>
      </c>
      <c r="B202" s="13" t="s">
        <v>2345</v>
      </c>
      <c r="C202" s="13" t="s">
        <v>1944</v>
      </c>
      <c r="D202" s="59">
        <v>46388</v>
      </c>
      <c r="E202" s="6">
        <v>174075.75</v>
      </c>
      <c r="F202" s="54">
        <v>203</v>
      </c>
      <c r="H202" s="61"/>
    </row>
    <row r="203" spans="1:8" x14ac:dyDescent="0.4">
      <c r="A203" s="13" t="s">
        <v>2324</v>
      </c>
      <c r="B203" s="13" t="s">
        <v>2345</v>
      </c>
      <c r="C203" s="13" t="s">
        <v>70</v>
      </c>
      <c r="D203" s="59">
        <v>46388</v>
      </c>
      <c r="E203" s="6">
        <v>0</v>
      </c>
      <c r="F203" s="54">
        <v>227</v>
      </c>
      <c r="H203" s="61"/>
    </row>
    <row r="204" spans="1:8" x14ac:dyDescent="0.4">
      <c r="A204" s="13" t="s">
        <v>2324</v>
      </c>
      <c r="B204" s="13" t="s">
        <v>2345</v>
      </c>
      <c r="C204" s="13" t="s">
        <v>50</v>
      </c>
      <c r="D204" s="59">
        <v>46388</v>
      </c>
      <c r="E204" s="6">
        <v>0</v>
      </c>
      <c r="F204" s="54">
        <v>250</v>
      </c>
      <c r="H204" s="61"/>
    </row>
    <row r="205" spans="1:8" x14ac:dyDescent="0.4">
      <c r="A205" s="13" t="s">
        <v>2324</v>
      </c>
      <c r="B205" s="13" t="s">
        <v>2345</v>
      </c>
      <c r="C205" s="13" t="s">
        <v>5133</v>
      </c>
      <c r="D205" s="59">
        <v>46388</v>
      </c>
      <c r="E205" s="6">
        <v>12737.25</v>
      </c>
      <c r="F205" s="54">
        <v>273</v>
      </c>
      <c r="H205" s="61"/>
    </row>
    <row r="206" spans="1:8" x14ac:dyDescent="0.4">
      <c r="A206" s="13" t="s">
        <v>2324</v>
      </c>
      <c r="B206" s="55" t="s">
        <v>2325</v>
      </c>
      <c r="C206" s="10" t="s">
        <v>25</v>
      </c>
      <c r="D206" s="59">
        <v>46419</v>
      </c>
      <c r="E206" s="6">
        <v>0</v>
      </c>
      <c r="F206" s="54">
        <v>18</v>
      </c>
      <c r="H206" s="61"/>
    </row>
    <row r="207" spans="1:8" x14ac:dyDescent="0.4">
      <c r="A207" s="13" t="s">
        <v>2324</v>
      </c>
      <c r="B207" s="55" t="s">
        <v>2325</v>
      </c>
      <c r="C207" s="13" t="s">
        <v>44</v>
      </c>
      <c r="D207" s="59">
        <v>46419</v>
      </c>
      <c r="E207" s="6">
        <v>0</v>
      </c>
      <c r="F207" s="13">
        <v>41</v>
      </c>
      <c r="H207" s="61"/>
    </row>
    <row r="208" spans="1:8" x14ac:dyDescent="0.4">
      <c r="A208" s="13" t="s">
        <v>2324</v>
      </c>
      <c r="B208" s="55" t="s">
        <v>2325</v>
      </c>
      <c r="C208" s="13" t="s">
        <v>1944</v>
      </c>
      <c r="D208" s="59">
        <v>46419</v>
      </c>
      <c r="E208" s="6">
        <v>386835</v>
      </c>
      <c r="F208" s="54">
        <v>64</v>
      </c>
      <c r="H208" s="61"/>
    </row>
    <row r="209" spans="1:8" x14ac:dyDescent="0.4">
      <c r="A209" s="13" t="s">
        <v>2324</v>
      </c>
      <c r="B209" s="55" t="s">
        <v>2325</v>
      </c>
      <c r="C209" s="13" t="s">
        <v>70</v>
      </c>
      <c r="D209" s="59">
        <v>46419</v>
      </c>
      <c r="E209" s="6">
        <v>0</v>
      </c>
      <c r="F209" s="54">
        <v>88</v>
      </c>
      <c r="H209" s="61"/>
    </row>
    <row r="210" spans="1:8" x14ac:dyDescent="0.4">
      <c r="A210" s="13" t="s">
        <v>2324</v>
      </c>
      <c r="B210" s="55" t="s">
        <v>2325</v>
      </c>
      <c r="C210" s="13" t="s">
        <v>50</v>
      </c>
      <c r="D210" s="59">
        <v>46419</v>
      </c>
      <c r="E210" s="6">
        <v>0</v>
      </c>
      <c r="F210" s="13">
        <v>111</v>
      </c>
      <c r="H210" s="61"/>
    </row>
    <row r="211" spans="1:8" x14ac:dyDescent="0.4">
      <c r="A211" s="13" t="s">
        <v>2324</v>
      </c>
      <c r="B211" s="55" t="s">
        <v>2325</v>
      </c>
      <c r="C211" s="13" t="s">
        <v>5133</v>
      </c>
      <c r="D211" s="59">
        <v>46419</v>
      </c>
      <c r="E211" s="6">
        <v>28305</v>
      </c>
      <c r="F211" s="54">
        <v>134</v>
      </c>
      <c r="H211" s="20"/>
    </row>
    <row r="212" spans="1:8" x14ac:dyDescent="0.4">
      <c r="A212" s="13" t="s">
        <v>2324</v>
      </c>
      <c r="B212" s="13" t="s">
        <v>2345</v>
      </c>
      <c r="C212" s="10" t="s">
        <v>25</v>
      </c>
      <c r="D212" s="59">
        <v>46419</v>
      </c>
      <c r="E212" s="6">
        <v>0</v>
      </c>
      <c r="F212" s="13">
        <v>158</v>
      </c>
      <c r="H212" s="20"/>
    </row>
    <row r="213" spans="1:8" x14ac:dyDescent="0.4">
      <c r="A213" s="13" t="s">
        <v>2324</v>
      </c>
      <c r="B213" s="13" t="s">
        <v>2345</v>
      </c>
      <c r="C213" s="13" t="s">
        <v>44</v>
      </c>
      <c r="D213" s="59">
        <v>46419</v>
      </c>
      <c r="E213" s="6">
        <v>0</v>
      </c>
      <c r="F213" s="13">
        <v>181</v>
      </c>
      <c r="H213" s="20"/>
    </row>
    <row r="214" spans="1:8" x14ac:dyDescent="0.4">
      <c r="A214" s="13" t="s">
        <v>2324</v>
      </c>
      <c r="B214" s="13" t="s">
        <v>2345</v>
      </c>
      <c r="C214" s="13" t="s">
        <v>1944</v>
      </c>
      <c r="D214" s="59">
        <v>46419</v>
      </c>
      <c r="E214" s="6">
        <v>174075.75</v>
      </c>
      <c r="F214" s="54">
        <v>204</v>
      </c>
      <c r="H214" s="20"/>
    </row>
    <row r="215" spans="1:8" x14ac:dyDescent="0.4">
      <c r="A215" s="13" t="s">
        <v>2324</v>
      </c>
      <c r="B215" s="13" t="s">
        <v>2345</v>
      </c>
      <c r="C215" s="13" t="s">
        <v>70</v>
      </c>
      <c r="D215" s="59">
        <v>46419</v>
      </c>
      <c r="E215" s="6">
        <v>0</v>
      </c>
      <c r="F215" s="13">
        <v>228</v>
      </c>
      <c r="H215" s="20"/>
    </row>
    <row r="216" spans="1:8" x14ac:dyDescent="0.4">
      <c r="A216" s="13" t="s">
        <v>2324</v>
      </c>
      <c r="B216" s="13" t="s">
        <v>2345</v>
      </c>
      <c r="C216" s="13" t="s">
        <v>50</v>
      </c>
      <c r="D216" s="59">
        <v>46419</v>
      </c>
      <c r="E216" s="6">
        <v>0</v>
      </c>
      <c r="F216" s="13">
        <v>251</v>
      </c>
      <c r="H216" s="20"/>
    </row>
    <row r="217" spans="1:8" x14ac:dyDescent="0.4">
      <c r="A217" s="13" t="s">
        <v>2324</v>
      </c>
      <c r="B217" s="13" t="s">
        <v>2345</v>
      </c>
      <c r="C217" s="13" t="s">
        <v>5133</v>
      </c>
      <c r="D217" s="59">
        <v>46419</v>
      </c>
      <c r="E217" s="6">
        <v>12737.25</v>
      </c>
      <c r="F217" s="54">
        <v>274</v>
      </c>
      <c r="H217" s="20"/>
    </row>
    <row r="218" spans="1:8" x14ac:dyDescent="0.4">
      <c r="A218" s="13" t="s">
        <v>2324</v>
      </c>
      <c r="B218" s="55" t="s">
        <v>2325</v>
      </c>
      <c r="C218" s="10" t="s">
        <v>25</v>
      </c>
      <c r="D218" s="59">
        <v>46447</v>
      </c>
      <c r="E218" s="6">
        <v>0</v>
      </c>
      <c r="F218" s="13">
        <v>19</v>
      </c>
      <c r="H218" s="20"/>
    </row>
    <row r="219" spans="1:8" x14ac:dyDescent="0.4">
      <c r="A219" s="13" t="s">
        <v>2324</v>
      </c>
      <c r="B219" s="55" t="s">
        <v>2325</v>
      </c>
      <c r="C219" s="13" t="s">
        <v>44</v>
      </c>
      <c r="D219" s="59">
        <v>46447</v>
      </c>
      <c r="E219" s="6">
        <v>0</v>
      </c>
      <c r="F219" s="54">
        <v>42</v>
      </c>
      <c r="H219" s="20"/>
    </row>
    <row r="220" spans="1:8" x14ac:dyDescent="0.4">
      <c r="A220" s="13" t="s">
        <v>2324</v>
      </c>
      <c r="B220" s="55" t="s">
        <v>2325</v>
      </c>
      <c r="C220" s="13" t="s">
        <v>1944</v>
      </c>
      <c r="D220" s="59">
        <v>46447</v>
      </c>
      <c r="E220" s="6">
        <v>292485</v>
      </c>
      <c r="F220" s="13">
        <v>65</v>
      </c>
      <c r="H220" s="20"/>
    </row>
    <row r="221" spans="1:8" x14ac:dyDescent="0.4">
      <c r="A221" s="13" t="s">
        <v>2324</v>
      </c>
      <c r="B221" s="55" t="s">
        <v>2325</v>
      </c>
      <c r="C221" s="13" t="s">
        <v>70</v>
      </c>
      <c r="D221" s="59">
        <v>46447</v>
      </c>
      <c r="E221" s="6">
        <v>0</v>
      </c>
      <c r="F221" s="13">
        <v>89</v>
      </c>
      <c r="H221" s="20"/>
    </row>
    <row r="222" spans="1:8" x14ac:dyDescent="0.4">
      <c r="A222" s="13" t="s">
        <v>2324</v>
      </c>
      <c r="B222" s="55" t="s">
        <v>2325</v>
      </c>
      <c r="C222" s="13" t="s">
        <v>50</v>
      </c>
      <c r="D222" s="59">
        <v>46447</v>
      </c>
      <c r="E222" s="6">
        <v>0</v>
      </c>
      <c r="F222" s="54">
        <v>112</v>
      </c>
      <c r="H222" s="20"/>
    </row>
    <row r="223" spans="1:8" x14ac:dyDescent="0.4">
      <c r="A223" s="13" t="s">
        <v>2324</v>
      </c>
      <c r="B223" s="55" t="s">
        <v>2325</v>
      </c>
      <c r="C223" s="13" t="s">
        <v>5133</v>
      </c>
      <c r="D223" s="59">
        <v>46447</v>
      </c>
      <c r="E223" s="6">
        <v>28305</v>
      </c>
      <c r="F223" s="13">
        <v>135</v>
      </c>
      <c r="H223" s="20"/>
    </row>
    <row r="224" spans="1:8" x14ac:dyDescent="0.4">
      <c r="A224" s="13" t="s">
        <v>2324</v>
      </c>
      <c r="B224" s="13" t="s">
        <v>2345</v>
      </c>
      <c r="C224" s="10" t="s">
        <v>25</v>
      </c>
      <c r="D224" s="59">
        <v>46447</v>
      </c>
      <c r="E224" s="6">
        <v>0</v>
      </c>
      <c r="F224" s="54">
        <v>159</v>
      </c>
      <c r="H224" s="20"/>
    </row>
    <row r="225" spans="1:8" x14ac:dyDescent="0.4">
      <c r="A225" s="13" t="s">
        <v>2324</v>
      </c>
      <c r="B225" s="13" t="s">
        <v>2345</v>
      </c>
      <c r="C225" s="13" t="s">
        <v>44</v>
      </c>
      <c r="D225" s="59">
        <v>46447</v>
      </c>
      <c r="E225" s="6">
        <v>0</v>
      </c>
      <c r="F225" s="54">
        <v>182</v>
      </c>
      <c r="H225" s="20"/>
    </row>
    <row r="226" spans="1:8" x14ac:dyDescent="0.4">
      <c r="A226" s="13" t="s">
        <v>2324</v>
      </c>
      <c r="B226" s="13" t="s">
        <v>2345</v>
      </c>
      <c r="C226" s="13" t="s">
        <v>1944</v>
      </c>
      <c r="D226" s="59">
        <v>46447</v>
      </c>
      <c r="E226" s="6">
        <v>131618.25</v>
      </c>
      <c r="F226" s="13">
        <v>205</v>
      </c>
      <c r="H226" s="20"/>
    </row>
    <row r="227" spans="1:8" x14ac:dyDescent="0.4">
      <c r="A227" s="13" t="s">
        <v>2324</v>
      </c>
      <c r="B227" s="13" t="s">
        <v>2345</v>
      </c>
      <c r="C227" s="13" t="s">
        <v>70</v>
      </c>
      <c r="D227" s="59">
        <v>46447</v>
      </c>
      <c r="E227" s="6">
        <v>0</v>
      </c>
      <c r="F227" s="54">
        <v>229</v>
      </c>
      <c r="H227" s="20"/>
    </row>
    <row r="228" spans="1:8" x14ac:dyDescent="0.4">
      <c r="A228" s="13" t="s">
        <v>2324</v>
      </c>
      <c r="B228" s="13" t="s">
        <v>2345</v>
      </c>
      <c r="C228" s="13" t="s">
        <v>50</v>
      </c>
      <c r="D228" s="59">
        <v>46447</v>
      </c>
      <c r="E228" s="6">
        <v>0</v>
      </c>
      <c r="F228" s="54">
        <v>252</v>
      </c>
      <c r="H228" s="20"/>
    </row>
    <row r="229" spans="1:8" x14ac:dyDescent="0.4">
      <c r="A229" s="13" t="s">
        <v>2324</v>
      </c>
      <c r="B229" s="13" t="s">
        <v>2345</v>
      </c>
      <c r="C229" s="13" t="s">
        <v>5133</v>
      </c>
      <c r="D229" s="59">
        <v>46447</v>
      </c>
      <c r="E229" s="6">
        <v>12737.25</v>
      </c>
      <c r="F229" s="13">
        <v>275</v>
      </c>
      <c r="H229" s="20"/>
    </row>
    <row r="230" spans="1:8" x14ac:dyDescent="0.4">
      <c r="A230" s="13" t="s">
        <v>2324</v>
      </c>
      <c r="B230" s="55" t="s">
        <v>2325</v>
      </c>
      <c r="C230" s="10" t="s">
        <v>25</v>
      </c>
      <c r="D230" s="59">
        <v>46478</v>
      </c>
      <c r="E230" s="6">
        <v>0</v>
      </c>
      <c r="F230" s="54">
        <v>20</v>
      </c>
      <c r="H230" s="20"/>
    </row>
    <row r="231" spans="1:8" x14ac:dyDescent="0.4">
      <c r="A231" s="13" t="s">
        <v>2324</v>
      </c>
      <c r="B231" s="55" t="s">
        <v>2325</v>
      </c>
      <c r="C231" s="13" t="s">
        <v>44</v>
      </c>
      <c r="D231" s="59">
        <v>46478</v>
      </c>
      <c r="E231" s="6">
        <v>0</v>
      </c>
      <c r="F231" s="13">
        <v>43</v>
      </c>
      <c r="H231" s="20"/>
    </row>
    <row r="232" spans="1:8" x14ac:dyDescent="0.4">
      <c r="A232" s="13" t="s">
        <v>2324</v>
      </c>
      <c r="B232" s="55" t="s">
        <v>2325</v>
      </c>
      <c r="C232" s="13" t="s">
        <v>1944</v>
      </c>
      <c r="D232" s="59">
        <v>46478</v>
      </c>
      <c r="E232" s="6">
        <v>292485</v>
      </c>
      <c r="F232" s="54">
        <v>66</v>
      </c>
      <c r="H232" s="20"/>
    </row>
    <row r="233" spans="1:8" x14ac:dyDescent="0.4">
      <c r="A233" s="13" t="s">
        <v>2324</v>
      </c>
      <c r="B233" s="55" t="s">
        <v>2325</v>
      </c>
      <c r="C233" s="13" t="s">
        <v>70</v>
      </c>
      <c r="D233" s="59">
        <v>46478</v>
      </c>
      <c r="E233" s="6">
        <v>0</v>
      </c>
      <c r="F233" s="54">
        <v>90</v>
      </c>
      <c r="H233" s="20"/>
    </row>
    <row r="234" spans="1:8" x14ac:dyDescent="0.4">
      <c r="A234" s="13" t="s">
        <v>2324</v>
      </c>
      <c r="B234" s="55" t="s">
        <v>2325</v>
      </c>
      <c r="C234" s="13" t="s">
        <v>50</v>
      </c>
      <c r="D234" s="59">
        <v>46478</v>
      </c>
      <c r="E234" s="6">
        <v>0</v>
      </c>
      <c r="F234" s="13">
        <v>113</v>
      </c>
      <c r="H234" s="20"/>
    </row>
    <row r="235" spans="1:8" x14ac:dyDescent="0.4">
      <c r="A235" s="13" t="s">
        <v>2324</v>
      </c>
      <c r="B235" s="55" t="s">
        <v>2325</v>
      </c>
      <c r="C235" s="13" t="s">
        <v>5133</v>
      </c>
      <c r="D235" s="59">
        <v>46478</v>
      </c>
      <c r="E235" s="6">
        <v>28305</v>
      </c>
      <c r="F235" s="54">
        <v>136</v>
      </c>
      <c r="H235" s="20"/>
    </row>
    <row r="236" spans="1:8" x14ac:dyDescent="0.4">
      <c r="A236" s="13" t="s">
        <v>2324</v>
      </c>
      <c r="B236" s="13" t="s">
        <v>2345</v>
      </c>
      <c r="C236" s="10" t="s">
        <v>25</v>
      </c>
      <c r="D236" s="59">
        <v>46478</v>
      </c>
      <c r="E236" s="6">
        <v>0</v>
      </c>
      <c r="F236" s="13">
        <v>160</v>
      </c>
      <c r="H236" s="20"/>
    </row>
    <row r="237" spans="1:8" x14ac:dyDescent="0.4">
      <c r="A237" s="13" t="s">
        <v>2324</v>
      </c>
      <c r="B237" s="13" t="s">
        <v>2345</v>
      </c>
      <c r="C237" s="13" t="s">
        <v>44</v>
      </c>
      <c r="D237" s="59">
        <v>46478</v>
      </c>
      <c r="E237" s="6">
        <v>0</v>
      </c>
      <c r="F237" s="54">
        <v>183</v>
      </c>
      <c r="H237" s="20"/>
    </row>
    <row r="238" spans="1:8" x14ac:dyDescent="0.4">
      <c r="A238" s="13" t="s">
        <v>2324</v>
      </c>
      <c r="B238" s="13" t="s">
        <v>2345</v>
      </c>
      <c r="C238" s="13" t="s">
        <v>1944</v>
      </c>
      <c r="D238" s="59">
        <v>46478</v>
      </c>
      <c r="E238" s="6">
        <v>131618.25</v>
      </c>
      <c r="F238" s="54">
        <v>206</v>
      </c>
      <c r="H238" s="20"/>
    </row>
    <row r="239" spans="1:8" x14ac:dyDescent="0.4">
      <c r="A239" s="13" t="s">
        <v>2324</v>
      </c>
      <c r="B239" s="13" t="s">
        <v>2345</v>
      </c>
      <c r="C239" s="13" t="s">
        <v>70</v>
      </c>
      <c r="D239" s="59">
        <v>46478</v>
      </c>
      <c r="E239" s="6">
        <v>0</v>
      </c>
      <c r="F239" s="13">
        <v>230</v>
      </c>
      <c r="H239" s="20"/>
    </row>
    <row r="240" spans="1:8" x14ac:dyDescent="0.4">
      <c r="A240" s="13" t="s">
        <v>2324</v>
      </c>
      <c r="B240" s="13" t="s">
        <v>2345</v>
      </c>
      <c r="C240" s="13" t="s">
        <v>50</v>
      </c>
      <c r="D240" s="59">
        <v>46478</v>
      </c>
      <c r="E240" s="6">
        <v>0</v>
      </c>
      <c r="F240" s="54">
        <v>253</v>
      </c>
      <c r="H240" s="20"/>
    </row>
    <row r="241" spans="1:8" x14ac:dyDescent="0.4">
      <c r="A241" s="13" t="s">
        <v>2324</v>
      </c>
      <c r="B241" s="13" t="s">
        <v>2345</v>
      </c>
      <c r="C241" s="13" t="s">
        <v>5133</v>
      </c>
      <c r="D241" s="59">
        <v>46478</v>
      </c>
      <c r="E241" s="6">
        <v>12737.25</v>
      </c>
      <c r="F241" s="54">
        <v>276</v>
      </c>
      <c r="H241" s="20"/>
    </row>
    <row r="242" spans="1:8" x14ac:dyDescent="0.4">
      <c r="A242" s="13" t="s">
        <v>2324</v>
      </c>
      <c r="B242" s="55" t="s">
        <v>2325</v>
      </c>
      <c r="C242" s="10" t="s">
        <v>25</v>
      </c>
      <c r="D242" s="59">
        <v>46508</v>
      </c>
      <c r="E242" s="6">
        <v>0</v>
      </c>
      <c r="F242" s="13">
        <v>21</v>
      </c>
      <c r="H242" s="20"/>
    </row>
    <row r="243" spans="1:8" x14ac:dyDescent="0.4">
      <c r="A243" s="13" t="s">
        <v>2324</v>
      </c>
      <c r="B243" s="55" t="s">
        <v>2325</v>
      </c>
      <c r="C243" s="13" t="s">
        <v>44</v>
      </c>
      <c r="D243" s="59">
        <v>46508</v>
      </c>
      <c r="E243" s="6">
        <v>0</v>
      </c>
      <c r="F243" s="54">
        <v>44</v>
      </c>
      <c r="H243" s="20"/>
    </row>
    <row r="244" spans="1:8" x14ac:dyDescent="0.4">
      <c r="A244" s="13" t="s">
        <v>2324</v>
      </c>
      <c r="B244" s="55" t="s">
        <v>2325</v>
      </c>
      <c r="C244" s="13" t="s">
        <v>1944</v>
      </c>
      <c r="D244" s="59">
        <v>46508</v>
      </c>
      <c r="E244" s="6">
        <v>235875</v>
      </c>
      <c r="F244" s="13">
        <v>67</v>
      </c>
      <c r="H244" s="20"/>
    </row>
    <row r="245" spans="1:8" x14ac:dyDescent="0.4">
      <c r="A245" s="13" t="s">
        <v>2324</v>
      </c>
      <c r="B245" s="55" t="s">
        <v>2325</v>
      </c>
      <c r="C245" s="13" t="s">
        <v>70</v>
      </c>
      <c r="D245" s="59">
        <v>46508</v>
      </c>
      <c r="E245" s="6">
        <v>0</v>
      </c>
      <c r="F245" s="13">
        <v>91</v>
      </c>
      <c r="H245" s="20"/>
    </row>
    <row r="246" spans="1:8" x14ac:dyDescent="0.4">
      <c r="A246" s="13" t="s">
        <v>2324</v>
      </c>
      <c r="B246" s="55" t="s">
        <v>2325</v>
      </c>
      <c r="C246" s="13" t="s">
        <v>50</v>
      </c>
      <c r="D246" s="59">
        <v>46508</v>
      </c>
      <c r="E246" s="6">
        <v>0</v>
      </c>
      <c r="F246" s="54">
        <v>114</v>
      </c>
      <c r="H246" s="20"/>
    </row>
    <row r="247" spans="1:8" x14ac:dyDescent="0.4">
      <c r="A247" s="13" t="s">
        <v>2324</v>
      </c>
      <c r="B247" s="55" t="s">
        <v>2325</v>
      </c>
      <c r="C247" s="13" t="s">
        <v>5133</v>
      </c>
      <c r="D247" s="59">
        <v>46508</v>
      </c>
      <c r="E247" s="6">
        <v>28305</v>
      </c>
      <c r="F247" s="13">
        <v>137</v>
      </c>
      <c r="H247" s="20"/>
    </row>
    <row r="248" spans="1:8" x14ac:dyDescent="0.4">
      <c r="A248" s="13" t="s">
        <v>2324</v>
      </c>
      <c r="B248" s="13" t="s">
        <v>2345</v>
      </c>
      <c r="C248" s="10" t="s">
        <v>25</v>
      </c>
      <c r="D248" s="59">
        <v>46508</v>
      </c>
      <c r="E248" s="6">
        <v>0</v>
      </c>
      <c r="F248" s="54">
        <v>161</v>
      </c>
      <c r="H248" s="20"/>
    </row>
    <row r="249" spans="1:8" x14ac:dyDescent="0.4">
      <c r="A249" s="13" t="s">
        <v>2324</v>
      </c>
      <c r="B249" s="13" t="s">
        <v>2345</v>
      </c>
      <c r="C249" s="13" t="s">
        <v>44</v>
      </c>
      <c r="D249" s="59">
        <v>46508</v>
      </c>
      <c r="E249" s="6">
        <v>0</v>
      </c>
      <c r="F249" s="13">
        <v>184</v>
      </c>
      <c r="H249" s="20"/>
    </row>
    <row r="250" spans="1:8" x14ac:dyDescent="0.4">
      <c r="A250" s="13" t="s">
        <v>2324</v>
      </c>
      <c r="B250" s="13" t="s">
        <v>2345</v>
      </c>
      <c r="C250" s="13" t="s">
        <v>1944</v>
      </c>
      <c r="D250" s="59">
        <v>46508</v>
      </c>
      <c r="E250" s="6">
        <v>106143.75</v>
      </c>
      <c r="F250" s="13">
        <v>207</v>
      </c>
      <c r="H250" s="20"/>
    </row>
    <row r="251" spans="1:8" x14ac:dyDescent="0.4">
      <c r="A251" s="13" t="s">
        <v>2324</v>
      </c>
      <c r="B251" s="13" t="s">
        <v>2345</v>
      </c>
      <c r="C251" s="13" t="s">
        <v>70</v>
      </c>
      <c r="D251" s="59">
        <v>46508</v>
      </c>
      <c r="E251" s="6">
        <v>0</v>
      </c>
      <c r="F251" s="54">
        <v>231</v>
      </c>
      <c r="H251" s="20"/>
    </row>
    <row r="252" spans="1:8" x14ac:dyDescent="0.4">
      <c r="A252" s="13" t="s">
        <v>2324</v>
      </c>
      <c r="B252" s="13" t="s">
        <v>2345</v>
      </c>
      <c r="C252" s="13" t="s">
        <v>50</v>
      </c>
      <c r="D252" s="59">
        <v>46508</v>
      </c>
      <c r="E252" s="6">
        <v>0</v>
      </c>
      <c r="F252" s="13">
        <v>254</v>
      </c>
      <c r="H252" s="20"/>
    </row>
    <row r="253" spans="1:8" x14ac:dyDescent="0.4">
      <c r="A253" s="13" t="s">
        <v>2324</v>
      </c>
      <c r="B253" s="13" t="s">
        <v>2345</v>
      </c>
      <c r="C253" s="13" t="s">
        <v>5133</v>
      </c>
      <c r="D253" s="59">
        <v>46508</v>
      </c>
      <c r="E253" s="6">
        <v>12737.25</v>
      </c>
      <c r="F253" s="13">
        <v>277</v>
      </c>
      <c r="H253" s="20"/>
    </row>
    <row r="254" spans="1:8" x14ac:dyDescent="0.4">
      <c r="A254" s="13" t="s">
        <v>2324</v>
      </c>
      <c r="B254" s="55" t="s">
        <v>2325</v>
      </c>
      <c r="C254" s="10" t="s">
        <v>25</v>
      </c>
      <c r="D254" s="59">
        <v>46539</v>
      </c>
      <c r="E254" s="6">
        <v>0</v>
      </c>
      <c r="F254" s="54">
        <v>22</v>
      </c>
      <c r="H254" s="20"/>
    </row>
    <row r="255" spans="1:8" x14ac:dyDescent="0.4">
      <c r="A255" s="13" t="s">
        <v>2324</v>
      </c>
      <c r="B255" s="55" t="s">
        <v>2325</v>
      </c>
      <c r="C255" s="13" t="s">
        <v>44</v>
      </c>
      <c r="D255" s="59">
        <v>46539</v>
      </c>
      <c r="E255" s="6">
        <v>0</v>
      </c>
      <c r="F255" s="13">
        <v>45</v>
      </c>
      <c r="H255" s="20"/>
    </row>
    <row r="256" spans="1:8" x14ac:dyDescent="0.4">
      <c r="A256" s="13" t="s">
        <v>2324</v>
      </c>
      <c r="B256" s="55" t="s">
        <v>2325</v>
      </c>
      <c r="C256" s="13" t="s">
        <v>1944</v>
      </c>
      <c r="D256" s="59">
        <v>46539</v>
      </c>
      <c r="E256" s="6">
        <v>179265</v>
      </c>
      <c r="F256" s="54">
        <v>68</v>
      </c>
      <c r="H256" s="20"/>
    </row>
    <row r="257" spans="1:8" x14ac:dyDescent="0.4">
      <c r="A257" s="13" t="s">
        <v>2324</v>
      </c>
      <c r="B257" s="55" t="s">
        <v>2325</v>
      </c>
      <c r="C257" s="13" t="s">
        <v>70</v>
      </c>
      <c r="D257" s="59">
        <v>46539</v>
      </c>
      <c r="E257" s="6">
        <v>0</v>
      </c>
      <c r="F257" s="54">
        <v>92</v>
      </c>
      <c r="H257" s="20"/>
    </row>
    <row r="258" spans="1:8" x14ac:dyDescent="0.4">
      <c r="A258" s="13" t="s">
        <v>2324</v>
      </c>
      <c r="B258" s="55" t="s">
        <v>2325</v>
      </c>
      <c r="C258" s="13" t="s">
        <v>50</v>
      </c>
      <c r="D258" s="59">
        <v>46539</v>
      </c>
      <c r="E258" s="6">
        <v>0</v>
      </c>
      <c r="F258" s="13">
        <v>115</v>
      </c>
      <c r="H258" s="20"/>
    </row>
    <row r="259" spans="1:8" x14ac:dyDescent="0.4">
      <c r="A259" s="13" t="s">
        <v>2324</v>
      </c>
      <c r="B259" s="55" t="s">
        <v>2325</v>
      </c>
      <c r="C259" s="13" t="s">
        <v>5133</v>
      </c>
      <c r="D259" s="59">
        <v>46539</v>
      </c>
      <c r="E259" s="6">
        <v>28305</v>
      </c>
      <c r="F259" s="54">
        <v>138</v>
      </c>
      <c r="H259" s="20"/>
    </row>
    <row r="260" spans="1:8" x14ac:dyDescent="0.4">
      <c r="A260" s="13" t="s">
        <v>2324</v>
      </c>
      <c r="B260" s="13" t="s">
        <v>2345</v>
      </c>
      <c r="C260" s="10" t="s">
        <v>25</v>
      </c>
      <c r="D260" s="59">
        <v>46539</v>
      </c>
      <c r="E260" s="6">
        <v>0</v>
      </c>
      <c r="F260" s="54">
        <v>162</v>
      </c>
      <c r="H260" s="20"/>
    </row>
    <row r="261" spans="1:8" x14ac:dyDescent="0.4">
      <c r="A261" s="13" t="s">
        <v>2324</v>
      </c>
      <c r="B261" s="13" t="s">
        <v>2345</v>
      </c>
      <c r="C261" s="13" t="s">
        <v>44</v>
      </c>
      <c r="D261" s="59">
        <v>46539</v>
      </c>
      <c r="E261" s="6">
        <v>0</v>
      </c>
      <c r="F261" s="54">
        <v>185</v>
      </c>
      <c r="H261" s="20"/>
    </row>
    <row r="262" spans="1:8" x14ac:dyDescent="0.4">
      <c r="A262" s="13" t="s">
        <v>2324</v>
      </c>
      <c r="B262" s="13" t="s">
        <v>2345</v>
      </c>
      <c r="C262" s="13" t="s">
        <v>1944</v>
      </c>
      <c r="D262" s="59">
        <v>46539</v>
      </c>
      <c r="E262" s="6">
        <v>80669.25</v>
      </c>
      <c r="F262" s="54">
        <v>208</v>
      </c>
      <c r="H262" s="20"/>
    </row>
    <row r="263" spans="1:8" x14ac:dyDescent="0.4">
      <c r="A263" s="13" t="s">
        <v>2324</v>
      </c>
      <c r="B263" s="13" t="s">
        <v>2345</v>
      </c>
      <c r="C263" s="13" t="s">
        <v>70</v>
      </c>
      <c r="D263" s="59">
        <v>46539</v>
      </c>
      <c r="E263" s="6">
        <v>0</v>
      </c>
      <c r="F263" s="54">
        <v>232</v>
      </c>
      <c r="H263" s="20"/>
    </row>
    <row r="264" spans="1:8" x14ac:dyDescent="0.4">
      <c r="A264" s="13" t="s">
        <v>2324</v>
      </c>
      <c r="B264" s="13" t="s">
        <v>2345</v>
      </c>
      <c r="C264" s="13" t="s">
        <v>50</v>
      </c>
      <c r="D264" s="59">
        <v>46539</v>
      </c>
      <c r="E264" s="6">
        <v>0</v>
      </c>
      <c r="F264" s="54">
        <v>255</v>
      </c>
      <c r="H264" s="20"/>
    </row>
    <row r="265" spans="1:8" x14ac:dyDescent="0.4">
      <c r="A265" s="13" t="s">
        <v>2324</v>
      </c>
      <c r="B265" s="13" t="s">
        <v>2345</v>
      </c>
      <c r="C265" s="13" t="s">
        <v>5133</v>
      </c>
      <c r="D265" s="59">
        <v>46539</v>
      </c>
      <c r="E265" s="6">
        <v>12737.25</v>
      </c>
      <c r="F265" s="54">
        <v>278</v>
      </c>
      <c r="H265" s="20"/>
    </row>
    <row r="266" spans="1:8" x14ac:dyDescent="0.4">
      <c r="A266" s="13" t="s">
        <v>2324</v>
      </c>
      <c r="B266" s="55" t="s">
        <v>2325</v>
      </c>
      <c r="C266" s="10" t="s">
        <v>25</v>
      </c>
      <c r="D266" s="59">
        <v>46569</v>
      </c>
      <c r="E266" s="6">
        <v>0</v>
      </c>
      <c r="F266" s="13">
        <v>23</v>
      </c>
      <c r="H266" s="20"/>
    </row>
    <row r="267" spans="1:8" x14ac:dyDescent="0.4">
      <c r="A267" s="13" t="s">
        <v>2324</v>
      </c>
      <c r="B267" s="55" t="s">
        <v>2325</v>
      </c>
      <c r="C267" s="13" t="s">
        <v>44</v>
      </c>
      <c r="D267" s="59">
        <v>46569</v>
      </c>
      <c r="E267" s="6">
        <v>0</v>
      </c>
      <c r="F267" s="54">
        <v>46</v>
      </c>
      <c r="H267" s="20"/>
    </row>
    <row r="268" spans="1:8" x14ac:dyDescent="0.4">
      <c r="A268" s="13" t="s">
        <v>2324</v>
      </c>
      <c r="B268" s="55" t="s">
        <v>2325</v>
      </c>
      <c r="C268" s="13" t="s">
        <v>1944</v>
      </c>
      <c r="D268" s="59">
        <v>46569</v>
      </c>
      <c r="E268" s="6">
        <v>160395</v>
      </c>
      <c r="F268" s="13">
        <v>69</v>
      </c>
      <c r="H268" s="20"/>
    </row>
    <row r="269" spans="1:8" x14ac:dyDescent="0.4">
      <c r="A269" s="13" t="s">
        <v>2324</v>
      </c>
      <c r="B269" s="55" t="s">
        <v>2325</v>
      </c>
      <c r="C269" s="13" t="s">
        <v>70</v>
      </c>
      <c r="D269" s="59">
        <v>46569</v>
      </c>
      <c r="E269" s="6">
        <v>0</v>
      </c>
      <c r="F269" s="13">
        <v>93</v>
      </c>
      <c r="H269" s="20"/>
    </row>
    <row r="270" spans="1:8" x14ac:dyDescent="0.4">
      <c r="A270" s="13" t="s">
        <v>2324</v>
      </c>
      <c r="B270" s="55" t="s">
        <v>2325</v>
      </c>
      <c r="C270" s="13" t="s">
        <v>50</v>
      </c>
      <c r="D270" s="59">
        <v>46569</v>
      </c>
      <c r="E270" s="6">
        <v>0</v>
      </c>
      <c r="F270" s="54">
        <v>116</v>
      </c>
      <c r="H270" s="20"/>
    </row>
    <row r="271" spans="1:8" x14ac:dyDescent="0.4">
      <c r="A271" s="13" t="s">
        <v>2324</v>
      </c>
      <c r="B271" s="55" t="s">
        <v>2325</v>
      </c>
      <c r="C271" s="13" t="s">
        <v>5133</v>
      </c>
      <c r="D271" s="59">
        <v>46569</v>
      </c>
      <c r="E271" s="6">
        <v>28305</v>
      </c>
      <c r="F271" s="13">
        <v>139</v>
      </c>
      <c r="H271" s="20"/>
    </row>
    <row r="272" spans="1:8" x14ac:dyDescent="0.4">
      <c r="A272" s="13" t="s">
        <v>2324</v>
      </c>
      <c r="B272" s="13" t="s">
        <v>2345</v>
      </c>
      <c r="C272" s="10" t="s">
        <v>25</v>
      </c>
      <c r="D272" s="59">
        <v>46569</v>
      </c>
      <c r="E272" s="6">
        <v>0</v>
      </c>
      <c r="F272" s="13">
        <v>163</v>
      </c>
      <c r="H272" s="20"/>
    </row>
    <row r="273" spans="1:8" x14ac:dyDescent="0.4">
      <c r="A273" s="13" t="s">
        <v>2324</v>
      </c>
      <c r="B273" s="13" t="s">
        <v>2345</v>
      </c>
      <c r="C273" s="13" t="s">
        <v>44</v>
      </c>
      <c r="D273" s="59">
        <v>46569</v>
      </c>
      <c r="E273" s="6">
        <v>0</v>
      </c>
      <c r="F273" s="13">
        <v>186</v>
      </c>
      <c r="H273" s="20"/>
    </row>
    <row r="274" spans="1:8" x14ac:dyDescent="0.4">
      <c r="A274" s="13" t="s">
        <v>2324</v>
      </c>
      <c r="B274" s="13" t="s">
        <v>2345</v>
      </c>
      <c r="C274" s="13" t="s">
        <v>1944</v>
      </c>
      <c r="D274" s="59">
        <v>46569</v>
      </c>
      <c r="E274" s="6">
        <v>72177.75</v>
      </c>
      <c r="F274" s="13">
        <v>209</v>
      </c>
      <c r="H274" s="20"/>
    </row>
    <row r="275" spans="1:8" x14ac:dyDescent="0.4">
      <c r="A275" s="13" t="s">
        <v>2324</v>
      </c>
      <c r="B275" s="13" t="s">
        <v>2345</v>
      </c>
      <c r="C275" s="13" t="s">
        <v>70</v>
      </c>
      <c r="D275" s="59">
        <v>46569</v>
      </c>
      <c r="E275" s="6">
        <v>0</v>
      </c>
      <c r="F275" s="13">
        <v>233</v>
      </c>
      <c r="H275" s="20"/>
    </row>
    <row r="276" spans="1:8" x14ac:dyDescent="0.4">
      <c r="A276" s="13" t="s">
        <v>2324</v>
      </c>
      <c r="B276" s="13" t="s">
        <v>2345</v>
      </c>
      <c r="C276" s="13" t="s">
        <v>50</v>
      </c>
      <c r="D276" s="59">
        <v>46569</v>
      </c>
      <c r="E276" s="6">
        <v>0</v>
      </c>
      <c r="F276" s="13">
        <v>256</v>
      </c>
      <c r="H276" s="20"/>
    </row>
    <row r="277" spans="1:8" x14ac:dyDescent="0.4">
      <c r="A277" s="13" t="s">
        <v>2324</v>
      </c>
      <c r="B277" s="13" t="s">
        <v>2345</v>
      </c>
      <c r="C277" s="13" t="s">
        <v>5133</v>
      </c>
      <c r="D277" s="59">
        <v>46569</v>
      </c>
      <c r="E277" s="6">
        <v>12737.25</v>
      </c>
      <c r="F277" s="13">
        <v>279</v>
      </c>
      <c r="H277" s="20"/>
    </row>
    <row r="278" spans="1:8" x14ac:dyDescent="0.4">
      <c r="A278" s="13" t="s">
        <v>2324</v>
      </c>
      <c r="B278" s="55" t="s">
        <v>2325</v>
      </c>
      <c r="C278" s="13" t="s">
        <v>1944</v>
      </c>
      <c r="D278" s="59">
        <v>46600</v>
      </c>
      <c r="E278" s="6">
        <v>150960</v>
      </c>
      <c r="F278" s="13">
        <v>70</v>
      </c>
      <c r="H278" s="20"/>
    </row>
    <row r="279" spans="1:8" x14ac:dyDescent="0.4">
      <c r="A279" s="13" t="s">
        <v>2324</v>
      </c>
      <c r="B279" s="55" t="s">
        <v>2325</v>
      </c>
      <c r="C279" s="13" t="s">
        <v>5133</v>
      </c>
      <c r="D279" s="59">
        <v>46600</v>
      </c>
      <c r="E279" s="6">
        <v>28305</v>
      </c>
      <c r="F279" s="54">
        <v>140</v>
      </c>
      <c r="H279" s="20"/>
    </row>
    <row r="280" spans="1:8" x14ac:dyDescent="0.4">
      <c r="A280" s="13" t="s">
        <v>2324</v>
      </c>
      <c r="B280" s="13" t="s">
        <v>2345</v>
      </c>
      <c r="C280" s="13" t="s">
        <v>1944</v>
      </c>
      <c r="D280" s="59">
        <v>46600</v>
      </c>
      <c r="E280" s="6">
        <v>67932</v>
      </c>
      <c r="F280" s="54">
        <v>210</v>
      </c>
      <c r="H280" s="20"/>
    </row>
    <row r="281" spans="1:8" x14ac:dyDescent="0.4">
      <c r="A281" s="13" t="s">
        <v>2324</v>
      </c>
      <c r="B281" s="13" t="s">
        <v>2345</v>
      </c>
      <c r="C281" s="13" t="s">
        <v>5133</v>
      </c>
      <c r="D281" s="59">
        <v>46600</v>
      </c>
      <c r="E281" s="6">
        <v>12737.25</v>
      </c>
      <c r="F281" s="54">
        <v>280</v>
      </c>
      <c r="H281" s="20"/>
    </row>
    <row r="282" spans="1:8" x14ac:dyDescent="0.4">
      <c r="H282" s="20"/>
    </row>
  </sheetData>
  <autoFilter ref="A1:F281" xr:uid="{A7968950-1E17-4EEB-9DD6-438AAB44A081}">
    <sortState xmlns:xlrd2="http://schemas.microsoft.com/office/spreadsheetml/2017/richdata2" ref="A2:F281">
      <sortCondition ref="D1:D281"/>
    </sortState>
  </autoFilter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AF9F-C1CD-4B39-8831-810932E0621A}">
  <sheetPr>
    <tabColor theme="7" tint="0.59999389629810485"/>
  </sheetPr>
  <dimension ref="A1:H289"/>
  <sheetViews>
    <sheetView zoomScale="70" zoomScaleNormal="70" workbookViewId="0">
      <selection activeCell="D4" sqref="D4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  <col min="8" max="8" width="10.625" bestFit="1" customWidth="1"/>
  </cols>
  <sheetData>
    <row r="1" spans="1: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/>
    </row>
    <row r="2" spans="1:8" x14ac:dyDescent="0.4">
      <c r="A2" s="13" t="s">
        <v>2324</v>
      </c>
      <c r="B2" s="55" t="s">
        <v>2325</v>
      </c>
      <c r="C2" s="10" t="s">
        <v>25</v>
      </c>
      <c r="D2" s="59">
        <v>45870</v>
      </c>
      <c r="E2" s="6">
        <v>0</v>
      </c>
      <c r="F2" s="54">
        <v>1</v>
      </c>
      <c r="H2" s="20"/>
    </row>
    <row r="3" spans="1:8" x14ac:dyDescent="0.4">
      <c r="A3" s="13" t="s">
        <v>2324</v>
      </c>
      <c r="B3" s="55" t="s">
        <v>2325</v>
      </c>
      <c r="C3" s="10" t="s">
        <v>25</v>
      </c>
      <c r="D3" s="59">
        <v>45901</v>
      </c>
      <c r="E3" s="6">
        <v>39600</v>
      </c>
      <c r="F3" s="13">
        <v>2</v>
      </c>
      <c r="H3" s="20"/>
    </row>
    <row r="4" spans="1:8" x14ac:dyDescent="0.4">
      <c r="A4" s="13" t="s">
        <v>2324</v>
      </c>
      <c r="B4" s="55" t="s">
        <v>2325</v>
      </c>
      <c r="C4" s="10" t="s">
        <v>25</v>
      </c>
      <c r="D4" s="59">
        <v>45931</v>
      </c>
      <c r="E4" s="6">
        <v>1148400</v>
      </c>
      <c r="F4" s="54">
        <v>3</v>
      </c>
      <c r="H4" s="20"/>
    </row>
    <row r="5" spans="1:8" x14ac:dyDescent="0.4">
      <c r="A5" s="13" t="s">
        <v>2324</v>
      </c>
      <c r="B5" s="55" t="s">
        <v>2325</v>
      </c>
      <c r="C5" s="10" t="s">
        <v>25</v>
      </c>
      <c r="D5" s="59">
        <v>45962</v>
      </c>
      <c r="E5" s="6">
        <v>1445400</v>
      </c>
      <c r="F5" s="13">
        <v>4</v>
      </c>
      <c r="H5" s="20"/>
    </row>
    <row r="6" spans="1:8" x14ac:dyDescent="0.4">
      <c r="A6" s="13" t="s">
        <v>2324</v>
      </c>
      <c r="B6" s="55" t="s">
        <v>2325</v>
      </c>
      <c r="C6" s="10" t="s">
        <v>25</v>
      </c>
      <c r="D6" s="59">
        <v>45992</v>
      </c>
      <c r="E6" s="6">
        <v>1405800</v>
      </c>
      <c r="F6" s="54">
        <v>5</v>
      </c>
      <c r="H6" s="20"/>
    </row>
    <row r="7" spans="1:8" x14ac:dyDescent="0.4">
      <c r="A7" s="13" t="s">
        <v>2324</v>
      </c>
      <c r="B7" s="55" t="s">
        <v>2325</v>
      </c>
      <c r="C7" s="10" t="s">
        <v>25</v>
      </c>
      <c r="D7" s="59">
        <v>46023</v>
      </c>
      <c r="E7" s="6">
        <v>297000</v>
      </c>
      <c r="F7" s="13">
        <v>6</v>
      </c>
      <c r="H7" s="20"/>
    </row>
    <row r="8" spans="1:8" x14ac:dyDescent="0.4">
      <c r="A8" s="13" t="s">
        <v>2324</v>
      </c>
      <c r="B8" s="55" t="s">
        <v>2325</v>
      </c>
      <c r="C8" s="10" t="s">
        <v>25</v>
      </c>
      <c r="D8" s="59">
        <v>46054</v>
      </c>
      <c r="E8" s="6">
        <v>0</v>
      </c>
      <c r="F8" s="54">
        <v>7</v>
      </c>
      <c r="H8" s="20"/>
    </row>
    <row r="9" spans="1:8" x14ac:dyDescent="0.4">
      <c r="A9" s="13" t="s">
        <v>2324</v>
      </c>
      <c r="B9" s="55" t="s">
        <v>2325</v>
      </c>
      <c r="C9" s="10" t="s">
        <v>25</v>
      </c>
      <c r="D9" s="59">
        <v>46082</v>
      </c>
      <c r="E9" s="6">
        <v>0</v>
      </c>
      <c r="F9" s="13">
        <v>8</v>
      </c>
      <c r="H9" s="20"/>
    </row>
    <row r="10" spans="1:8" x14ac:dyDescent="0.4">
      <c r="A10" s="13" t="s">
        <v>2324</v>
      </c>
      <c r="B10" s="55" t="s">
        <v>2325</v>
      </c>
      <c r="C10" s="10" t="s">
        <v>25</v>
      </c>
      <c r="D10" s="59">
        <v>46113</v>
      </c>
      <c r="E10" s="6">
        <v>0</v>
      </c>
      <c r="F10" s="54">
        <v>9</v>
      </c>
      <c r="H10" s="20"/>
    </row>
    <row r="11" spans="1:8" x14ac:dyDescent="0.4">
      <c r="A11" s="13" t="s">
        <v>2324</v>
      </c>
      <c r="B11" s="55" t="s">
        <v>2325</v>
      </c>
      <c r="C11" s="10" t="s">
        <v>25</v>
      </c>
      <c r="D11" s="59">
        <v>46143</v>
      </c>
      <c r="E11" s="6">
        <v>0</v>
      </c>
      <c r="F11" s="13">
        <v>10</v>
      </c>
      <c r="H11" s="20"/>
    </row>
    <row r="12" spans="1:8" x14ac:dyDescent="0.4">
      <c r="A12" s="13" t="s">
        <v>2324</v>
      </c>
      <c r="B12" s="55" t="s">
        <v>2325</v>
      </c>
      <c r="C12" s="10" t="s">
        <v>25</v>
      </c>
      <c r="D12" s="59">
        <v>46174</v>
      </c>
      <c r="E12" s="6">
        <v>0</v>
      </c>
      <c r="F12" s="54">
        <v>11</v>
      </c>
      <c r="H12" s="20"/>
    </row>
    <row r="13" spans="1:8" x14ac:dyDescent="0.4">
      <c r="A13" s="13" t="s">
        <v>2324</v>
      </c>
      <c r="B13" s="55" t="s">
        <v>2325</v>
      </c>
      <c r="C13" s="10" t="s">
        <v>25</v>
      </c>
      <c r="D13" s="59">
        <v>46204</v>
      </c>
      <c r="E13" s="6">
        <v>0</v>
      </c>
      <c r="F13" s="13">
        <v>12</v>
      </c>
      <c r="H13" s="20"/>
    </row>
    <row r="14" spans="1:8" x14ac:dyDescent="0.4">
      <c r="A14" s="13" t="s">
        <v>2324</v>
      </c>
      <c r="B14" s="55" t="s">
        <v>2325</v>
      </c>
      <c r="C14" s="10" t="s">
        <v>25</v>
      </c>
      <c r="D14" s="59">
        <v>46235</v>
      </c>
      <c r="E14" s="6">
        <v>0</v>
      </c>
      <c r="F14" s="54">
        <v>13</v>
      </c>
      <c r="H14" s="20"/>
    </row>
    <row r="15" spans="1:8" x14ac:dyDescent="0.4">
      <c r="A15" s="13" t="s">
        <v>2324</v>
      </c>
      <c r="B15" s="55" t="s">
        <v>2325</v>
      </c>
      <c r="C15" s="10" t="s">
        <v>25</v>
      </c>
      <c r="D15" s="59">
        <v>46266</v>
      </c>
      <c r="E15" s="6">
        <v>0</v>
      </c>
      <c r="F15" s="13">
        <v>14</v>
      </c>
      <c r="H15" s="20"/>
    </row>
    <row r="16" spans="1:8" x14ac:dyDescent="0.4">
      <c r="A16" s="13" t="s">
        <v>2324</v>
      </c>
      <c r="B16" s="55" t="s">
        <v>2325</v>
      </c>
      <c r="C16" s="10" t="s">
        <v>25</v>
      </c>
      <c r="D16" s="59">
        <v>46296</v>
      </c>
      <c r="E16" s="6">
        <v>0</v>
      </c>
      <c r="F16" s="54">
        <v>15</v>
      </c>
      <c r="H16" s="20"/>
    </row>
    <row r="17" spans="1:8" x14ac:dyDescent="0.4">
      <c r="A17" s="13" t="s">
        <v>2324</v>
      </c>
      <c r="B17" s="55" t="s">
        <v>2325</v>
      </c>
      <c r="C17" s="10" t="s">
        <v>25</v>
      </c>
      <c r="D17" s="59">
        <v>46327</v>
      </c>
      <c r="E17" s="6">
        <v>0</v>
      </c>
      <c r="F17" s="13">
        <v>16</v>
      </c>
      <c r="H17" s="20"/>
    </row>
    <row r="18" spans="1:8" x14ac:dyDescent="0.4">
      <c r="A18" s="13" t="s">
        <v>2324</v>
      </c>
      <c r="B18" s="55" t="s">
        <v>2325</v>
      </c>
      <c r="C18" s="10" t="s">
        <v>25</v>
      </c>
      <c r="D18" s="59">
        <v>46357</v>
      </c>
      <c r="E18" s="6">
        <v>0</v>
      </c>
      <c r="F18" s="54">
        <v>17</v>
      </c>
      <c r="H18" s="20"/>
    </row>
    <row r="19" spans="1:8" x14ac:dyDescent="0.4">
      <c r="A19" s="13" t="s">
        <v>2324</v>
      </c>
      <c r="B19" s="55" t="s">
        <v>2325</v>
      </c>
      <c r="C19" s="10" t="s">
        <v>25</v>
      </c>
      <c r="D19" s="59">
        <v>46388</v>
      </c>
      <c r="E19" s="6">
        <v>0</v>
      </c>
      <c r="F19" s="13">
        <v>18</v>
      </c>
      <c r="H19" s="20"/>
    </row>
    <row r="20" spans="1:8" x14ac:dyDescent="0.4">
      <c r="A20" s="13" t="s">
        <v>2324</v>
      </c>
      <c r="B20" s="55" t="s">
        <v>2325</v>
      </c>
      <c r="C20" s="10" t="s">
        <v>25</v>
      </c>
      <c r="D20" s="59">
        <v>46419</v>
      </c>
      <c r="E20" s="6">
        <v>0</v>
      </c>
      <c r="F20" s="54">
        <v>19</v>
      </c>
      <c r="H20" s="20"/>
    </row>
    <row r="21" spans="1:8" x14ac:dyDescent="0.4">
      <c r="A21" s="13" t="s">
        <v>2324</v>
      </c>
      <c r="B21" s="55" t="s">
        <v>2325</v>
      </c>
      <c r="C21" s="10" t="s">
        <v>25</v>
      </c>
      <c r="D21" s="59">
        <v>46447</v>
      </c>
      <c r="E21" s="6">
        <v>0</v>
      </c>
      <c r="F21" s="13">
        <v>20</v>
      </c>
      <c r="H21" s="20"/>
    </row>
    <row r="22" spans="1:8" x14ac:dyDescent="0.4">
      <c r="A22" s="13" t="s">
        <v>2324</v>
      </c>
      <c r="B22" s="55" t="s">
        <v>2325</v>
      </c>
      <c r="C22" s="10" t="s">
        <v>25</v>
      </c>
      <c r="D22" s="59">
        <v>46478</v>
      </c>
      <c r="E22" s="6">
        <v>0</v>
      </c>
      <c r="F22" s="54">
        <v>21</v>
      </c>
      <c r="H22" s="20"/>
    </row>
    <row r="23" spans="1:8" x14ac:dyDescent="0.4">
      <c r="A23" s="13" t="s">
        <v>2324</v>
      </c>
      <c r="B23" s="55" t="s">
        <v>2325</v>
      </c>
      <c r="C23" s="10" t="s">
        <v>25</v>
      </c>
      <c r="D23" s="59">
        <v>46508</v>
      </c>
      <c r="E23" s="6">
        <v>0</v>
      </c>
      <c r="F23" s="13">
        <v>22</v>
      </c>
      <c r="H23" s="20"/>
    </row>
    <row r="24" spans="1:8" x14ac:dyDescent="0.4">
      <c r="A24" s="13" t="s">
        <v>2324</v>
      </c>
      <c r="B24" s="55" t="s">
        <v>2325</v>
      </c>
      <c r="C24" s="10" t="s">
        <v>25</v>
      </c>
      <c r="D24" s="59">
        <v>46539</v>
      </c>
      <c r="E24" s="6">
        <v>0</v>
      </c>
      <c r="F24" s="54">
        <v>23</v>
      </c>
      <c r="H24" s="20"/>
    </row>
    <row r="25" spans="1:8" x14ac:dyDescent="0.4">
      <c r="A25" s="13" t="s">
        <v>2324</v>
      </c>
      <c r="B25" s="55" t="s">
        <v>2325</v>
      </c>
      <c r="C25" s="10" t="s">
        <v>25</v>
      </c>
      <c r="D25" s="59">
        <v>46569</v>
      </c>
      <c r="E25" s="6">
        <v>0</v>
      </c>
      <c r="F25" s="13">
        <v>24</v>
      </c>
      <c r="H25" s="20"/>
    </row>
    <row r="26" spans="1:8" x14ac:dyDescent="0.4">
      <c r="A26" s="13" t="s">
        <v>2324</v>
      </c>
      <c r="B26" s="55" t="s">
        <v>2325</v>
      </c>
      <c r="C26" s="13" t="s">
        <v>44</v>
      </c>
      <c r="D26" s="59">
        <v>45870</v>
      </c>
      <c r="E26" s="6">
        <v>0</v>
      </c>
      <c r="F26" s="54">
        <v>25</v>
      </c>
      <c r="H26" s="20"/>
    </row>
    <row r="27" spans="1:8" x14ac:dyDescent="0.4">
      <c r="A27" s="13" t="s">
        <v>2324</v>
      </c>
      <c r="B27" s="55" t="s">
        <v>2325</v>
      </c>
      <c r="C27" s="13" t="s">
        <v>44</v>
      </c>
      <c r="D27" s="59">
        <v>45901</v>
      </c>
      <c r="E27" s="6">
        <v>95250</v>
      </c>
      <c r="F27" s="13">
        <v>26</v>
      </c>
      <c r="H27" s="20"/>
    </row>
    <row r="28" spans="1:8" x14ac:dyDescent="0.4">
      <c r="A28" s="13" t="s">
        <v>2324</v>
      </c>
      <c r="B28" s="55" t="s">
        <v>2325</v>
      </c>
      <c r="C28" s="13" t="s">
        <v>44</v>
      </c>
      <c r="D28" s="59">
        <v>45931</v>
      </c>
      <c r="E28" s="6">
        <v>628650</v>
      </c>
      <c r="F28" s="54">
        <v>27</v>
      </c>
      <c r="H28" s="20"/>
    </row>
    <row r="29" spans="1:8" x14ac:dyDescent="0.4">
      <c r="A29" s="13" t="s">
        <v>2324</v>
      </c>
      <c r="B29" s="55" t="s">
        <v>2325</v>
      </c>
      <c r="C29" s="13" t="s">
        <v>44</v>
      </c>
      <c r="D29" s="59">
        <v>45962</v>
      </c>
      <c r="E29" s="6">
        <v>2571750</v>
      </c>
      <c r="F29" s="13">
        <v>28</v>
      </c>
      <c r="H29" s="20"/>
    </row>
    <row r="30" spans="1:8" x14ac:dyDescent="0.4">
      <c r="A30" s="13" t="s">
        <v>2324</v>
      </c>
      <c r="B30" s="55" t="s">
        <v>2325</v>
      </c>
      <c r="C30" s="13" t="s">
        <v>44</v>
      </c>
      <c r="D30" s="59">
        <v>45992</v>
      </c>
      <c r="E30" s="6">
        <v>2705100</v>
      </c>
      <c r="F30" s="54">
        <v>29</v>
      </c>
      <c r="H30" s="20"/>
    </row>
    <row r="31" spans="1:8" x14ac:dyDescent="0.4">
      <c r="A31" s="13" t="s">
        <v>2324</v>
      </c>
      <c r="B31" s="55" t="s">
        <v>2325</v>
      </c>
      <c r="C31" s="13" t="s">
        <v>44</v>
      </c>
      <c r="D31" s="59">
        <v>46023</v>
      </c>
      <c r="E31" s="6">
        <v>7734300</v>
      </c>
      <c r="F31" s="13">
        <v>30</v>
      </c>
      <c r="H31" s="20"/>
    </row>
    <row r="32" spans="1:8" x14ac:dyDescent="0.4">
      <c r="A32" s="13" t="s">
        <v>2324</v>
      </c>
      <c r="B32" s="55" t="s">
        <v>2325</v>
      </c>
      <c r="C32" s="13" t="s">
        <v>44</v>
      </c>
      <c r="D32" s="59">
        <v>46054</v>
      </c>
      <c r="E32" s="6">
        <v>7848600</v>
      </c>
      <c r="F32" s="54">
        <v>31</v>
      </c>
      <c r="H32" s="20"/>
    </row>
    <row r="33" spans="1:8" x14ac:dyDescent="0.4">
      <c r="A33" s="13" t="s">
        <v>2324</v>
      </c>
      <c r="B33" s="55" t="s">
        <v>2325</v>
      </c>
      <c r="C33" s="13" t="s">
        <v>44</v>
      </c>
      <c r="D33" s="59">
        <v>46082</v>
      </c>
      <c r="E33" s="6">
        <v>7753350</v>
      </c>
      <c r="F33" s="13">
        <v>32</v>
      </c>
      <c r="H33" s="20"/>
    </row>
    <row r="34" spans="1:8" x14ac:dyDescent="0.4">
      <c r="A34" s="13" t="s">
        <v>2324</v>
      </c>
      <c r="B34" s="55" t="s">
        <v>2325</v>
      </c>
      <c r="C34" s="13" t="s">
        <v>44</v>
      </c>
      <c r="D34" s="59">
        <v>46113</v>
      </c>
      <c r="E34" s="6">
        <v>7219950</v>
      </c>
      <c r="F34" s="54">
        <v>33</v>
      </c>
      <c r="H34" s="20"/>
    </row>
    <row r="35" spans="1:8" x14ac:dyDescent="0.4">
      <c r="A35" s="13" t="s">
        <v>2324</v>
      </c>
      <c r="B35" s="55" t="s">
        <v>2325</v>
      </c>
      <c r="C35" s="13" t="s">
        <v>44</v>
      </c>
      <c r="D35" s="59">
        <v>46143</v>
      </c>
      <c r="E35" s="6">
        <v>5276850</v>
      </c>
      <c r="F35" s="13">
        <v>34</v>
      </c>
      <c r="H35" s="20"/>
    </row>
    <row r="36" spans="1:8" x14ac:dyDescent="0.4">
      <c r="A36" s="13" t="s">
        <v>2324</v>
      </c>
      <c r="B36" s="55" t="s">
        <v>2325</v>
      </c>
      <c r="C36" s="13" t="s">
        <v>44</v>
      </c>
      <c r="D36" s="59">
        <v>46174</v>
      </c>
      <c r="E36" s="6">
        <v>5143500</v>
      </c>
      <c r="F36" s="54">
        <v>35</v>
      </c>
      <c r="H36" s="20"/>
    </row>
    <row r="37" spans="1:8" x14ac:dyDescent="0.4">
      <c r="A37" s="13" t="s">
        <v>2324</v>
      </c>
      <c r="B37" s="55" t="s">
        <v>2325</v>
      </c>
      <c r="C37" s="13" t="s">
        <v>44</v>
      </c>
      <c r="D37" s="59">
        <v>46204</v>
      </c>
      <c r="E37" s="6">
        <v>114300</v>
      </c>
      <c r="F37" s="13">
        <v>36</v>
      </c>
      <c r="H37" s="20"/>
    </row>
    <row r="38" spans="1:8" x14ac:dyDescent="0.4">
      <c r="A38" s="13" t="s">
        <v>2324</v>
      </c>
      <c r="B38" s="55" t="s">
        <v>2325</v>
      </c>
      <c r="C38" s="13" t="s">
        <v>44</v>
      </c>
      <c r="D38" s="59">
        <v>46235</v>
      </c>
      <c r="E38" s="6">
        <v>0</v>
      </c>
      <c r="F38" s="54">
        <v>37</v>
      </c>
      <c r="H38" s="20"/>
    </row>
    <row r="39" spans="1:8" x14ac:dyDescent="0.4">
      <c r="A39" s="13" t="s">
        <v>2324</v>
      </c>
      <c r="B39" s="55" t="s">
        <v>2325</v>
      </c>
      <c r="C39" s="13" t="s">
        <v>44</v>
      </c>
      <c r="D39" s="59">
        <v>46266</v>
      </c>
      <c r="E39" s="6">
        <v>0</v>
      </c>
      <c r="F39" s="13">
        <v>38</v>
      </c>
      <c r="H39" s="20"/>
    </row>
    <row r="40" spans="1:8" x14ac:dyDescent="0.4">
      <c r="A40" s="13" t="s">
        <v>2324</v>
      </c>
      <c r="B40" s="55" t="s">
        <v>2325</v>
      </c>
      <c r="C40" s="13" t="s">
        <v>44</v>
      </c>
      <c r="D40" s="59">
        <v>46296</v>
      </c>
      <c r="E40" s="6">
        <v>0</v>
      </c>
      <c r="F40" s="54">
        <v>39</v>
      </c>
      <c r="H40" s="20"/>
    </row>
    <row r="41" spans="1:8" x14ac:dyDescent="0.4">
      <c r="A41" s="13" t="s">
        <v>2324</v>
      </c>
      <c r="B41" s="55" t="s">
        <v>2325</v>
      </c>
      <c r="C41" s="13" t="s">
        <v>44</v>
      </c>
      <c r="D41" s="59">
        <v>46327</v>
      </c>
      <c r="E41" s="6">
        <v>0</v>
      </c>
      <c r="F41" s="13">
        <v>40</v>
      </c>
      <c r="H41" s="20"/>
    </row>
    <row r="42" spans="1:8" x14ac:dyDescent="0.4">
      <c r="A42" s="13" t="s">
        <v>2324</v>
      </c>
      <c r="B42" s="55" t="s">
        <v>2325</v>
      </c>
      <c r="C42" s="13" t="s">
        <v>44</v>
      </c>
      <c r="D42" s="59">
        <v>46357</v>
      </c>
      <c r="E42" s="6">
        <v>0</v>
      </c>
      <c r="F42" s="54">
        <v>41</v>
      </c>
      <c r="H42" s="20"/>
    </row>
    <row r="43" spans="1:8" x14ac:dyDescent="0.4">
      <c r="A43" s="13" t="s">
        <v>2324</v>
      </c>
      <c r="B43" s="55" t="s">
        <v>2325</v>
      </c>
      <c r="C43" s="13" t="s">
        <v>44</v>
      </c>
      <c r="D43" s="59">
        <v>46388</v>
      </c>
      <c r="E43" s="6">
        <v>0</v>
      </c>
      <c r="F43" s="13">
        <v>42</v>
      </c>
      <c r="H43" s="20"/>
    </row>
    <row r="44" spans="1:8" x14ac:dyDescent="0.4">
      <c r="A44" s="13" t="s">
        <v>2324</v>
      </c>
      <c r="B44" s="55" t="s">
        <v>2325</v>
      </c>
      <c r="C44" s="13" t="s">
        <v>44</v>
      </c>
      <c r="D44" s="59">
        <v>46419</v>
      </c>
      <c r="E44" s="6">
        <v>0</v>
      </c>
      <c r="F44" s="54">
        <v>43</v>
      </c>
      <c r="H44" s="20"/>
    </row>
    <row r="45" spans="1:8" x14ac:dyDescent="0.4">
      <c r="A45" s="13" t="s">
        <v>2324</v>
      </c>
      <c r="B45" s="55" t="s">
        <v>2325</v>
      </c>
      <c r="C45" s="13" t="s">
        <v>44</v>
      </c>
      <c r="D45" s="59">
        <v>46447</v>
      </c>
      <c r="E45" s="6">
        <v>0</v>
      </c>
      <c r="F45" s="13">
        <v>44</v>
      </c>
      <c r="H45" s="20"/>
    </row>
    <row r="46" spans="1:8" x14ac:dyDescent="0.4">
      <c r="A46" s="13" t="s">
        <v>2324</v>
      </c>
      <c r="B46" s="55" t="s">
        <v>2325</v>
      </c>
      <c r="C46" s="13" t="s">
        <v>44</v>
      </c>
      <c r="D46" s="59">
        <v>46478</v>
      </c>
      <c r="E46" s="6">
        <v>0</v>
      </c>
      <c r="F46" s="54">
        <v>45</v>
      </c>
      <c r="H46" s="20"/>
    </row>
    <row r="47" spans="1:8" x14ac:dyDescent="0.4">
      <c r="A47" s="13" t="s">
        <v>2324</v>
      </c>
      <c r="B47" s="55" t="s">
        <v>2325</v>
      </c>
      <c r="C47" s="13" t="s">
        <v>44</v>
      </c>
      <c r="D47" s="59">
        <v>46508</v>
      </c>
      <c r="E47" s="6">
        <v>0</v>
      </c>
      <c r="F47" s="13">
        <v>46</v>
      </c>
      <c r="H47" s="20"/>
    </row>
    <row r="48" spans="1:8" x14ac:dyDescent="0.4">
      <c r="A48" s="13" t="s">
        <v>2324</v>
      </c>
      <c r="B48" s="55" t="s">
        <v>2325</v>
      </c>
      <c r="C48" s="13" t="s">
        <v>44</v>
      </c>
      <c r="D48" s="59">
        <v>46539</v>
      </c>
      <c r="E48" s="6">
        <v>0</v>
      </c>
      <c r="F48" s="54">
        <v>47</v>
      </c>
      <c r="H48" s="20"/>
    </row>
    <row r="49" spans="1:8" x14ac:dyDescent="0.4">
      <c r="A49" s="13" t="s">
        <v>2324</v>
      </c>
      <c r="B49" s="55" t="s">
        <v>2325</v>
      </c>
      <c r="C49" s="13" t="s">
        <v>44</v>
      </c>
      <c r="D49" s="59">
        <v>46569</v>
      </c>
      <c r="E49" s="6">
        <v>0</v>
      </c>
      <c r="F49" s="13">
        <v>48</v>
      </c>
      <c r="H49" s="20"/>
    </row>
    <row r="50" spans="1:8" x14ac:dyDescent="0.4">
      <c r="A50" s="13" t="s">
        <v>2324</v>
      </c>
      <c r="B50" s="55" t="s">
        <v>2325</v>
      </c>
      <c r="C50" s="13" t="s">
        <v>1944</v>
      </c>
      <c r="D50" s="59">
        <v>45870</v>
      </c>
      <c r="E50" s="6">
        <v>0</v>
      </c>
      <c r="F50" s="54">
        <v>49</v>
      </c>
      <c r="H50" s="20"/>
    </row>
    <row r="51" spans="1:8" x14ac:dyDescent="0.4">
      <c r="A51" s="13" t="s">
        <v>2324</v>
      </c>
      <c r="B51" s="55" t="s">
        <v>2325</v>
      </c>
      <c r="C51" s="13" t="s">
        <v>1944</v>
      </c>
      <c r="D51" s="59">
        <v>45901</v>
      </c>
      <c r="E51" s="6">
        <v>150960</v>
      </c>
      <c r="F51" s="13">
        <v>50</v>
      </c>
      <c r="H51" s="20"/>
    </row>
    <row r="52" spans="1:8" x14ac:dyDescent="0.4">
      <c r="A52" s="13" t="s">
        <v>2324</v>
      </c>
      <c r="B52" s="55" t="s">
        <v>2325</v>
      </c>
      <c r="C52" s="13" t="s">
        <v>1944</v>
      </c>
      <c r="D52" s="59">
        <v>45931</v>
      </c>
      <c r="E52" s="6">
        <v>150960</v>
      </c>
      <c r="F52" s="54">
        <v>51</v>
      </c>
      <c r="H52" s="20"/>
    </row>
    <row r="53" spans="1:8" x14ac:dyDescent="0.4">
      <c r="A53" s="13" t="s">
        <v>2324</v>
      </c>
      <c r="B53" s="55" t="s">
        <v>2325</v>
      </c>
      <c r="C53" s="13" t="s">
        <v>1944</v>
      </c>
      <c r="D53" s="59">
        <v>45962</v>
      </c>
      <c r="E53" s="6">
        <v>150960</v>
      </c>
      <c r="F53" s="13">
        <v>52</v>
      </c>
      <c r="H53" s="20"/>
    </row>
    <row r="54" spans="1:8" x14ac:dyDescent="0.4">
      <c r="A54" s="13" t="s">
        <v>2324</v>
      </c>
      <c r="B54" s="55" t="s">
        <v>2325</v>
      </c>
      <c r="C54" s="13" t="s">
        <v>1944</v>
      </c>
      <c r="D54" s="59">
        <v>45992</v>
      </c>
      <c r="E54" s="6">
        <v>150960</v>
      </c>
      <c r="F54" s="54">
        <v>53</v>
      </c>
      <c r="H54" s="20"/>
    </row>
    <row r="55" spans="1:8" x14ac:dyDescent="0.4">
      <c r="A55" s="13" t="s">
        <v>2324</v>
      </c>
      <c r="B55" s="55" t="s">
        <v>2325</v>
      </c>
      <c r="C55" s="13" t="s">
        <v>1944</v>
      </c>
      <c r="D55" s="59">
        <v>46023</v>
      </c>
      <c r="E55" s="6">
        <v>160395</v>
      </c>
      <c r="F55" s="13">
        <v>54</v>
      </c>
      <c r="H55" s="20"/>
    </row>
    <row r="56" spans="1:8" x14ac:dyDescent="0.4">
      <c r="A56" s="13" t="s">
        <v>2324</v>
      </c>
      <c r="B56" s="55" t="s">
        <v>2325</v>
      </c>
      <c r="C56" s="13" t="s">
        <v>1944</v>
      </c>
      <c r="D56" s="59">
        <v>46054</v>
      </c>
      <c r="E56" s="6">
        <v>160395</v>
      </c>
      <c r="F56" s="54">
        <v>55</v>
      </c>
      <c r="H56" s="20"/>
    </row>
    <row r="57" spans="1:8" x14ac:dyDescent="0.4">
      <c r="A57" s="13" t="s">
        <v>2324</v>
      </c>
      <c r="B57" s="55" t="s">
        <v>2325</v>
      </c>
      <c r="C57" s="13" t="s">
        <v>1944</v>
      </c>
      <c r="D57" s="59">
        <v>46082</v>
      </c>
      <c r="E57" s="6">
        <v>254745</v>
      </c>
      <c r="F57" s="13">
        <v>56</v>
      </c>
      <c r="H57" s="20"/>
    </row>
    <row r="58" spans="1:8" x14ac:dyDescent="0.4">
      <c r="A58" s="13" t="s">
        <v>2324</v>
      </c>
      <c r="B58" s="55" t="s">
        <v>2325</v>
      </c>
      <c r="C58" s="13" t="s">
        <v>1944</v>
      </c>
      <c r="D58" s="59">
        <v>46113</v>
      </c>
      <c r="E58" s="6">
        <v>254745</v>
      </c>
      <c r="F58" s="54">
        <v>57</v>
      </c>
      <c r="H58" s="20"/>
    </row>
    <row r="59" spans="1:8" x14ac:dyDescent="0.4">
      <c r="A59" s="13" t="s">
        <v>2324</v>
      </c>
      <c r="B59" s="55" t="s">
        <v>2325</v>
      </c>
      <c r="C59" s="13" t="s">
        <v>1944</v>
      </c>
      <c r="D59" s="59">
        <v>46143</v>
      </c>
      <c r="E59" s="6">
        <v>311355</v>
      </c>
      <c r="F59" s="13">
        <v>58</v>
      </c>
      <c r="H59" s="20"/>
    </row>
    <row r="60" spans="1:8" x14ac:dyDescent="0.4">
      <c r="A60" s="13" t="s">
        <v>2324</v>
      </c>
      <c r="B60" s="55" t="s">
        <v>2325</v>
      </c>
      <c r="C60" s="13" t="s">
        <v>1944</v>
      </c>
      <c r="D60" s="59">
        <v>46174</v>
      </c>
      <c r="E60" s="6">
        <v>367965</v>
      </c>
      <c r="F60" s="54">
        <v>59</v>
      </c>
      <c r="H60" s="20"/>
    </row>
    <row r="61" spans="1:8" x14ac:dyDescent="0.4">
      <c r="A61" s="13" t="s">
        <v>2324</v>
      </c>
      <c r="B61" s="55" t="s">
        <v>2325</v>
      </c>
      <c r="C61" s="13" t="s">
        <v>1944</v>
      </c>
      <c r="D61" s="59">
        <v>46204</v>
      </c>
      <c r="E61" s="6">
        <v>386835</v>
      </c>
      <c r="F61" s="13">
        <v>60</v>
      </c>
      <c r="H61" s="20"/>
    </row>
    <row r="62" spans="1:8" x14ac:dyDescent="0.4">
      <c r="A62" s="13" t="s">
        <v>2324</v>
      </c>
      <c r="B62" s="55" t="s">
        <v>2325</v>
      </c>
      <c r="C62" s="13" t="s">
        <v>1944</v>
      </c>
      <c r="D62" s="59">
        <v>46235</v>
      </c>
      <c r="E62" s="6">
        <v>396270</v>
      </c>
      <c r="F62" s="54">
        <v>61</v>
      </c>
      <c r="H62" s="20"/>
    </row>
    <row r="63" spans="1:8" x14ac:dyDescent="0.4">
      <c r="A63" s="13" t="s">
        <v>2324</v>
      </c>
      <c r="B63" s="55" t="s">
        <v>2325</v>
      </c>
      <c r="C63" s="13" t="s">
        <v>1944</v>
      </c>
      <c r="D63" s="59">
        <v>46266</v>
      </c>
      <c r="E63" s="6">
        <v>245310</v>
      </c>
      <c r="F63" s="13">
        <v>62</v>
      </c>
      <c r="H63" s="20"/>
    </row>
    <row r="64" spans="1:8" x14ac:dyDescent="0.4">
      <c r="A64" s="13" t="s">
        <v>2324</v>
      </c>
      <c r="B64" s="55" t="s">
        <v>2325</v>
      </c>
      <c r="C64" s="13" t="s">
        <v>1944</v>
      </c>
      <c r="D64" s="59">
        <v>46296</v>
      </c>
      <c r="E64" s="6">
        <v>245310</v>
      </c>
      <c r="F64" s="54">
        <v>63</v>
      </c>
      <c r="H64" s="20"/>
    </row>
    <row r="65" spans="1:8" x14ac:dyDescent="0.4">
      <c r="A65" s="13" t="s">
        <v>2324</v>
      </c>
      <c r="B65" s="55" t="s">
        <v>2325</v>
      </c>
      <c r="C65" s="13" t="s">
        <v>1944</v>
      </c>
      <c r="D65" s="59">
        <v>46327</v>
      </c>
      <c r="E65" s="6">
        <v>245310</v>
      </c>
      <c r="F65" s="13">
        <v>64</v>
      </c>
      <c r="H65" s="20"/>
    </row>
    <row r="66" spans="1:8" x14ac:dyDescent="0.4">
      <c r="A66" s="13" t="s">
        <v>2324</v>
      </c>
      <c r="B66" s="55" t="s">
        <v>2325</v>
      </c>
      <c r="C66" s="13" t="s">
        <v>1944</v>
      </c>
      <c r="D66" s="59">
        <v>46357</v>
      </c>
      <c r="E66" s="6">
        <v>245310</v>
      </c>
      <c r="F66" s="54">
        <v>65</v>
      </c>
      <c r="H66" s="20"/>
    </row>
    <row r="67" spans="1:8" x14ac:dyDescent="0.4">
      <c r="A67" s="13" t="s">
        <v>2324</v>
      </c>
      <c r="B67" s="55" t="s">
        <v>2325</v>
      </c>
      <c r="C67" s="13" t="s">
        <v>1944</v>
      </c>
      <c r="D67" s="59">
        <v>46388</v>
      </c>
      <c r="E67" s="6">
        <v>235875</v>
      </c>
      <c r="F67" s="13">
        <v>66</v>
      </c>
      <c r="H67" s="20"/>
    </row>
    <row r="68" spans="1:8" x14ac:dyDescent="0.4">
      <c r="A68" s="13" t="s">
        <v>2324</v>
      </c>
      <c r="B68" s="55" t="s">
        <v>2325</v>
      </c>
      <c r="C68" s="13" t="s">
        <v>1944</v>
      </c>
      <c r="D68" s="59">
        <v>46419</v>
      </c>
      <c r="E68" s="6">
        <v>235875</v>
      </c>
      <c r="F68" s="54">
        <v>67</v>
      </c>
      <c r="H68" s="20"/>
    </row>
    <row r="69" spans="1:8" x14ac:dyDescent="0.4">
      <c r="A69" s="13" t="s">
        <v>2324</v>
      </c>
      <c r="B69" s="55" t="s">
        <v>2325</v>
      </c>
      <c r="C69" s="13" t="s">
        <v>1944</v>
      </c>
      <c r="D69" s="59">
        <v>46447</v>
      </c>
      <c r="E69" s="6">
        <v>141525</v>
      </c>
      <c r="F69" s="13">
        <v>68</v>
      </c>
      <c r="H69" s="20"/>
    </row>
    <row r="70" spans="1:8" x14ac:dyDescent="0.4">
      <c r="A70" s="13" t="s">
        <v>2324</v>
      </c>
      <c r="B70" s="55" t="s">
        <v>2325</v>
      </c>
      <c r="C70" s="13" t="s">
        <v>1944</v>
      </c>
      <c r="D70" s="59">
        <v>46478</v>
      </c>
      <c r="E70" s="6">
        <v>141525</v>
      </c>
      <c r="F70" s="54">
        <v>69</v>
      </c>
      <c r="H70" s="20"/>
    </row>
    <row r="71" spans="1:8" x14ac:dyDescent="0.4">
      <c r="A71" s="13" t="s">
        <v>2324</v>
      </c>
      <c r="B71" s="55" t="s">
        <v>2325</v>
      </c>
      <c r="C71" s="13" t="s">
        <v>1944</v>
      </c>
      <c r="D71" s="59">
        <v>46508</v>
      </c>
      <c r="E71" s="6">
        <v>84915</v>
      </c>
      <c r="F71" s="13">
        <v>70</v>
      </c>
      <c r="H71" s="20"/>
    </row>
    <row r="72" spans="1:8" x14ac:dyDescent="0.4">
      <c r="A72" s="13" t="s">
        <v>2324</v>
      </c>
      <c r="B72" s="55" t="s">
        <v>2325</v>
      </c>
      <c r="C72" s="13" t="s">
        <v>1944</v>
      </c>
      <c r="D72" s="59">
        <v>46539</v>
      </c>
      <c r="E72" s="6">
        <v>28305</v>
      </c>
      <c r="F72" s="54">
        <v>71</v>
      </c>
      <c r="H72" s="20"/>
    </row>
    <row r="73" spans="1:8" x14ac:dyDescent="0.4">
      <c r="A73" s="13" t="s">
        <v>2324</v>
      </c>
      <c r="B73" s="55" t="s">
        <v>2325</v>
      </c>
      <c r="C73" s="13" t="s">
        <v>1944</v>
      </c>
      <c r="D73" s="59">
        <v>46569</v>
      </c>
      <c r="E73" s="6">
        <v>9435</v>
      </c>
      <c r="F73" s="13">
        <v>72</v>
      </c>
      <c r="H73" s="20"/>
    </row>
    <row r="74" spans="1:8" x14ac:dyDescent="0.4">
      <c r="A74" s="13" t="s">
        <v>2324</v>
      </c>
      <c r="B74" s="55" t="s">
        <v>2325</v>
      </c>
      <c r="C74" s="13" t="s">
        <v>70</v>
      </c>
      <c r="D74" s="59">
        <v>45870</v>
      </c>
      <c r="E74" s="6">
        <v>0</v>
      </c>
      <c r="F74" s="54">
        <v>73</v>
      </c>
      <c r="H74" s="20"/>
    </row>
    <row r="75" spans="1:8" x14ac:dyDescent="0.4">
      <c r="A75" s="13" t="s">
        <v>2324</v>
      </c>
      <c r="B75" s="55" t="s">
        <v>2325</v>
      </c>
      <c r="C75" s="13" t="s">
        <v>70</v>
      </c>
      <c r="D75" s="59">
        <v>45901</v>
      </c>
      <c r="E75" s="6">
        <v>0</v>
      </c>
      <c r="F75" s="13">
        <v>74</v>
      </c>
      <c r="H75" s="20"/>
    </row>
    <row r="76" spans="1:8" x14ac:dyDescent="0.4">
      <c r="A76" s="13" t="s">
        <v>2324</v>
      </c>
      <c r="B76" s="55" t="s">
        <v>2325</v>
      </c>
      <c r="C76" s="13" t="s">
        <v>70</v>
      </c>
      <c r="D76" s="59">
        <v>45931</v>
      </c>
      <c r="E76" s="6">
        <v>39600</v>
      </c>
      <c r="F76" s="54">
        <v>75</v>
      </c>
      <c r="H76" s="20"/>
    </row>
    <row r="77" spans="1:8" x14ac:dyDescent="0.4">
      <c r="A77" s="13" t="s">
        <v>2324</v>
      </c>
      <c r="B77" s="55" t="s">
        <v>2325</v>
      </c>
      <c r="C77" s="13" t="s">
        <v>70</v>
      </c>
      <c r="D77" s="59">
        <v>45962</v>
      </c>
      <c r="E77" s="6">
        <v>39600</v>
      </c>
      <c r="F77" s="13">
        <v>76</v>
      </c>
      <c r="H77" s="20"/>
    </row>
    <row r="78" spans="1:8" x14ac:dyDescent="0.4">
      <c r="A78" s="13" t="s">
        <v>2324</v>
      </c>
      <c r="B78" s="55" t="s">
        <v>2325</v>
      </c>
      <c r="C78" s="13" t="s">
        <v>70</v>
      </c>
      <c r="D78" s="59">
        <v>45992</v>
      </c>
      <c r="E78" s="6">
        <v>39600</v>
      </c>
      <c r="F78" s="54">
        <v>77</v>
      </c>
      <c r="H78" s="20"/>
    </row>
    <row r="79" spans="1:8" x14ac:dyDescent="0.4">
      <c r="A79" s="13" t="s">
        <v>2324</v>
      </c>
      <c r="B79" s="55" t="s">
        <v>2325</v>
      </c>
      <c r="C79" s="13" t="s">
        <v>70</v>
      </c>
      <c r="D79" s="59">
        <v>46023</v>
      </c>
      <c r="E79" s="6">
        <v>0</v>
      </c>
      <c r="F79" s="13">
        <v>78</v>
      </c>
      <c r="H79" s="20"/>
    </row>
    <row r="80" spans="1:8" x14ac:dyDescent="0.4">
      <c r="A80" s="13" t="s">
        <v>2324</v>
      </c>
      <c r="B80" s="55" t="s">
        <v>2325</v>
      </c>
      <c r="C80" s="13" t="s">
        <v>70</v>
      </c>
      <c r="D80" s="59">
        <v>46054</v>
      </c>
      <c r="E80" s="6">
        <v>0</v>
      </c>
      <c r="F80" s="54">
        <v>79</v>
      </c>
      <c r="H80" s="20"/>
    </row>
    <row r="81" spans="1:8" x14ac:dyDescent="0.4">
      <c r="A81" s="13" t="s">
        <v>2324</v>
      </c>
      <c r="B81" s="55" t="s">
        <v>2325</v>
      </c>
      <c r="C81" s="13" t="s">
        <v>70</v>
      </c>
      <c r="D81" s="59">
        <v>46082</v>
      </c>
      <c r="E81" s="6">
        <v>0</v>
      </c>
      <c r="F81" s="13">
        <v>80</v>
      </c>
      <c r="H81" s="20"/>
    </row>
    <row r="82" spans="1:8" x14ac:dyDescent="0.4">
      <c r="A82" s="13" t="s">
        <v>2324</v>
      </c>
      <c r="B82" s="55" t="s">
        <v>2325</v>
      </c>
      <c r="C82" s="13" t="s">
        <v>70</v>
      </c>
      <c r="D82" s="59">
        <v>46113</v>
      </c>
      <c r="E82" s="6">
        <v>0</v>
      </c>
      <c r="F82" s="54">
        <v>81</v>
      </c>
      <c r="H82" s="20"/>
    </row>
    <row r="83" spans="1:8" x14ac:dyDescent="0.4">
      <c r="A83" s="13" t="s">
        <v>2324</v>
      </c>
      <c r="B83" s="55" t="s">
        <v>2325</v>
      </c>
      <c r="C83" s="13" t="s">
        <v>70</v>
      </c>
      <c r="D83" s="59">
        <v>46143</v>
      </c>
      <c r="E83" s="6">
        <v>0</v>
      </c>
      <c r="F83" s="13">
        <v>82</v>
      </c>
      <c r="H83" s="20"/>
    </row>
    <row r="84" spans="1:8" x14ac:dyDescent="0.4">
      <c r="A84" s="13" t="s">
        <v>2324</v>
      </c>
      <c r="B84" s="55" t="s">
        <v>2325</v>
      </c>
      <c r="C84" s="13" t="s">
        <v>70</v>
      </c>
      <c r="D84" s="59">
        <v>46174</v>
      </c>
      <c r="E84" s="6">
        <v>0</v>
      </c>
      <c r="F84" s="54">
        <v>83</v>
      </c>
      <c r="H84" s="20"/>
    </row>
    <row r="85" spans="1:8" x14ac:dyDescent="0.4">
      <c r="A85" s="13" t="s">
        <v>2324</v>
      </c>
      <c r="B85" s="55" t="s">
        <v>2325</v>
      </c>
      <c r="C85" s="13" t="s">
        <v>70</v>
      </c>
      <c r="D85" s="59">
        <v>46204</v>
      </c>
      <c r="E85" s="6">
        <v>0</v>
      </c>
      <c r="F85" s="13">
        <v>84</v>
      </c>
      <c r="H85" s="20"/>
    </row>
    <row r="86" spans="1:8" x14ac:dyDescent="0.4">
      <c r="A86" s="13" t="s">
        <v>2324</v>
      </c>
      <c r="B86" s="55" t="s">
        <v>2325</v>
      </c>
      <c r="C86" s="13" t="s">
        <v>70</v>
      </c>
      <c r="D86" s="59">
        <v>46235</v>
      </c>
      <c r="E86" s="6">
        <v>0</v>
      </c>
      <c r="F86" s="54">
        <v>85</v>
      </c>
      <c r="H86" s="20"/>
    </row>
    <row r="87" spans="1:8" x14ac:dyDescent="0.4">
      <c r="A87" s="13" t="s">
        <v>2324</v>
      </c>
      <c r="B87" s="55" t="s">
        <v>2325</v>
      </c>
      <c r="C87" s="13" t="s">
        <v>70</v>
      </c>
      <c r="D87" s="59">
        <v>46266</v>
      </c>
      <c r="E87" s="6">
        <v>0</v>
      </c>
      <c r="F87" s="13">
        <v>86</v>
      </c>
      <c r="H87" s="20"/>
    </row>
    <row r="88" spans="1:8" x14ac:dyDescent="0.4">
      <c r="A88" s="13" t="s">
        <v>2324</v>
      </c>
      <c r="B88" s="55" t="s">
        <v>2325</v>
      </c>
      <c r="C88" s="13" t="s">
        <v>70</v>
      </c>
      <c r="D88" s="59">
        <v>46296</v>
      </c>
      <c r="E88" s="6">
        <v>0</v>
      </c>
      <c r="F88" s="54">
        <v>87</v>
      </c>
      <c r="H88" s="20"/>
    </row>
    <row r="89" spans="1:8" x14ac:dyDescent="0.4">
      <c r="A89" s="13" t="s">
        <v>2324</v>
      </c>
      <c r="B89" s="55" t="s">
        <v>2325</v>
      </c>
      <c r="C89" s="13" t="s">
        <v>70</v>
      </c>
      <c r="D89" s="59">
        <v>46327</v>
      </c>
      <c r="E89" s="6">
        <v>0</v>
      </c>
      <c r="F89" s="13">
        <v>88</v>
      </c>
      <c r="H89" s="20"/>
    </row>
    <row r="90" spans="1:8" x14ac:dyDescent="0.4">
      <c r="A90" s="13" t="s">
        <v>2324</v>
      </c>
      <c r="B90" s="55" t="s">
        <v>2325</v>
      </c>
      <c r="C90" s="13" t="s">
        <v>70</v>
      </c>
      <c r="D90" s="59">
        <v>46357</v>
      </c>
      <c r="E90" s="6">
        <v>0</v>
      </c>
      <c r="F90" s="54">
        <v>89</v>
      </c>
      <c r="H90" s="20"/>
    </row>
    <row r="91" spans="1:8" x14ac:dyDescent="0.4">
      <c r="A91" s="13" t="s">
        <v>2324</v>
      </c>
      <c r="B91" s="55" t="s">
        <v>2325</v>
      </c>
      <c r="C91" s="13" t="s">
        <v>70</v>
      </c>
      <c r="D91" s="59">
        <v>46388</v>
      </c>
      <c r="E91" s="6">
        <v>0</v>
      </c>
      <c r="F91" s="13">
        <v>90</v>
      </c>
      <c r="H91" s="20"/>
    </row>
    <row r="92" spans="1:8" x14ac:dyDescent="0.4">
      <c r="A92" s="13" t="s">
        <v>2324</v>
      </c>
      <c r="B92" s="55" t="s">
        <v>2325</v>
      </c>
      <c r="C92" s="13" t="s">
        <v>70</v>
      </c>
      <c r="D92" s="59">
        <v>46419</v>
      </c>
      <c r="E92" s="6">
        <v>0</v>
      </c>
      <c r="F92" s="54">
        <v>91</v>
      </c>
      <c r="H92" s="20"/>
    </row>
    <row r="93" spans="1:8" x14ac:dyDescent="0.4">
      <c r="A93" s="13" t="s">
        <v>2324</v>
      </c>
      <c r="B93" s="55" t="s">
        <v>2325</v>
      </c>
      <c r="C93" s="13" t="s">
        <v>70</v>
      </c>
      <c r="D93" s="59">
        <v>46447</v>
      </c>
      <c r="E93" s="6">
        <v>0</v>
      </c>
      <c r="F93" s="13">
        <v>92</v>
      </c>
      <c r="H93" s="20"/>
    </row>
    <row r="94" spans="1:8" x14ac:dyDescent="0.4">
      <c r="A94" s="13" t="s">
        <v>2324</v>
      </c>
      <c r="B94" s="55" t="s">
        <v>2325</v>
      </c>
      <c r="C94" s="13" t="s">
        <v>70</v>
      </c>
      <c r="D94" s="59">
        <v>46478</v>
      </c>
      <c r="E94" s="6">
        <v>0</v>
      </c>
      <c r="F94" s="54">
        <v>93</v>
      </c>
      <c r="H94" s="20"/>
    </row>
    <row r="95" spans="1:8" x14ac:dyDescent="0.4">
      <c r="A95" s="13" t="s">
        <v>2324</v>
      </c>
      <c r="B95" s="55" t="s">
        <v>2325</v>
      </c>
      <c r="C95" s="13" t="s">
        <v>70</v>
      </c>
      <c r="D95" s="59">
        <v>46508</v>
      </c>
      <c r="E95" s="6">
        <v>0</v>
      </c>
      <c r="F95" s="13">
        <v>94</v>
      </c>
      <c r="H95" s="20"/>
    </row>
    <row r="96" spans="1:8" x14ac:dyDescent="0.4">
      <c r="A96" s="13" t="s">
        <v>2324</v>
      </c>
      <c r="B96" s="55" t="s">
        <v>2325</v>
      </c>
      <c r="C96" s="13" t="s">
        <v>70</v>
      </c>
      <c r="D96" s="59">
        <v>46539</v>
      </c>
      <c r="E96" s="6">
        <v>0</v>
      </c>
      <c r="F96" s="54">
        <v>95</v>
      </c>
      <c r="H96" s="20"/>
    </row>
    <row r="97" spans="1:8" x14ac:dyDescent="0.4">
      <c r="A97" s="13" t="s">
        <v>2324</v>
      </c>
      <c r="B97" s="55" t="s">
        <v>2325</v>
      </c>
      <c r="C97" s="13" t="s">
        <v>70</v>
      </c>
      <c r="D97" s="59">
        <v>46569</v>
      </c>
      <c r="E97" s="6">
        <v>0</v>
      </c>
      <c r="F97" s="13">
        <v>96</v>
      </c>
      <c r="H97" s="20"/>
    </row>
    <row r="98" spans="1:8" x14ac:dyDescent="0.4">
      <c r="A98" s="13" t="s">
        <v>2324</v>
      </c>
      <c r="B98" s="55" t="s">
        <v>2325</v>
      </c>
      <c r="C98" s="13" t="s">
        <v>50</v>
      </c>
      <c r="D98" s="59">
        <v>45870</v>
      </c>
      <c r="E98" s="6">
        <v>0</v>
      </c>
      <c r="F98" s="54">
        <v>97</v>
      </c>
      <c r="H98" s="20"/>
    </row>
    <row r="99" spans="1:8" x14ac:dyDescent="0.4">
      <c r="A99" s="13" t="s">
        <v>2324</v>
      </c>
      <c r="B99" s="55" t="s">
        <v>2325</v>
      </c>
      <c r="C99" s="13" t="s">
        <v>50</v>
      </c>
      <c r="D99" s="59">
        <v>45901</v>
      </c>
      <c r="E99" s="6">
        <v>0</v>
      </c>
      <c r="F99" s="13">
        <v>98</v>
      </c>
      <c r="H99" s="20"/>
    </row>
    <row r="100" spans="1:8" x14ac:dyDescent="0.4">
      <c r="A100" s="13" t="s">
        <v>2324</v>
      </c>
      <c r="B100" s="55" t="s">
        <v>2325</v>
      </c>
      <c r="C100" s="13" t="s">
        <v>50</v>
      </c>
      <c r="D100" s="59">
        <v>45931</v>
      </c>
      <c r="E100" s="6">
        <v>19050</v>
      </c>
      <c r="F100" s="54">
        <v>99</v>
      </c>
      <c r="H100" s="20"/>
    </row>
    <row r="101" spans="1:8" x14ac:dyDescent="0.4">
      <c r="A101" s="13" t="s">
        <v>2324</v>
      </c>
      <c r="B101" s="55" t="s">
        <v>2325</v>
      </c>
      <c r="C101" s="13" t="s">
        <v>50</v>
      </c>
      <c r="D101" s="59">
        <v>45962</v>
      </c>
      <c r="E101" s="6">
        <v>114300</v>
      </c>
      <c r="F101" s="13">
        <v>100</v>
      </c>
      <c r="H101" s="20"/>
    </row>
    <row r="102" spans="1:8" x14ac:dyDescent="0.4">
      <c r="A102" s="13" t="s">
        <v>2324</v>
      </c>
      <c r="B102" s="55" t="s">
        <v>2325</v>
      </c>
      <c r="C102" s="13" t="s">
        <v>50</v>
      </c>
      <c r="D102" s="59">
        <v>45992</v>
      </c>
      <c r="E102" s="6">
        <v>114300</v>
      </c>
      <c r="F102" s="54">
        <v>101</v>
      </c>
      <c r="H102" s="20"/>
    </row>
    <row r="103" spans="1:8" x14ac:dyDescent="0.4">
      <c r="A103" s="13" t="s">
        <v>2324</v>
      </c>
      <c r="B103" s="55" t="s">
        <v>2325</v>
      </c>
      <c r="C103" s="13" t="s">
        <v>50</v>
      </c>
      <c r="D103" s="59">
        <v>46023</v>
      </c>
      <c r="E103" s="6">
        <v>457200</v>
      </c>
      <c r="F103" s="13">
        <v>102</v>
      </c>
      <c r="H103" s="20"/>
    </row>
    <row r="104" spans="1:8" x14ac:dyDescent="0.4">
      <c r="A104" s="13" t="s">
        <v>2324</v>
      </c>
      <c r="B104" s="55" t="s">
        <v>2325</v>
      </c>
      <c r="C104" s="13" t="s">
        <v>50</v>
      </c>
      <c r="D104" s="59">
        <v>46054</v>
      </c>
      <c r="E104" s="6">
        <v>457200</v>
      </c>
      <c r="F104" s="54">
        <v>103</v>
      </c>
      <c r="H104" s="20"/>
    </row>
    <row r="105" spans="1:8" x14ac:dyDescent="0.4">
      <c r="A105" s="13" t="s">
        <v>2324</v>
      </c>
      <c r="B105" s="55" t="s">
        <v>2325</v>
      </c>
      <c r="C105" s="13" t="s">
        <v>50</v>
      </c>
      <c r="D105" s="59">
        <v>46082</v>
      </c>
      <c r="E105" s="6">
        <v>457200</v>
      </c>
      <c r="F105" s="13">
        <v>104</v>
      </c>
      <c r="H105" s="20"/>
    </row>
    <row r="106" spans="1:8" x14ac:dyDescent="0.4">
      <c r="A106" s="13" t="s">
        <v>2324</v>
      </c>
      <c r="B106" s="55" t="s">
        <v>2325</v>
      </c>
      <c r="C106" s="13" t="s">
        <v>50</v>
      </c>
      <c r="D106" s="59">
        <v>46113</v>
      </c>
      <c r="E106" s="6">
        <v>438150</v>
      </c>
      <c r="F106" s="54">
        <v>105</v>
      </c>
      <c r="H106" s="20"/>
    </row>
    <row r="107" spans="1:8" x14ac:dyDescent="0.4">
      <c r="A107" s="13" t="s">
        <v>2324</v>
      </c>
      <c r="B107" s="55" t="s">
        <v>2325</v>
      </c>
      <c r="C107" s="13" t="s">
        <v>50</v>
      </c>
      <c r="D107" s="59">
        <v>46143</v>
      </c>
      <c r="E107" s="6">
        <v>342900</v>
      </c>
      <c r="F107" s="13">
        <v>106</v>
      </c>
      <c r="H107" s="20"/>
    </row>
    <row r="108" spans="1:8" x14ac:dyDescent="0.4">
      <c r="A108" s="13" t="s">
        <v>2324</v>
      </c>
      <c r="B108" s="55" t="s">
        <v>2325</v>
      </c>
      <c r="C108" s="13" t="s">
        <v>50</v>
      </c>
      <c r="D108" s="59">
        <v>46174</v>
      </c>
      <c r="E108" s="6">
        <v>342900</v>
      </c>
      <c r="F108" s="54">
        <v>107</v>
      </c>
      <c r="H108" s="20"/>
    </row>
    <row r="109" spans="1:8" x14ac:dyDescent="0.4">
      <c r="A109" s="13" t="s">
        <v>2324</v>
      </c>
      <c r="B109" s="55" t="s">
        <v>2325</v>
      </c>
      <c r="C109" s="13" t="s">
        <v>50</v>
      </c>
      <c r="D109" s="59">
        <v>46204</v>
      </c>
      <c r="E109" s="6">
        <v>0</v>
      </c>
      <c r="F109" s="13">
        <v>108</v>
      </c>
      <c r="H109" s="20"/>
    </row>
    <row r="110" spans="1:8" x14ac:dyDescent="0.4">
      <c r="A110" s="13" t="s">
        <v>2324</v>
      </c>
      <c r="B110" s="55" t="s">
        <v>2325</v>
      </c>
      <c r="C110" s="13" t="s">
        <v>50</v>
      </c>
      <c r="D110" s="59">
        <v>46235</v>
      </c>
      <c r="E110" s="6">
        <v>0</v>
      </c>
      <c r="F110" s="54">
        <v>109</v>
      </c>
      <c r="H110" s="20"/>
    </row>
    <row r="111" spans="1:8" x14ac:dyDescent="0.4">
      <c r="A111" s="13" t="s">
        <v>2324</v>
      </c>
      <c r="B111" s="55" t="s">
        <v>2325</v>
      </c>
      <c r="C111" s="13" t="s">
        <v>50</v>
      </c>
      <c r="D111" s="59">
        <v>46266</v>
      </c>
      <c r="E111" s="6">
        <v>0</v>
      </c>
      <c r="F111" s="13">
        <v>110</v>
      </c>
      <c r="H111" s="20"/>
    </row>
    <row r="112" spans="1:8" x14ac:dyDescent="0.4">
      <c r="A112" s="13" t="s">
        <v>2324</v>
      </c>
      <c r="B112" s="55" t="s">
        <v>2325</v>
      </c>
      <c r="C112" s="13" t="s">
        <v>50</v>
      </c>
      <c r="D112" s="59">
        <v>46296</v>
      </c>
      <c r="E112" s="6">
        <v>0</v>
      </c>
      <c r="F112" s="54">
        <v>111</v>
      </c>
      <c r="H112" s="20"/>
    </row>
    <row r="113" spans="1:8" x14ac:dyDescent="0.4">
      <c r="A113" s="13" t="s">
        <v>2324</v>
      </c>
      <c r="B113" s="55" t="s">
        <v>2325</v>
      </c>
      <c r="C113" s="13" t="s">
        <v>50</v>
      </c>
      <c r="D113" s="59">
        <v>46327</v>
      </c>
      <c r="E113" s="6">
        <v>0</v>
      </c>
      <c r="F113" s="13">
        <v>112</v>
      </c>
      <c r="H113" s="20"/>
    </row>
    <row r="114" spans="1:8" x14ac:dyDescent="0.4">
      <c r="A114" s="13" t="s">
        <v>2324</v>
      </c>
      <c r="B114" s="55" t="s">
        <v>2325</v>
      </c>
      <c r="C114" s="13" t="s">
        <v>50</v>
      </c>
      <c r="D114" s="59">
        <v>46357</v>
      </c>
      <c r="E114" s="6">
        <v>0</v>
      </c>
      <c r="F114" s="54">
        <v>113</v>
      </c>
      <c r="H114" s="20"/>
    </row>
    <row r="115" spans="1:8" x14ac:dyDescent="0.4">
      <c r="A115" s="13" t="s">
        <v>2324</v>
      </c>
      <c r="B115" s="55" t="s">
        <v>2325</v>
      </c>
      <c r="C115" s="13" t="s">
        <v>50</v>
      </c>
      <c r="D115" s="59">
        <v>46388</v>
      </c>
      <c r="E115" s="6">
        <v>0</v>
      </c>
      <c r="F115" s="13">
        <v>114</v>
      </c>
      <c r="H115" s="20"/>
    </row>
    <row r="116" spans="1:8" x14ac:dyDescent="0.4">
      <c r="A116" s="13" t="s">
        <v>2324</v>
      </c>
      <c r="B116" s="55" t="s">
        <v>2325</v>
      </c>
      <c r="C116" s="13" t="s">
        <v>50</v>
      </c>
      <c r="D116" s="59">
        <v>46419</v>
      </c>
      <c r="E116" s="6">
        <v>0</v>
      </c>
      <c r="F116" s="54">
        <v>115</v>
      </c>
      <c r="H116" s="20"/>
    </row>
    <row r="117" spans="1:8" x14ac:dyDescent="0.4">
      <c r="A117" s="13" t="s">
        <v>2324</v>
      </c>
      <c r="B117" s="55" t="s">
        <v>2325</v>
      </c>
      <c r="C117" s="13" t="s">
        <v>50</v>
      </c>
      <c r="D117" s="59">
        <v>46447</v>
      </c>
      <c r="E117" s="6">
        <v>0</v>
      </c>
      <c r="F117" s="13">
        <v>116</v>
      </c>
      <c r="H117" s="20"/>
    </row>
    <row r="118" spans="1:8" x14ac:dyDescent="0.4">
      <c r="A118" s="13" t="s">
        <v>2324</v>
      </c>
      <c r="B118" s="55" t="s">
        <v>2325</v>
      </c>
      <c r="C118" s="13" t="s">
        <v>50</v>
      </c>
      <c r="D118" s="59">
        <v>46478</v>
      </c>
      <c r="E118" s="6">
        <v>0</v>
      </c>
      <c r="F118" s="54">
        <v>117</v>
      </c>
      <c r="H118" s="20"/>
    </row>
    <row r="119" spans="1:8" x14ac:dyDescent="0.4">
      <c r="A119" s="13" t="s">
        <v>2324</v>
      </c>
      <c r="B119" s="55" t="s">
        <v>2325</v>
      </c>
      <c r="C119" s="13" t="s">
        <v>50</v>
      </c>
      <c r="D119" s="59">
        <v>46508</v>
      </c>
      <c r="E119" s="6">
        <v>0</v>
      </c>
      <c r="F119" s="13">
        <v>118</v>
      </c>
      <c r="H119" s="20"/>
    </row>
    <row r="120" spans="1:8" x14ac:dyDescent="0.4">
      <c r="A120" s="13" t="s">
        <v>2324</v>
      </c>
      <c r="B120" s="55" t="s">
        <v>2325</v>
      </c>
      <c r="C120" s="13" t="s">
        <v>50</v>
      </c>
      <c r="D120" s="59">
        <v>46539</v>
      </c>
      <c r="E120" s="6">
        <v>0</v>
      </c>
      <c r="F120" s="54">
        <v>119</v>
      </c>
      <c r="H120" s="20"/>
    </row>
    <row r="121" spans="1:8" x14ac:dyDescent="0.4">
      <c r="A121" s="13" t="s">
        <v>2324</v>
      </c>
      <c r="B121" s="55" t="s">
        <v>2325</v>
      </c>
      <c r="C121" s="13" t="s">
        <v>50</v>
      </c>
      <c r="D121" s="59">
        <v>46569</v>
      </c>
      <c r="E121" s="6">
        <v>0</v>
      </c>
      <c r="F121" s="13">
        <v>120</v>
      </c>
      <c r="H121" s="20"/>
    </row>
    <row r="122" spans="1:8" x14ac:dyDescent="0.4">
      <c r="A122" s="13" t="s">
        <v>2324</v>
      </c>
      <c r="B122" s="55" t="s">
        <v>2325</v>
      </c>
      <c r="C122" s="13" t="s">
        <v>5133</v>
      </c>
      <c r="D122" s="59">
        <v>45870</v>
      </c>
      <c r="E122" s="6">
        <v>0</v>
      </c>
      <c r="F122" s="54">
        <v>121</v>
      </c>
      <c r="H122" s="20"/>
    </row>
    <row r="123" spans="1:8" x14ac:dyDescent="0.4">
      <c r="A123" s="13" t="s">
        <v>2324</v>
      </c>
      <c r="B123" s="55" t="s">
        <v>2325</v>
      </c>
      <c r="C123" s="13" t="s">
        <v>5133</v>
      </c>
      <c r="D123" s="59">
        <v>45901</v>
      </c>
      <c r="E123" s="6">
        <v>18870</v>
      </c>
      <c r="F123" s="13">
        <v>122</v>
      </c>
      <c r="H123" s="20"/>
    </row>
    <row r="124" spans="1:8" x14ac:dyDescent="0.4">
      <c r="A124" s="13" t="s">
        <v>2324</v>
      </c>
      <c r="B124" s="55" t="s">
        <v>2325</v>
      </c>
      <c r="C124" s="13" t="s">
        <v>5133</v>
      </c>
      <c r="D124" s="59">
        <v>45931</v>
      </c>
      <c r="E124" s="6">
        <v>18870</v>
      </c>
      <c r="F124" s="54">
        <v>123</v>
      </c>
      <c r="H124" s="20"/>
    </row>
    <row r="125" spans="1:8" x14ac:dyDescent="0.4">
      <c r="A125" s="13" t="s">
        <v>2324</v>
      </c>
      <c r="B125" s="55" t="s">
        <v>2325</v>
      </c>
      <c r="C125" s="13" t="s">
        <v>5133</v>
      </c>
      <c r="D125" s="59">
        <v>45962</v>
      </c>
      <c r="E125" s="6">
        <v>18870</v>
      </c>
      <c r="F125" s="13">
        <v>124</v>
      </c>
      <c r="H125" s="20"/>
    </row>
    <row r="126" spans="1:8" x14ac:dyDescent="0.4">
      <c r="A126" s="13" t="s">
        <v>2324</v>
      </c>
      <c r="B126" s="55" t="s">
        <v>2325</v>
      </c>
      <c r="C126" s="13" t="s">
        <v>5133</v>
      </c>
      <c r="D126" s="59">
        <v>45992</v>
      </c>
      <c r="E126" s="6">
        <v>18870</v>
      </c>
      <c r="F126" s="54">
        <v>125</v>
      </c>
      <c r="H126" s="20"/>
    </row>
    <row r="127" spans="1:8" x14ac:dyDescent="0.4">
      <c r="A127" s="13" t="s">
        <v>2324</v>
      </c>
      <c r="B127" s="55" t="s">
        <v>2325</v>
      </c>
      <c r="C127" s="13" t="s">
        <v>5133</v>
      </c>
      <c r="D127" s="59">
        <v>46023</v>
      </c>
      <c r="E127" s="6">
        <v>18870</v>
      </c>
      <c r="F127" s="13">
        <v>126</v>
      </c>
      <c r="H127" s="20"/>
    </row>
    <row r="128" spans="1:8" x14ac:dyDescent="0.4">
      <c r="A128" s="13" t="s">
        <v>2324</v>
      </c>
      <c r="B128" s="55" t="s">
        <v>2325</v>
      </c>
      <c r="C128" s="13" t="s">
        <v>5133</v>
      </c>
      <c r="D128" s="59">
        <v>46054</v>
      </c>
      <c r="E128" s="6">
        <v>18870</v>
      </c>
      <c r="F128" s="54">
        <v>127</v>
      </c>
      <c r="H128" s="20"/>
    </row>
    <row r="129" spans="1:8" x14ac:dyDescent="0.4">
      <c r="A129" s="13" t="s">
        <v>2324</v>
      </c>
      <c r="B129" s="55" t="s">
        <v>2325</v>
      </c>
      <c r="C129" s="13" t="s">
        <v>5133</v>
      </c>
      <c r="D129" s="59">
        <v>46082</v>
      </c>
      <c r="E129" s="6">
        <v>18870</v>
      </c>
      <c r="F129" s="13">
        <v>128</v>
      </c>
      <c r="H129" s="20"/>
    </row>
    <row r="130" spans="1:8" x14ac:dyDescent="0.4">
      <c r="A130" s="13" t="s">
        <v>2324</v>
      </c>
      <c r="B130" s="55" t="s">
        <v>2325</v>
      </c>
      <c r="C130" s="13" t="s">
        <v>5133</v>
      </c>
      <c r="D130" s="59">
        <v>46113</v>
      </c>
      <c r="E130" s="6">
        <v>18870</v>
      </c>
      <c r="F130" s="54">
        <v>129</v>
      </c>
      <c r="H130" s="20"/>
    </row>
    <row r="131" spans="1:8" x14ac:dyDescent="0.4">
      <c r="A131" s="13" t="s">
        <v>2324</v>
      </c>
      <c r="B131" s="55" t="s">
        <v>2325</v>
      </c>
      <c r="C131" s="13" t="s">
        <v>5133</v>
      </c>
      <c r="D131" s="59">
        <v>46143</v>
      </c>
      <c r="E131" s="6">
        <v>18870</v>
      </c>
      <c r="F131" s="13">
        <v>130</v>
      </c>
      <c r="H131" s="20"/>
    </row>
    <row r="132" spans="1:8" x14ac:dyDescent="0.4">
      <c r="A132" s="13" t="s">
        <v>2324</v>
      </c>
      <c r="B132" s="55" t="s">
        <v>2325</v>
      </c>
      <c r="C132" s="13" t="s">
        <v>5133</v>
      </c>
      <c r="D132" s="59">
        <v>46174</v>
      </c>
      <c r="E132" s="6">
        <v>18870</v>
      </c>
      <c r="F132" s="54">
        <v>131</v>
      </c>
      <c r="H132" s="20"/>
    </row>
    <row r="133" spans="1:8" x14ac:dyDescent="0.4">
      <c r="A133" s="13" t="s">
        <v>2324</v>
      </c>
      <c r="B133" s="55" t="s">
        <v>2325</v>
      </c>
      <c r="C133" s="13" t="s">
        <v>5133</v>
      </c>
      <c r="D133" s="59">
        <v>46204</v>
      </c>
      <c r="E133" s="6">
        <v>18870</v>
      </c>
      <c r="F133" s="13">
        <v>132</v>
      </c>
      <c r="H133" s="20"/>
    </row>
    <row r="134" spans="1:8" x14ac:dyDescent="0.4">
      <c r="A134" s="13" t="s">
        <v>2324</v>
      </c>
      <c r="B134" s="55" t="s">
        <v>2325</v>
      </c>
      <c r="C134" s="13" t="s">
        <v>5133</v>
      </c>
      <c r="D134" s="59">
        <v>46235</v>
      </c>
      <c r="E134" s="6">
        <v>18870</v>
      </c>
      <c r="F134" s="54">
        <v>133</v>
      </c>
      <c r="H134" s="20"/>
    </row>
    <row r="135" spans="1:8" x14ac:dyDescent="0.4">
      <c r="A135" s="13" t="s">
        <v>2324</v>
      </c>
      <c r="B135" s="55" t="s">
        <v>2325</v>
      </c>
      <c r="C135" s="13" t="s">
        <v>5133</v>
      </c>
      <c r="D135" s="59">
        <v>46266</v>
      </c>
      <c r="E135" s="6">
        <v>0</v>
      </c>
      <c r="F135" s="13">
        <v>134</v>
      </c>
      <c r="H135" s="20"/>
    </row>
    <row r="136" spans="1:8" x14ac:dyDescent="0.4">
      <c r="A136" s="13" t="s">
        <v>2324</v>
      </c>
      <c r="B136" s="55" t="s">
        <v>2325</v>
      </c>
      <c r="C136" s="13" t="s">
        <v>5133</v>
      </c>
      <c r="D136" s="59">
        <v>46296</v>
      </c>
      <c r="E136" s="6">
        <v>0</v>
      </c>
      <c r="F136" s="54">
        <v>135</v>
      </c>
      <c r="H136" s="20"/>
    </row>
    <row r="137" spans="1:8" x14ac:dyDescent="0.4">
      <c r="A137" s="13" t="s">
        <v>2324</v>
      </c>
      <c r="B137" s="55" t="s">
        <v>2325</v>
      </c>
      <c r="C137" s="13" t="s">
        <v>5133</v>
      </c>
      <c r="D137" s="59">
        <v>46327</v>
      </c>
      <c r="E137" s="6">
        <v>0</v>
      </c>
      <c r="F137" s="13">
        <v>136</v>
      </c>
      <c r="H137" s="20"/>
    </row>
    <row r="138" spans="1:8" x14ac:dyDescent="0.4">
      <c r="A138" s="13" t="s">
        <v>2324</v>
      </c>
      <c r="B138" s="55" t="s">
        <v>2325</v>
      </c>
      <c r="C138" s="13" t="s">
        <v>5133</v>
      </c>
      <c r="D138" s="59">
        <v>46357</v>
      </c>
      <c r="E138" s="6">
        <v>0</v>
      </c>
      <c r="F138" s="54">
        <v>137</v>
      </c>
      <c r="H138" s="20"/>
    </row>
    <row r="139" spans="1:8" x14ac:dyDescent="0.4">
      <c r="A139" s="13" t="s">
        <v>2324</v>
      </c>
      <c r="B139" s="55" t="s">
        <v>2325</v>
      </c>
      <c r="C139" s="13" t="s">
        <v>5133</v>
      </c>
      <c r="D139" s="59">
        <v>46388</v>
      </c>
      <c r="E139" s="6">
        <v>0</v>
      </c>
      <c r="F139" s="13">
        <v>138</v>
      </c>
      <c r="H139" s="20"/>
    </row>
    <row r="140" spans="1:8" x14ac:dyDescent="0.4">
      <c r="A140" s="13" t="s">
        <v>2324</v>
      </c>
      <c r="B140" s="55" t="s">
        <v>2325</v>
      </c>
      <c r="C140" s="13" t="s">
        <v>5133</v>
      </c>
      <c r="D140" s="59">
        <v>46419</v>
      </c>
      <c r="E140" s="6">
        <v>0</v>
      </c>
      <c r="F140" s="54">
        <v>139</v>
      </c>
      <c r="H140" s="20"/>
    </row>
    <row r="141" spans="1:8" x14ac:dyDescent="0.4">
      <c r="A141" s="13" t="s">
        <v>2324</v>
      </c>
      <c r="B141" s="55" t="s">
        <v>2325</v>
      </c>
      <c r="C141" s="13" t="s">
        <v>5133</v>
      </c>
      <c r="D141" s="59">
        <v>46447</v>
      </c>
      <c r="E141" s="6">
        <v>0</v>
      </c>
      <c r="F141" s="13">
        <v>140</v>
      </c>
      <c r="H141" s="20"/>
    </row>
    <row r="142" spans="1:8" x14ac:dyDescent="0.4">
      <c r="A142" s="13" t="s">
        <v>2324</v>
      </c>
      <c r="B142" s="55" t="s">
        <v>2325</v>
      </c>
      <c r="C142" s="13" t="s">
        <v>5133</v>
      </c>
      <c r="D142" s="59">
        <v>46478</v>
      </c>
      <c r="E142" s="6">
        <v>0</v>
      </c>
      <c r="F142" s="54">
        <v>141</v>
      </c>
      <c r="H142" s="20"/>
    </row>
    <row r="143" spans="1:8" x14ac:dyDescent="0.4">
      <c r="A143" s="13" t="s">
        <v>2324</v>
      </c>
      <c r="B143" s="55" t="s">
        <v>2325</v>
      </c>
      <c r="C143" s="13" t="s">
        <v>5133</v>
      </c>
      <c r="D143" s="59">
        <v>46508</v>
      </c>
      <c r="E143" s="6">
        <v>0</v>
      </c>
      <c r="F143" s="13">
        <v>142</v>
      </c>
      <c r="H143" s="20"/>
    </row>
    <row r="144" spans="1:8" x14ac:dyDescent="0.4">
      <c r="A144" s="13" t="s">
        <v>2324</v>
      </c>
      <c r="B144" s="55" t="s">
        <v>2325</v>
      </c>
      <c r="C144" s="13" t="s">
        <v>5133</v>
      </c>
      <c r="D144" s="59">
        <v>46539</v>
      </c>
      <c r="E144" s="6">
        <v>0</v>
      </c>
      <c r="F144" s="54">
        <v>143</v>
      </c>
      <c r="H144" s="20"/>
    </row>
    <row r="145" spans="1:8" x14ac:dyDescent="0.4">
      <c r="A145" s="13" t="s">
        <v>2324</v>
      </c>
      <c r="B145" s="55" t="s">
        <v>2325</v>
      </c>
      <c r="C145" s="13" t="s">
        <v>5133</v>
      </c>
      <c r="D145" s="59">
        <v>46569</v>
      </c>
      <c r="E145" s="6">
        <v>0</v>
      </c>
      <c r="F145" s="13">
        <v>144</v>
      </c>
      <c r="H145" s="20"/>
    </row>
    <row r="146" spans="1:8" x14ac:dyDescent="0.4">
      <c r="A146" s="13" t="s">
        <v>2324</v>
      </c>
      <c r="B146" s="13" t="s">
        <v>2345</v>
      </c>
      <c r="C146" s="10" t="s">
        <v>25</v>
      </c>
      <c r="D146" s="59">
        <v>45870</v>
      </c>
      <c r="E146" s="6">
        <v>0</v>
      </c>
      <c r="F146" s="54">
        <v>145</v>
      </c>
      <c r="H146" s="20"/>
    </row>
    <row r="147" spans="1:8" x14ac:dyDescent="0.4">
      <c r="A147" s="13" t="s">
        <v>2324</v>
      </c>
      <c r="B147" s="13" t="s">
        <v>2345</v>
      </c>
      <c r="C147" s="10" t="s">
        <v>25</v>
      </c>
      <c r="D147" s="59">
        <v>45901</v>
      </c>
      <c r="E147" s="6">
        <v>17820</v>
      </c>
      <c r="F147" s="13">
        <v>146</v>
      </c>
      <c r="H147" s="20"/>
    </row>
    <row r="148" spans="1:8" x14ac:dyDescent="0.4">
      <c r="A148" s="13" t="s">
        <v>2324</v>
      </c>
      <c r="B148" s="13" t="s">
        <v>2345</v>
      </c>
      <c r="C148" s="10" t="s">
        <v>25</v>
      </c>
      <c r="D148" s="59">
        <v>45931</v>
      </c>
      <c r="E148" s="6">
        <v>516780</v>
      </c>
      <c r="F148" s="54">
        <v>147</v>
      </c>
      <c r="H148" s="20"/>
    </row>
    <row r="149" spans="1:8" x14ac:dyDescent="0.4">
      <c r="A149" s="13" t="s">
        <v>2324</v>
      </c>
      <c r="B149" s="13" t="s">
        <v>2345</v>
      </c>
      <c r="C149" s="10" t="s">
        <v>25</v>
      </c>
      <c r="D149" s="59">
        <v>45962</v>
      </c>
      <c r="E149" s="6">
        <v>650430</v>
      </c>
      <c r="F149" s="13">
        <v>148</v>
      </c>
      <c r="H149" s="20"/>
    </row>
    <row r="150" spans="1:8" x14ac:dyDescent="0.4">
      <c r="A150" s="13" t="s">
        <v>2324</v>
      </c>
      <c r="B150" s="13" t="s">
        <v>2345</v>
      </c>
      <c r="C150" s="10" t="s">
        <v>25</v>
      </c>
      <c r="D150" s="59">
        <v>45992</v>
      </c>
      <c r="E150" s="6">
        <v>632610</v>
      </c>
      <c r="F150" s="54">
        <v>149</v>
      </c>
      <c r="H150" s="20"/>
    </row>
    <row r="151" spans="1:8" x14ac:dyDescent="0.4">
      <c r="A151" s="13" t="s">
        <v>2324</v>
      </c>
      <c r="B151" s="13" t="s">
        <v>2345</v>
      </c>
      <c r="C151" s="10" t="s">
        <v>25</v>
      </c>
      <c r="D151" s="59">
        <v>46023</v>
      </c>
      <c r="E151" s="6">
        <v>133650</v>
      </c>
      <c r="F151" s="13">
        <v>150</v>
      </c>
      <c r="H151" s="20"/>
    </row>
    <row r="152" spans="1:8" x14ac:dyDescent="0.4">
      <c r="A152" s="13" t="s">
        <v>2324</v>
      </c>
      <c r="B152" s="13" t="s">
        <v>2345</v>
      </c>
      <c r="C152" s="10" t="s">
        <v>25</v>
      </c>
      <c r="D152" s="59">
        <v>46054</v>
      </c>
      <c r="E152" s="6">
        <v>0</v>
      </c>
      <c r="F152" s="54">
        <v>151</v>
      </c>
      <c r="H152" s="20"/>
    </row>
    <row r="153" spans="1:8" x14ac:dyDescent="0.4">
      <c r="A153" s="13" t="s">
        <v>2324</v>
      </c>
      <c r="B153" s="13" t="s">
        <v>2345</v>
      </c>
      <c r="C153" s="10" t="s">
        <v>25</v>
      </c>
      <c r="D153" s="59">
        <v>46082</v>
      </c>
      <c r="E153" s="6">
        <v>0</v>
      </c>
      <c r="F153" s="13">
        <v>152</v>
      </c>
      <c r="H153" s="20"/>
    </row>
    <row r="154" spans="1:8" x14ac:dyDescent="0.4">
      <c r="A154" s="13" t="s">
        <v>2324</v>
      </c>
      <c r="B154" s="13" t="s">
        <v>2345</v>
      </c>
      <c r="C154" s="10" t="s">
        <v>25</v>
      </c>
      <c r="D154" s="59">
        <v>46113</v>
      </c>
      <c r="E154" s="6">
        <v>0</v>
      </c>
      <c r="F154" s="54">
        <v>153</v>
      </c>
      <c r="H154" s="20"/>
    </row>
    <row r="155" spans="1:8" x14ac:dyDescent="0.4">
      <c r="A155" s="13" t="s">
        <v>2324</v>
      </c>
      <c r="B155" s="13" t="s">
        <v>2345</v>
      </c>
      <c r="C155" s="10" t="s">
        <v>25</v>
      </c>
      <c r="D155" s="59">
        <v>46143</v>
      </c>
      <c r="E155" s="6">
        <v>0</v>
      </c>
      <c r="F155" s="13">
        <v>154</v>
      </c>
      <c r="H155" s="20"/>
    </row>
    <row r="156" spans="1:8" x14ac:dyDescent="0.4">
      <c r="A156" s="13" t="s">
        <v>2324</v>
      </c>
      <c r="B156" s="13" t="s">
        <v>2345</v>
      </c>
      <c r="C156" s="10" t="s">
        <v>25</v>
      </c>
      <c r="D156" s="59">
        <v>46174</v>
      </c>
      <c r="E156" s="6">
        <v>0</v>
      </c>
      <c r="F156" s="54">
        <v>155</v>
      </c>
      <c r="H156" s="20"/>
    </row>
    <row r="157" spans="1:8" x14ac:dyDescent="0.4">
      <c r="A157" s="13" t="s">
        <v>2324</v>
      </c>
      <c r="B157" s="13" t="s">
        <v>2345</v>
      </c>
      <c r="C157" s="10" t="s">
        <v>25</v>
      </c>
      <c r="D157" s="59">
        <v>46204</v>
      </c>
      <c r="E157" s="6">
        <v>0</v>
      </c>
      <c r="F157" s="13">
        <v>156</v>
      </c>
      <c r="H157" s="20"/>
    </row>
    <row r="158" spans="1:8" x14ac:dyDescent="0.4">
      <c r="A158" s="13" t="s">
        <v>2324</v>
      </c>
      <c r="B158" s="13" t="s">
        <v>2345</v>
      </c>
      <c r="C158" s="10" t="s">
        <v>25</v>
      </c>
      <c r="D158" s="59">
        <v>46235</v>
      </c>
      <c r="E158" s="6">
        <v>0</v>
      </c>
      <c r="F158" s="54">
        <v>157</v>
      </c>
      <c r="H158" s="20"/>
    </row>
    <row r="159" spans="1:8" x14ac:dyDescent="0.4">
      <c r="A159" s="13" t="s">
        <v>2324</v>
      </c>
      <c r="B159" s="13" t="s">
        <v>2345</v>
      </c>
      <c r="C159" s="10" t="s">
        <v>25</v>
      </c>
      <c r="D159" s="59">
        <v>46266</v>
      </c>
      <c r="E159" s="6">
        <v>0</v>
      </c>
      <c r="F159" s="13">
        <v>158</v>
      </c>
      <c r="H159" s="20"/>
    </row>
    <row r="160" spans="1:8" x14ac:dyDescent="0.4">
      <c r="A160" s="13" t="s">
        <v>2324</v>
      </c>
      <c r="B160" s="13" t="s">
        <v>2345</v>
      </c>
      <c r="C160" s="10" t="s">
        <v>25</v>
      </c>
      <c r="D160" s="59">
        <v>46296</v>
      </c>
      <c r="E160" s="6">
        <v>0</v>
      </c>
      <c r="F160" s="54">
        <v>159</v>
      </c>
      <c r="H160" s="20"/>
    </row>
    <row r="161" spans="1:8" x14ac:dyDescent="0.4">
      <c r="A161" s="13" t="s">
        <v>2324</v>
      </c>
      <c r="B161" s="13" t="s">
        <v>2345</v>
      </c>
      <c r="C161" s="10" t="s">
        <v>25</v>
      </c>
      <c r="D161" s="59">
        <v>46327</v>
      </c>
      <c r="E161" s="6">
        <v>0</v>
      </c>
      <c r="F161" s="13">
        <v>160</v>
      </c>
      <c r="H161" s="20"/>
    </row>
    <row r="162" spans="1:8" x14ac:dyDescent="0.4">
      <c r="A162" s="13" t="s">
        <v>2324</v>
      </c>
      <c r="B162" s="13" t="s">
        <v>2345</v>
      </c>
      <c r="C162" s="10" t="s">
        <v>25</v>
      </c>
      <c r="D162" s="59">
        <v>46357</v>
      </c>
      <c r="E162" s="6">
        <v>0</v>
      </c>
      <c r="F162" s="54">
        <v>161</v>
      </c>
      <c r="H162" s="20"/>
    </row>
    <row r="163" spans="1:8" x14ac:dyDescent="0.4">
      <c r="A163" s="13" t="s">
        <v>2324</v>
      </c>
      <c r="B163" s="13" t="s">
        <v>2345</v>
      </c>
      <c r="C163" s="10" t="s">
        <v>25</v>
      </c>
      <c r="D163" s="59">
        <v>46388</v>
      </c>
      <c r="E163" s="6">
        <v>0</v>
      </c>
      <c r="F163" s="13">
        <v>162</v>
      </c>
      <c r="H163" s="20"/>
    </row>
    <row r="164" spans="1:8" x14ac:dyDescent="0.4">
      <c r="A164" s="13" t="s">
        <v>2324</v>
      </c>
      <c r="B164" s="13" t="s">
        <v>2345</v>
      </c>
      <c r="C164" s="10" t="s">
        <v>25</v>
      </c>
      <c r="D164" s="59">
        <v>46419</v>
      </c>
      <c r="E164" s="6">
        <v>0</v>
      </c>
      <c r="F164" s="54">
        <v>163</v>
      </c>
      <c r="H164" s="20"/>
    </row>
    <row r="165" spans="1:8" x14ac:dyDescent="0.4">
      <c r="A165" s="13" t="s">
        <v>2324</v>
      </c>
      <c r="B165" s="13" t="s">
        <v>2345</v>
      </c>
      <c r="C165" s="10" t="s">
        <v>25</v>
      </c>
      <c r="D165" s="59">
        <v>46447</v>
      </c>
      <c r="E165" s="6">
        <v>0</v>
      </c>
      <c r="F165" s="13">
        <v>164</v>
      </c>
      <c r="H165" s="20"/>
    </row>
    <row r="166" spans="1:8" x14ac:dyDescent="0.4">
      <c r="A166" s="13" t="s">
        <v>2324</v>
      </c>
      <c r="B166" s="13" t="s">
        <v>2345</v>
      </c>
      <c r="C166" s="10" t="s">
        <v>25</v>
      </c>
      <c r="D166" s="59">
        <v>46478</v>
      </c>
      <c r="E166" s="6">
        <v>0</v>
      </c>
      <c r="F166" s="54">
        <v>165</v>
      </c>
      <c r="H166" s="20"/>
    </row>
    <row r="167" spans="1:8" x14ac:dyDescent="0.4">
      <c r="A167" s="13" t="s">
        <v>2324</v>
      </c>
      <c r="B167" s="13" t="s">
        <v>2345</v>
      </c>
      <c r="C167" s="10" t="s">
        <v>25</v>
      </c>
      <c r="D167" s="59">
        <v>46508</v>
      </c>
      <c r="E167" s="6">
        <v>0</v>
      </c>
      <c r="F167" s="13">
        <v>166</v>
      </c>
      <c r="H167" s="20"/>
    </row>
    <row r="168" spans="1:8" x14ac:dyDescent="0.4">
      <c r="A168" s="13" t="s">
        <v>2324</v>
      </c>
      <c r="B168" s="13" t="s">
        <v>2345</v>
      </c>
      <c r="C168" s="10" t="s">
        <v>25</v>
      </c>
      <c r="D168" s="59">
        <v>46539</v>
      </c>
      <c r="E168" s="6">
        <v>0</v>
      </c>
      <c r="F168" s="54">
        <v>167</v>
      </c>
      <c r="H168" s="20"/>
    </row>
    <row r="169" spans="1:8" x14ac:dyDescent="0.4">
      <c r="A169" s="13" t="s">
        <v>2324</v>
      </c>
      <c r="B169" s="13" t="s">
        <v>2345</v>
      </c>
      <c r="C169" s="10" t="s">
        <v>25</v>
      </c>
      <c r="D169" s="59">
        <v>46569</v>
      </c>
      <c r="E169" s="6">
        <v>0</v>
      </c>
      <c r="F169" s="13">
        <v>168</v>
      </c>
      <c r="H169" s="20"/>
    </row>
    <row r="170" spans="1:8" x14ac:dyDescent="0.4">
      <c r="A170" s="13" t="s">
        <v>2324</v>
      </c>
      <c r="B170" s="13" t="s">
        <v>2345</v>
      </c>
      <c r="C170" s="13" t="s">
        <v>44</v>
      </c>
      <c r="D170" s="59">
        <v>45870</v>
      </c>
      <c r="E170" s="6">
        <v>0</v>
      </c>
      <c r="F170" s="54">
        <v>169</v>
      </c>
      <c r="H170" s="20"/>
    </row>
    <row r="171" spans="1:8" x14ac:dyDescent="0.4">
      <c r="A171" s="13" t="s">
        <v>2324</v>
      </c>
      <c r="B171" s="13" t="s">
        <v>2345</v>
      </c>
      <c r="C171" s="13" t="s">
        <v>44</v>
      </c>
      <c r="D171" s="59">
        <v>45901</v>
      </c>
      <c r="E171" s="6">
        <v>42863</v>
      </c>
      <c r="F171" s="13">
        <v>170</v>
      </c>
      <c r="H171" s="20"/>
    </row>
    <row r="172" spans="1:8" x14ac:dyDescent="0.4">
      <c r="A172" s="13" t="s">
        <v>2324</v>
      </c>
      <c r="B172" s="13" t="s">
        <v>2345</v>
      </c>
      <c r="C172" s="13" t="s">
        <v>44</v>
      </c>
      <c r="D172" s="59">
        <v>45931</v>
      </c>
      <c r="E172" s="6">
        <v>282893</v>
      </c>
      <c r="F172" s="54">
        <v>171</v>
      </c>
      <c r="H172" s="20"/>
    </row>
    <row r="173" spans="1:8" x14ac:dyDescent="0.4">
      <c r="A173" s="13" t="s">
        <v>2324</v>
      </c>
      <c r="B173" s="13" t="s">
        <v>2345</v>
      </c>
      <c r="C173" s="13" t="s">
        <v>44</v>
      </c>
      <c r="D173" s="59">
        <v>45962</v>
      </c>
      <c r="E173" s="6">
        <v>1157288</v>
      </c>
      <c r="F173" s="13">
        <v>172</v>
      </c>
      <c r="H173" s="20"/>
    </row>
    <row r="174" spans="1:8" x14ac:dyDescent="0.4">
      <c r="A174" s="13" t="s">
        <v>2324</v>
      </c>
      <c r="B174" s="13" t="s">
        <v>2345</v>
      </c>
      <c r="C174" s="13" t="s">
        <v>44</v>
      </c>
      <c r="D174" s="59">
        <v>45992</v>
      </c>
      <c r="E174" s="6">
        <v>1217295</v>
      </c>
      <c r="F174" s="54">
        <v>173</v>
      </c>
      <c r="H174" s="20"/>
    </row>
    <row r="175" spans="1:8" x14ac:dyDescent="0.4">
      <c r="A175" s="13" t="s">
        <v>2324</v>
      </c>
      <c r="B175" s="13" t="s">
        <v>2345</v>
      </c>
      <c r="C175" s="13" t="s">
        <v>44</v>
      </c>
      <c r="D175" s="59">
        <v>46023</v>
      </c>
      <c r="E175" s="6">
        <v>3480435</v>
      </c>
      <c r="F175" s="13">
        <v>174</v>
      </c>
      <c r="H175" s="20"/>
    </row>
    <row r="176" spans="1:8" x14ac:dyDescent="0.4">
      <c r="A176" s="13" t="s">
        <v>2324</v>
      </c>
      <c r="B176" s="13" t="s">
        <v>2345</v>
      </c>
      <c r="C176" s="13" t="s">
        <v>44</v>
      </c>
      <c r="D176" s="59">
        <v>46054</v>
      </c>
      <c r="E176" s="6">
        <v>3531870</v>
      </c>
      <c r="F176" s="54">
        <v>175</v>
      </c>
      <c r="H176" s="20"/>
    </row>
    <row r="177" spans="1:8" x14ac:dyDescent="0.4">
      <c r="A177" s="13" t="s">
        <v>2324</v>
      </c>
      <c r="B177" s="13" t="s">
        <v>2345</v>
      </c>
      <c r="C177" s="13" t="s">
        <v>44</v>
      </c>
      <c r="D177" s="59">
        <v>46082</v>
      </c>
      <c r="E177" s="6">
        <v>3489008</v>
      </c>
      <c r="F177" s="13">
        <v>176</v>
      </c>
      <c r="H177" s="20"/>
    </row>
    <row r="178" spans="1:8" x14ac:dyDescent="0.4">
      <c r="A178" s="13" t="s">
        <v>2324</v>
      </c>
      <c r="B178" s="13" t="s">
        <v>2345</v>
      </c>
      <c r="C178" s="13" t="s">
        <v>44</v>
      </c>
      <c r="D178" s="59">
        <v>46113</v>
      </c>
      <c r="E178" s="6">
        <v>3248978</v>
      </c>
      <c r="F178" s="54">
        <v>177</v>
      </c>
      <c r="H178" s="20"/>
    </row>
    <row r="179" spans="1:8" x14ac:dyDescent="0.4">
      <c r="A179" s="13" t="s">
        <v>2324</v>
      </c>
      <c r="B179" s="13" t="s">
        <v>2345</v>
      </c>
      <c r="C179" s="13" t="s">
        <v>44</v>
      </c>
      <c r="D179" s="59">
        <v>46143</v>
      </c>
      <c r="E179" s="6">
        <v>2374583</v>
      </c>
      <c r="F179" s="13">
        <v>178</v>
      </c>
      <c r="H179" s="20"/>
    </row>
    <row r="180" spans="1:8" x14ac:dyDescent="0.4">
      <c r="A180" s="13" t="s">
        <v>2324</v>
      </c>
      <c r="B180" s="13" t="s">
        <v>2345</v>
      </c>
      <c r="C180" s="13" t="s">
        <v>44</v>
      </c>
      <c r="D180" s="59">
        <v>46174</v>
      </c>
      <c r="E180" s="6">
        <v>2314575</v>
      </c>
      <c r="F180" s="54">
        <v>179</v>
      </c>
      <c r="H180" s="20"/>
    </row>
    <row r="181" spans="1:8" x14ac:dyDescent="0.4">
      <c r="A181" s="13" t="s">
        <v>2324</v>
      </c>
      <c r="B181" s="13" t="s">
        <v>2345</v>
      </c>
      <c r="C181" s="13" t="s">
        <v>44</v>
      </c>
      <c r="D181" s="59">
        <v>46204</v>
      </c>
      <c r="E181" s="6">
        <v>51435</v>
      </c>
      <c r="F181" s="13">
        <v>180</v>
      </c>
      <c r="H181" s="20"/>
    </row>
    <row r="182" spans="1:8" x14ac:dyDescent="0.4">
      <c r="A182" s="13" t="s">
        <v>2324</v>
      </c>
      <c r="B182" s="13" t="s">
        <v>2345</v>
      </c>
      <c r="C182" s="13" t="s">
        <v>44</v>
      </c>
      <c r="D182" s="59">
        <v>46235</v>
      </c>
      <c r="E182" s="6">
        <v>0</v>
      </c>
      <c r="F182" s="54">
        <v>181</v>
      </c>
      <c r="H182" s="20"/>
    </row>
    <row r="183" spans="1:8" x14ac:dyDescent="0.4">
      <c r="A183" s="13" t="s">
        <v>2324</v>
      </c>
      <c r="B183" s="13" t="s">
        <v>2345</v>
      </c>
      <c r="C183" s="13" t="s">
        <v>44</v>
      </c>
      <c r="D183" s="59">
        <v>46266</v>
      </c>
      <c r="E183" s="6">
        <v>0</v>
      </c>
      <c r="F183" s="13">
        <v>182</v>
      </c>
      <c r="H183" s="20"/>
    </row>
    <row r="184" spans="1:8" x14ac:dyDescent="0.4">
      <c r="A184" s="13" t="s">
        <v>2324</v>
      </c>
      <c r="B184" s="13" t="s">
        <v>2345</v>
      </c>
      <c r="C184" s="13" t="s">
        <v>44</v>
      </c>
      <c r="D184" s="59">
        <v>46296</v>
      </c>
      <c r="E184" s="6">
        <v>0</v>
      </c>
      <c r="F184" s="54">
        <v>183</v>
      </c>
      <c r="H184" s="20"/>
    </row>
    <row r="185" spans="1:8" x14ac:dyDescent="0.4">
      <c r="A185" s="13" t="s">
        <v>2324</v>
      </c>
      <c r="B185" s="13" t="s">
        <v>2345</v>
      </c>
      <c r="C185" s="13" t="s">
        <v>44</v>
      </c>
      <c r="D185" s="59">
        <v>46327</v>
      </c>
      <c r="E185" s="6">
        <v>0</v>
      </c>
      <c r="F185" s="13">
        <v>184</v>
      </c>
      <c r="H185" s="20"/>
    </row>
    <row r="186" spans="1:8" x14ac:dyDescent="0.4">
      <c r="A186" s="13" t="s">
        <v>2324</v>
      </c>
      <c r="B186" s="13" t="s">
        <v>2345</v>
      </c>
      <c r="C186" s="13" t="s">
        <v>44</v>
      </c>
      <c r="D186" s="59">
        <v>46357</v>
      </c>
      <c r="E186" s="6">
        <v>0</v>
      </c>
      <c r="F186" s="54">
        <v>185</v>
      </c>
      <c r="H186" s="20"/>
    </row>
    <row r="187" spans="1:8" x14ac:dyDescent="0.4">
      <c r="A187" s="13" t="s">
        <v>2324</v>
      </c>
      <c r="B187" s="13" t="s">
        <v>2345</v>
      </c>
      <c r="C187" s="13" t="s">
        <v>44</v>
      </c>
      <c r="D187" s="59">
        <v>46388</v>
      </c>
      <c r="E187" s="6">
        <v>0</v>
      </c>
      <c r="F187" s="13">
        <v>186</v>
      </c>
      <c r="H187" s="20"/>
    </row>
    <row r="188" spans="1:8" x14ac:dyDescent="0.4">
      <c r="A188" s="13" t="s">
        <v>2324</v>
      </c>
      <c r="B188" s="13" t="s">
        <v>2345</v>
      </c>
      <c r="C188" s="13" t="s">
        <v>44</v>
      </c>
      <c r="D188" s="59">
        <v>46419</v>
      </c>
      <c r="E188" s="6">
        <v>0</v>
      </c>
      <c r="F188" s="54">
        <v>187</v>
      </c>
      <c r="H188" s="20"/>
    </row>
    <row r="189" spans="1:8" x14ac:dyDescent="0.4">
      <c r="A189" s="13" t="s">
        <v>2324</v>
      </c>
      <c r="B189" s="13" t="s">
        <v>2345</v>
      </c>
      <c r="C189" s="13" t="s">
        <v>44</v>
      </c>
      <c r="D189" s="59">
        <v>46447</v>
      </c>
      <c r="E189" s="6">
        <v>0</v>
      </c>
      <c r="F189" s="13">
        <v>188</v>
      </c>
      <c r="H189" s="20"/>
    </row>
    <row r="190" spans="1:8" x14ac:dyDescent="0.4">
      <c r="A190" s="13" t="s">
        <v>2324</v>
      </c>
      <c r="B190" s="13" t="s">
        <v>2345</v>
      </c>
      <c r="C190" s="13" t="s">
        <v>44</v>
      </c>
      <c r="D190" s="59">
        <v>46478</v>
      </c>
      <c r="E190" s="6">
        <v>0</v>
      </c>
      <c r="F190" s="54">
        <v>189</v>
      </c>
      <c r="H190" s="20"/>
    </row>
    <row r="191" spans="1:8" x14ac:dyDescent="0.4">
      <c r="A191" s="13" t="s">
        <v>2324</v>
      </c>
      <c r="B191" s="13" t="s">
        <v>2345</v>
      </c>
      <c r="C191" s="13" t="s">
        <v>44</v>
      </c>
      <c r="D191" s="59">
        <v>46508</v>
      </c>
      <c r="E191" s="6">
        <v>0</v>
      </c>
      <c r="F191" s="13">
        <v>190</v>
      </c>
      <c r="H191" s="20"/>
    </row>
    <row r="192" spans="1:8" x14ac:dyDescent="0.4">
      <c r="A192" s="13" t="s">
        <v>2324</v>
      </c>
      <c r="B192" s="13" t="s">
        <v>2345</v>
      </c>
      <c r="C192" s="13" t="s">
        <v>44</v>
      </c>
      <c r="D192" s="59">
        <v>46539</v>
      </c>
      <c r="E192" s="6">
        <v>0</v>
      </c>
      <c r="F192" s="54">
        <v>191</v>
      </c>
      <c r="H192" s="20"/>
    </row>
    <row r="193" spans="1:8" x14ac:dyDescent="0.4">
      <c r="A193" s="13" t="s">
        <v>2324</v>
      </c>
      <c r="B193" s="13" t="s">
        <v>2345</v>
      </c>
      <c r="C193" s="13" t="s">
        <v>44</v>
      </c>
      <c r="D193" s="59">
        <v>46569</v>
      </c>
      <c r="E193" s="6">
        <v>0</v>
      </c>
      <c r="F193" s="13">
        <v>192</v>
      </c>
      <c r="H193" s="20"/>
    </row>
    <row r="194" spans="1:8" x14ac:dyDescent="0.4">
      <c r="A194" s="13" t="s">
        <v>2324</v>
      </c>
      <c r="B194" s="13" t="s">
        <v>2345</v>
      </c>
      <c r="C194" s="13" t="s">
        <v>1944</v>
      </c>
      <c r="D194" s="59">
        <v>45870</v>
      </c>
      <c r="E194" s="6">
        <v>0</v>
      </c>
      <c r="F194" s="54">
        <v>193</v>
      </c>
      <c r="H194" s="20"/>
    </row>
    <row r="195" spans="1:8" x14ac:dyDescent="0.4">
      <c r="A195" s="13" t="s">
        <v>2324</v>
      </c>
      <c r="B195" s="13" t="s">
        <v>2345</v>
      </c>
      <c r="C195" s="13" t="s">
        <v>1944</v>
      </c>
      <c r="D195" s="59">
        <v>45901</v>
      </c>
      <c r="E195" s="6">
        <v>67932</v>
      </c>
      <c r="F195" s="13">
        <v>194</v>
      </c>
      <c r="H195" s="20"/>
    </row>
    <row r="196" spans="1:8" x14ac:dyDescent="0.4">
      <c r="A196" s="13" t="s">
        <v>2324</v>
      </c>
      <c r="B196" s="13" t="s">
        <v>2345</v>
      </c>
      <c r="C196" s="13" t="s">
        <v>1944</v>
      </c>
      <c r="D196" s="59">
        <v>45931</v>
      </c>
      <c r="E196" s="6">
        <v>67932</v>
      </c>
      <c r="F196" s="54">
        <v>195</v>
      </c>
      <c r="H196" s="20"/>
    </row>
    <row r="197" spans="1:8" x14ac:dyDescent="0.4">
      <c r="A197" s="13" t="s">
        <v>2324</v>
      </c>
      <c r="B197" s="13" t="s">
        <v>2345</v>
      </c>
      <c r="C197" s="13" t="s">
        <v>1944</v>
      </c>
      <c r="D197" s="59">
        <v>45962</v>
      </c>
      <c r="E197" s="6">
        <v>67932</v>
      </c>
      <c r="F197" s="13">
        <v>196</v>
      </c>
      <c r="H197" s="20"/>
    </row>
    <row r="198" spans="1:8" x14ac:dyDescent="0.4">
      <c r="A198" s="13" t="s">
        <v>2324</v>
      </c>
      <c r="B198" s="13" t="s">
        <v>2345</v>
      </c>
      <c r="C198" s="13" t="s">
        <v>1944</v>
      </c>
      <c r="D198" s="59">
        <v>45992</v>
      </c>
      <c r="E198" s="6">
        <v>67932</v>
      </c>
      <c r="F198" s="54">
        <v>197</v>
      </c>
      <c r="H198" s="20"/>
    </row>
    <row r="199" spans="1:8" x14ac:dyDescent="0.4">
      <c r="A199" s="13" t="s">
        <v>2324</v>
      </c>
      <c r="B199" s="13" t="s">
        <v>2345</v>
      </c>
      <c r="C199" s="13" t="s">
        <v>1944</v>
      </c>
      <c r="D199" s="59">
        <v>46023</v>
      </c>
      <c r="E199" s="6">
        <v>72178</v>
      </c>
      <c r="F199" s="13">
        <v>198</v>
      </c>
      <c r="H199" s="20"/>
    </row>
    <row r="200" spans="1:8" x14ac:dyDescent="0.4">
      <c r="A200" s="13" t="s">
        <v>2324</v>
      </c>
      <c r="B200" s="13" t="s">
        <v>2345</v>
      </c>
      <c r="C200" s="13" t="s">
        <v>1944</v>
      </c>
      <c r="D200" s="59">
        <v>46054</v>
      </c>
      <c r="E200" s="6">
        <v>72178</v>
      </c>
      <c r="F200" s="54">
        <v>199</v>
      </c>
      <c r="H200" s="20"/>
    </row>
    <row r="201" spans="1:8" x14ac:dyDescent="0.4">
      <c r="A201" s="13" t="s">
        <v>2324</v>
      </c>
      <c r="B201" s="13" t="s">
        <v>2345</v>
      </c>
      <c r="C201" s="13" t="s">
        <v>1944</v>
      </c>
      <c r="D201" s="59">
        <v>46082</v>
      </c>
      <c r="E201" s="6">
        <v>114635</v>
      </c>
      <c r="F201" s="13">
        <v>200</v>
      </c>
      <c r="H201" s="20"/>
    </row>
    <row r="202" spans="1:8" x14ac:dyDescent="0.4">
      <c r="A202" s="13" t="s">
        <v>2324</v>
      </c>
      <c r="B202" s="13" t="s">
        <v>2345</v>
      </c>
      <c r="C202" s="13" t="s">
        <v>1944</v>
      </c>
      <c r="D202" s="59">
        <v>46113</v>
      </c>
      <c r="E202" s="6">
        <v>114635</v>
      </c>
      <c r="F202" s="54">
        <v>201</v>
      </c>
      <c r="H202" s="20"/>
    </row>
    <row r="203" spans="1:8" x14ac:dyDescent="0.4">
      <c r="A203" s="13" t="s">
        <v>2324</v>
      </c>
      <c r="B203" s="13" t="s">
        <v>2345</v>
      </c>
      <c r="C203" s="13" t="s">
        <v>1944</v>
      </c>
      <c r="D203" s="59">
        <v>46143</v>
      </c>
      <c r="E203" s="6">
        <v>140110</v>
      </c>
      <c r="F203" s="13">
        <v>202</v>
      </c>
      <c r="H203" s="20"/>
    </row>
    <row r="204" spans="1:8" x14ac:dyDescent="0.4">
      <c r="A204" s="13" t="s">
        <v>2324</v>
      </c>
      <c r="B204" s="13" t="s">
        <v>2345</v>
      </c>
      <c r="C204" s="13" t="s">
        <v>1944</v>
      </c>
      <c r="D204" s="59">
        <v>46174</v>
      </c>
      <c r="E204" s="6">
        <v>165584</v>
      </c>
      <c r="F204" s="54">
        <v>203</v>
      </c>
      <c r="H204" s="20"/>
    </row>
    <row r="205" spans="1:8" x14ac:dyDescent="0.4">
      <c r="A205" s="13" t="s">
        <v>2324</v>
      </c>
      <c r="B205" s="13" t="s">
        <v>2345</v>
      </c>
      <c r="C205" s="13" t="s">
        <v>1944</v>
      </c>
      <c r="D205" s="59">
        <v>46204</v>
      </c>
      <c r="E205" s="6">
        <v>174076</v>
      </c>
      <c r="F205" s="13">
        <v>204</v>
      </c>
      <c r="H205" s="20"/>
    </row>
    <row r="206" spans="1:8" x14ac:dyDescent="0.4">
      <c r="A206" s="13" t="s">
        <v>2324</v>
      </c>
      <c r="B206" s="13" t="s">
        <v>2345</v>
      </c>
      <c r="C206" s="13" t="s">
        <v>1944</v>
      </c>
      <c r="D206" s="59">
        <v>46235</v>
      </c>
      <c r="E206" s="6">
        <v>178322</v>
      </c>
      <c r="F206" s="54">
        <v>205</v>
      </c>
      <c r="H206" s="20"/>
    </row>
    <row r="207" spans="1:8" x14ac:dyDescent="0.4">
      <c r="A207" s="13" t="s">
        <v>2324</v>
      </c>
      <c r="B207" s="13" t="s">
        <v>2345</v>
      </c>
      <c r="C207" s="13" t="s">
        <v>1944</v>
      </c>
      <c r="D207" s="59">
        <v>46266</v>
      </c>
      <c r="E207" s="6">
        <v>110390</v>
      </c>
      <c r="F207" s="13">
        <v>206</v>
      </c>
      <c r="H207" s="20"/>
    </row>
    <row r="208" spans="1:8" x14ac:dyDescent="0.4">
      <c r="A208" s="13" t="s">
        <v>2324</v>
      </c>
      <c r="B208" s="13" t="s">
        <v>2345</v>
      </c>
      <c r="C208" s="13" t="s">
        <v>1944</v>
      </c>
      <c r="D208" s="59">
        <v>46296</v>
      </c>
      <c r="E208" s="6">
        <v>110390</v>
      </c>
      <c r="F208" s="54">
        <v>207</v>
      </c>
      <c r="H208" s="20"/>
    </row>
    <row r="209" spans="1:8" x14ac:dyDescent="0.4">
      <c r="A209" s="13" t="s">
        <v>2324</v>
      </c>
      <c r="B209" s="13" t="s">
        <v>2345</v>
      </c>
      <c r="C209" s="13" t="s">
        <v>1944</v>
      </c>
      <c r="D209" s="59">
        <v>46327</v>
      </c>
      <c r="E209" s="6">
        <v>110390</v>
      </c>
      <c r="F209" s="13">
        <v>208</v>
      </c>
      <c r="H209" s="20"/>
    </row>
    <row r="210" spans="1:8" x14ac:dyDescent="0.4">
      <c r="A210" s="13" t="s">
        <v>2324</v>
      </c>
      <c r="B210" s="13" t="s">
        <v>2345</v>
      </c>
      <c r="C210" s="13" t="s">
        <v>1944</v>
      </c>
      <c r="D210" s="59">
        <v>46357</v>
      </c>
      <c r="E210" s="6">
        <v>110390</v>
      </c>
      <c r="F210" s="54">
        <v>209</v>
      </c>
      <c r="H210" s="20"/>
    </row>
    <row r="211" spans="1:8" x14ac:dyDescent="0.4">
      <c r="A211" s="13" t="s">
        <v>2324</v>
      </c>
      <c r="B211" s="13" t="s">
        <v>2345</v>
      </c>
      <c r="C211" s="13" t="s">
        <v>1944</v>
      </c>
      <c r="D211" s="59">
        <v>46388</v>
      </c>
      <c r="E211" s="6">
        <v>106144</v>
      </c>
      <c r="F211" s="13">
        <v>210</v>
      </c>
      <c r="H211" s="20"/>
    </row>
    <row r="212" spans="1:8" x14ac:dyDescent="0.4">
      <c r="A212" s="13" t="s">
        <v>2324</v>
      </c>
      <c r="B212" s="13" t="s">
        <v>2345</v>
      </c>
      <c r="C212" s="13" t="s">
        <v>1944</v>
      </c>
      <c r="D212" s="59">
        <v>46419</v>
      </c>
      <c r="E212" s="6">
        <v>106144</v>
      </c>
      <c r="F212" s="54">
        <v>211</v>
      </c>
      <c r="H212" s="20"/>
    </row>
    <row r="213" spans="1:8" x14ac:dyDescent="0.4">
      <c r="A213" s="13" t="s">
        <v>2324</v>
      </c>
      <c r="B213" s="13" t="s">
        <v>2345</v>
      </c>
      <c r="C213" s="13" t="s">
        <v>1944</v>
      </c>
      <c r="D213" s="59">
        <v>46447</v>
      </c>
      <c r="E213" s="6">
        <v>63686</v>
      </c>
      <c r="F213" s="13">
        <v>212</v>
      </c>
      <c r="H213" s="20"/>
    </row>
    <row r="214" spans="1:8" x14ac:dyDescent="0.4">
      <c r="A214" s="13" t="s">
        <v>2324</v>
      </c>
      <c r="B214" s="13" t="s">
        <v>2345</v>
      </c>
      <c r="C214" s="13" t="s">
        <v>1944</v>
      </c>
      <c r="D214" s="59">
        <v>46478</v>
      </c>
      <c r="E214" s="6">
        <v>63686</v>
      </c>
      <c r="F214" s="54">
        <v>213</v>
      </c>
      <c r="H214" s="20"/>
    </row>
    <row r="215" spans="1:8" x14ac:dyDescent="0.4">
      <c r="A215" s="13" t="s">
        <v>2324</v>
      </c>
      <c r="B215" s="13" t="s">
        <v>2345</v>
      </c>
      <c r="C215" s="13" t="s">
        <v>1944</v>
      </c>
      <c r="D215" s="59">
        <v>46508</v>
      </c>
      <c r="E215" s="6">
        <v>38212</v>
      </c>
      <c r="F215" s="13">
        <v>214</v>
      </c>
      <c r="H215" s="20"/>
    </row>
    <row r="216" spans="1:8" x14ac:dyDescent="0.4">
      <c r="A216" s="13" t="s">
        <v>2324</v>
      </c>
      <c r="B216" s="13" t="s">
        <v>2345</v>
      </c>
      <c r="C216" s="13" t="s">
        <v>1944</v>
      </c>
      <c r="D216" s="59">
        <v>46539</v>
      </c>
      <c r="E216" s="6">
        <v>12737</v>
      </c>
      <c r="F216" s="54">
        <v>215</v>
      </c>
      <c r="H216" s="20"/>
    </row>
    <row r="217" spans="1:8" x14ac:dyDescent="0.4">
      <c r="A217" s="13" t="s">
        <v>2324</v>
      </c>
      <c r="B217" s="13" t="s">
        <v>2345</v>
      </c>
      <c r="C217" s="13" t="s">
        <v>1944</v>
      </c>
      <c r="D217" s="59">
        <v>46569</v>
      </c>
      <c r="E217" s="6">
        <v>4246</v>
      </c>
      <c r="F217" s="13">
        <v>216</v>
      </c>
      <c r="H217" s="20"/>
    </row>
    <row r="218" spans="1:8" x14ac:dyDescent="0.4">
      <c r="A218" s="13" t="s">
        <v>2324</v>
      </c>
      <c r="B218" s="13" t="s">
        <v>2345</v>
      </c>
      <c r="C218" s="13" t="s">
        <v>70</v>
      </c>
      <c r="D218" s="59">
        <v>45870</v>
      </c>
      <c r="E218" s="6">
        <v>0</v>
      </c>
      <c r="F218" s="54">
        <v>217</v>
      </c>
      <c r="H218" s="20"/>
    </row>
    <row r="219" spans="1:8" x14ac:dyDescent="0.4">
      <c r="A219" s="13" t="s">
        <v>2324</v>
      </c>
      <c r="B219" s="13" t="s">
        <v>2345</v>
      </c>
      <c r="C219" s="13" t="s">
        <v>70</v>
      </c>
      <c r="D219" s="59">
        <v>45901</v>
      </c>
      <c r="E219" s="6">
        <v>0</v>
      </c>
      <c r="F219" s="13">
        <v>218</v>
      </c>
      <c r="H219" s="20"/>
    </row>
    <row r="220" spans="1:8" x14ac:dyDescent="0.4">
      <c r="A220" s="13" t="s">
        <v>2324</v>
      </c>
      <c r="B220" s="13" t="s">
        <v>2345</v>
      </c>
      <c r="C220" s="13" t="s">
        <v>70</v>
      </c>
      <c r="D220" s="59">
        <v>45931</v>
      </c>
      <c r="E220" s="6">
        <v>17820</v>
      </c>
      <c r="F220" s="54">
        <v>219</v>
      </c>
      <c r="H220" s="20"/>
    </row>
    <row r="221" spans="1:8" x14ac:dyDescent="0.4">
      <c r="A221" s="13" t="s">
        <v>2324</v>
      </c>
      <c r="B221" s="13" t="s">
        <v>2345</v>
      </c>
      <c r="C221" s="13" t="s">
        <v>70</v>
      </c>
      <c r="D221" s="59">
        <v>45962</v>
      </c>
      <c r="E221" s="6">
        <v>17820</v>
      </c>
      <c r="F221" s="13">
        <v>220</v>
      </c>
      <c r="H221" s="20"/>
    </row>
    <row r="222" spans="1:8" x14ac:dyDescent="0.4">
      <c r="A222" s="13" t="s">
        <v>2324</v>
      </c>
      <c r="B222" s="13" t="s">
        <v>2345</v>
      </c>
      <c r="C222" s="13" t="s">
        <v>70</v>
      </c>
      <c r="D222" s="59">
        <v>45992</v>
      </c>
      <c r="E222" s="6">
        <v>17820</v>
      </c>
      <c r="F222" s="54">
        <v>221</v>
      </c>
      <c r="H222" s="20"/>
    </row>
    <row r="223" spans="1:8" x14ac:dyDescent="0.4">
      <c r="A223" s="13" t="s">
        <v>2324</v>
      </c>
      <c r="B223" s="13" t="s">
        <v>2345</v>
      </c>
      <c r="C223" s="13" t="s">
        <v>70</v>
      </c>
      <c r="D223" s="59">
        <v>46023</v>
      </c>
      <c r="E223" s="6">
        <v>0</v>
      </c>
      <c r="F223" s="13">
        <v>222</v>
      </c>
      <c r="H223" s="20"/>
    </row>
    <row r="224" spans="1:8" x14ac:dyDescent="0.4">
      <c r="A224" s="13" t="s">
        <v>2324</v>
      </c>
      <c r="B224" s="13" t="s">
        <v>2345</v>
      </c>
      <c r="C224" s="13" t="s">
        <v>70</v>
      </c>
      <c r="D224" s="59">
        <v>46054</v>
      </c>
      <c r="E224" s="6">
        <v>0</v>
      </c>
      <c r="F224" s="54">
        <v>223</v>
      </c>
      <c r="H224" s="20"/>
    </row>
    <row r="225" spans="1:8" x14ac:dyDescent="0.4">
      <c r="A225" s="13" t="s">
        <v>2324</v>
      </c>
      <c r="B225" s="13" t="s">
        <v>2345</v>
      </c>
      <c r="C225" s="13" t="s">
        <v>70</v>
      </c>
      <c r="D225" s="59">
        <v>46082</v>
      </c>
      <c r="E225" s="6">
        <v>0</v>
      </c>
      <c r="F225" s="13">
        <v>224</v>
      </c>
      <c r="H225" s="20"/>
    </row>
    <row r="226" spans="1:8" x14ac:dyDescent="0.4">
      <c r="A226" s="13" t="s">
        <v>2324</v>
      </c>
      <c r="B226" s="13" t="s">
        <v>2345</v>
      </c>
      <c r="C226" s="13" t="s">
        <v>70</v>
      </c>
      <c r="D226" s="59">
        <v>46113</v>
      </c>
      <c r="E226" s="6">
        <v>0</v>
      </c>
      <c r="F226" s="54">
        <v>225</v>
      </c>
      <c r="H226" s="20"/>
    </row>
    <row r="227" spans="1:8" x14ac:dyDescent="0.4">
      <c r="A227" s="13" t="s">
        <v>2324</v>
      </c>
      <c r="B227" s="13" t="s">
        <v>2345</v>
      </c>
      <c r="C227" s="13" t="s">
        <v>70</v>
      </c>
      <c r="D227" s="59">
        <v>46143</v>
      </c>
      <c r="E227" s="6">
        <v>0</v>
      </c>
      <c r="F227" s="13">
        <v>226</v>
      </c>
      <c r="H227" s="20"/>
    </row>
    <row r="228" spans="1:8" x14ac:dyDescent="0.4">
      <c r="A228" s="13" t="s">
        <v>2324</v>
      </c>
      <c r="B228" s="13" t="s">
        <v>2345</v>
      </c>
      <c r="C228" s="13" t="s">
        <v>70</v>
      </c>
      <c r="D228" s="59">
        <v>46174</v>
      </c>
      <c r="E228" s="6">
        <v>0</v>
      </c>
      <c r="F228" s="54">
        <v>227</v>
      </c>
      <c r="H228" s="20"/>
    </row>
    <row r="229" spans="1:8" x14ac:dyDescent="0.4">
      <c r="A229" s="13" t="s">
        <v>2324</v>
      </c>
      <c r="B229" s="13" t="s">
        <v>2345</v>
      </c>
      <c r="C229" s="13" t="s">
        <v>70</v>
      </c>
      <c r="D229" s="59">
        <v>46204</v>
      </c>
      <c r="E229" s="6">
        <v>0</v>
      </c>
      <c r="F229" s="13">
        <v>228</v>
      </c>
      <c r="H229" s="20"/>
    </row>
    <row r="230" spans="1:8" x14ac:dyDescent="0.4">
      <c r="A230" s="13" t="s">
        <v>2324</v>
      </c>
      <c r="B230" s="13" t="s">
        <v>2345</v>
      </c>
      <c r="C230" s="13" t="s">
        <v>70</v>
      </c>
      <c r="D230" s="59">
        <v>46235</v>
      </c>
      <c r="E230" s="6">
        <v>0</v>
      </c>
      <c r="F230" s="54">
        <v>229</v>
      </c>
      <c r="H230" s="20"/>
    </row>
    <row r="231" spans="1:8" x14ac:dyDescent="0.4">
      <c r="A231" s="13" t="s">
        <v>2324</v>
      </c>
      <c r="B231" s="13" t="s">
        <v>2345</v>
      </c>
      <c r="C231" s="13" t="s">
        <v>70</v>
      </c>
      <c r="D231" s="59">
        <v>46266</v>
      </c>
      <c r="E231" s="6">
        <v>0</v>
      </c>
      <c r="F231" s="13">
        <v>230</v>
      </c>
      <c r="H231" s="20"/>
    </row>
    <row r="232" spans="1:8" x14ac:dyDescent="0.4">
      <c r="A232" s="13" t="s">
        <v>2324</v>
      </c>
      <c r="B232" s="13" t="s">
        <v>2345</v>
      </c>
      <c r="C232" s="13" t="s">
        <v>70</v>
      </c>
      <c r="D232" s="59">
        <v>46296</v>
      </c>
      <c r="E232" s="6">
        <v>0</v>
      </c>
      <c r="F232" s="54">
        <v>231</v>
      </c>
      <c r="H232" s="20"/>
    </row>
    <row r="233" spans="1:8" x14ac:dyDescent="0.4">
      <c r="A233" s="13" t="s">
        <v>2324</v>
      </c>
      <c r="B233" s="13" t="s">
        <v>2345</v>
      </c>
      <c r="C233" s="13" t="s">
        <v>70</v>
      </c>
      <c r="D233" s="59">
        <v>46327</v>
      </c>
      <c r="E233" s="6">
        <v>0</v>
      </c>
      <c r="F233" s="13">
        <v>232</v>
      </c>
      <c r="H233" s="20"/>
    </row>
    <row r="234" spans="1:8" x14ac:dyDescent="0.4">
      <c r="A234" s="13" t="s">
        <v>2324</v>
      </c>
      <c r="B234" s="13" t="s">
        <v>2345</v>
      </c>
      <c r="C234" s="13" t="s">
        <v>70</v>
      </c>
      <c r="D234" s="59">
        <v>46357</v>
      </c>
      <c r="E234" s="6">
        <v>0</v>
      </c>
      <c r="F234" s="54">
        <v>233</v>
      </c>
      <c r="H234" s="20"/>
    </row>
    <row r="235" spans="1:8" x14ac:dyDescent="0.4">
      <c r="A235" s="13" t="s">
        <v>2324</v>
      </c>
      <c r="B235" s="13" t="s">
        <v>2345</v>
      </c>
      <c r="C235" s="13" t="s">
        <v>70</v>
      </c>
      <c r="D235" s="59">
        <v>46388</v>
      </c>
      <c r="E235" s="6">
        <v>0</v>
      </c>
      <c r="F235" s="13">
        <v>234</v>
      </c>
      <c r="H235" s="20"/>
    </row>
    <row r="236" spans="1:8" x14ac:dyDescent="0.4">
      <c r="A236" s="13" t="s">
        <v>2324</v>
      </c>
      <c r="B236" s="13" t="s">
        <v>2345</v>
      </c>
      <c r="C236" s="13" t="s">
        <v>70</v>
      </c>
      <c r="D236" s="59">
        <v>46419</v>
      </c>
      <c r="E236" s="6">
        <v>0</v>
      </c>
      <c r="F236" s="54">
        <v>235</v>
      </c>
      <c r="H236" s="20"/>
    </row>
    <row r="237" spans="1:8" x14ac:dyDescent="0.4">
      <c r="A237" s="13" t="s">
        <v>2324</v>
      </c>
      <c r="B237" s="13" t="s">
        <v>2345</v>
      </c>
      <c r="C237" s="13" t="s">
        <v>70</v>
      </c>
      <c r="D237" s="59">
        <v>46447</v>
      </c>
      <c r="E237" s="6">
        <v>0</v>
      </c>
      <c r="F237" s="13">
        <v>236</v>
      </c>
      <c r="H237" s="20"/>
    </row>
    <row r="238" spans="1:8" x14ac:dyDescent="0.4">
      <c r="A238" s="13" t="s">
        <v>2324</v>
      </c>
      <c r="B238" s="13" t="s">
        <v>2345</v>
      </c>
      <c r="C238" s="13" t="s">
        <v>70</v>
      </c>
      <c r="D238" s="59">
        <v>46478</v>
      </c>
      <c r="E238" s="6">
        <v>0</v>
      </c>
      <c r="F238" s="54">
        <v>237</v>
      </c>
      <c r="H238" s="20"/>
    </row>
    <row r="239" spans="1:8" x14ac:dyDescent="0.4">
      <c r="A239" s="13" t="s">
        <v>2324</v>
      </c>
      <c r="B239" s="13" t="s">
        <v>2345</v>
      </c>
      <c r="C239" s="13" t="s">
        <v>70</v>
      </c>
      <c r="D239" s="59">
        <v>46508</v>
      </c>
      <c r="E239" s="6">
        <v>0</v>
      </c>
      <c r="F239" s="13">
        <v>238</v>
      </c>
      <c r="H239" s="20"/>
    </row>
    <row r="240" spans="1:8" x14ac:dyDescent="0.4">
      <c r="A240" s="13" t="s">
        <v>2324</v>
      </c>
      <c r="B240" s="13" t="s">
        <v>2345</v>
      </c>
      <c r="C240" s="13" t="s">
        <v>70</v>
      </c>
      <c r="D240" s="59">
        <v>46539</v>
      </c>
      <c r="E240" s="6">
        <v>0</v>
      </c>
      <c r="F240" s="54">
        <v>239</v>
      </c>
      <c r="H240" s="20"/>
    </row>
    <row r="241" spans="1:8" x14ac:dyDescent="0.4">
      <c r="A241" s="13" t="s">
        <v>2324</v>
      </c>
      <c r="B241" s="13" t="s">
        <v>2345</v>
      </c>
      <c r="C241" s="13" t="s">
        <v>70</v>
      </c>
      <c r="D241" s="59">
        <v>46569</v>
      </c>
      <c r="E241" s="6">
        <v>0</v>
      </c>
      <c r="F241" s="13">
        <v>240</v>
      </c>
      <c r="H241" s="20"/>
    </row>
    <row r="242" spans="1:8" x14ac:dyDescent="0.4">
      <c r="A242" s="13" t="s">
        <v>2324</v>
      </c>
      <c r="B242" s="13" t="s">
        <v>2345</v>
      </c>
      <c r="C242" s="13" t="s">
        <v>50</v>
      </c>
      <c r="D242" s="59">
        <v>45870</v>
      </c>
      <c r="E242" s="6">
        <v>0</v>
      </c>
      <c r="F242" s="54">
        <v>241</v>
      </c>
      <c r="H242" s="20"/>
    </row>
    <row r="243" spans="1:8" x14ac:dyDescent="0.4">
      <c r="A243" s="13" t="s">
        <v>2324</v>
      </c>
      <c r="B243" s="13" t="s">
        <v>2345</v>
      </c>
      <c r="C243" s="13" t="s">
        <v>50</v>
      </c>
      <c r="D243" s="59">
        <v>45901</v>
      </c>
      <c r="E243" s="6">
        <v>0</v>
      </c>
      <c r="F243" s="13">
        <v>242</v>
      </c>
      <c r="H243" s="20"/>
    </row>
    <row r="244" spans="1:8" x14ac:dyDescent="0.4">
      <c r="A244" s="13" t="s">
        <v>2324</v>
      </c>
      <c r="B244" s="13" t="s">
        <v>2345</v>
      </c>
      <c r="C244" s="13" t="s">
        <v>50</v>
      </c>
      <c r="D244" s="59">
        <v>45931</v>
      </c>
      <c r="E244" s="6">
        <v>8573</v>
      </c>
      <c r="F244" s="54">
        <v>243</v>
      </c>
      <c r="H244" s="20"/>
    </row>
    <row r="245" spans="1:8" x14ac:dyDescent="0.4">
      <c r="A245" s="13" t="s">
        <v>2324</v>
      </c>
      <c r="B245" s="13" t="s">
        <v>2345</v>
      </c>
      <c r="C245" s="13" t="s">
        <v>50</v>
      </c>
      <c r="D245" s="59">
        <v>45962</v>
      </c>
      <c r="E245" s="6">
        <v>51435</v>
      </c>
      <c r="F245" s="13">
        <v>244</v>
      </c>
      <c r="H245" s="20"/>
    </row>
    <row r="246" spans="1:8" x14ac:dyDescent="0.4">
      <c r="A246" s="13" t="s">
        <v>2324</v>
      </c>
      <c r="B246" s="13" t="s">
        <v>2345</v>
      </c>
      <c r="C246" s="13" t="s">
        <v>50</v>
      </c>
      <c r="D246" s="59">
        <v>45992</v>
      </c>
      <c r="E246" s="6">
        <v>51435</v>
      </c>
      <c r="F246" s="54">
        <v>245</v>
      </c>
      <c r="H246" s="20"/>
    </row>
    <row r="247" spans="1:8" x14ac:dyDescent="0.4">
      <c r="A247" s="13" t="s">
        <v>2324</v>
      </c>
      <c r="B247" s="13" t="s">
        <v>2345</v>
      </c>
      <c r="C247" s="13" t="s">
        <v>50</v>
      </c>
      <c r="D247" s="59">
        <v>46023</v>
      </c>
      <c r="E247" s="6">
        <v>205740</v>
      </c>
      <c r="F247" s="13">
        <v>246</v>
      </c>
      <c r="H247" s="20"/>
    </row>
    <row r="248" spans="1:8" x14ac:dyDescent="0.4">
      <c r="A248" s="13" t="s">
        <v>2324</v>
      </c>
      <c r="B248" s="13" t="s">
        <v>2345</v>
      </c>
      <c r="C248" s="13" t="s">
        <v>50</v>
      </c>
      <c r="D248" s="59">
        <v>46054</v>
      </c>
      <c r="E248" s="6">
        <v>205740</v>
      </c>
      <c r="F248" s="54">
        <v>247</v>
      </c>
      <c r="H248" s="20"/>
    </row>
    <row r="249" spans="1:8" x14ac:dyDescent="0.4">
      <c r="A249" s="13" t="s">
        <v>2324</v>
      </c>
      <c r="B249" s="13" t="s">
        <v>2345</v>
      </c>
      <c r="C249" s="13" t="s">
        <v>50</v>
      </c>
      <c r="D249" s="59">
        <v>46082</v>
      </c>
      <c r="E249" s="6">
        <v>205740</v>
      </c>
      <c r="F249" s="13">
        <v>248</v>
      </c>
      <c r="H249" s="20"/>
    </row>
    <row r="250" spans="1:8" x14ac:dyDescent="0.4">
      <c r="A250" s="13" t="s">
        <v>2324</v>
      </c>
      <c r="B250" s="13" t="s">
        <v>2345</v>
      </c>
      <c r="C250" s="13" t="s">
        <v>50</v>
      </c>
      <c r="D250" s="59">
        <v>46113</v>
      </c>
      <c r="E250" s="6">
        <v>197168</v>
      </c>
      <c r="F250" s="54">
        <v>249</v>
      </c>
      <c r="H250" s="20"/>
    </row>
    <row r="251" spans="1:8" x14ac:dyDescent="0.4">
      <c r="A251" s="13" t="s">
        <v>2324</v>
      </c>
      <c r="B251" s="13" t="s">
        <v>2345</v>
      </c>
      <c r="C251" s="13" t="s">
        <v>50</v>
      </c>
      <c r="D251" s="59">
        <v>46143</v>
      </c>
      <c r="E251" s="6">
        <v>154305</v>
      </c>
      <c r="F251" s="13">
        <v>250</v>
      </c>
      <c r="H251" s="20"/>
    </row>
    <row r="252" spans="1:8" x14ac:dyDescent="0.4">
      <c r="A252" s="13" t="s">
        <v>2324</v>
      </c>
      <c r="B252" s="13" t="s">
        <v>2345</v>
      </c>
      <c r="C252" s="13" t="s">
        <v>50</v>
      </c>
      <c r="D252" s="59">
        <v>46174</v>
      </c>
      <c r="E252" s="6">
        <v>154305</v>
      </c>
      <c r="F252" s="54">
        <v>251</v>
      </c>
      <c r="H252" s="20"/>
    </row>
    <row r="253" spans="1:8" x14ac:dyDescent="0.4">
      <c r="A253" s="13" t="s">
        <v>2324</v>
      </c>
      <c r="B253" s="13" t="s">
        <v>2345</v>
      </c>
      <c r="C253" s="13" t="s">
        <v>50</v>
      </c>
      <c r="D253" s="59">
        <v>46204</v>
      </c>
      <c r="E253" s="6">
        <v>0</v>
      </c>
      <c r="F253" s="13">
        <v>252</v>
      </c>
      <c r="H253" s="20"/>
    </row>
    <row r="254" spans="1:8" x14ac:dyDescent="0.4">
      <c r="A254" s="13" t="s">
        <v>2324</v>
      </c>
      <c r="B254" s="13" t="s">
        <v>2345</v>
      </c>
      <c r="C254" s="13" t="s">
        <v>50</v>
      </c>
      <c r="D254" s="59">
        <v>46235</v>
      </c>
      <c r="E254" s="6">
        <v>0</v>
      </c>
      <c r="F254" s="54">
        <v>253</v>
      </c>
      <c r="H254" s="20"/>
    </row>
    <row r="255" spans="1:8" x14ac:dyDescent="0.4">
      <c r="A255" s="13" t="s">
        <v>2324</v>
      </c>
      <c r="B255" s="13" t="s">
        <v>2345</v>
      </c>
      <c r="C255" s="13" t="s">
        <v>50</v>
      </c>
      <c r="D255" s="59">
        <v>46266</v>
      </c>
      <c r="E255" s="6">
        <v>0</v>
      </c>
      <c r="F255" s="13">
        <v>254</v>
      </c>
      <c r="H255" s="20"/>
    </row>
    <row r="256" spans="1:8" x14ac:dyDescent="0.4">
      <c r="A256" s="13" t="s">
        <v>2324</v>
      </c>
      <c r="B256" s="13" t="s">
        <v>2345</v>
      </c>
      <c r="C256" s="13" t="s">
        <v>50</v>
      </c>
      <c r="D256" s="59">
        <v>46296</v>
      </c>
      <c r="E256" s="6">
        <v>0</v>
      </c>
      <c r="F256" s="54">
        <v>255</v>
      </c>
      <c r="H256" s="20"/>
    </row>
    <row r="257" spans="1:8" x14ac:dyDescent="0.4">
      <c r="A257" s="13" t="s">
        <v>2324</v>
      </c>
      <c r="B257" s="13" t="s">
        <v>2345</v>
      </c>
      <c r="C257" s="13" t="s">
        <v>50</v>
      </c>
      <c r="D257" s="59">
        <v>46327</v>
      </c>
      <c r="E257" s="6">
        <v>0</v>
      </c>
      <c r="F257" s="13">
        <v>256</v>
      </c>
      <c r="H257" s="20"/>
    </row>
    <row r="258" spans="1:8" x14ac:dyDescent="0.4">
      <c r="A258" s="13" t="s">
        <v>2324</v>
      </c>
      <c r="B258" s="13" t="s">
        <v>2345</v>
      </c>
      <c r="C258" s="13" t="s">
        <v>50</v>
      </c>
      <c r="D258" s="59">
        <v>46357</v>
      </c>
      <c r="E258" s="6">
        <v>0</v>
      </c>
      <c r="F258" s="54">
        <v>257</v>
      </c>
      <c r="H258" s="20"/>
    </row>
    <row r="259" spans="1:8" x14ac:dyDescent="0.4">
      <c r="A259" s="13" t="s">
        <v>2324</v>
      </c>
      <c r="B259" s="13" t="s">
        <v>2345</v>
      </c>
      <c r="C259" s="13" t="s">
        <v>50</v>
      </c>
      <c r="D259" s="59">
        <v>46388</v>
      </c>
      <c r="E259" s="6">
        <v>0</v>
      </c>
      <c r="F259" s="13">
        <v>258</v>
      </c>
      <c r="H259" s="20"/>
    </row>
    <row r="260" spans="1:8" x14ac:dyDescent="0.4">
      <c r="A260" s="13" t="s">
        <v>2324</v>
      </c>
      <c r="B260" s="13" t="s">
        <v>2345</v>
      </c>
      <c r="C260" s="13" t="s">
        <v>50</v>
      </c>
      <c r="D260" s="59">
        <v>46419</v>
      </c>
      <c r="E260" s="6">
        <v>0</v>
      </c>
      <c r="F260" s="54">
        <v>259</v>
      </c>
      <c r="H260" s="20"/>
    </row>
    <row r="261" spans="1:8" x14ac:dyDescent="0.4">
      <c r="A261" s="13" t="s">
        <v>2324</v>
      </c>
      <c r="B261" s="13" t="s">
        <v>2345</v>
      </c>
      <c r="C261" s="13" t="s">
        <v>50</v>
      </c>
      <c r="D261" s="59">
        <v>46447</v>
      </c>
      <c r="E261" s="6">
        <v>0</v>
      </c>
      <c r="F261" s="13">
        <v>260</v>
      </c>
      <c r="H261" s="20"/>
    </row>
    <row r="262" spans="1:8" x14ac:dyDescent="0.4">
      <c r="A262" s="13" t="s">
        <v>2324</v>
      </c>
      <c r="B262" s="13" t="s">
        <v>2345</v>
      </c>
      <c r="C262" s="13" t="s">
        <v>50</v>
      </c>
      <c r="D262" s="59">
        <v>46478</v>
      </c>
      <c r="E262" s="6">
        <v>0</v>
      </c>
      <c r="F262" s="54">
        <v>261</v>
      </c>
      <c r="H262" s="20"/>
    </row>
    <row r="263" spans="1:8" x14ac:dyDescent="0.4">
      <c r="A263" s="13" t="s">
        <v>2324</v>
      </c>
      <c r="B263" s="13" t="s">
        <v>2345</v>
      </c>
      <c r="C263" s="13" t="s">
        <v>50</v>
      </c>
      <c r="D263" s="59">
        <v>46508</v>
      </c>
      <c r="E263" s="6">
        <v>0</v>
      </c>
      <c r="F263" s="13">
        <v>262</v>
      </c>
      <c r="H263" s="20"/>
    </row>
    <row r="264" spans="1:8" x14ac:dyDescent="0.4">
      <c r="A264" s="13" t="s">
        <v>2324</v>
      </c>
      <c r="B264" s="13" t="s">
        <v>2345</v>
      </c>
      <c r="C264" s="13" t="s">
        <v>50</v>
      </c>
      <c r="D264" s="59">
        <v>46539</v>
      </c>
      <c r="E264" s="6">
        <v>0</v>
      </c>
      <c r="F264" s="54">
        <v>263</v>
      </c>
      <c r="H264" s="20"/>
    </row>
    <row r="265" spans="1:8" x14ac:dyDescent="0.4">
      <c r="A265" s="13" t="s">
        <v>2324</v>
      </c>
      <c r="B265" s="13" t="s">
        <v>2345</v>
      </c>
      <c r="C265" s="13" t="s">
        <v>50</v>
      </c>
      <c r="D265" s="59">
        <v>46569</v>
      </c>
      <c r="E265" s="6">
        <v>0</v>
      </c>
      <c r="F265" s="13">
        <v>264</v>
      </c>
      <c r="H265" s="20"/>
    </row>
    <row r="266" spans="1:8" x14ac:dyDescent="0.4">
      <c r="A266" s="13" t="s">
        <v>2324</v>
      </c>
      <c r="B266" s="13" t="s">
        <v>2345</v>
      </c>
      <c r="C266" s="13" t="s">
        <v>5133</v>
      </c>
      <c r="D266" s="59">
        <v>45870</v>
      </c>
      <c r="E266" s="6">
        <v>0</v>
      </c>
      <c r="F266" s="54">
        <v>265</v>
      </c>
      <c r="H266" s="20"/>
    </row>
    <row r="267" spans="1:8" x14ac:dyDescent="0.4">
      <c r="A267" s="13" t="s">
        <v>2324</v>
      </c>
      <c r="B267" s="13" t="s">
        <v>2345</v>
      </c>
      <c r="C267" s="13" t="s">
        <v>5133</v>
      </c>
      <c r="D267" s="59">
        <v>45901</v>
      </c>
      <c r="E267" s="6">
        <v>8492</v>
      </c>
      <c r="F267" s="13">
        <v>266</v>
      </c>
      <c r="H267" s="20"/>
    </row>
    <row r="268" spans="1:8" x14ac:dyDescent="0.4">
      <c r="A268" s="13" t="s">
        <v>2324</v>
      </c>
      <c r="B268" s="13" t="s">
        <v>2345</v>
      </c>
      <c r="C268" s="13" t="s">
        <v>5133</v>
      </c>
      <c r="D268" s="59">
        <v>45931</v>
      </c>
      <c r="E268" s="6">
        <v>8492</v>
      </c>
      <c r="F268" s="54">
        <v>267</v>
      </c>
      <c r="H268" s="20"/>
    </row>
    <row r="269" spans="1:8" x14ac:dyDescent="0.4">
      <c r="A269" s="13" t="s">
        <v>2324</v>
      </c>
      <c r="B269" s="13" t="s">
        <v>2345</v>
      </c>
      <c r="C269" s="13" t="s">
        <v>5133</v>
      </c>
      <c r="D269" s="59">
        <v>45962</v>
      </c>
      <c r="E269" s="6">
        <v>8492</v>
      </c>
      <c r="F269" s="13">
        <v>268</v>
      </c>
      <c r="H269" s="20"/>
    </row>
    <row r="270" spans="1:8" x14ac:dyDescent="0.4">
      <c r="A270" s="13" t="s">
        <v>2324</v>
      </c>
      <c r="B270" s="13" t="s">
        <v>2345</v>
      </c>
      <c r="C270" s="13" t="s">
        <v>5133</v>
      </c>
      <c r="D270" s="59">
        <v>45992</v>
      </c>
      <c r="E270" s="6">
        <v>8492</v>
      </c>
      <c r="F270" s="54">
        <v>269</v>
      </c>
      <c r="H270" s="20"/>
    </row>
    <row r="271" spans="1:8" x14ac:dyDescent="0.4">
      <c r="A271" s="13" t="s">
        <v>2324</v>
      </c>
      <c r="B271" s="13" t="s">
        <v>2345</v>
      </c>
      <c r="C271" s="13" t="s">
        <v>5133</v>
      </c>
      <c r="D271" s="59">
        <v>46023</v>
      </c>
      <c r="E271" s="6">
        <v>8492</v>
      </c>
      <c r="F271" s="13">
        <v>270</v>
      </c>
      <c r="H271" s="20"/>
    </row>
    <row r="272" spans="1:8" x14ac:dyDescent="0.4">
      <c r="A272" s="13" t="s">
        <v>2324</v>
      </c>
      <c r="B272" s="13" t="s">
        <v>2345</v>
      </c>
      <c r="C272" s="13" t="s">
        <v>5133</v>
      </c>
      <c r="D272" s="59">
        <v>46054</v>
      </c>
      <c r="E272" s="6">
        <v>8492</v>
      </c>
      <c r="F272" s="54">
        <v>271</v>
      </c>
      <c r="H272" s="20"/>
    </row>
    <row r="273" spans="1:8" x14ac:dyDescent="0.4">
      <c r="A273" s="13" t="s">
        <v>2324</v>
      </c>
      <c r="B273" s="13" t="s">
        <v>2345</v>
      </c>
      <c r="C273" s="13" t="s">
        <v>5133</v>
      </c>
      <c r="D273" s="59">
        <v>46082</v>
      </c>
      <c r="E273" s="6">
        <v>8492</v>
      </c>
      <c r="F273" s="13">
        <v>272</v>
      </c>
      <c r="H273" s="20"/>
    </row>
    <row r="274" spans="1:8" x14ac:dyDescent="0.4">
      <c r="A274" s="13" t="s">
        <v>2324</v>
      </c>
      <c r="B274" s="13" t="s">
        <v>2345</v>
      </c>
      <c r="C274" s="13" t="s">
        <v>5133</v>
      </c>
      <c r="D274" s="59">
        <v>46113</v>
      </c>
      <c r="E274" s="6">
        <v>8492</v>
      </c>
      <c r="F274" s="54">
        <v>273</v>
      </c>
      <c r="H274" s="20"/>
    </row>
    <row r="275" spans="1:8" x14ac:dyDescent="0.4">
      <c r="A275" s="13" t="s">
        <v>2324</v>
      </c>
      <c r="B275" s="13" t="s">
        <v>2345</v>
      </c>
      <c r="C275" s="13" t="s">
        <v>5133</v>
      </c>
      <c r="D275" s="59">
        <v>46143</v>
      </c>
      <c r="E275" s="6">
        <v>8492</v>
      </c>
      <c r="F275" s="13">
        <v>274</v>
      </c>
      <c r="H275" s="20"/>
    </row>
    <row r="276" spans="1:8" x14ac:dyDescent="0.4">
      <c r="A276" s="13" t="s">
        <v>2324</v>
      </c>
      <c r="B276" s="13" t="s">
        <v>2345</v>
      </c>
      <c r="C276" s="13" t="s">
        <v>5133</v>
      </c>
      <c r="D276" s="59">
        <v>46174</v>
      </c>
      <c r="E276" s="6">
        <v>8492</v>
      </c>
      <c r="F276" s="54">
        <v>275</v>
      </c>
      <c r="H276" s="20"/>
    </row>
    <row r="277" spans="1:8" x14ac:dyDescent="0.4">
      <c r="A277" s="13" t="s">
        <v>2324</v>
      </c>
      <c r="B277" s="13" t="s">
        <v>2345</v>
      </c>
      <c r="C277" s="13" t="s">
        <v>5133</v>
      </c>
      <c r="D277" s="59">
        <v>46204</v>
      </c>
      <c r="E277" s="6">
        <v>8492</v>
      </c>
      <c r="F277" s="13">
        <v>276</v>
      </c>
      <c r="H277" s="20"/>
    </row>
    <row r="278" spans="1:8" x14ac:dyDescent="0.4">
      <c r="A278" s="13" t="s">
        <v>2324</v>
      </c>
      <c r="B278" s="13" t="s">
        <v>2345</v>
      </c>
      <c r="C278" s="13" t="s">
        <v>5133</v>
      </c>
      <c r="D278" s="59">
        <v>46235</v>
      </c>
      <c r="E278" s="6">
        <v>8492</v>
      </c>
      <c r="F278" s="54">
        <v>277</v>
      </c>
      <c r="H278" s="20"/>
    </row>
    <row r="279" spans="1:8" x14ac:dyDescent="0.4">
      <c r="A279" s="13" t="s">
        <v>2324</v>
      </c>
      <c r="B279" s="13" t="s">
        <v>2345</v>
      </c>
      <c r="C279" s="13" t="s">
        <v>5133</v>
      </c>
      <c r="D279" s="59">
        <v>46266</v>
      </c>
      <c r="E279" s="6">
        <v>0</v>
      </c>
      <c r="F279" s="13">
        <v>278</v>
      </c>
      <c r="H279" s="20"/>
    </row>
    <row r="280" spans="1:8" x14ac:dyDescent="0.4">
      <c r="A280" s="13" t="s">
        <v>2324</v>
      </c>
      <c r="B280" s="13" t="s">
        <v>2345</v>
      </c>
      <c r="C280" s="13" t="s">
        <v>5133</v>
      </c>
      <c r="D280" s="59">
        <v>46296</v>
      </c>
      <c r="E280" s="6">
        <v>0</v>
      </c>
      <c r="F280" s="54">
        <v>279</v>
      </c>
      <c r="H280" s="20"/>
    </row>
    <row r="281" spans="1:8" x14ac:dyDescent="0.4">
      <c r="A281" s="13" t="s">
        <v>2324</v>
      </c>
      <c r="B281" s="13" t="s">
        <v>2345</v>
      </c>
      <c r="C281" s="13" t="s">
        <v>5133</v>
      </c>
      <c r="D281" s="59">
        <v>46327</v>
      </c>
      <c r="E281" s="6">
        <v>0</v>
      </c>
      <c r="F281" s="13">
        <v>280</v>
      </c>
      <c r="H281" s="20"/>
    </row>
    <row r="282" spans="1:8" x14ac:dyDescent="0.4">
      <c r="A282" s="13" t="s">
        <v>2324</v>
      </c>
      <c r="B282" s="13" t="s">
        <v>2345</v>
      </c>
      <c r="C282" s="13" t="s">
        <v>5133</v>
      </c>
      <c r="D282" s="59">
        <v>46357</v>
      </c>
      <c r="E282" s="6">
        <v>0</v>
      </c>
      <c r="F282" s="54">
        <v>281</v>
      </c>
      <c r="H282" s="20"/>
    </row>
    <row r="283" spans="1:8" x14ac:dyDescent="0.4">
      <c r="A283" s="13" t="s">
        <v>2324</v>
      </c>
      <c r="B283" s="13" t="s">
        <v>2345</v>
      </c>
      <c r="C283" s="13" t="s">
        <v>5133</v>
      </c>
      <c r="D283" s="59">
        <v>46388</v>
      </c>
      <c r="E283" s="6">
        <v>0</v>
      </c>
      <c r="F283" s="13">
        <v>282</v>
      </c>
      <c r="H283" s="20"/>
    </row>
    <row r="284" spans="1:8" x14ac:dyDescent="0.4">
      <c r="A284" s="13" t="s">
        <v>2324</v>
      </c>
      <c r="B284" s="13" t="s">
        <v>2345</v>
      </c>
      <c r="C284" s="13" t="s">
        <v>5133</v>
      </c>
      <c r="D284" s="59">
        <v>46419</v>
      </c>
      <c r="E284" s="6">
        <v>0</v>
      </c>
      <c r="F284" s="54">
        <v>283</v>
      </c>
      <c r="H284" s="20"/>
    </row>
    <row r="285" spans="1:8" x14ac:dyDescent="0.4">
      <c r="A285" s="13" t="s">
        <v>2324</v>
      </c>
      <c r="B285" s="13" t="s">
        <v>2345</v>
      </c>
      <c r="C285" s="13" t="s">
        <v>5133</v>
      </c>
      <c r="D285" s="59">
        <v>46447</v>
      </c>
      <c r="E285" s="6">
        <v>0</v>
      </c>
      <c r="F285" s="13">
        <v>284</v>
      </c>
      <c r="H285" s="20"/>
    </row>
    <row r="286" spans="1:8" x14ac:dyDescent="0.4">
      <c r="A286" s="13" t="s">
        <v>2324</v>
      </c>
      <c r="B286" s="13" t="s">
        <v>2345</v>
      </c>
      <c r="C286" s="13" t="s">
        <v>5133</v>
      </c>
      <c r="D286" s="59">
        <v>46478</v>
      </c>
      <c r="E286" s="6">
        <v>0</v>
      </c>
      <c r="F286" s="54">
        <v>285</v>
      </c>
      <c r="H286" s="20"/>
    </row>
    <row r="287" spans="1:8" x14ac:dyDescent="0.4">
      <c r="A287" s="13" t="s">
        <v>2324</v>
      </c>
      <c r="B287" s="13" t="s">
        <v>2345</v>
      </c>
      <c r="C287" s="13" t="s">
        <v>5133</v>
      </c>
      <c r="D287" s="59">
        <v>46508</v>
      </c>
      <c r="E287" s="6">
        <v>0</v>
      </c>
      <c r="F287" s="13">
        <v>286</v>
      </c>
      <c r="H287" s="20"/>
    </row>
    <row r="288" spans="1:8" x14ac:dyDescent="0.4">
      <c r="A288" s="13" t="s">
        <v>2324</v>
      </c>
      <c r="B288" s="13" t="s">
        <v>2345</v>
      </c>
      <c r="C288" s="13" t="s">
        <v>5133</v>
      </c>
      <c r="D288" s="59">
        <v>46539</v>
      </c>
      <c r="E288" s="6">
        <v>0</v>
      </c>
      <c r="F288" s="54">
        <v>287</v>
      </c>
      <c r="H288" s="20"/>
    </row>
    <row r="289" spans="1:8" x14ac:dyDescent="0.4">
      <c r="A289" s="13" t="s">
        <v>2324</v>
      </c>
      <c r="B289" s="13" t="s">
        <v>2345</v>
      </c>
      <c r="C289" s="13" t="s">
        <v>5133</v>
      </c>
      <c r="D289" s="59">
        <v>46569</v>
      </c>
      <c r="E289" s="6">
        <v>0</v>
      </c>
      <c r="F289" s="13">
        <v>288</v>
      </c>
      <c r="H289" s="20"/>
    </row>
  </sheetData>
  <autoFilter ref="A1:F289" xr:uid="{A7968950-1E17-4EEB-9DD6-438AAB44A081}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7606-8EC0-46CA-BA06-5EB1CCB7CAA4}">
  <sheetPr>
    <tabColor theme="7" tint="0.59999389629810485"/>
  </sheetPr>
  <dimension ref="A1:H301"/>
  <sheetViews>
    <sheetView topLeftCell="A16" zoomScale="70" zoomScaleNormal="70" workbookViewId="0">
      <selection activeCell="G46" sqref="G46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style="20" customWidth="1"/>
    <col min="6" max="6" width="5.375" customWidth="1"/>
  </cols>
  <sheetData>
    <row r="1" spans="1: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6" t="s">
        <v>2323</v>
      </c>
      <c r="F1" s="13" t="s">
        <v>5289</v>
      </c>
      <c r="H1" s="61">
        <v>0.45</v>
      </c>
    </row>
    <row r="2" spans="1:8" x14ac:dyDescent="0.4">
      <c r="A2" s="13" t="s">
        <v>2324</v>
      </c>
      <c r="B2" s="55" t="s">
        <v>2325</v>
      </c>
      <c r="C2" s="10" t="s">
        <v>25</v>
      </c>
      <c r="D2" s="59">
        <v>45839</v>
      </c>
      <c r="E2" s="6"/>
      <c r="F2" s="13">
        <v>1</v>
      </c>
    </row>
    <row r="3" spans="1:8" x14ac:dyDescent="0.4">
      <c r="A3" s="13" t="s">
        <v>2324</v>
      </c>
      <c r="B3" s="55" t="s">
        <v>2325</v>
      </c>
      <c r="C3" s="10" t="s">
        <v>25</v>
      </c>
      <c r="D3" s="59">
        <v>45870</v>
      </c>
      <c r="E3" s="6">
        <v>297000</v>
      </c>
      <c r="F3" s="54">
        <v>2</v>
      </c>
    </row>
    <row r="4" spans="1:8" x14ac:dyDescent="0.4">
      <c r="A4" s="13" t="s">
        <v>2324</v>
      </c>
      <c r="B4" s="55" t="s">
        <v>2325</v>
      </c>
      <c r="C4" s="10" t="s">
        <v>25</v>
      </c>
      <c r="D4" s="59">
        <v>45901</v>
      </c>
      <c r="E4" s="6">
        <v>336600</v>
      </c>
      <c r="F4" s="13">
        <v>3</v>
      </c>
    </row>
    <row r="5" spans="1:8" x14ac:dyDescent="0.4">
      <c r="A5" s="13" t="s">
        <v>2324</v>
      </c>
      <c r="B5" s="55" t="s">
        <v>2325</v>
      </c>
      <c r="C5" s="10" t="s">
        <v>25</v>
      </c>
      <c r="D5" s="59">
        <v>45931</v>
      </c>
      <c r="E5" s="6">
        <v>1445400</v>
      </c>
      <c r="F5" s="54">
        <v>4</v>
      </c>
    </row>
    <row r="6" spans="1:8" x14ac:dyDescent="0.4">
      <c r="A6" s="13" t="s">
        <v>2324</v>
      </c>
      <c r="B6" s="55" t="s">
        <v>2325</v>
      </c>
      <c r="C6" s="10" t="s">
        <v>25</v>
      </c>
      <c r="D6" s="59">
        <v>45962</v>
      </c>
      <c r="E6" s="6">
        <v>1168200</v>
      </c>
      <c r="F6" s="13">
        <v>5</v>
      </c>
    </row>
    <row r="7" spans="1:8" x14ac:dyDescent="0.4">
      <c r="A7" s="13" t="s">
        <v>2324</v>
      </c>
      <c r="B7" s="55" t="s">
        <v>2325</v>
      </c>
      <c r="C7" s="10" t="s">
        <v>25</v>
      </c>
      <c r="D7" s="59">
        <v>45992</v>
      </c>
      <c r="E7" s="6">
        <v>1128600</v>
      </c>
      <c r="F7" s="13">
        <v>6</v>
      </c>
    </row>
    <row r="8" spans="1:8" x14ac:dyDescent="0.4">
      <c r="A8" s="13" t="s">
        <v>2324</v>
      </c>
      <c r="B8" s="55" t="s">
        <v>2325</v>
      </c>
      <c r="C8" s="10" t="s">
        <v>25</v>
      </c>
      <c r="D8" s="59">
        <v>46023</v>
      </c>
      <c r="E8" s="6">
        <v>19800</v>
      </c>
      <c r="F8" s="54">
        <v>7</v>
      </c>
    </row>
    <row r="9" spans="1:8" x14ac:dyDescent="0.4">
      <c r="A9" s="13" t="s">
        <v>2324</v>
      </c>
      <c r="B9" s="55" t="s">
        <v>2325</v>
      </c>
      <c r="C9" s="10" t="s">
        <v>25</v>
      </c>
      <c r="D9" s="59">
        <v>46054</v>
      </c>
      <c r="E9" s="6"/>
      <c r="F9" s="13">
        <v>8</v>
      </c>
    </row>
    <row r="10" spans="1:8" x14ac:dyDescent="0.4">
      <c r="A10" s="13" t="s">
        <v>2324</v>
      </c>
      <c r="B10" s="55" t="s">
        <v>2325</v>
      </c>
      <c r="C10" s="10" t="s">
        <v>25</v>
      </c>
      <c r="D10" s="59">
        <v>46082</v>
      </c>
      <c r="E10" s="6"/>
      <c r="F10" s="54">
        <v>9</v>
      </c>
    </row>
    <row r="11" spans="1:8" x14ac:dyDescent="0.4">
      <c r="A11" s="13" t="s">
        <v>2324</v>
      </c>
      <c r="B11" s="55" t="s">
        <v>2325</v>
      </c>
      <c r="C11" s="10" t="s">
        <v>25</v>
      </c>
      <c r="D11" s="59">
        <v>46113</v>
      </c>
      <c r="E11" s="6"/>
      <c r="F11" s="13">
        <v>10</v>
      </c>
    </row>
    <row r="12" spans="1:8" x14ac:dyDescent="0.4">
      <c r="A12" s="13" t="s">
        <v>2324</v>
      </c>
      <c r="B12" s="55" t="s">
        <v>2325</v>
      </c>
      <c r="C12" s="10" t="s">
        <v>25</v>
      </c>
      <c r="D12" s="59">
        <v>46143</v>
      </c>
      <c r="E12" s="6"/>
      <c r="F12" s="13">
        <v>11</v>
      </c>
    </row>
    <row r="13" spans="1:8" x14ac:dyDescent="0.4">
      <c r="A13" s="13" t="s">
        <v>2324</v>
      </c>
      <c r="B13" s="55" t="s">
        <v>2325</v>
      </c>
      <c r="C13" s="10" t="s">
        <v>25</v>
      </c>
      <c r="D13" s="59">
        <v>46174</v>
      </c>
      <c r="E13" s="6"/>
      <c r="F13" s="54">
        <v>12</v>
      </c>
    </row>
    <row r="14" spans="1:8" x14ac:dyDescent="0.4">
      <c r="A14" s="13" t="s">
        <v>2324</v>
      </c>
      <c r="B14" s="55" t="s">
        <v>2325</v>
      </c>
      <c r="C14" s="10" t="s">
        <v>25</v>
      </c>
      <c r="D14" s="59">
        <v>46204</v>
      </c>
      <c r="E14" s="6"/>
      <c r="F14" s="13">
        <v>13</v>
      </c>
    </row>
    <row r="15" spans="1:8" x14ac:dyDescent="0.4">
      <c r="A15" s="13" t="s">
        <v>2324</v>
      </c>
      <c r="B15" s="55" t="s">
        <v>2325</v>
      </c>
      <c r="C15" s="10" t="s">
        <v>25</v>
      </c>
      <c r="D15" s="59">
        <v>46235</v>
      </c>
      <c r="E15" s="6"/>
      <c r="F15" s="54">
        <v>14</v>
      </c>
    </row>
    <row r="16" spans="1:8" x14ac:dyDescent="0.4">
      <c r="A16" s="13" t="s">
        <v>2324</v>
      </c>
      <c r="B16" s="55" t="s">
        <v>2325</v>
      </c>
      <c r="C16" s="10" t="s">
        <v>25</v>
      </c>
      <c r="D16" s="59">
        <v>46266</v>
      </c>
      <c r="E16" s="6"/>
      <c r="F16" s="13">
        <v>15</v>
      </c>
    </row>
    <row r="17" spans="1:6" x14ac:dyDescent="0.4">
      <c r="A17" s="13" t="s">
        <v>2324</v>
      </c>
      <c r="B17" s="55" t="s">
        <v>2325</v>
      </c>
      <c r="C17" s="10" t="s">
        <v>25</v>
      </c>
      <c r="D17" s="59">
        <v>46296</v>
      </c>
      <c r="E17" s="6"/>
      <c r="F17" s="13">
        <v>16</v>
      </c>
    </row>
    <row r="18" spans="1:6" x14ac:dyDescent="0.4">
      <c r="A18" s="13" t="s">
        <v>2324</v>
      </c>
      <c r="B18" s="55" t="s">
        <v>2325</v>
      </c>
      <c r="C18" s="10" t="s">
        <v>25</v>
      </c>
      <c r="D18" s="59">
        <v>46327</v>
      </c>
      <c r="E18" s="6"/>
      <c r="F18" s="54">
        <v>17</v>
      </c>
    </row>
    <row r="19" spans="1:6" x14ac:dyDescent="0.4">
      <c r="A19" s="13" t="s">
        <v>2324</v>
      </c>
      <c r="B19" s="55" t="s">
        <v>2325</v>
      </c>
      <c r="C19" s="10" t="s">
        <v>25</v>
      </c>
      <c r="D19" s="59">
        <v>46357</v>
      </c>
      <c r="E19" s="6"/>
      <c r="F19" s="13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46388</v>
      </c>
      <c r="E20" s="6"/>
      <c r="F20" s="54">
        <v>19</v>
      </c>
    </row>
    <row r="21" spans="1:6" x14ac:dyDescent="0.4">
      <c r="A21" s="13" t="s">
        <v>2324</v>
      </c>
      <c r="B21" s="55" t="s">
        <v>2325</v>
      </c>
      <c r="C21" s="10" t="s">
        <v>25</v>
      </c>
      <c r="D21" s="59">
        <v>46419</v>
      </c>
      <c r="E21" s="6"/>
      <c r="F21" s="13">
        <v>20</v>
      </c>
    </row>
    <row r="22" spans="1:6" x14ac:dyDescent="0.4">
      <c r="A22" s="13" t="s">
        <v>2324</v>
      </c>
      <c r="B22" s="55" t="s">
        <v>2325</v>
      </c>
      <c r="C22" s="10" t="s">
        <v>25</v>
      </c>
      <c r="D22" s="59">
        <v>46447</v>
      </c>
      <c r="E22" s="6"/>
      <c r="F22" s="13">
        <v>21</v>
      </c>
    </row>
    <row r="23" spans="1:6" x14ac:dyDescent="0.4">
      <c r="A23" s="13" t="s">
        <v>2324</v>
      </c>
      <c r="B23" s="55" t="s">
        <v>2325</v>
      </c>
      <c r="C23" s="10" t="s">
        <v>25</v>
      </c>
      <c r="D23" s="59">
        <v>46478</v>
      </c>
      <c r="E23" s="6"/>
      <c r="F23" s="54">
        <v>22</v>
      </c>
    </row>
    <row r="24" spans="1:6" x14ac:dyDescent="0.4">
      <c r="A24" s="13" t="s">
        <v>2324</v>
      </c>
      <c r="B24" s="55" t="s">
        <v>2325</v>
      </c>
      <c r="C24" s="10" t="s">
        <v>25</v>
      </c>
      <c r="D24" s="59">
        <v>46508</v>
      </c>
      <c r="E24" s="6"/>
      <c r="F24" s="13">
        <v>23</v>
      </c>
    </row>
    <row r="25" spans="1:6" x14ac:dyDescent="0.4">
      <c r="A25" s="13" t="s">
        <v>2324</v>
      </c>
      <c r="B25" s="55" t="s">
        <v>2325</v>
      </c>
      <c r="C25" s="10" t="s">
        <v>25</v>
      </c>
      <c r="D25" s="59">
        <v>46539</v>
      </c>
      <c r="E25" s="6"/>
      <c r="F25" s="54">
        <v>24</v>
      </c>
    </row>
    <row r="26" spans="1:6" x14ac:dyDescent="0.4">
      <c r="A26" s="13" t="s">
        <v>2324</v>
      </c>
      <c r="B26" s="55" t="s">
        <v>2325</v>
      </c>
      <c r="C26" s="10" t="s">
        <v>25</v>
      </c>
      <c r="D26" s="59">
        <v>46569</v>
      </c>
      <c r="E26" s="6"/>
      <c r="F26" s="13">
        <v>25</v>
      </c>
    </row>
    <row r="27" spans="1:6" x14ac:dyDescent="0.4">
      <c r="A27" s="13" t="s">
        <v>2324</v>
      </c>
      <c r="B27" s="55" t="s">
        <v>2325</v>
      </c>
      <c r="C27" s="13" t="s">
        <v>44</v>
      </c>
      <c r="D27" s="59">
        <v>45839</v>
      </c>
      <c r="E27" s="6"/>
      <c r="F27" s="13">
        <v>26</v>
      </c>
    </row>
    <row r="28" spans="1:6" x14ac:dyDescent="0.4">
      <c r="A28" s="13" t="s">
        <v>2324</v>
      </c>
      <c r="B28" s="55" t="s">
        <v>2325</v>
      </c>
      <c r="C28" s="13" t="s">
        <v>44</v>
      </c>
      <c r="D28" s="59">
        <v>45870</v>
      </c>
      <c r="E28" s="6">
        <v>114300</v>
      </c>
      <c r="F28" s="54">
        <v>27</v>
      </c>
    </row>
    <row r="29" spans="1:6" x14ac:dyDescent="0.4">
      <c r="A29" s="13" t="s">
        <v>2324</v>
      </c>
      <c r="B29" s="55" t="s">
        <v>2325</v>
      </c>
      <c r="C29" s="13" t="s">
        <v>44</v>
      </c>
      <c r="D29" s="59">
        <v>45901</v>
      </c>
      <c r="E29" s="6">
        <v>209550</v>
      </c>
      <c r="F29" s="13">
        <v>28</v>
      </c>
    </row>
    <row r="30" spans="1:6" x14ac:dyDescent="0.4">
      <c r="A30" s="13" t="s">
        <v>2324</v>
      </c>
      <c r="B30" s="55" t="s">
        <v>2325</v>
      </c>
      <c r="C30" s="13" t="s">
        <v>44</v>
      </c>
      <c r="D30" s="59">
        <v>45931</v>
      </c>
      <c r="E30" s="6">
        <v>742950</v>
      </c>
      <c r="F30" s="54">
        <v>29</v>
      </c>
    </row>
    <row r="31" spans="1:6" x14ac:dyDescent="0.4">
      <c r="A31" s="13" t="s">
        <v>2324</v>
      </c>
      <c r="B31" s="55" t="s">
        <v>2325</v>
      </c>
      <c r="C31" s="13" t="s">
        <v>44</v>
      </c>
      <c r="D31" s="59">
        <v>45962</v>
      </c>
      <c r="E31" s="6">
        <v>2705100</v>
      </c>
      <c r="F31" s="13">
        <v>30</v>
      </c>
    </row>
    <row r="32" spans="1:6" x14ac:dyDescent="0.4">
      <c r="A32" s="13" t="s">
        <v>2324</v>
      </c>
      <c r="B32" s="55" t="s">
        <v>2325</v>
      </c>
      <c r="C32" s="13" t="s">
        <v>44</v>
      </c>
      <c r="D32" s="59">
        <v>45992</v>
      </c>
      <c r="E32" s="6">
        <v>2838450</v>
      </c>
      <c r="F32" s="13">
        <v>31</v>
      </c>
    </row>
    <row r="33" spans="1:6" x14ac:dyDescent="0.4">
      <c r="A33" s="13" t="s">
        <v>2324</v>
      </c>
      <c r="B33" s="55" t="s">
        <v>2325</v>
      </c>
      <c r="C33" s="13" t="s">
        <v>44</v>
      </c>
      <c r="D33" s="59">
        <v>46023</v>
      </c>
      <c r="E33" s="6">
        <v>7867650</v>
      </c>
      <c r="F33" s="54">
        <v>32</v>
      </c>
    </row>
    <row r="34" spans="1:6" x14ac:dyDescent="0.4">
      <c r="A34" s="13" t="s">
        <v>2324</v>
      </c>
      <c r="B34" s="55" t="s">
        <v>2325</v>
      </c>
      <c r="C34" s="13" t="s">
        <v>44</v>
      </c>
      <c r="D34" s="59">
        <v>46054</v>
      </c>
      <c r="E34" s="6">
        <v>7753350</v>
      </c>
      <c r="F34" s="13">
        <v>33</v>
      </c>
    </row>
    <row r="35" spans="1:6" x14ac:dyDescent="0.4">
      <c r="A35" s="13" t="s">
        <v>2324</v>
      </c>
      <c r="B35" s="55" t="s">
        <v>2325</v>
      </c>
      <c r="C35" s="13" t="s">
        <v>44</v>
      </c>
      <c r="D35" s="59">
        <v>46082</v>
      </c>
      <c r="E35" s="6">
        <v>7658100</v>
      </c>
      <c r="F35" s="54">
        <v>34</v>
      </c>
    </row>
    <row r="36" spans="1:6" x14ac:dyDescent="0.4">
      <c r="A36" s="13" t="s">
        <v>2324</v>
      </c>
      <c r="B36" s="55" t="s">
        <v>2325</v>
      </c>
      <c r="C36" s="13" t="s">
        <v>44</v>
      </c>
      <c r="D36" s="59">
        <v>46113</v>
      </c>
      <c r="E36" s="6">
        <v>7124700</v>
      </c>
      <c r="F36" s="13">
        <v>35</v>
      </c>
    </row>
    <row r="37" spans="1:6" x14ac:dyDescent="0.4">
      <c r="A37" s="13" t="s">
        <v>2324</v>
      </c>
      <c r="B37" s="55" t="s">
        <v>2325</v>
      </c>
      <c r="C37" s="13" t="s">
        <v>44</v>
      </c>
      <c r="D37" s="59">
        <v>46143</v>
      </c>
      <c r="E37" s="6">
        <v>5162550</v>
      </c>
      <c r="F37" s="13">
        <v>36</v>
      </c>
    </row>
    <row r="38" spans="1:6" x14ac:dyDescent="0.4">
      <c r="A38" s="13" t="s">
        <v>2324</v>
      </c>
      <c r="B38" s="55" t="s">
        <v>2325</v>
      </c>
      <c r="C38" s="13" t="s">
        <v>44</v>
      </c>
      <c r="D38" s="59">
        <v>46174</v>
      </c>
      <c r="E38" s="6">
        <v>5029200</v>
      </c>
      <c r="F38" s="54">
        <v>37</v>
      </c>
    </row>
    <row r="39" spans="1:6" x14ac:dyDescent="0.4">
      <c r="A39" s="13" t="s">
        <v>2324</v>
      </c>
      <c r="B39" s="55" t="s">
        <v>2325</v>
      </c>
      <c r="C39" s="13" t="s">
        <v>44</v>
      </c>
      <c r="D39" s="59">
        <v>46204</v>
      </c>
      <c r="E39" s="6"/>
      <c r="F39" s="13">
        <v>38</v>
      </c>
    </row>
    <row r="40" spans="1:6" x14ac:dyDescent="0.4">
      <c r="A40" s="13" t="s">
        <v>2324</v>
      </c>
      <c r="B40" s="55" t="s">
        <v>2325</v>
      </c>
      <c r="C40" s="13" t="s">
        <v>44</v>
      </c>
      <c r="D40" s="59">
        <v>46235</v>
      </c>
      <c r="E40" s="6"/>
      <c r="F40" s="54">
        <v>39</v>
      </c>
    </row>
    <row r="41" spans="1:6" x14ac:dyDescent="0.4">
      <c r="A41" s="13" t="s">
        <v>2324</v>
      </c>
      <c r="B41" s="55" t="s">
        <v>2325</v>
      </c>
      <c r="C41" s="13" t="s">
        <v>44</v>
      </c>
      <c r="D41" s="59">
        <v>46266</v>
      </c>
      <c r="E41" s="6"/>
      <c r="F41" s="13">
        <v>40</v>
      </c>
    </row>
    <row r="42" spans="1:6" x14ac:dyDescent="0.4">
      <c r="A42" s="13" t="s">
        <v>2324</v>
      </c>
      <c r="B42" s="55" t="s">
        <v>2325</v>
      </c>
      <c r="C42" s="13" t="s">
        <v>44</v>
      </c>
      <c r="D42" s="59">
        <v>46296</v>
      </c>
      <c r="E42" s="6"/>
      <c r="F42" s="13">
        <v>41</v>
      </c>
    </row>
    <row r="43" spans="1:6" x14ac:dyDescent="0.4">
      <c r="A43" s="13" t="s">
        <v>2324</v>
      </c>
      <c r="B43" s="55" t="s">
        <v>2325</v>
      </c>
      <c r="C43" s="13" t="s">
        <v>44</v>
      </c>
      <c r="D43" s="59">
        <v>46327</v>
      </c>
      <c r="E43" s="6"/>
      <c r="F43" s="54">
        <v>42</v>
      </c>
    </row>
    <row r="44" spans="1:6" x14ac:dyDescent="0.4">
      <c r="A44" s="13" t="s">
        <v>2324</v>
      </c>
      <c r="B44" s="55" t="s">
        <v>2325</v>
      </c>
      <c r="C44" s="13" t="s">
        <v>44</v>
      </c>
      <c r="D44" s="59">
        <v>46357</v>
      </c>
      <c r="E44" s="6"/>
      <c r="F44" s="13">
        <v>43</v>
      </c>
    </row>
    <row r="45" spans="1:6" x14ac:dyDescent="0.4">
      <c r="A45" s="13" t="s">
        <v>2324</v>
      </c>
      <c r="B45" s="55" t="s">
        <v>2325</v>
      </c>
      <c r="C45" s="13" t="s">
        <v>44</v>
      </c>
      <c r="D45" s="59">
        <v>46388</v>
      </c>
      <c r="E45" s="6"/>
      <c r="F45" s="54">
        <v>44</v>
      </c>
    </row>
    <row r="46" spans="1:6" x14ac:dyDescent="0.4">
      <c r="A46" s="13" t="s">
        <v>2324</v>
      </c>
      <c r="B46" s="55" t="s">
        <v>2325</v>
      </c>
      <c r="C46" s="13" t="s">
        <v>44</v>
      </c>
      <c r="D46" s="59">
        <v>46419</v>
      </c>
      <c r="E46" s="6"/>
      <c r="F46" s="13">
        <v>45</v>
      </c>
    </row>
    <row r="47" spans="1:6" x14ac:dyDescent="0.4">
      <c r="A47" s="13" t="s">
        <v>2324</v>
      </c>
      <c r="B47" s="55" t="s">
        <v>2325</v>
      </c>
      <c r="C47" s="13" t="s">
        <v>44</v>
      </c>
      <c r="D47" s="59">
        <v>46447</v>
      </c>
      <c r="E47" s="6"/>
      <c r="F47" s="13">
        <v>46</v>
      </c>
    </row>
    <row r="48" spans="1:6" x14ac:dyDescent="0.4">
      <c r="A48" s="13" t="s">
        <v>2324</v>
      </c>
      <c r="B48" s="55" t="s">
        <v>2325</v>
      </c>
      <c r="C48" s="13" t="s">
        <v>44</v>
      </c>
      <c r="D48" s="59">
        <v>46478</v>
      </c>
      <c r="E48" s="6"/>
      <c r="F48" s="54">
        <v>47</v>
      </c>
    </row>
    <row r="49" spans="1:6" x14ac:dyDescent="0.4">
      <c r="A49" s="13" t="s">
        <v>2324</v>
      </c>
      <c r="B49" s="55" t="s">
        <v>2325</v>
      </c>
      <c r="C49" s="13" t="s">
        <v>44</v>
      </c>
      <c r="D49" s="59">
        <v>46508</v>
      </c>
      <c r="E49" s="6"/>
      <c r="F49" s="13">
        <v>48</v>
      </c>
    </row>
    <row r="50" spans="1:6" x14ac:dyDescent="0.4">
      <c r="A50" s="13" t="s">
        <v>2324</v>
      </c>
      <c r="B50" s="55" t="s">
        <v>2325</v>
      </c>
      <c r="C50" s="13" t="s">
        <v>44</v>
      </c>
      <c r="D50" s="59">
        <v>46539</v>
      </c>
      <c r="E50" s="6"/>
      <c r="F50" s="54">
        <v>49</v>
      </c>
    </row>
    <row r="51" spans="1:6" x14ac:dyDescent="0.4">
      <c r="A51" s="13" t="s">
        <v>2324</v>
      </c>
      <c r="B51" s="55" t="s">
        <v>2325</v>
      </c>
      <c r="C51" s="13" t="s">
        <v>44</v>
      </c>
      <c r="D51" s="59">
        <v>46569</v>
      </c>
      <c r="E51" s="6"/>
      <c r="F51" s="13">
        <v>50</v>
      </c>
    </row>
    <row r="52" spans="1:6" x14ac:dyDescent="0.4">
      <c r="A52" s="13" t="s">
        <v>2324</v>
      </c>
      <c r="B52" s="55" t="s">
        <v>2325</v>
      </c>
      <c r="C52" s="13" t="s">
        <v>1944</v>
      </c>
      <c r="D52" s="59">
        <v>45839</v>
      </c>
      <c r="E52" s="6"/>
      <c r="F52" s="13">
        <v>51</v>
      </c>
    </row>
    <row r="53" spans="1:6" x14ac:dyDescent="0.4">
      <c r="A53" s="13" t="s">
        <v>2324</v>
      </c>
      <c r="B53" s="55" t="s">
        <v>2325</v>
      </c>
      <c r="C53" s="13" t="s">
        <v>1944</v>
      </c>
      <c r="D53" s="59">
        <v>45870</v>
      </c>
      <c r="E53" s="6">
        <v>9435</v>
      </c>
      <c r="F53" s="54">
        <v>52</v>
      </c>
    </row>
    <row r="54" spans="1:6" x14ac:dyDescent="0.4">
      <c r="A54" s="13" t="s">
        <v>2324</v>
      </c>
      <c r="B54" s="55" t="s">
        <v>2325</v>
      </c>
      <c r="C54" s="13" t="s">
        <v>1944</v>
      </c>
      <c r="D54" s="59">
        <v>45901</v>
      </c>
      <c r="E54" s="6">
        <v>160395</v>
      </c>
      <c r="F54" s="13">
        <v>53</v>
      </c>
    </row>
    <row r="55" spans="1:6" x14ac:dyDescent="0.4">
      <c r="A55" s="13" t="s">
        <v>2324</v>
      </c>
      <c r="B55" s="55" t="s">
        <v>2325</v>
      </c>
      <c r="C55" s="13" t="s">
        <v>1944</v>
      </c>
      <c r="D55" s="59">
        <v>45931</v>
      </c>
      <c r="E55" s="6">
        <v>160395</v>
      </c>
      <c r="F55" s="54">
        <v>54</v>
      </c>
    </row>
    <row r="56" spans="1:6" x14ac:dyDescent="0.4">
      <c r="A56" s="13" t="s">
        <v>2324</v>
      </c>
      <c r="B56" s="55" t="s">
        <v>2325</v>
      </c>
      <c r="C56" s="13" t="s">
        <v>1944</v>
      </c>
      <c r="D56" s="59">
        <v>45962</v>
      </c>
      <c r="E56" s="6">
        <v>160395</v>
      </c>
      <c r="F56" s="13">
        <v>55</v>
      </c>
    </row>
    <row r="57" spans="1:6" x14ac:dyDescent="0.4">
      <c r="A57" s="13" t="s">
        <v>2324</v>
      </c>
      <c r="B57" s="55" t="s">
        <v>2325</v>
      </c>
      <c r="C57" s="13" t="s">
        <v>1944</v>
      </c>
      <c r="D57" s="59">
        <v>45992</v>
      </c>
      <c r="E57" s="6">
        <v>160395</v>
      </c>
      <c r="F57" s="13">
        <v>56</v>
      </c>
    </row>
    <row r="58" spans="1:6" x14ac:dyDescent="0.4">
      <c r="A58" s="13" t="s">
        <v>2324</v>
      </c>
      <c r="B58" s="55" t="s">
        <v>2325</v>
      </c>
      <c r="C58" s="13" t="s">
        <v>1944</v>
      </c>
      <c r="D58" s="59">
        <v>46023</v>
      </c>
      <c r="E58" s="6">
        <v>169830</v>
      </c>
      <c r="F58" s="54">
        <v>57</v>
      </c>
    </row>
    <row r="59" spans="1:6" x14ac:dyDescent="0.4">
      <c r="A59" s="13" t="s">
        <v>2324</v>
      </c>
      <c r="B59" s="55" t="s">
        <v>2325</v>
      </c>
      <c r="C59" s="13" t="s">
        <v>1944</v>
      </c>
      <c r="D59" s="59">
        <v>46054</v>
      </c>
      <c r="E59" s="6">
        <v>169830</v>
      </c>
      <c r="F59" s="13">
        <v>58</v>
      </c>
    </row>
    <row r="60" spans="1:6" x14ac:dyDescent="0.4">
      <c r="A60" s="13" t="s">
        <v>2324</v>
      </c>
      <c r="B60" s="55" t="s">
        <v>2325</v>
      </c>
      <c r="C60" s="13" t="s">
        <v>1944</v>
      </c>
      <c r="D60" s="59">
        <v>46082</v>
      </c>
      <c r="E60" s="6">
        <v>264180</v>
      </c>
      <c r="F60" s="54">
        <v>59</v>
      </c>
    </row>
    <row r="61" spans="1:6" x14ac:dyDescent="0.4">
      <c r="A61" s="13" t="s">
        <v>2324</v>
      </c>
      <c r="B61" s="55" t="s">
        <v>2325</v>
      </c>
      <c r="C61" s="13" t="s">
        <v>1944</v>
      </c>
      <c r="D61" s="59">
        <v>46113</v>
      </c>
      <c r="E61" s="6">
        <v>264180</v>
      </c>
      <c r="F61" s="13">
        <v>60</v>
      </c>
    </row>
    <row r="62" spans="1:6" x14ac:dyDescent="0.4">
      <c r="A62" s="13" t="s">
        <v>2324</v>
      </c>
      <c r="B62" s="55" t="s">
        <v>2325</v>
      </c>
      <c r="C62" s="13" t="s">
        <v>1944</v>
      </c>
      <c r="D62" s="59">
        <v>46143</v>
      </c>
      <c r="E62" s="6">
        <v>320790</v>
      </c>
      <c r="F62" s="13">
        <v>61</v>
      </c>
    </row>
    <row r="63" spans="1:6" x14ac:dyDescent="0.4">
      <c r="A63" s="13" t="s">
        <v>2324</v>
      </c>
      <c r="B63" s="55" t="s">
        <v>2325</v>
      </c>
      <c r="C63" s="13" t="s">
        <v>1944</v>
      </c>
      <c r="D63" s="59">
        <v>46174</v>
      </c>
      <c r="E63" s="6">
        <v>386835</v>
      </c>
      <c r="F63" s="54">
        <v>62</v>
      </c>
    </row>
    <row r="64" spans="1:6" x14ac:dyDescent="0.4">
      <c r="A64" s="13" t="s">
        <v>2324</v>
      </c>
      <c r="B64" s="55" t="s">
        <v>2325</v>
      </c>
      <c r="C64" s="13" t="s">
        <v>1944</v>
      </c>
      <c r="D64" s="59">
        <v>46204</v>
      </c>
      <c r="E64" s="6">
        <v>405705</v>
      </c>
      <c r="F64" s="13">
        <v>63</v>
      </c>
    </row>
    <row r="65" spans="1:6" x14ac:dyDescent="0.4">
      <c r="A65" s="13" t="s">
        <v>2324</v>
      </c>
      <c r="B65" s="55" t="s">
        <v>2325</v>
      </c>
      <c r="C65" s="13" t="s">
        <v>1944</v>
      </c>
      <c r="D65" s="59">
        <v>46235</v>
      </c>
      <c r="E65" s="6">
        <v>396270</v>
      </c>
      <c r="F65" s="54">
        <v>64</v>
      </c>
    </row>
    <row r="66" spans="1:6" x14ac:dyDescent="0.4">
      <c r="A66" s="13" t="s">
        <v>2324</v>
      </c>
      <c r="B66" s="55" t="s">
        <v>2325</v>
      </c>
      <c r="C66" s="13" t="s">
        <v>1944</v>
      </c>
      <c r="D66" s="59">
        <v>46266</v>
      </c>
      <c r="E66" s="6">
        <v>245310</v>
      </c>
      <c r="F66" s="13">
        <v>65</v>
      </c>
    </row>
    <row r="67" spans="1:6" x14ac:dyDescent="0.4">
      <c r="A67" s="13" t="s">
        <v>2324</v>
      </c>
      <c r="B67" s="55" t="s">
        <v>2325</v>
      </c>
      <c r="C67" s="13" t="s">
        <v>1944</v>
      </c>
      <c r="D67" s="59">
        <v>46296</v>
      </c>
      <c r="E67" s="6">
        <v>245310</v>
      </c>
      <c r="F67" s="13">
        <v>66</v>
      </c>
    </row>
    <row r="68" spans="1:6" x14ac:dyDescent="0.4">
      <c r="A68" s="13" t="s">
        <v>2324</v>
      </c>
      <c r="B68" s="55" t="s">
        <v>2325</v>
      </c>
      <c r="C68" s="13" t="s">
        <v>1944</v>
      </c>
      <c r="D68" s="59">
        <v>46327</v>
      </c>
      <c r="E68" s="6">
        <v>245310</v>
      </c>
      <c r="F68" s="54">
        <v>67</v>
      </c>
    </row>
    <row r="69" spans="1:6" x14ac:dyDescent="0.4">
      <c r="A69" s="13" t="s">
        <v>2324</v>
      </c>
      <c r="B69" s="55" t="s">
        <v>2325</v>
      </c>
      <c r="C69" s="13" t="s">
        <v>1944</v>
      </c>
      <c r="D69" s="59">
        <v>46357</v>
      </c>
      <c r="E69" s="6">
        <v>245310</v>
      </c>
      <c r="F69" s="13">
        <v>68</v>
      </c>
    </row>
    <row r="70" spans="1:6" x14ac:dyDescent="0.4">
      <c r="A70" s="13" t="s">
        <v>2324</v>
      </c>
      <c r="B70" s="55" t="s">
        <v>2325</v>
      </c>
      <c r="C70" s="13" t="s">
        <v>1944</v>
      </c>
      <c r="D70" s="59">
        <v>46388</v>
      </c>
      <c r="E70" s="6">
        <v>235875</v>
      </c>
      <c r="F70" s="54">
        <v>69</v>
      </c>
    </row>
    <row r="71" spans="1:6" x14ac:dyDescent="0.4">
      <c r="A71" s="13" t="s">
        <v>2324</v>
      </c>
      <c r="B71" s="55" t="s">
        <v>2325</v>
      </c>
      <c r="C71" s="13" t="s">
        <v>1944</v>
      </c>
      <c r="D71" s="59">
        <v>46419</v>
      </c>
      <c r="E71" s="6">
        <v>235875</v>
      </c>
      <c r="F71" s="13">
        <v>70</v>
      </c>
    </row>
    <row r="72" spans="1:6" x14ac:dyDescent="0.4">
      <c r="A72" s="13" t="s">
        <v>2324</v>
      </c>
      <c r="B72" s="55" t="s">
        <v>2325</v>
      </c>
      <c r="C72" s="13" t="s">
        <v>1944</v>
      </c>
      <c r="D72" s="59">
        <v>46447</v>
      </c>
      <c r="E72" s="6">
        <v>141525</v>
      </c>
      <c r="F72" s="13">
        <v>71</v>
      </c>
    </row>
    <row r="73" spans="1:6" x14ac:dyDescent="0.4">
      <c r="A73" s="13" t="s">
        <v>2324</v>
      </c>
      <c r="B73" s="55" t="s">
        <v>2325</v>
      </c>
      <c r="C73" s="13" t="s">
        <v>1944</v>
      </c>
      <c r="D73" s="59">
        <v>46478</v>
      </c>
      <c r="E73" s="6">
        <v>141525</v>
      </c>
      <c r="F73" s="54">
        <v>72</v>
      </c>
    </row>
    <row r="74" spans="1:6" x14ac:dyDescent="0.4">
      <c r="A74" s="13" t="s">
        <v>2324</v>
      </c>
      <c r="B74" s="55" t="s">
        <v>2325</v>
      </c>
      <c r="C74" s="13" t="s">
        <v>1944</v>
      </c>
      <c r="D74" s="59">
        <v>46508</v>
      </c>
      <c r="E74" s="6">
        <v>84915</v>
      </c>
      <c r="F74" s="13">
        <v>73</v>
      </c>
    </row>
    <row r="75" spans="1:6" x14ac:dyDescent="0.4">
      <c r="A75" s="13" t="s">
        <v>2324</v>
      </c>
      <c r="B75" s="55" t="s">
        <v>2325</v>
      </c>
      <c r="C75" s="13" t="s">
        <v>1944</v>
      </c>
      <c r="D75" s="59">
        <v>46539</v>
      </c>
      <c r="E75" s="6">
        <v>18870</v>
      </c>
      <c r="F75" s="54">
        <v>74</v>
      </c>
    </row>
    <row r="76" spans="1:6" x14ac:dyDescent="0.4">
      <c r="A76" s="13" t="s">
        <v>2324</v>
      </c>
      <c r="B76" s="55" t="s">
        <v>2325</v>
      </c>
      <c r="C76" s="13" t="s">
        <v>1944</v>
      </c>
      <c r="D76" s="59">
        <v>46569</v>
      </c>
      <c r="E76" s="6"/>
      <c r="F76" s="13">
        <v>75</v>
      </c>
    </row>
    <row r="77" spans="1:6" x14ac:dyDescent="0.4">
      <c r="A77" s="13" t="s">
        <v>2324</v>
      </c>
      <c r="B77" s="55" t="s">
        <v>2325</v>
      </c>
      <c r="C77" s="13" t="s">
        <v>70</v>
      </c>
      <c r="D77" s="59">
        <v>45839</v>
      </c>
      <c r="E77" s="6"/>
      <c r="F77" s="13">
        <v>76</v>
      </c>
    </row>
    <row r="78" spans="1:6" x14ac:dyDescent="0.4">
      <c r="A78" s="13" t="s">
        <v>2324</v>
      </c>
      <c r="B78" s="55" t="s">
        <v>2325</v>
      </c>
      <c r="C78" s="13" t="s">
        <v>70</v>
      </c>
      <c r="D78" s="59">
        <v>45870</v>
      </c>
      <c r="E78" s="6"/>
      <c r="F78" s="54">
        <v>77</v>
      </c>
    </row>
    <row r="79" spans="1:6" x14ac:dyDescent="0.4">
      <c r="A79" s="13" t="s">
        <v>2324</v>
      </c>
      <c r="B79" s="55" t="s">
        <v>2325</v>
      </c>
      <c r="C79" s="13" t="s">
        <v>70</v>
      </c>
      <c r="D79" s="59">
        <v>45901</v>
      </c>
      <c r="E79" s="6"/>
      <c r="F79" s="13">
        <v>78</v>
      </c>
    </row>
    <row r="80" spans="1:6" x14ac:dyDescent="0.4">
      <c r="A80" s="13" t="s">
        <v>2324</v>
      </c>
      <c r="B80" s="55" t="s">
        <v>2325</v>
      </c>
      <c r="C80" s="13" t="s">
        <v>70</v>
      </c>
      <c r="D80" s="59">
        <v>45931</v>
      </c>
      <c r="E80" s="6">
        <v>39600</v>
      </c>
      <c r="F80" s="54">
        <v>79</v>
      </c>
    </row>
    <row r="81" spans="1:6" x14ac:dyDescent="0.4">
      <c r="A81" s="13" t="s">
        <v>2324</v>
      </c>
      <c r="B81" s="55" t="s">
        <v>2325</v>
      </c>
      <c r="C81" s="13" t="s">
        <v>70</v>
      </c>
      <c r="D81" s="59">
        <v>45962</v>
      </c>
      <c r="E81" s="6">
        <v>39600</v>
      </c>
      <c r="F81" s="13">
        <v>80</v>
      </c>
    </row>
    <row r="82" spans="1:6" x14ac:dyDescent="0.4">
      <c r="A82" s="13" t="s">
        <v>2324</v>
      </c>
      <c r="B82" s="55" t="s">
        <v>2325</v>
      </c>
      <c r="C82" s="13" t="s">
        <v>70</v>
      </c>
      <c r="D82" s="59">
        <v>45992</v>
      </c>
      <c r="E82" s="6">
        <v>39600</v>
      </c>
      <c r="F82" s="13">
        <v>81</v>
      </c>
    </row>
    <row r="83" spans="1:6" x14ac:dyDescent="0.4">
      <c r="A83" s="13" t="s">
        <v>2324</v>
      </c>
      <c r="B83" s="55" t="s">
        <v>2325</v>
      </c>
      <c r="C83" s="13" t="s">
        <v>70</v>
      </c>
      <c r="D83" s="59">
        <v>46023</v>
      </c>
      <c r="E83" s="6"/>
      <c r="F83" s="54">
        <v>82</v>
      </c>
    </row>
    <row r="84" spans="1:6" x14ac:dyDescent="0.4">
      <c r="A84" s="13" t="s">
        <v>2324</v>
      </c>
      <c r="B84" s="55" t="s">
        <v>2325</v>
      </c>
      <c r="C84" s="13" t="s">
        <v>70</v>
      </c>
      <c r="D84" s="59">
        <v>46054</v>
      </c>
      <c r="E84" s="6"/>
      <c r="F84" s="13">
        <v>83</v>
      </c>
    </row>
    <row r="85" spans="1:6" x14ac:dyDescent="0.4">
      <c r="A85" s="13" t="s">
        <v>2324</v>
      </c>
      <c r="B85" s="55" t="s">
        <v>2325</v>
      </c>
      <c r="C85" s="13" t="s">
        <v>70</v>
      </c>
      <c r="D85" s="59">
        <v>46082</v>
      </c>
      <c r="E85" s="6"/>
      <c r="F85" s="54">
        <v>84</v>
      </c>
    </row>
    <row r="86" spans="1:6" x14ac:dyDescent="0.4">
      <c r="A86" s="13" t="s">
        <v>2324</v>
      </c>
      <c r="B86" s="55" t="s">
        <v>2325</v>
      </c>
      <c r="C86" s="13" t="s">
        <v>70</v>
      </c>
      <c r="D86" s="59">
        <v>46113</v>
      </c>
      <c r="E86" s="6"/>
      <c r="F86" s="13">
        <v>85</v>
      </c>
    </row>
    <row r="87" spans="1:6" x14ac:dyDescent="0.4">
      <c r="A87" s="13" t="s">
        <v>2324</v>
      </c>
      <c r="B87" s="55" t="s">
        <v>2325</v>
      </c>
      <c r="C87" s="13" t="s">
        <v>70</v>
      </c>
      <c r="D87" s="59">
        <v>46143</v>
      </c>
      <c r="E87" s="6"/>
      <c r="F87" s="13">
        <v>86</v>
      </c>
    </row>
    <row r="88" spans="1:6" x14ac:dyDescent="0.4">
      <c r="A88" s="13" t="s">
        <v>2324</v>
      </c>
      <c r="B88" s="55" t="s">
        <v>2325</v>
      </c>
      <c r="C88" s="13" t="s">
        <v>70</v>
      </c>
      <c r="D88" s="59">
        <v>46174</v>
      </c>
      <c r="E88" s="6"/>
      <c r="F88" s="54">
        <v>87</v>
      </c>
    </row>
    <row r="89" spans="1:6" x14ac:dyDescent="0.4">
      <c r="A89" s="13" t="s">
        <v>2324</v>
      </c>
      <c r="B89" s="55" t="s">
        <v>2325</v>
      </c>
      <c r="C89" s="13" t="s">
        <v>70</v>
      </c>
      <c r="D89" s="59">
        <v>46204</v>
      </c>
      <c r="E89" s="6"/>
      <c r="F89" s="13">
        <v>88</v>
      </c>
    </row>
    <row r="90" spans="1:6" x14ac:dyDescent="0.4">
      <c r="A90" s="13" t="s">
        <v>2324</v>
      </c>
      <c r="B90" s="55" t="s">
        <v>2325</v>
      </c>
      <c r="C90" s="13" t="s">
        <v>70</v>
      </c>
      <c r="D90" s="59">
        <v>46235</v>
      </c>
      <c r="E90" s="6"/>
      <c r="F90" s="54">
        <v>89</v>
      </c>
    </row>
    <row r="91" spans="1:6" x14ac:dyDescent="0.4">
      <c r="A91" s="13" t="s">
        <v>2324</v>
      </c>
      <c r="B91" s="55" t="s">
        <v>2325</v>
      </c>
      <c r="C91" s="13" t="s">
        <v>70</v>
      </c>
      <c r="D91" s="59">
        <v>46266</v>
      </c>
      <c r="E91" s="6"/>
      <c r="F91" s="13">
        <v>90</v>
      </c>
    </row>
    <row r="92" spans="1:6" x14ac:dyDescent="0.4">
      <c r="A92" s="13" t="s">
        <v>2324</v>
      </c>
      <c r="B92" s="55" t="s">
        <v>2325</v>
      </c>
      <c r="C92" s="13" t="s">
        <v>70</v>
      </c>
      <c r="D92" s="59">
        <v>46296</v>
      </c>
      <c r="E92" s="6"/>
      <c r="F92" s="13">
        <v>91</v>
      </c>
    </row>
    <row r="93" spans="1:6" x14ac:dyDescent="0.4">
      <c r="A93" s="13" t="s">
        <v>2324</v>
      </c>
      <c r="B93" s="55" t="s">
        <v>2325</v>
      </c>
      <c r="C93" s="13" t="s">
        <v>70</v>
      </c>
      <c r="D93" s="59">
        <v>46327</v>
      </c>
      <c r="E93" s="6"/>
      <c r="F93" s="54">
        <v>92</v>
      </c>
    </row>
    <row r="94" spans="1:6" x14ac:dyDescent="0.4">
      <c r="A94" s="13" t="s">
        <v>2324</v>
      </c>
      <c r="B94" s="55" t="s">
        <v>2325</v>
      </c>
      <c r="C94" s="13" t="s">
        <v>70</v>
      </c>
      <c r="D94" s="59">
        <v>46357</v>
      </c>
      <c r="E94" s="6"/>
      <c r="F94" s="13">
        <v>93</v>
      </c>
    </row>
    <row r="95" spans="1:6" x14ac:dyDescent="0.4">
      <c r="A95" s="13" t="s">
        <v>2324</v>
      </c>
      <c r="B95" s="55" t="s">
        <v>2325</v>
      </c>
      <c r="C95" s="13" t="s">
        <v>70</v>
      </c>
      <c r="D95" s="59">
        <v>46388</v>
      </c>
      <c r="E95" s="6"/>
      <c r="F95" s="54">
        <v>94</v>
      </c>
    </row>
    <row r="96" spans="1:6" x14ac:dyDescent="0.4">
      <c r="A96" s="13" t="s">
        <v>2324</v>
      </c>
      <c r="B96" s="55" t="s">
        <v>2325</v>
      </c>
      <c r="C96" s="13" t="s">
        <v>70</v>
      </c>
      <c r="D96" s="59">
        <v>46419</v>
      </c>
      <c r="E96" s="6"/>
      <c r="F96" s="13">
        <v>95</v>
      </c>
    </row>
    <row r="97" spans="1:6" x14ac:dyDescent="0.4">
      <c r="A97" s="13" t="s">
        <v>2324</v>
      </c>
      <c r="B97" s="55" t="s">
        <v>2325</v>
      </c>
      <c r="C97" s="13" t="s">
        <v>70</v>
      </c>
      <c r="D97" s="59">
        <v>46447</v>
      </c>
      <c r="E97" s="6"/>
      <c r="F97" s="13">
        <v>96</v>
      </c>
    </row>
    <row r="98" spans="1:6" x14ac:dyDescent="0.4">
      <c r="A98" s="13" t="s">
        <v>2324</v>
      </c>
      <c r="B98" s="55" t="s">
        <v>2325</v>
      </c>
      <c r="C98" s="13" t="s">
        <v>70</v>
      </c>
      <c r="D98" s="59">
        <v>46478</v>
      </c>
      <c r="E98" s="6"/>
      <c r="F98" s="54">
        <v>97</v>
      </c>
    </row>
    <row r="99" spans="1:6" x14ac:dyDescent="0.4">
      <c r="A99" s="13" t="s">
        <v>2324</v>
      </c>
      <c r="B99" s="55" t="s">
        <v>2325</v>
      </c>
      <c r="C99" s="13" t="s">
        <v>70</v>
      </c>
      <c r="D99" s="59">
        <v>46508</v>
      </c>
      <c r="E99" s="6"/>
      <c r="F99" s="13">
        <v>98</v>
      </c>
    </row>
    <row r="100" spans="1:6" x14ac:dyDescent="0.4">
      <c r="A100" s="13" t="s">
        <v>2324</v>
      </c>
      <c r="B100" s="55" t="s">
        <v>2325</v>
      </c>
      <c r="C100" s="13" t="s">
        <v>70</v>
      </c>
      <c r="D100" s="59">
        <v>46539</v>
      </c>
      <c r="E100" s="6"/>
      <c r="F100" s="54">
        <v>99</v>
      </c>
    </row>
    <row r="101" spans="1:6" x14ac:dyDescent="0.4">
      <c r="A101" s="13" t="s">
        <v>2324</v>
      </c>
      <c r="B101" s="55" t="s">
        <v>2325</v>
      </c>
      <c r="C101" s="13" t="s">
        <v>70</v>
      </c>
      <c r="D101" s="59">
        <v>46569</v>
      </c>
      <c r="E101" s="6"/>
      <c r="F101" s="13">
        <v>100</v>
      </c>
    </row>
    <row r="102" spans="1:6" x14ac:dyDescent="0.4">
      <c r="A102" s="13" t="s">
        <v>2324</v>
      </c>
      <c r="B102" s="55" t="s">
        <v>2325</v>
      </c>
      <c r="C102" s="13" t="s">
        <v>50</v>
      </c>
      <c r="D102" s="59">
        <v>45839</v>
      </c>
      <c r="E102" s="6"/>
      <c r="F102" s="13">
        <v>101</v>
      </c>
    </row>
    <row r="103" spans="1:6" x14ac:dyDescent="0.4">
      <c r="A103" s="13" t="s">
        <v>2324</v>
      </c>
      <c r="B103" s="55" t="s">
        <v>2325</v>
      </c>
      <c r="C103" s="13" t="s">
        <v>50</v>
      </c>
      <c r="D103" s="59">
        <v>45870</v>
      </c>
      <c r="E103" s="6"/>
      <c r="F103" s="54">
        <v>102</v>
      </c>
    </row>
    <row r="104" spans="1:6" x14ac:dyDescent="0.4">
      <c r="A104" s="13" t="s">
        <v>2324</v>
      </c>
      <c r="B104" s="55" t="s">
        <v>2325</v>
      </c>
      <c r="C104" s="13" t="s">
        <v>50</v>
      </c>
      <c r="D104" s="59">
        <v>45901</v>
      </c>
      <c r="E104" s="6"/>
      <c r="F104" s="13">
        <v>103</v>
      </c>
    </row>
    <row r="105" spans="1:6" x14ac:dyDescent="0.4">
      <c r="A105" s="13" t="s">
        <v>2324</v>
      </c>
      <c r="B105" s="55" t="s">
        <v>2325</v>
      </c>
      <c r="C105" s="13" t="s">
        <v>50</v>
      </c>
      <c r="D105" s="59">
        <v>45931</v>
      </c>
      <c r="E105" s="6">
        <v>19050</v>
      </c>
      <c r="F105" s="54">
        <v>104</v>
      </c>
    </row>
    <row r="106" spans="1:6" x14ac:dyDescent="0.4">
      <c r="A106" s="13" t="s">
        <v>2324</v>
      </c>
      <c r="B106" s="55" t="s">
        <v>2325</v>
      </c>
      <c r="C106" s="13" t="s">
        <v>50</v>
      </c>
      <c r="D106" s="59">
        <v>45962</v>
      </c>
      <c r="E106" s="6">
        <v>114300</v>
      </c>
      <c r="F106" s="13">
        <v>105</v>
      </c>
    </row>
    <row r="107" spans="1:6" x14ac:dyDescent="0.4">
      <c r="A107" s="13" t="s">
        <v>2324</v>
      </c>
      <c r="B107" s="55" t="s">
        <v>2325</v>
      </c>
      <c r="C107" s="13" t="s">
        <v>50</v>
      </c>
      <c r="D107" s="59">
        <v>45992</v>
      </c>
      <c r="E107" s="6">
        <v>114300</v>
      </c>
      <c r="F107" s="13">
        <v>106</v>
      </c>
    </row>
    <row r="108" spans="1:6" x14ac:dyDescent="0.4">
      <c r="A108" s="13" t="s">
        <v>2324</v>
      </c>
      <c r="B108" s="55" t="s">
        <v>2325</v>
      </c>
      <c r="C108" s="13" t="s">
        <v>50</v>
      </c>
      <c r="D108" s="59">
        <v>46023</v>
      </c>
      <c r="E108" s="6">
        <v>438150</v>
      </c>
      <c r="F108" s="54">
        <v>107</v>
      </c>
    </row>
    <row r="109" spans="1:6" x14ac:dyDescent="0.4">
      <c r="A109" s="13" t="s">
        <v>2324</v>
      </c>
      <c r="B109" s="55" t="s">
        <v>2325</v>
      </c>
      <c r="C109" s="13" t="s">
        <v>50</v>
      </c>
      <c r="D109" s="59">
        <v>46054</v>
      </c>
      <c r="E109" s="6">
        <v>438150</v>
      </c>
      <c r="F109" s="13">
        <v>108</v>
      </c>
    </row>
    <row r="110" spans="1:6" x14ac:dyDescent="0.4">
      <c r="A110" s="13" t="s">
        <v>2324</v>
      </c>
      <c r="B110" s="55" t="s">
        <v>2325</v>
      </c>
      <c r="C110" s="13" t="s">
        <v>50</v>
      </c>
      <c r="D110" s="59">
        <v>46082</v>
      </c>
      <c r="E110" s="6">
        <v>438150</v>
      </c>
      <c r="F110" s="54">
        <v>109</v>
      </c>
    </row>
    <row r="111" spans="1:6" x14ac:dyDescent="0.4">
      <c r="A111" s="13" t="s">
        <v>2324</v>
      </c>
      <c r="B111" s="55" t="s">
        <v>2325</v>
      </c>
      <c r="C111" s="13" t="s">
        <v>50</v>
      </c>
      <c r="D111" s="59">
        <v>46113</v>
      </c>
      <c r="E111" s="6">
        <v>419100</v>
      </c>
      <c r="F111" s="13">
        <v>110</v>
      </c>
    </row>
    <row r="112" spans="1:6" x14ac:dyDescent="0.4">
      <c r="A112" s="13" t="s">
        <v>2324</v>
      </c>
      <c r="B112" s="55" t="s">
        <v>2325</v>
      </c>
      <c r="C112" s="13" t="s">
        <v>50</v>
      </c>
      <c r="D112" s="59">
        <v>46143</v>
      </c>
      <c r="E112" s="6">
        <v>323850</v>
      </c>
      <c r="F112" s="13">
        <v>111</v>
      </c>
    </row>
    <row r="113" spans="1:6" x14ac:dyDescent="0.4">
      <c r="A113" s="13" t="s">
        <v>2324</v>
      </c>
      <c r="B113" s="55" t="s">
        <v>2325</v>
      </c>
      <c r="C113" s="13" t="s">
        <v>50</v>
      </c>
      <c r="D113" s="59">
        <v>46174</v>
      </c>
      <c r="E113" s="6">
        <v>323850</v>
      </c>
      <c r="F113" s="54">
        <v>112</v>
      </c>
    </row>
    <row r="114" spans="1:6" x14ac:dyDescent="0.4">
      <c r="A114" s="13" t="s">
        <v>2324</v>
      </c>
      <c r="B114" s="55" t="s">
        <v>2325</v>
      </c>
      <c r="C114" s="13" t="s">
        <v>50</v>
      </c>
      <c r="D114" s="59">
        <v>46204</v>
      </c>
      <c r="E114" s="6"/>
      <c r="F114" s="13">
        <v>113</v>
      </c>
    </row>
    <row r="115" spans="1:6" x14ac:dyDescent="0.4">
      <c r="A115" s="13" t="s">
        <v>2324</v>
      </c>
      <c r="B115" s="55" t="s">
        <v>2325</v>
      </c>
      <c r="C115" s="13" t="s">
        <v>50</v>
      </c>
      <c r="D115" s="59">
        <v>46235</v>
      </c>
      <c r="E115" s="6"/>
      <c r="F115" s="54">
        <v>114</v>
      </c>
    </row>
    <row r="116" spans="1:6" x14ac:dyDescent="0.4">
      <c r="A116" s="13" t="s">
        <v>2324</v>
      </c>
      <c r="B116" s="55" t="s">
        <v>2325</v>
      </c>
      <c r="C116" s="13" t="s">
        <v>50</v>
      </c>
      <c r="D116" s="59">
        <v>46266</v>
      </c>
      <c r="E116" s="6"/>
      <c r="F116" s="13">
        <v>115</v>
      </c>
    </row>
    <row r="117" spans="1:6" x14ac:dyDescent="0.4">
      <c r="A117" s="13" t="s">
        <v>2324</v>
      </c>
      <c r="B117" s="55" t="s">
        <v>2325</v>
      </c>
      <c r="C117" s="13" t="s">
        <v>50</v>
      </c>
      <c r="D117" s="59">
        <v>46296</v>
      </c>
      <c r="E117" s="6"/>
      <c r="F117" s="13">
        <v>116</v>
      </c>
    </row>
    <row r="118" spans="1:6" x14ac:dyDescent="0.4">
      <c r="A118" s="13" t="s">
        <v>2324</v>
      </c>
      <c r="B118" s="55" t="s">
        <v>2325</v>
      </c>
      <c r="C118" s="13" t="s">
        <v>50</v>
      </c>
      <c r="D118" s="59">
        <v>46327</v>
      </c>
      <c r="E118" s="6"/>
      <c r="F118" s="54">
        <v>117</v>
      </c>
    </row>
    <row r="119" spans="1:6" x14ac:dyDescent="0.4">
      <c r="A119" s="13" t="s">
        <v>2324</v>
      </c>
      <c r="B119" s="55" t="s">
        <v>2325</v>
      </c>
      <c r="C119" s="13" t="s">
        <v>50</v>
      </c>
      <c r="D119" s="59">
        <v>46357</v>
      </c>
      <c r="E119" s="6"/>
      <c r="F119" s="13">
        <v>118</v>
      </c>
    </row>
    <row r="120" spans="1:6" x14ac:dyDescent="0.4">
      <c r="A120" s="13" t="s">
        <v>2324</v>
      </c>
      <c r="B120" s="55" t="s">
        <v>2325</v>
      </c>
      <c r="C120" s="13" t="s">
        <v>50</v>
      </c>
      <c r="D120" s="59">
        <v>46388</v>
      </c>
      <c r="E120" s="6"/>
      <c r="F120" s="54">
        <v>119</v>
      </c>
    </row>
    <row r="121" spans="1:6" x14ac:dyDescent="0.4">
      <c r="A121" s="13" t="s">
        <v>2324</v>
      </c>
      <c r="B121" s="55" t="s">
        <v>2325</v>
      </c>
      <c r="C121" s="13" t="s">
        <v>50</v>
      </c>
      <c r="D121" s="59">
        <v>46419</v>
      </c>
      <c r="E121" s="6"/>
      <c r="F121" s="13">
        <v>120</v>
      </c>
    </row>
    <row r="122" spans="1:6" x14ac:dyDescent="0.4">
      <c r="A122" s="13" t="s">
        <v>2324</v>
      </c>
      <c r="B122" s="55" t="s">
        <v>2325</v>
      </c>
      <c r="C122" s="13" t="s">
        <v>50</v>
      </c>
      <c r="D122" s="59">
        <v>46447</v>
      </c>
      <c r="E122" s="6"/>
      <c r="F122" s="13">
        <v>121</v>
      </c>
    </row>
    <row r="123" spans="1:6" x14ac:dyDescent="0.4">
      <c r="A123" s="13" t="s">
        <v>2324</v>
      </c>
      <c r="B123" s="55" t="s">
        <v>2325</v>
      </c>
      <c r="C123" s="13" t="s">
        <v>50</v>
      </c>
      <c r="D123" s="59">
        <v>46478</v>
      </c>
      <c r="E123" s="6"/>
      <c r="F123" s="54">
        <v>122</v>
      </c>
    </row>
    <row r="124" spans="1:6" x14ac:dyDescent="0.4">
      <c r="A124" s="13" t="s">
        <v>2324</v>
      </c>
      <c r="B124" s="55" t="s">
        <v>2325</v>
      </c>
      <c r="C124" s="13" t="s">
        <v>50</v>
      </c>
      <c r="D124" s="59">
        <v>46508</v>
      </c>
      <c r="E124" s="6"/>
      <c r="F124" s="13">
        <v>123</v>
      </c>
    </row>
    <row r="125" spans="1:6" x14ac:dyDescent="0.4">
      <c r="A125" s="13" t="s">
        <v>2324</v>
      </c>
      <c r="B125" s="55" t="s">
        <v>2325</v>
      </c>
      <c r="C125" s="13" t="s">
        <v>50</v>
      </c>
      <c r="D125" s="59">
        <v>46539</v>
      </c>
      <c r="E125" s="6"/>
      <c r="F125" s="54">
        <v>124</v>
      </c>
    </row>
    <row r="126" spans="1:6" x14ac:dyDescent="0.4">
      <c r="A126" s="13" t="s">
        <v>2324</v>
      </c>
      <c r="B126" s="55" t="s">
        <v>2325</v>
      </c>
      <c r="C126" s="13" t="s">
        <v>50</v>
      </c>
      <c r="D126" s="59">
        <v>46569</v>
      </c>
      <c r="E126" s="6"/>
      <c r="F126" s="13">
        <v>125</v>
      </c>
    </row>
    <row r="127" spans="1:6" x14ac:dyDescent="0.4">
      <c r="A127" s="13" t="s">
        <v>2324</v>
      </c>
      <c r="B127" s="55" t="s">
        <v>2325</v>
      </c>
      <c r="C127" s="13" t="s">
        <v>5133</v>
      </c>
      <c r="D127" s="59">
        <v>45839</v>
      </c>
      <c r="E127" s="6"/>
      <c r="F127" s="13">
        <v>126</v>
      </c>
    </row>
    <row r="128" spans="1:6" x14ac:dyDescent="0.4">
      <c r="A128" s="13" t="s">
        <v>2324</v>
      </c>
      <c r="B128" s="55" t="s">
        <v>2325</v>
      </c>
      <c r="C128" s="13" t="s">
        <v>5133</v>
      </c>
      <c r="D128" s="59">
        <v>45870</v>
      </c>
      <c r="E128" s="6"/>
      <c r="F128" s="54">
        <v>127</v>
      </c>
    </row>
    <row r="129" spans="1:6" x14ac:dyDescent="0.4">
      <c r="A129" s="13" t="s">
        <v>2324</v>
      </c>
      <c r="B129" s="55" t="s">
        <v>2325</v>
      </c>
      <c r="C129" s="13" t="s">
        <v>5133</v>
      </c>
      <c r="D129" s="59">
        <v>45901</v>
      </c>
      <c r="E129" s="6">
        <v>28305</v>
      </c>
      <c r="F129" s="13">
        <v>128</v>
      </c>
    </row>
    <row r="130" spans="1:6" x14ac:dyDescent="0.4">
      <c r="A130" s="13" t="s">
        <v>2324</v>
      </c>
      <c r="B130" s="55" t="s">
        <v>2325</v>
      </c>
      <c r="C130" s="13" t="s">
        <v>5133</v>
      </c>
      <c r="D130" s="59">
        <v>45931</v>
      </c>
      <c r="E130" s="6">
        <v>28305</v>
      </c>
      <c r="F130" s="54">
        <v>129</v>
      </c>
    </row>
    <row r="131" spans="1:6" x14ac:dyDescent="0.4">
      <c r="A131" s="13" t="s">
        <v>2324</v>
      </c>
      <c r="B131" s="55" t="s">
        <v>2325</v>
      </c>
      <c r="C131" s="13" t="s">
        <v>5133</v>
      </c>
      <c r="D131" s="59">
        <v>45962</v>
      </c>
      <c r="E131" s="6">
        <v>28305</v>
      </c>
      <c r="F131" s="13">
        <v>130</v>
      </c>
    </row>
    <row r="132" spans="1:6" x14ac:dyDescent="0.4">
      <c r="A132" s="13" t="s">
        <v>2324</v>
      </c>
      <c r="B132" s="55" t="s">
        <v>2325</v>
      </c>
      <c r="C132" s="13" t="s">
        <v>5133</v>
      </c>
      <c r="D132" s="59">
        <v>45992</v>
      </c>
      <c r="E132" s="6">
        <v>28305</v>
      </c>
      <c r="F132" s="13">
        <v>131</v>
      </c>
    </row>
    <row r="133" spans="1:6" x14ac:dyDescent="0.4">
      <c r="A133" s="13" t="s">
        <v>2324</v>
      </c>
      <c r="B133" s="55" t="s">
        <v>2325</v>
      </c>
      <c r="C133" s="13" t="s">
        <v>5133</v>
      </c>
      <c r="D133" s="59">
        <v>46023</v>
      </c>
      <c r="E133" s="6">
        <v>28305</v>
      </c>
      <c r="F133" s="54">
        <v>132</v>
      </c>
    </row>
    <row r="134" spans="1:6" x14ac:dyDescent="0.4">
      <c r="A134" s="13" t="s">
        <v>2324</v>
      </c>
      <c r="B134" s="55" t="s">
        <v>2325</v>
      </c>
      <c r="C134" s="13" t="s">
        <v>5133</v>
      </c>
      <c r="D134" s="59">
        <v>46054</v>
      </c>
      <c r="E134" s="6">
        <v>28305</v>
      </c>
      <c r="F134" s="13">
        <v>133</v>
      </c>
    </row>
    <row r="135" spans="1:6" x14ac:dyDescent="0.4">
      <c r="A135" s="13" t="s">
        <v>2324</v>
      </c>
      <c r="B135" s="55" t="s">
        <v>2325</v>
      </c>
      <c r="C135" s="13" t="s">
        <v>5133</v>
      </c>
      <c r="D135" s="59">
        <v>46082</v>
      </c>
      <c r="E135" s="6">
        <v>28305</v>
      </c>
      <c r="F135" s="54">
        <v>134</v>
      </c>
    </row>
    <row r="136" spans="1:6" x14ac:dyDescent="0.4">
      <c r="A136" s="13" t="s">
        <v>2324</v>
      </c>
      <c r="B136" s="55" t="s">
        <v>2325</v>
      </c>
      <c r="C136" s="13" t="s">
        <v>5133</v>
      </c>
      <c r="D136" s="59">
        <v>46113</v>
      </c>
      <c r="E136" s="6">
        <v>28305</v>
      </c>
      <c r="F136" s="13">
        <v>135</v>
      </c>
    </row>
    <row r="137" spans="1:6" x14ac:dyDescent="0.4">
      <c r="A137" s="13" t="s">
        <v>2324</v>
      </c>
      <c r="B137" s="55" t="s">
        <v>2325</v>
      </c>
      <c r="C137" s="13" t="s">
        <v>5133</v>
      </c>
      <c r="D137" s="59">
        <v>46143</v>
      </c>
      <c r="E137" s="6">
        <v>28305</v>
      </c>
      <c r="F137" s="13">
        <v>136</v>
      </c>
    </row>
    <row r="138" spans="1:6" x14ac:dyDescent="0.4">
      <c r="A138" s="13" t="s">
        <v>2324</v>
      </c>
      <c r="B138" s="55" t="s">
        <v>2325</v>
      </c>
      <c r="C138" s="13" t="s">
        <v>5133</v>
      </c>
      <c r="D138" s="59">
        <v>46174</v>
      </c>
      <c r="E138" s="6">
        <v>28305</v>
      </c>
      <c r="F138" s="54">
        <v>137</v>
      </c>
    </row>
    <row r="139" spans="1:6" x14ac:dyDescent="0.4">
      <c r="A139" s="13" t="s">
        <v>2324</v>
      </c>
      <c r="B139" s="55" t="s">
        <v>2325</v>
      </c>
      <c r="C139" s="13" t="s">
        <v>5133</v>
      </c>
      <c r="D139" s="59">
        <v>46204</v>
      </c>
      <c r="E139" s="6">
        <v>28305</v>
      </c>
      <c r="F139" s="13">
        <v>138</v>
      </c>
    </row>
    <row r="140" spans="1:6" x14ac:dyDescent="0.4">
      <c r="A140" s="13" t="s">
        <v>2324</v>
      </c>
      <c r="B140" s="55" t="s">
        <v>2325</v>
      </c>
      <c r="C140" s="13" t="s">
        <v>5133</v>
      </c>
      <c r="D140" s="59">
        <v>46235</v>
      </c>
      <c r="E140" s="6">
        <v>28305</v>
      </c>
      <c r="F140" s="54">
        <v>139</v>
      </c>
    </row>
    <row r="141" spans="1:6" x14ac:dyDescent="0.4">
      <c r="A141" s="13" t="s">
        <v>2324</v>
      </c>
      <c r="B141" s="55" t="s">
        <v>2325</v>
      </c>
      <c r="C141" s="13" t="s">
        <v>5133</v>
      </c>
      <c r="D141" s="59">
        <v>46266</v>
      </c>
      <c r="E141" s="6"/>
      <c r="F141" s="13">
        <v>140</v>
      </c>
    </row>
    <row r="142" spans="1:6" x14ac:dyDescent="0.4">
      <c r="A142" s="13" t="s">
        <v>2324</v>
      </c>
      <c r="B142" s="55" t="s">
        <v>2325</v>
      </c>
      <c r="C142" s="13" t="s">
        <v>5133</v>
      </c>
      <c r="D142" s="59">
        <v>46296</v>
      </c>
      <c r="E142" s="6"/>
      <c r="F142" s="13">
        <v>141</v>
      </c>
    </row>
    <row r="143" spans="1:6" x14ac:dyDescent="0.4">
      <c r="A143" s="13" t="s">
        <v>2324</v>
      </c>
      <c r="B143" s="55" t="s">
        <v>2325</v>
      </c>
      <c r="C143" s="13" t="s">
        <v>5133</v>
      </c>
      <c r="D143" s="59">
        <v>46327</v>
      </c>
      <c r="E143" s="6"/>
      <c r="F143" s="54">
        <v>142</v>
      </c>
    </row>
    <row r="144" spans="1:6" x14ac:dyDescent="0.4">
      <c r="A144" s="13" t="s">
        <v>2324</v>
      </c>
      <c r="B144" s="55" t="s">
        <v>2325</v>
      </c>
      <c r="C144" s="13" t="s">
        <v>5133</v>
      </c>
      <c r="D144" s="59">
        <v>46357</v>
      </c>
      <c r="E144" s="6"/>
      <c r="F144" s="13">
        <v>143</v>
      </c>
    </row>
    <row r="145" spans="1:6" x14ac:dyDescent="0.4">
      <c r="A145" s="13" t="s">
        <v>2324</v>
      </c>
      <c r="B145" s="55" t="s">
        <v>2325</v>
      </c>
      <c r="C145" s="13" t="s">
        <v>5133</v>
      </c>
      <c r="D145" s="59">
        <v>46388</v>
      </c>
      <c r="E145" s="6"/>
      <c r="F145" s="54">
        <v>144</v>
      </c>
    </row>
    <row r="146" spans="1:6" x14ac:dyDescent="0.4">
      <c r="A146" s="13" t="s">
        <v>2324</v>
      </c>
      <c r="B146" s="55" t="s">
        <v>2325</v>
      </c>
      <c r="C146" s="13" t="s">
        <v>5133</v>
      </c>
      <c r="D146" s="59">
        <v>46419</v>
      </c>
      <c r="E146" s="6"/>
      <c r="F146" s="13">
        <v>145</v>
      </c>
    </row>
    <row r="147" spans="1:6" x14ac:dyDescent="0.4">
      <c r="A147" s="13" t="s">
        <v>2324</v>
      </c>
      <c r="B147" s="55" t="s">
        <v>2325</v>
      </c>
      <c r="C147" s="13" t="s">
        <v>5133</v>
      </c>
      <c r="D147" s="59">
        <v>46447</v>
      </c>
      <c r="E147" s="6"/>
      <c r="F147" s="13">
        <v>146</v>
      </c>
    </row>
    <row r="148" spans="1:6" x14ac:dyDescent="0.4">
      <c r="A148" s="13" t="s">
        <v>2324</v>
      </c>
      <c r="B148" s="55" t="s">
        <v>2325</v>
      </c>
      <c r="C148" s="13" t="s">
        <v>5133</v>
      </c>
      <c r="D148" s="59">
        <v>46478</v>
      </c>
      <c r="E148" s="6"/>
      <c r="F148" s="54">
        <v>147</v>
      </c>
    </row>
    <row r="149" spans="1:6" x14ac:dyDescent="0.4">
      <c r="A149" s="13" t="s">
        <v>2324</v>
      </c>
      <c r="B149" s="55" t="s">
        <v>2325</v>
      </c>
      <c r="C149" s="13" t="s">
        <v>5133</v>
      </c>
      <c r="D149" s="59">
        <v>46508</v>
      </c>
      <c r="E149" s="6"/>
      <c r="F149" s="13">
        <v>148</v>
      </c>
    </row>
    <row r="150" spans="1:6" x14ac:dyDescent="0.4">
      <c r="A150" s="13" t="s">
        <v>2324</v>
      </c>
      <c r="B150" s="55" t="s">
        <v>2325</v>
      </c>
      <c r="C150" s="13" t="s">
        <v>5133</v>
      </c>
      <c r="D150" s="59">
        <v>46539</v>
      </c>
      <c r="E150" s="6"/>
      <c r="F150" s="54">
        <v>149</v>
      </c>
    </row>
    <row r="151" spans="1:6" x14ac:dyDescent="0.4">
      <c r="A151" s="13" t="s">
        <v>2324</v>
      </c>
      <c r="B151" s="55" t="s">
        <v>2325</v>
      </c>
      <c r="C151" s="13" t="s">
        <v>5133</v>
      </c>
      <c r="D151" s="59">
        <v>46569</v>
      </c>
      <c r="E151" s="6"/>
      <c r="F151" s="13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45839</v>
      </c>
      <c r="E152" s="6">
        <v>0</v>
      </c>
      <c r="F152" s="13">
        <v>151</v>
      </c>
    </row>
    <row r="153" spans="1:6" x14ac:dyDescent="0.4">
      <c r="A153" s="13" t="s">
        <v>2324</v>
      </c>
      <c r="B153" s="13" t="s">
        <v>2345</v>
      </c>
      <c r="C153" s="10" t="s">
        <v>25</v>
      </c>
      <c r="D153" s="59">
        <v>45870</v>
      </c>
      <c r="E153" s="6">
        <v>133650</v>
      </c>
      <c r="F153" s="54">
        <v>152</v>
      </c>
    </row>
    <row r="154" spans="1:6" x14ac:dyDescent="0.4">
      <c r="A154" s="13" t="s">
        <v>2324</v>
      </c>
      <c r="B154" s="13" t="s">
        <v>2345</v>
      </c>
      <c r="C154" s="10" t="s">
        <v>25</v>
      </c>
      <c r="D154" s="59">
        <v>45901</v>
      </c>
      <c r="E154" s="6">
        <v>151470</v>
      </c>
      <c r="F154" s="13">
        <v>153</v>
      </c>
    </row>
    <row r="155" spans="1:6" x14ac:dyDescent="0.4">
      <c r="A155" s="13" t="s">
        <v>2324</v>
      </c>
      <c r="B155" s="13" t="s">
        <v>2345</v>
      </c>
      <c r="C155" s="10" t="s">
        <v>25</v>
      </c>
      <c r="D155" s="59">
        <v>45931</v>
      </c>
      <c r="E155" s="6">
        <v>650430</v>
      </c>
      <c r="F155" s="54">
        <v>154</v>
      </c>
    </row>
    <row r="156" spans="1:6" x14ac:dyDescent="0.4">
      <c r="A156" s="13" t="s">
        <v>2324</v>
      </c>
      <c r="B156" s="13" t="s">
        <v>2345</v>
      </c>
      <c r="C156" s="10" t="s">
        <v>25</v>
      </c>
      <c r="D156" s="59">
        <v>45962</v>
      </c>
      <c r="E156" s="6">
        <v>525690</v>
      </c>
      <c r="F156" s="13">
        <v>155</v>
      </c>
    </row>
    <row r="157" spans="1:6" x14ac:dyDescent="0.4">
      <c r="A157" s="13" t="s">
        <v>2324</v>
      </c>
      <c r="B157" s="13" t="s">
        <v>2345</v>
      </c>
      <c r="C157" s="10" t="s">
        <v>25</v>
      </c>
      <c r="D157" s="59">
        <v>45992</v>
      </c>
      <c r="E157" s="6">
        <v>507870</v>
      </c>
      <c r="F157" s="13">
        <v>156</v>
      </c>
    </row>
    <row r="158" spans="1:6" x14ac:dyDescent="0.4">
      <c r="A158" s="13" t="s">
        <v>2324</v>
      </c>
      <c r="B158" s="13" t="s">
        <v>2345</v>
      </c>
      <c r="C158" s="10" t="s">
        <v>25</v>
      </c>
      <c r="D158" s="59">
        <v>46023</v>
      </c>
      <c r="E158" s="6">
        <v>8910</v>
      </c>
      <c r="F158" s="54">
        <v>157</v>
      </c>
    </row>
    <row r="159" spans="1:6" x14ac:dyDescent="0.4">
      <c r="A159" s="13" t="s">
        <v>2324</v>
      </c>
      <c r="B159" s="13" t="s">
        <v>2345</v>
      </c>
      <c r="C159" s="10" t="s">
        <v>25</v>
      </c>
      <c r="D159" s="59">
        <v>46054</v>
      </c>
      <c r="E159" s="6">
        <v>0</v>
      </c>
      <c r="F159" s="13">
        <v>158</v>
      </c>
    </row>
    <row r="160" spans="1:6" x14ac:dyDescent="0.4">
      <c r="A160" s="13" t="s">
        <v>2324</v>
      </c>
      <c r="B160" s="13" t="s">
        <v>2345</v>
      </c>
      <c r="C160" s="10" t="s">
        <v>25</v>
      </c>
      <c r="D160" s="59">
        <v>46082</v>
      </c>
      <c r="E160" s="6">
        <v>0</v>
      </c>
      <c r="F160" s="54">
        <v>159</v>
      </c>
    </row>
    <row r="161" spans="1:6" x14ac:dyDescent="0.4">
      <c r="A161" s="13" t="s">
        <v>2324</v>
      </c>
      <c r="B161" s="13" t="s">
        <v>2345</v>
      </c>
      <c r="C161" s="10" t="s">
        <v>25</v>
      </c>
      <c r="D161" s="59">
        <v>46113</v>
      </c>
      <c r="E161" s="6">
        <v>0</v>
      </c>
      <c r="F161" s="13">
        <v>160</v>
      </c>
    </row>
    <row r="162" spans="1:6" x14ac:dyDescent="0.4">
      <c r="A162" s="13" t="s">
        <v>2324</v>
      </c>
      <c r="B162" s="13" t="s">
        <v>2345</v>
      </c>
      <c r="C162" s="10" t="s">
        <v>25</v>
      </c>
      <c r="D162" s="59">
        <v>46143</v>
      </c>
      <c r="E162" s="6">
        <v>0</v>
      </c>
      <c r="F162" s="13">
        <v>161</v>
      </c>
    </row>
    <row r="163" spans="1:6" x14ac:dyDescent="0.4">
      <c r="A163" s="13" t="s">
        <v>2324</v>
      </c>
      <c r="B163" s="13" t="s">
        <v>2345</v>
      </c>
      <c r="C163" s="10" t="s">
        <v>25</v>
      </c>
      <c r="D163" s="59">
        <v>46174</v>
      </c>
      <c r="E163" s="6">
        <v>0</v>
      </c>
      <c r="F163" s="54">
        <v>162</v>
      </c>
    </row>
    <row r="164" spans="1:6" x14ac:dyDescent="0.4">
      <c r="A164" s="13" t="s">
        <v>2324</v>
      </c>
      <c r="B164" s="13" t="s">
        <v>2345</v>
      </c>
      <c r="C164" s="10" t="s">
        <v>25</v>
      </c>
      <c r="D164" s="59">
        <v>46204</v>
      </c>
      <c r="E164" s="6">
        <v>0</v>
      </c>
      <c r="F164" s="13">
        <v>163</v>
      </c>
    </row>
    <row r="165" spans="1:6" x14ac:dyDescent="0.4">
      <c r="A165" s="13" t="s">
        <v>2324</v>
      </c>
      <c r="B165" s="13" t="s">
        <v>2345</v>
      </c>
      <c r="C165" s="10" t="s">
        <v>25</v>
      </c>
      <c r="D165" s="59">
        <v>46235</v>
      </c>
      <c r="E165" s="6">
        <v>0</v>
      </c>
      <c r="F165" s="54">
        <v>164</v>
      </c>
    </row>
    <row r="166" spans="1:6" x14ac:dyDescent="0.4">
      <c r="A166" s="13" t="s">
        <v>2324</v>
      </c>
      <c r="B166" s="13" t="s">
        <v>2345</v>
      </c>
      <c r="C166" s="10" t="s">
        <v>25</v>
      </c>
      <c r="D166" s="59">
        <v>46266</v>
      </c>
      <c r="E166" s="6">
        <v>0</v>
      </c>
      <c r="F166" s="13">
        <v>165</v>
      </c>
    </row>
    <row r="167" spans="1:6" x14ac:dyDescent="0.4">
      <c r="A167" s="13" t="s">
        <v>2324</v>
      </c>
      <c r="B167" s="13" t="s">
        <v>2345</v>
      </c>
      <c r="C167" s="10" t="s">
        <v>25</v>
      </c>
      <c r="D167" s="59">
        <v>46296</v>
      </c>
      <c r="E167" s="6">
        <v>0</v>
      </c>
      <c r="F167" s="13">
        <v>166</v>
      </c>
    </row>
    <row r="168" spans="1:6" x14ac:dyDescent="0.4">
      <c r="A168" s="13" t="s">
        <v>2324</v>
      </c>
      <c r="B168" s="13" t="s">
        <v>2345</v>
      </c>
      <c r="C168" s="10" t="s">
        <v>25</v>
      </c>
      <c r="D168" s="59">
        <v>46327</v>
      </c>
      <c r="E168" s="6">
        <v>0</v>
      </c>
      <c r="F168" s="54">
        <v>167</v>
      </c>
    </row>
    <row r="169" spans="1:6" x14ac:dyDescent="0.4">
      <c r="A169" s="13" t="s">
        <v>2324</v>
      </c>
      <c r="B169" s="13" t="s">
        <v>2345</v>
      </c>
      <c r="C169" s="10" t="s">
        <v>25</v>
      </c>
      <c r="D169" s="59">
        <v>46357</v>
      </c>
      <c r="E169" s="6">
        <v>0</v>
      </c>
      <c r="F169" s="13">
        <v>168</v>
      </c>
    </row>
    <row r="170" spans="1:6" x14ac:dyDescent="0.4">
      <c r="A170" s="13" t="s">
        <v>2324</v>
      </c>
      <c r="B170" s="13" t="s">
        <v>2345</v>
      </c>
      <c r="C170" s="10" t="s">
        <v>25</v>
      </c>
      <c r="D170" s="59">
        <v>46388</v>
      </c>
      <c r="E170" s="6">
        <v>0</v>
      </c>
      <c r="F170" s="54">
        <v>169</v>
      </c>
    </row>
    <row r="171" spans="1:6" x14ac:dyDescent="0.4">
      <c r="A171" s="13" t="s">
        <v>2324</v>
      </c>
      <c r="B171" s="13" t="s">
        <v>2345</v>
      </c>
      <c r="C171" s="10" t="s">
        <v>25</v>
      </c>
      <c r="D171" s="59">
        <v>46419</v>
      </c>
      <c r="E171" s="6">
        <v>0</v>
      </c>
      <c r="F171" s="13">
        <v>170</v>
      </c>
    </row>
    <row r="172" spans="1:6" x14ac:dyDescent="0.4">
      <c r="A172" s="13" t="s">
        <v>2324</v>
      </c>
      <c r="B172" s="13" t="s">
        <v>2345</v>
      </c>
      <c r="C172" s="10" t="s">
        <v>25</v>
      </c>
      <c r="D172" s="59">
        <v>46447</v>
      </c>
      <c r="E172" s="6">
        <v>0</v>
      </c>
      <c r="F172" s="13">
        <v>171</v>
      </c>
    </row>
    <row r="173" spans="1:6" x14ac:dyDescent="0.4">
      <c r="A173" s="13" t="s">
        <v>2324</v>
      </c>
      <c r="B173" s="13" t="s">
        <v>2345</v>
      </c>
      <c r="C173" s="10" t="s">
        <v>25</v>
      </c>
      <c r="D173" s="59">
        <v>46478</v>
      </c>
      <c r="E173" s="6">
        <v>0</v>
      </c>
      <c r="F173" s="54">
        <v>172</v>
      </c>
    </row>
    <row r="174" spans="1:6" x14ac:dyDescent="0.4">
      <c r="A174" s="13" t="s">
        <v>2324</v>
      </c>
      <c r="B174" s="13" t="s">
        <v>2345</v>
      </c>
      <c r="C174" s="10" t="s">
        <v>25</v>
      </c>
      <c r="D174" s="59">
        <v>46508</v>
      </c>
      <c r="E174" s="6">
        <v>0</v>
      </c>
      <c r="F174" s="13">
        <v>173</v>
      </c>
    </row>
    <row r="175" spans="1:6" x14ac:dyDescent="0.4">
      <c r="A175" s="13" t="s">
        <v>2324</v>
      </c>
      <c r="B175" s="13" t="s">
        <v>2345</v>
      </c>
      <c r="C175" s="10" t="s">
        <v>25</v>
      </c>
      <c r="D175" s="59">
        <v>46539</v>
      </c>
      <c r="E175" s="6">
        <v>0</v>
      </c>
      <c r="F175" s="54">
        <v>174</v>
      </c>
    </row>
    <row r="176" spans="1:6" x14ac:dyDescent="0.4">
      <c r="A176" s="13" t="s">
        <v>2324</v>
      </c>
      <c r="B176" s="13" t="s">
        <v>2345</v>
      </c>
      <c r="C176" s="10" t="s">
        <v>25</v>
      </c>
      <c r="D176" s="59">
        <v>46569</v>
      </c>
      <c r="E176" s="6">
        <v>0</v>
      </c>
      <c r="F176" s="13">
        <v>175</v>
      </c>
    </row>
    <row r="177" spans="1:6" x14ac:dyDescent="0.4">
      <c r="A177" s="13" t="s">
        <v>2324</v>
      </c>
      <c r="B177" s="13" t="s">
        <v>2345</v>
      </c>
      <c r="C177" s="13" t="s">
        <v>44</v>
      </c>
      <c r="D177" s="59">
        <v>45839</v>
      </c>
      <c r="E177" s="6">
        <v>0</v>
      </c>
      <c r="F177" s="13">
        <v>176</v>
      </c>
    </row>
    <row r="178" spans="1:6" x14ac:dyDescent="0.4">
      <c r="A178" s="13" t="s">
        <v>2324</v>
      </c>
      <c r="B178" s="13" t="s">
        <v>2345</v>
      </c>
      <c r="C178" s="13" t="s">
        <v>44</v>
      </c>
      <c r="D178" s="59">
        <v>45870</v>
      </c>
      <c r="E178" s="6">
        <v>51435</v>
      </c>
      <c r="F178" s="54">
        <v>177</v>
      </c>
    </row>
    <row r="179" spans="1:6" x14ac:dyDescent="0.4">
      <c r="A179" s="13" t="s">
        <v>2324</v>
      </c>
      <c r="B179" s="13" t="s">
        <v>2345</v>
      </c>
      <c r="C179" s="13" t="s">
        <v>44</v>
      </c>
      <c r="D179" s="59">
        <v>45901</v>
      </c>
      <c r="E179" s="6">
        <v>94298</v>
      </c>
      <c r="F179" s="13">
        <v>178</v>
      </c>
    </row>
    <row r="180" spans="1:6" x14ac:dyDescent="0.4">
      <c r="A180" s="13" t="s">
        <v>2324</v>
      </c>
      <c r="B180" s="13" t="s">
        <v>2345</v>
      </c>
      <c r="C180" s="13" t="s">
        <v>44</v>
      </c>
      <c r="D180" s="59">
        <v>45931</v>
      </c>
      <c r="E180" s="6">
        <v>334328</v>
      </c>
      <c r="F180" s="54">
        <v>179</v>
      </c>
    </row>
    <row r="181" spans="1:6" x14ac:dyDescent="0.4">
      <c r="A181" s="13" t="s">
        <v>2324</v>
      </c>
      <c r="B181" s="13" t="s">
        <v>2345</v>
      </c>
      <c r="C181" s="13" t="s">
        <v>44</v>
      </c>
      <c r="D181" s="59">
        <v>45962</v>
      </c>
      <c r="E181" s="6">
        <v>1217295</v>
      </c>
      <c r="F181" s="13">
        <v>180</v>
      </c>
    </row>
    <row r="182" spans="1:6" x14ac:dyDescent="0.4">
      <c r="A182" s="13" t="s">
        <v>2324</v>
      </c>
      <c r="B182" s="13" t="s">
        <v>2345</v>
      </c>
      <c r="C182" s="13" t="s">
        <v>44</v>
      </c>
      <c r="D182" s="59">
        <v>45992</v>
      </c>
      <c r="E182" s="6">
        <v>1277303</v>
      </c>
      <c r="F182" s="13">
        <v>181</v>
      </c>
    </row>
    <row r="183" spans="1:6" x14ac:dyDescent="0.4">
      <c r="A183" s="13" t="s">
        <v>2324</v>
      </c>
      <c r="B183" s="13" t="s">
        <v>2345</v>
      </c>
      <c r="C183" s="13" t="s">
        <v>44</v>
      </c>
      <c r="D183" s="59">
        <v>46023</v>
      </c>
      <c r="E183" s="6">
        <v>3540443</v>
      </c>
      <c r="F183" s="54">
        <v>182</v>
      </c>
    </row>
    <row r="184" spans="1:6" x14ac:dyDescent="0.4">
      <c r="A184" s="13" t="s">
        <v>2324</v>
      </c>
      <c r="B184" s="13" t="s">
        <v>2345</v>
      </c>
      <c r="C184" s="13" t="s">
        <v>44</v>
      </c>
      <c r="D184" s="59">
        <v>46054</v>
      </c>
      <c r="E184" s="6">
        <v>3489008</v>
      </c>
      <c r="F184" s="13">
        <v>183</v>
      </c>
    </row>
    <row r="185" spans="1:6" x14ac:dyDescent="0.4">
      <c r="A185" s="13" t="s">
        <v>2324</v>
      </c>
      <c r="B185" s="13" t="s">
        <v>2345</v>
      </c>
      <c r="C185" s="13" t="s">
        <v>44</v>
      </c>
      <c r="D185" s="59">
        <v>46082</v>
      </c>
      <c r="E185" s="6">
        <v>3446145</v>
      </c>
      <c r="F185" s="54">
        <v>184</v>
      </c>
    </row>
    <row r="186" spans="1:6" x14ac:dyDescent="0.4">
      <c r="A186" s="13" t="s">
        <v>2324</v>
      </c>
      <c r="B186" s="13" t="s">
        <v>2345</v>
      </c>
      <c r="C186" s="13" t="s">
        <v>44</v>
      </c>
      <c r="D186" s="59">
        <v>46113</v>
      </c>
      <c r="E186" s="6">
        <v>3206115</v>
      </c>
      <c r="F186" s="13">
        <v>185</v>
      </c>
    </row>
    <row r="187" spans="1:6" x14ac:dyDescent="0.4">
      <c r="A187" s="13" t="s">
        <v>2324</v>
      </c>
      <c r="B187" s="13" t="s">
        <v>2345</v>
      </c>
      <c r="C187" s="13" t="s">
        <v>44</v>
      </c>
      <c r="D187" s="59">
        <v>46143</v>
      </c>
      <c r="E187" s="6">
        <v>2323148</v>
      </c>
      <c r="F187" s="13">
        <v>186</v>
      </c>
    </row>
    <row r="188" spans="1:6" x14ac:dyDescent="0.4">
      <c r="A188" s="13" t="s">
        <v>2324</v>
      </c>
      <c r="B188" s="13" t="s">
        <v>2345</v>
      </c>
      <c r="C188" s="13" t="s">
        <v>44</v>
      </c>
      <c r="D188" s="59">
        <v>46174</v>
      </c>
      <c r="E188" s="6">
        <v>2263140</v>
      </c>
      <c r="F188" s="54">
        <v>187</v>
      </c>
    </row>
    <row r="189" spans="1:6" x14ac:dyDescent="0.4">
      <c r="A189" s="13" t="s">
        <v>2324</v>
      </c>
      <c r="B189" s="13" t="s">
        <v>2345</v>
      </c>
      <c r="C189" s="13" t="s">
        <v>44</v>
      </c>
      <c r="D189" s="59">
        <v>46204</v>
      </c>
      <c r="E189" s="6">
        <v>0</v>
      </c>
      <c r="F189" s="13">
        <v>188</v>
      </c>
    </row>
    <row r="190" spans="1:6" x14ac:dyDescent="0.4">
      <c r="A190" s="13" t="s">
        <v>2324</v>
      </c>
      <c r="B190" s="13" t="s">
        <v>2345</v>
      </c>
      <c r="C190" s="13" t="s">
        <v>44</v>
      </c>
      <c r="D190" s="59">
        <v>46235</v>
      </c>
      <c r="E190" s="6">
        <v>0</v>
      </c>
      <c r="F190" s="54">
        <v>189</v>
      </c>
    </row>
    <row r="191" spans="1:6" x14ac:dyDescent="0.4">
      <c r="A191" s="13" t="s">
        <v>2324</v>
      </c>
      <c r="B191" s="13" t="s">
        <v>2345</v>
      </c>
      <c r="C191" s="13" t="s">
        <v>44</v>
      </c>
      <c r="D191" s="59">
        <v>46266</v>
      </c>
      <c r="E191" s="6">
        <v>0</v>
      </c>
      <c r="F191" s="13">
        <v>190</v>
      </c>
    </row>
    <row r="192" spans="1:6" x14ac:dyDescent="0.4">
      <c r="A192" s="13" t="s">
        <v>2324</v>
      </c>
      <c r="B192" s="13" t="s">
        <v>2345</v>
      </c>
      <c r="C192" s="13" t="s">
        <v>44</v>
      </c>
      <c r="D192" s="59">
        <v>46296</v>
      </c>
      <c r="E192" s="6">
        <v>0</v>
      </c>
      <c r="F192" s="13">
        <v>191</v>
      </c>
    </row>
    <row r="193" spans="1:6" x14ac:dyDescent="0.4">
      <c r="A193" s="13" t="s">
        <v>2324</v>
      </c>
      <c r="B193" s="13" t="s">
        <v>2345</v>
      </c>
      <c r="C193" s="13" t="s">
        <v>44</v>
      </c>
      <c r="D193" s="59">
        <v>46327</v>
      </c>
      <c r="E193" s="6">
        <v>0</v>
      </c>
      <c r="F193" s="54">
        <v>192</v>
      </c>
    </row>
    <row r="194" spans="1:6" x14ac:dyDescent="0.4">
      <c r="A194" s="13" t="s">
        <v>2324</v>
      </c>
      <c r="B194" s="13" t="s">
        <v>2345</v>
      </c>
      <c r="C194" s="13" t="s">
        <v>44</v>
      </c>
      <c r="D194" s="59">
        <v>46357</v>
      </c>
      <c r="E194" s="6">
        <v>0</v>
      </c>
      <c r="F194" s="13">
        <v>193</v>
      </c>
    </row>
    <row r="195" spans="1:6" x14ac:dyDescent="0.4">
      <c r="A195" s="13" t="s">
        <v>2324</v>
      </c>
      <c r="B195" s="13" t="s">
        <v>2345</v>
      </c>
      <c r="C195" s="13" t="s">
        <v>44</v>
      </c>
      <c r="D195" s="59">
        <v>46388</v>
      </c>
      <c r="E195" s="6">
        <v>0</v>
      </c>
      <c r="F195" s="54">
        <v>194</v>
      </c>
    </row>
    <row r="196" spans="1:6" x14ac:dyDescent="0.4">
      <c r="A196" s="13" t="s">
        <v>2324</v>
      </c>
      <c r="B196" s="13" t="s">
        <v>2345</v>
      </c>
      <c r="C196" s="13" t="s">
        <v>44</v>
      </c>
      <c r="D196" s="59">
        <v>46419</v>
      </c>
      <c r="E196" s="6">
        <v>0</v>
      </c>
      <c r="F196" s="13">
        <v>195</v>
      </c>
    </row>
    <row r="197" spans="1:6" x14ac:dyDescent="0.4">
      <c r="A197" s="13" t="s">
        <v>2324</v>
      </c>
      <c r="B197" s="13" t="s">
        <v>2345</v>
      </c>
      <c r="C197" s="13" t="s">
        <v>44</v>
      </c>
      <c r="D197" s="59">
        <v>46447</v>
      </c>
      <c r="E197" s="6">
        <v>0</v>
      </c>
      <c r="F197" s="13">
        <v>196</v>
      </c>
    </row>
    <row r="198" spans="1:6" x14ac:dyDescent="0.4">
      <c r="A198" s="13" t="s">
        <v>2324</v>
      </c>
      <c r="B198" s="13" t="s">
        <v>2345</v>
      </c>
      <c r="C198" s="13" t="s">
        <v>44</v>
      </c>
      <c r="D198" s="59">
        <v>46478</v>
      </c>
      <c r="E198" s="6">
        <v>0</v>
      </c>
      <c r="F198" s="54">
        <v>197</v>
      </c>
    </row>
    <row r="199" spans="1:6" x14ac:dyDescent="0.4">
      <c r="A199" s="13" t="s">
        <v>2324</v>
      </c>
      <c r="B199" s="13" t="s">
        <v>2345</v>
      </c>
      <c r="C199" s="13" t="s">
        <v>44</v>
      </c>
      <c r="D199" s="59">
        <v>46508</v>
      </c>
      <c r="E199" s="6">
        <v>0</v>
      </c>
      <c r="F199" s="13">
        <v>198</v>
      </c>
    </row>
    <row r="200" spans="1:6" x14ac:dyDescent="0.4">
      <c r="A200" s="13" t="s">
        <v>2324</v>
      </c>
      <c r="B200" s="13" t="s">
        <v>2345</v>
      </c>
      <c r="C200" s="13" t="s">
        <v>44</v>
      </c>
      <c r="D200" s="59">
        <v>46539</v>
      </c>
      <c r="E200" s="6">
        <v>0</v>
      </c>
      <c r="F200" s="54">
        <v>199</v>
      </c>
    </row>
    <row r="201" spans="1:6" x14ac:dyDescent="0.4">
      <c r="A201" s="13" t="s">
        <v>2324</v>
      </c>
      <c r="B201" s="13" t="s">
        <v>2345</v>
      </c>
      <c r="C201" s="13" t="s">
        <v>44</v>
      </c>
      <c r="D201" s="59">
        <v>46569</v>
      </c>
      <c r="E201" s="6">
        <v>0</v>
      </c>
      <c r="F201" s="13">
        <v>200</v>
      </c>
    </row>
    <row r="202" spans="1:6" x14ac:dyDescent="0.4">
      <c r="A202" s="13" t="s">
        <v>2324</v>
      </c>
      <c r="B202" s="13" t="s">
        <v>2345</v>
      </c>
      <c r="C202" s="13" t="s">
        <v>1944</v>
      </c>
      <c r="D202" s="59">
        <v>45839</v>
      </c>
      <c r="E202" s="6">
        <v>0</v>
      </c>
      <c r="F202" s="13">
        <v>201</v>
      </c>
    </row>
    <row r="203" spans="1:6" x14ac:dyDescent="0.4">
      <c r="A203" s="13" t="s">
        <v>2324</v>
      </c>
      <c r="B203" s="13" t="s">
        <v>2345</v>
      </c>
      <c r="C203" s="13" t="s">
        <v>1944</v>
      </c>
      <c r="D203" s="59">
        <v>45870</v>
      </c>
      <c r="E203" s="6">
        <v>4246</v>
      </c>
      <c r="F203" s="54">
        <v>202</v>
      </c>
    </row>
    <row r="204" spans="1:6" x14ac:dyDescent="0.4">
      <c r="A204" s="13" t="s">
        <v>2324</v>
      </c>
      <c r="B204" s="13" t="s">
        <v>2345</v>
      </c>
      <c r="C204" s="13" t="s">
        <v>1944</v>
      </c>
      <c r="D204" s="59">
        <v>45901</v>
      </c>
      <c r="E204" s="6">
        <v>72178</v>
      </c>
      <c r="F204" s="13">
        <v>203</v>
      </c>
    </row>
    <row r="205" spans="1:6" x14ac:dyDescent="0.4">
      <c r="A205" s="13" t="s">
        <v>2324</v>
      </c>
      <c r="B205" s="13" t="s">
        <v>2345</v>
      </c>
      <c r="C205" s="13" t="s">
        <v>1944</v>
      </c>
      <c r="D205" s="59">
        <v>45931</v>
      </c>
      <c r="E205" s="6">
        <v>72178</v>
      </c>
      <c r="F205" s="54">
        <v>204</v>
      </c>
    </row>
    <row r="206" spans="1:6" x14ac:dyDescent="0.4">
      <c r="A206" s="13" t="s">
        <v>2324</v>
      </c>
      <c r="B206" s="13" t="s">
        <v>2345</v>
      </c>
      <c r="C206" s="13" t="s">
        <v>1944</v>
      </c>
      <c r="D206" s="59">
        <v>45962</v>
      </c>
      <c r="E206" s="6">
        <v>72178</v>
      </c>
      <c r="F206" s="13">
        <v>205</v>
      </c>
    </row>
    <row r="207" spans="1:6" x14ac:dyDescent="0.4">
      <c r="A207" s="13" t="s">
        <v>2324</v>
      </c>
      <c r="B207" s="13" t="s">
        <v>2345</v>
      </c>
      <c r="C207" s="13" t="s">
        <v>1944</v>
      </c>
      <c r="D207" s="59">
        <v>45992</v>
      </c>
      <c r="E207" s="6">
        <v>72178</v>
      </c>
      <c r="F207" s="13">
        <v>206</v>
      </c>
    </row>
    <row r="208" spans="1:6" x14ac:dyDescent="0.4">
      <c r="A208" s="13" t="s">
        <v>2324</v>
      </c>
      <c r="B208" s="13" t="s">
        <v>2345</v>
      </c>
      <c r="C208" s="13" t="s">
        <v>1944</v>
      </c>
      <c r="D208" s="59">
        <v>46023</v>
      </c>
      <c r="E208" s="6">
        <v>76424</v>
      </c>
      <c r="F208" s="54">
        <v>207</v>
      </c>
    </row>
    <row r="209" spans="1:6" x14ac:dyDescent="0.4">
      <c r="A209" s="13" t="s">
        <v>2324</v>
      </c>
      <c r="B209" s="13" t="s">
        <v>2345</v>
      </c>
      <c r="C209" s="13" t="s">
        <v>1944</v>
      </c>
      <c r="D209" s="59">
        <v>46054</v>
      </c>
      <c r="E209" s="6">
        <v>76424</v>
      </c>
      <c r="F209" s="13">
        <v>208</v>
      </c>
    </row>
    <row r="210" spans="1:6" x14ac:dyDescent="0.4">
      <c r="A210" s="13" t="s">
        <v>2324</v>
      </c>
      <c r="B210" s="13" t="s">
        <v>2345</v>
      </c>
      <c r="C210" s="13" t="s">
        <v>1944</v>
      </c>
      <c r="D210" s="59">
        <v>46082</v>
      </c>
      <c r="E210" s="6">
        <v>118881</v>
      </c>
      <c r="F210" s="54">
        <v>209</v>
      </c>
    </row>
    <row r="211" spans="1:6" x14ac:dyDescent="0.4">
      <c r="A211" s="13" t="s">
        <v>2324</v>
      </c>
      <c r="B211" s="13" t="s">
        <v>2345</v>
      </c>
      <c r="C211" s="13" t="s">
        <v>1944</v>
      </c>
      <c r="D211" s="59">
        <v>46113</v>
      </c>
      <c r="E211" s="6">
        <v>118881</v>
      </c>
      <c r="F211" s="13">
        <v>210</v>
      </c>
    </row>
    <row r="212" spans="1:6" x14ac:dyDescent="0.4">
      <c r="A212" s="13" t="s">
        <v>2324</v>
      </c>
      <c r="B212" s="13" t="s">
        <v>2345</v>
      </c>
      <c r="C212" s="13" t="s">
        <v>1944</v>
      </c>
      <c r="D212" s="59">
        <v>46143</v>
      </c>
      <c r="E212" s="6">
        <v>144356</v>
      </c>
      <c r="F212" s="13">
        <v>211</v>
      </c>
    </row>
    <row r="213" spans="1:6" x14ac:dyDescent="0.4">
      <c r="A213" s="13" t="s">
        <v>2324</v>
      </c>
      <c r="B213" s="13" t="s">
        <v>2345</v>
      </c>
      <c r="C213" s="13" t="s">
        <v>1944</v>
      </c>
      <c r="D213" s="59">
        <v>46174</v>
      </c>
      <c r="E213" s="6">
        <v>174076</v>
      </c>
      <c r="F213" s="54">
        <v>212</v>
      </c>
    </row>
    <row r="214" spans="1:6" x14ac:dyDescent="0.4">
      <c r="A214" s="13" t="s">
        <v>2324</v>
      </c>
      <c r="B214" s="13" t="s">
        <v>2345</v>
      </c>
      <c r="C214" s="13" t="s">
        <v>1944</v>
      </c>
      <c r="D214" s="59">
        <v>46204</v>
      </c>
      <c r="E214" s="6">
        <v>182567</v>
      </c>
      <c r="F214" s="13">
        <v>213</v>
      </c>
    </row>
    <row r="215" spans="1:6" x14ac:dyDescent="0.4">
      <c r="A215" s="13" t="s">
        <v>2324</v>
      </c>
      <c r="B215" s="13" t="s">
        <v>2345</v>
      </c>
      <c r="C215" s="13" t="s">
        <v>1944</v>
      </c>
      <c r="D215" s="59">
        <v>46235</v>
      </c>
      <c r="E215" s="6">
        <v>178322</v>
      </c>
      <c r="F215" s="54">
        <v>214</v>
      </c>
    </row>
    <row r="216" spans="1:6" x14ac:dyDescent="0.4">
      <c r="A216" s="13" t="s">
        <v>2324</v>
      </c>
      <c r="B216" s="13" t="s">
        <v>2345</v>
      </c>
      <c r="C216" s="13" t="s">
        <v>1944</v>
      </c>
      <c r="D216" s="59">
        <v>46266</v>
      </c>
      <c r="E216" s="6">
        <v>110390</v>
      </c>
      <c r="F216" s="13">
        <v>215</v>
      </c>
    </row>
    <row r="217" spans="1:6" x14ac:dyDescent="0.4">
      <c r="A217" s="13" t="s">
        <v>2324</v>
      </c>
      <c r="B217" s="13" t="s">
        <v>2345</v>
      </c>
      <c r="C217" s="13" t="s">
        <v>1944</v>
      </c>
      <c r="D217" s="59">
        <v>46296</v>
      </c>
      <c r="E217" s="6">
        <v>110390</v>
      </c>
      <c r="F217" s="13">
        <v>216</v>
      </c>
    </row>
    <row r="218" spans="1:6" x14ac:dyDescent="0.4">
      <c r="A218" s="13" t="s">
        <v>2324</v>
      </c>
      <c r="B218" s="13" t="s">
        <v>2345</v>
      </c>
      <c r="C218" s="13" t="s">
        <v>1944</v>
      </c>
      <c r="D218" s="59">
        <v>46327</v>
      </c>
      <c r="E218" s="6">
        <v>110390</v>
      </c>
      <c r="F218" s="54">
        <v>217</v>
      </c>
    </row>
    <row r="219" spans="1:6" x14ac:dyDescent="0.4">
      <c r="A219" s="13" t="s">
        <v>2324</v>
      </c>
      <c r="B219" s="13" t="s">
        <v>2345</v>
      </c>
      <c r="C219" s="13" t="s">
        <v>1944</v>
      </c>
      <c r="D219" s="59">
        <v>46357</v>
      </c>
      <c r="E219" s="6">
        <v>110390</v>
      </c>
      <c r="F219" s="13">
        <v>218</v>
      </c>
    </row>
    <row r="220" spans="1:6" x14ac:dyDescent="0.4">
      <c r="A220" s="13" t="s">
        <v>2324</v>
      </c>
      <c r="B220" s="13" t="s">
        <v>2345</v>
      </c>
      <c r="C220" s="13" t="s">
        <v>1944</v>
      </c>
      <c r="D220" s="59">
        <v>46388</v>
      </c>
      <c r="E220" s="6">
        <v>106144</v>
      </c>
      <c r="F220" s="54">
        <v>219</v>
      </c>
    </row>
    <row r="221" spans="1:6" x14ac:dyDescent="0.4">
      <c r="A221" s="13" t="s">
        <v>2324</v>
      </c>
      <c r="B221" s="13" t="s">
        <v>2345</v>
      </c>
      <c r="C221" s="13" t="s">
        <v>1944</v>
      </c>
      <c r="D221" s="59">
        <v>46419</v>
      </c>
      <c r="E221" s="6">
        <v>106144</v>
      </c>
      <c r="F221" s="13">
        <v>220</v>
      </c>
    </row>
    <row r="222" spans="1:6" x14ac:dyDescent="0.4">
      <c r="A222" s="13" t="s">
        <v>2324</v>
      </c>
      <c r="B222" s="13" t="s">
        <v>2345</v>
      </c>
      <c r="C222" s="13" t="s">
        <v>1944</v>
      </c>
      <c r="D222" s="59">
        <v>46447</v>
      </c>
      <c r="E222" s="6">
        <v>63686</v>
      </c>
      <c r="F222" s="13">
        <v>221</v>
      </c>
    </row>
    <row r="223" spans="1:6" x14ac:dyDescent="0.4">
      <c r="A223" s="13" t="s">
        <v>2324</v>
      </c>
      <c r="B223" s="13" t="s">
        <v>2345</v>
      </c>
      <c r="C223" s="13" t="s">
        <v>1944</v>
      </c>
      <c r="D223" s="59">
        <v>46478</v>
      </c>
      <c r="E223" s="6">
        <v>63686</v>
      </c>
      <c r="F223" s="54">
        <v>222</v>
      </c>
    </row>
    <row r="224" spans="1:6" x14ac:dyDescent="0.4">
      <c r="A224" s="13" t="s">
        <v>2324</v>
      </c>
      <c r="B224" s="13" t="s">
        <v>2345</v>
      </c>
      <c r="C224" s="13" t="s">
        <v>1944</v>
      </c>
      <c r="D224" s="59">
        <v>46508</v>
      </c>
      <c r="E224" s="6">
        <v>38212</v>
      </c>
      <c r="F224" s="13">
        <v>223</v>
      </c>
    </row>
    <row r="225" spans="1:6" x14ac:dyDescent="0.4">
      <c r="A225" s="13" t="s">
        <v>2324</v>
      </c>
      <c r="B225" s="13" t="s">
        <v>2345</v>
      </c>
      <c r="C225" s="13" t="s">
        <v>1944</v>
      </c>
      <c r="D225" s="59">
        <v>46539</v>
      </c>
      <c r="E225" s="6">
        <v>8492</v>
      </c>
      <c r="F225" s="54">
        <v>224</v>
      </c>
    </row>
    <row r="226" spans="1:6" x14ac:dyDescent="0.4">
      <c r="A226" s="13" t="s">
        <v>2324</v>
      </c>
      <c r="B226" s="13" t="s">
        <v>2345</v>
      </c>
      <c r="C226" s="13" t="s">
        <v>1944</v>
      </c>
      <c r="D226" s="59">
        <v>46569</v>
      </c>
      <c r="E226" s="6">
        <v>0</v>
      </c>
      <c r="F226" s="13">
        <v>225</v>
      </c>
    </row>
    <row r="227" spans="1:6" x14ac:dyDescent="0.4">
      <c r="A227" s="13" t="s">
        <v>2324</v>
      </c>
      <c r="B227" s="13" t="s">
        <v>2345</v>
      </c>
      <c r="C227" s="13" t="s">
        <v>70</v>
      </c>
      <c r="D227" s="59">
        <v>45839</v>
      </c>
      <c r="E227" s="6">
        <v>0</v>
      </c>
      <c r="F227" s="13">
        <v>226</v>
      </c>
    </row>
    <row r="228" spans="1:6" x14ac:dyDescent="0.4">
      <c r="A228" s="13" t="s">
        <v>2324</v>
      </c>
      <c r="B228" s="13" t="s">
        <v>2345</v>
      </c>
      <c r="C228" s="13" t="s">
        <v>70</v>
      </c>
      <c r="D228" s="59">
        <v>45870</v>
      </c>
      <c r="E228" s="6">
        <v>0</v>
      </c>
      <c r="F228" s="54">
        <v>227</v>
      </c>
    </row>
    <row r="229" spans="1:6" x14ac:dyDescent="0.4">
      <c r="A229" s="13" t="s">
        <v>2324</v>
      </c>
      <c r="B229" s="13" t="s">
        <v>2345</v>
      </c>
      <c r="C229" s="13" t="s">
        <v>70</v>
      </c>
      <c r="D229" s="59">
        <v>45901</v>
      </c>
      <c r="E229" s="6">
        <v>0</v>
      </c>
      <c r="F229" s="13">
        <v>228</v>
      </c>
    </row>
    <row r="230" spans="1:6" x14ac:dyDescent="0.4">
      <c r="A230" s="13" t="s">
        <v>2324</v>
      </c>
      <c r="B230" s="13" t="s">
        <v>2345</v>
      </c>
      <c r="C230" s="13" t="s">
        <v>70</v>
      </c>
      <c r="D230" s="59">
        <v>45931</v>
      </c>
      <c r="E230" s="6">
        <v>17820</v>
      </c>
      <c r="F230" s="54">
        <v>229</v>
      </c>
    </row>
    <row r="231" spans="1:6" x14ac:dyDescent="0.4">
      <c r="A231" s="13" t="s">
        <v>2324</v>
      </c>
      <c r="B231" s="13" t="s">
        <v>2345</v>
      </c>
      <c r="C231" s="13" t="s">
        <v>70</v>
      </c>
      <c r="D231" s="59">
        <v>45962</v>
      </c>
      <c r="E231" s="6">
        <v>17820</v>
      </c>
      <c r="F231" s="13">
        <v>230</v>
      </c>
    </row>
    <row r="232" spans="1:6" x14ac:dyDescent="0.4">
      <c r="A232" s="13" t="s">
        <v>2324</v>
      </c>
      <c r="B232" s="13" t="s">
        <v>2345</v>
      </c>
      <c r="C232" s="13" t="s">
        <v>70</v>
      </c>
      <c r="D232" s="59">
        <v>45992</v>
      </c>
      <c r="E232" s="6">
        <v>17820</v>
      </c>
      <c r="F232" s="13">
        <v>231</v>
      </c>
    </row>
    <row r="233" spans="1:6" x14ac:dyDescent="0.4">
      <c r="A233" s="13" t="s">
        <v>2324</v>
      </c>
      <c r="B233" s="13" t="s">
        <v>2345</v>
      </c>
      <c r="C233" s="13" t="s">
        <v>70</v>
      </c>
      <c r="D233" s="59">
        <v>46023</v>
      </c>
      <c r="E233" s="6">
        <v>0</v>
      </c>
      <c r="F233" s="54">
        <v>232</v>
      </c>
    </row>
    <row r="234" spans="1:6" x14ac:dyDescent="0.4">
      <c r="A234" s="13" t="s">
        <v>2324</v>
      </c>
      <c r="B234" s="13" t="s">
        <v>2345</v>
      </c>
      <c r="C234" s="13" t="s">
        <v>70</v>
      </c>
      <c r="D234" s="59">
        <v>46054</v>
      </c>
      <c r="E234" s="6">
        <v>0</v>
      </c>
      <c r="F234" s="13">
        <v>233</v>
      </c>
    </row>
    <row r="235" spans="1:6" x14ac:dyDescent="0.4">
      <c r="A235" s="13" t="s">
        <v>2324</v>
      </c>
      <c r="B235" s="13" t="s">
        <v>2345</v>
      </c>
      <c r="C235" s="13" t="s">
        <v>70</v>
      </c>
      <c r="D235" s="59">
        <v>46082</v>
      </c>
      <c r="E235" s="6">
        <v>0</v>
      </c>
      <c r="F235" s="54">
        <v>234</v>
      </c>
    </row>
    <row r="236" spans="1:6" x14ac:dyDescent="0.4">
      <c r="A236" s="13" t="s">
        <v>2324</v>
      </c>
      <c r="B236" s="13" t="s">
        <v>2345</v>
      </c>
      <c r="C236" s="13" t="s">
        <v>70</v>
      </c>
      <c r="D236" s="59">
        <v>46113</v>
      </c>
      <c r="E236" s="6">
        <v>0</v>
      </c>
      <c r="F236" s="13">
        <v>235</v>
      </c>
    </row>
    <row r="237" spans="1:6" x14ac:dyDescent="0.4">
      <c r="A237" s="13" t="s">
        <v>2324</v>
      </c>
      <c r="B237" s="13" t="s">
        <v>2345</v>
      </c>
      <c r="C237" s="13" t="s">
        <v>70</v>
      </c>
      <c r="D237" s="59">
        <v>46143</v>
      </c>
      <c r="E237" s="6">
        <v>0</v>
      </c>
      <c r="F237" s="13">
        <v>236</v>
      </c>
    </row>
    <row r="238" spans="1:6" x14ac:dyDescent="0.4">
      <c r="A238" s="13" t="s">
        <v>2324</v>
      </c>
      <c r="B238" s="13" t="s">
        <v>2345</v>
      </c>
      <c r="C238" s="13" t="s">
        <v>70</v>
      </c>
      <c r="D238" s="59">
        <v>46174</v>
      </c>
      <c r="E238" s="6">
        <v>0</v>
      </c>
      <c r="F238" s="54">
        <v>237</v>
      </c>
    </row>
    <row r="239" spans="1:6" x14ac:dyDescent="0.4">
      <c r="A239" s="13" t="s">
        <v>2324</v>
      </c>
      <c r="B239" s="13" t="s">
        <v>2345</v>
      </c>
      <c r="C239" s="13" t="s">
        <v>70</v>
      </c>
      <c r="D239" s="59">
        <v>46204</v>
      </c>
      <c r="E239" s="6">
        <v>0</v>
      </c>
      <c r="F239" s="13">
        <v>238</v>
      </c>
    </row>
    <row r="240" spans="1:6" x14ac:dyDescent="0.4">
      <c r="A240" s="13" t="s">
        <v>2324</v>
      </c>
      <c r="B240" s="13" t="s">
        <v>2345</v>
      </c>
      <c r="C240" s="13" t="s">
        <v>70</v>
      </c>
      <c r="D240" s="59">
        <v>46235</v>
      </c>
      <c r="E240" s="6">
        <v>0</v>
      </c>
      <c r="F240" s="54">
        <v>239</v>
      </c>
    </row>
    <row r="241" spans="1:6" x14ac:dyDescent="0.4">
      <c r="A241" s="13" t="s">
        <v>2324</v>
      </c>
      <c r="B241" s="13" t="s">
        <v>2345</v>
      </c>
      <c r="C241" s="13" t="s">
        <v>70</v>
      </c>
      <c r="D241" s="59">
        <v>46266</v>
      </c>
      <c r="E241" s="6">
        <v>0</v>
      </c>
      <c r="F241" s="13">
        <v>240</v>
      </c>
    </row>
    <row r="242" spans="1:6" x14ac:dyDescent="0.4">
      <c r="A242" s="13" t="s">
        <v>2324</v>
      </c>
      <c r="B242" s="13" t="s">
        <v>2345</v>
      </c>
      <c r="C242" s="13" t="s">
        <v>70</v>
      </c>
      <c r="D242" s="59">
        <v>46296</v>
      </c>
      <c r="E242" s="6">
        <v>0</v>
      </c>
      <c r="F242" s="13">
        <v>241</v>
      </c>
    </row>
    <row r="243" spans="1:6" x14ac:dyDescent="0.4">
      <c r="A243" s="13" t="s">
        <v>2324</v>
      </c>
      <c r="B243" s="13" t="s">
        <v>2345</v>
      </c>
      <c r="C243" s="13" t="s">
        <v>70</v>
      </c>
      <c r="D243" s="59">
        <v>46327</v>
      </c>
      <c r="E243" s="6">
        <v>0</v>
      </c>
      <c r="F243" s="54">
        <v>242</v>
      </c>
    </row>
    <row r="244" spans="1:6" x14ac:dyDescent="0.4">
      <c r="A244" s="13" t="s">
        <v>2324</v>
      </c>
      <c r="B244" s="13" t="s">
        <v>2345</v>
      </c>
      <c r="C244" s="13" t="s">
        <v>70</v>
      </c>
      <c r="D244" s="59">
        <v>46357</v>
      </c>
      <c r="E244" s="6">
        <v>0</v>
      </c>
      <c r="F244" s="13">
        <v>243</v>
      </c>
    </row>
    <row r="245" spans="1:6" x14ac:dyDescent="0.4">
      <c r="A245" s="13" t="s">
        <v>2324</v>
      </c>
      <c r="B245" s="13" t="s">
        <v>2345</v>
      </c>
      <c r="C245" s="13" t="s">
        <v>70</v>
      </c>
      <c r="D245" s="59">
        <v>46388</v>
      </c>
      <c r="E245" s="6">
        <v>0</v>
      </c>
      <c r="F245" s="54">
        <v>244</v>
      </c>
    </row>
    <row r="246" spans="1:6" x14ac:dyDescent="0.4">
      <c r="A246" s="13" t="s">
        <v>2324</v>
      </c>
      <c r="B246" s="13" t="s">
        <v>2345</v>
      </c>
      <c r="C246" s="13" t="s">
        <v>70</v>
      </c>
      <c r="D246" s="59">
        <v>46419</v>
      </c>
      <c r="E246" s="6">
        <v>0</v>
      </c>
      <c r="F246" s="13">
        <v>245</v>
      </c>
    </row>
    <row r="247" spans="1:6" x14ac:dyDescent="0.4">
      <c r="A247" s="13" t="s">
        <v>2324</v>
      </c>
      <c r="B247" s="13" t="s">
        <v>2345</v>
      </c>
      <c r="C247" s="13" t="s">
        <v>70</v>
      </c>
      <c r="D247" s="59">
        <v>46447</v>
      </c>
      <c r="E247" s="6">
        <v>0</v>
      </c>
      <c r="F247" s="13">
        <v>246</v>
      </c>
    </row>
    <row r="248" spans="1:6" x14ac:dyDescent="0.4">
      <c r="A248" s="13" t="s">
        <v>2324</v>
      </c>
      <c r="B248" s="13" t="s">
        <v>2345</v>
      </c>
      <c r="C248" s="13" t="s">
        <v>70</v>
      </c>
      <c r="D248" s="59">
        <v>46478</v>
      </c>
      <c r="E248" s="6">
        <v>0</v>
      </c>
      <c r="F248" s="54">
        <v>247</v>
      </c>
    </row>
    <row r="249" spans="1:6" x14ac:dyDescent="0.4">
      <c r="A249" s="13" t="s">
        <v>2324</v>
      </c>
      <c r="B249" s="13" t="s">
        <v>2345</v>
      </c>
      <c r="C249" s="13" t="s">
        <v>70</v>
      </c>
      <c r="D249" s="59">
        <v>46508</v>
      </c>
      <c r="E249" s="6">
        <v>0</v>
      </c>
      <c r="F249" s="13">
        <v>248</v>
      </c>
    </row>
    <row r="250" spans="1:6" x14ac:dyDescent="0.4">
      <c r="A250" s="13" t="s">
        <v>2324</v>
      </c>
      <c r="B250" s="13" t="s">
        <v>2345</v>
      </c>
      <c r="C250" s="13" t="s">
        <v>70</v>
      </c>
      <c r="D250" s="59">
        <v>46539</v>
      </c>
      <c r="E250" s="6">
        <v>0</v>
      </c>
      <c r="F250" s="54">
        <v>249</v>
      </c>
    </row>
    <row r="251" spans="1:6" x14ac:dyDescent="0.4">
      <c r="A251" s="13" t="s">
        <v>2324</v>
      </c>
      <c r="B251" s="13" t="s">
        <v>2345</v>
      </c>
      <c r="C251" s="13" t="s">
        <v>70</v>
      </c>
      <c r="D251" s="59">
        <v>46569</v>
      </c>
      <c r="E251" s="6">
        <v>0</v>
      </c>
      <c r="F251" s="13">
        <v>250</v>
      </c>
    </row>
    <row r="252" spans="1:6" x14ac:dyDescent="0.4">
      <c r="A252" s="13" t="s">
        <v>2324</v>
      </c>
      <c r="B252" s="13" t="s">
        <v>2345</v>
      </c>
      <c r="C252" s="13" t="s">
        <v>50</v>
      </c>
      <c r="D252" s="59">
        <v>45839</v>
      </c>
      <c r="E252" s="6">
        <v>0</v>
      </c>
      <c r="F252" s="13">
        <v>251</v>
      </c>
    </row>
    <row r="253" spans="1:6" x14ac:dyDescent="0.4">
      <c r="A253" s="13" t="s">
        <v>2324</v>
      </c>
      <c r="B253" s="13" t="s">
        <v>2345</v>
      </c>
      <c r="C253" s="13" t="s">
        <v>50</v>
      </c>
      <c r="D253" s="59">
        <v>45870</v>
      </c>
      <c r="E253" s="6">
        <v>0</v>
      </c>
      <c r="F253" s="54">
        <v>252</v>
      </c>
    </row>
    <row r="254" spans="1:6" x14ac:dyDescent="0.4">
      <c r="A254" s="13" t="s">
        <v>2324</v>
      </c>
      <c r="B254" s="13" t="s">
        <v>2345</v>
      </c>
      <c r="C254" s="13" t="s">
        <v>50</v>
      </c>
      <c r="D254" s="59">
        <v>45901</v>
      </c>
      <c r="E254" s="6">
        <v>0</v>
      </c>
      <c r="F254" s="13">
        <v>253</v>
      </c>
    </row>
    <row r="255" spans="1:6" x14ac:dyDescent="0.4">
      <c r="A255" s="13" t="s">
        <v>2324</v>
      </c>
      <c r="B255" s="13" t="s">
        <v>2345</v>
      </c>
      <c r="C255" s="13" t="s">
        <v>50</v>
      </c>
      <c r="D255" s="59">
        <v>45931</v>
      </c>
      <c r="E255" s="6">
        <v>8573</v>
      </c>
      <c r="F255" s="54">
        <v>254</v>
      </c>
    </row>
    <row r="256" spans="1:6" x14ac:dyDescent="0.4">
      <c r="A256" s="13" t="s">
        <v>2324</v>
      </c>
      <c r="B256" s="13" t="s">
        <v>2345</v>
      </c>
      <c r="C256" s="13" t="s">
        <v>50</v>
      </c>
      <c r="D256" s="59">
        <v>45962</v>
      </c>
      <c r="E256" s="6">
        <v>51435</v>
      </c>
      <c r="F256" s="13">
        <v>255</v>
      </c>
    </row>
    <row r="257" spans="1:6" x14ac:dyDescent="0.4">
      <c r="A257" s="13" t="s">
        <v>2324</v>
      </c>
      <c r="B257" s="13" t="s">
        <v>2345</v>
      </c>
      <c r="C257" s="13" t="s">
        <v>50</v>
      </c>
      <c r="D257" s="59">
        <v>45992</v>
      </c>
      <c r="E257" s="6">
        <v>51435</v>
      </c>
      <c r="F257" s="13">
        <v>256</v>
      </c>
    </row>
    <row r="258" spans="1:6" x14ac:dyDescent="0.4">
      <c r="A258" s="13" t="s">
        <v>2324</v>
      </c>
      <c r="B258" s="13" t="s">
        <v>2345</v>
      </c>
      <c r="C258" s="13" t="s">
        <v>50</v>
      </c>
      <c r="D258" s="59">
        <v>46023</v>
      </c>
      <c r="E258" s="6">
        <v>197168</v>
      </c>
      <c r="F258" s="54">
        <v>257</v>
      </c>
    </row>
    <row r="259" spans="1:6" x14ac:dyDescent="0.4">
      <c r="A259" s="13" t="s">
        <v>2324</v>
      </c>
      <c r="B259" s="13" t="s">
        <v>2345</v>
      </c>
      <c r="C259" s="13" t="s">
        <v>50</v>
      </c>
      <c r="D259" s="59">
        <v>46054</v>
      </c>
      <c r="E259" s="6">
        <v>197168</v>
      </c>
      <c r="F259" s="13">
        <v>258</v>
      </c>
    </row>
    <row r="260" spans="1:6" x14ac:dyDescent="0.4">
      <c r="A260" s="13" t="s">
        <v>2324</v>
      </c>
      <c r="B260" s="13" t="s">
        <v>2345</v>
      </c>
      <c r="C260" s="13" t="s">
        <v>50</v>
      </c>
      <c r="D260" s="59">
        <v>46082</v>
      </c>
      <c r="E260" s="6">
        <v>197168</v>
      </c>
      <c r="F260" s="54">
        <v>259</v>
      </c>
    </row>
    <row r="261" spans="1:6" x14ac:dyDescent="0.4">
      <c r="A261" s="13" t="s">
        <v>2324</v>
      </c>
      <c r="B261" s="13" t="s">
        <v>2345</v>
      </c>
      <c r="C261" s="13" t="s">
        <v>50</v>
      </c>
      <c r="D261" s="59">
        <v>46113</v>
      </c>
      <c r="E261" s="6">
        <v>188595</v>
      </c>
      <c r="F261" s="13">
        <v>260</v>
      </c>
    </row>
    <row r="262" spans="1:6" x14ac:dyDescent="0.4">
      <c r="A262" s="13" t="s">
        <v>2324</v>
      </c>
      <c r="B262" s="13" t="s">
        <v>2345</v>
      </c>
      <c r="C262" s="13" t="s">
        <v>50</v>
      </c>
      <c r="D262" s="59">
        <v>46143</v>
      </c>
      <c r="E262" s="6">
        <v>145733</v>
      </c>
      <c r="F262" s="13">
        <v>261</v>
      </c>
    </row>
    <row r="263" spans="1:6" x14ac:dyDescent="0.4">
      <c r="A263" s="13" t="s">
        <v>2324</v>
      </c>
      <c r="B263" s="13" t="s">
        <v>2345</v>
      </c>
      <c r="C263" s="13" t="s">
        <v>50</v>
      </c>
      <c r="D263" s="59">
        <v>46174</v>
      </c>
      <c r="E263" s="6">
        <v>145733</v>
      </c>
      <c r="F263" s="54">
        <v>262</v>
      </c>
    </row>
    <row r="264" spans="1:6" x14ac:dyDescent="0.4">
      <c r="A264" s="13" t="s">
        <v>2324</v>
      </c>
      <c r="B264" s="13" t="s">
        <v>2345</v>
      </c>
      <c r="C264" s="13" t="s">
        <v>50</v>
      </c>
      <c r="D264" s="59">
        <v>46204</v>
      </c>
      <c r="E264" s="6">
        <v>0</v>
      </c>
      <c r="F264" s="13">
        <v>263</v>
      </c>
    </row>
    <row r="265" spans="1:6" x14ac:dyDescent="0.4">
      <c r="A265" s="13" t="s">
        <v>2324</v>
      </c>
      <c r="B265" s="13" t="s">
        <v>2345</v>
      </c>
      <c r="C265" s="13" t="s">
        <v>50</v>
      </c>
      <c r="D265" s="59">
        <v>46235</v>
      </c>
      <c r="E265" s="6">
        <v>0</v>
      </c>
      <c r="F265" s="54">
        <v>264</v>
      </c>
    </row>
    <row r="266" spans="1:6" x14ac:dyDescent="0.4">
      <c r="A266" s="13" t="s">
        <v>2324</v>
      </c>
      <c r="B266" s="13" t="s">
        <v>2345</v>
      </c>
      <c r="C266" s="13" t="s">
        <v>50</v>
      </c>
      <c r="D266" s="59">
        <v>46266</v>
      </c>
      <c r="E266" s="6">
        <v>0</v>
      </c>
      <c r="F266" s="13">
        <v>265</v>
      </c>
    </row>
    <row r="267" spans="1:6" x14ac:dyDescent="0.4">
      <c r="A267" s="13" t="s">
        <v>2324</v>
      </c>
      <c r="B267" s="13" t="s">
        <v>2345</v>
      </c>
      <c r="C267" s="13" t="s">
        <v>50</v>
      </c>
      <c r="D267" s="59">
        <v>46296</v>
      </c>
      <c r="E267" s="6">
        <v>0</v>
      </c>
      <c r="F267" s="13">
        <v>266</v>
      </c>
    </row>
    <row r="268" spans="1:6" x14ac:dyDescent="0.4">
      <c r="A268" s="13" t="s">
        <v>2324</v>
      </c>
      <c r="B268" s="13" t="s">
        <v>2345</v>
      </c>
      <c r="C268" s="13" t="s">
        <v>50</v>
      </c>
      <c r="D268" s="59">
        <v>46327</v>
      </c>
      <c r="E268" s="6">
        <v>0</v>
      </c>
      <c r="F268" s="54">
        <v>267</v>
      </c>
    </row>
    <row r="269" spans="1:6" x14ac:dyDescent="0.4">
      <c r="A269" s="13" t="s">
        <v>2324</v>
      </c>
      <c r="B269" s="13" t="s">
        <v>2345</v>
      </c>
      <c r="C269" s="13" t="s">
        <v>50</v>
      </c>
      <c r="D269" s="59">
        <v>46357</v>
      </c>
      <c r="E269" s="6">
        <v>0</v>
      </c>
      <c r="F269" s="13">
        <v>268</v>
      </c>
    </row>
    <row r="270" spans="1:6" x14ac:dyDescent="0.4">
      <c r="A270" s="13" t="s">
        <v>2324</v>
      </c>
      <c r="B270" s="13" t="s">
        <v>2345</v>
      </c>
      <c r="C270" s="13" t="s">
        <v>50</v>
      </c>
      <c r="D270" s="59">
        <v>46388</v>
      </c>
      <c r="E270" s="6">
        <v>0</v>
      </c>
      <c r="F270" s="54">
        <v>269</v>
      </c>
    </row>
    <row r="271" spans="1:6" x14ac:dyDescent="0.4">
      <c r="A271" s="13" t="s">
        <v>2324</v>
      </c>
      <c r="B271" s="13" t="s">
        <v>2345</v>
      </c>
      <c r="C271" s="13" t="s">
        <v>50</v>
      </c>
      <c r="D271" s="59">
        <v>46419</v>
      </c>
      <c r="E271" s="6">
        <v>0</v>
      </c>
      <c r="F271" s="13">
        <v>270</v>
      </c>
    </row>
    <row r="272" spans="1:6" x14ac:dyDescent="0.4">
      <c r="A272" s="13" t="s">
        <v>2324</v>
      </c>
      <c r="B272" s="13" t="s">
        <v>2345</v>
      </c>
      <c r="C272" s="13" t="s">
        <v>50</v>
      </c>
      <c r="D272" s="59">
        <v>46447</v>
      </c>
      <c r="E272" s="6">
        <v>0</v>
      </c>
      <c r="F272" s="13">
        <v>271</v>
      </c>
    </row>
    <row r="273" spans="1:6" x14ac:dyDescent="0.4">
      <c r="A273" s="13" t="s">
        <v>2324</v>
      </c>
      <c r="B273" s="13" t="s">
        <v>2345</v>
      </c>
      <c r="C273" s="13" t="s">
        <v>50</v>
      </c>
      <c r="D273" s="59">
        <v>46478</v>
      </c>
      <c r="E273" s="6">
        <v>0</v>
      </c>
      <c r="F273" s="54">
        <v>272</v>
      </c>
    </row>
    <row r="274" spans="1:6" x14ac:dyDescent="0.4">
      <c r="A274" s="13" t="s">
        <v>2324</v>
      </c>
      <c r="B274" s="13" t="s">
        <v>2345</v>
      </c>
      <c r="C274" s="13" t="s">
        <v>50</v>
      </c>
      <c r="D274" s="59">
        <v>46508</v>
      </c>
      <c r="E274" s="6">
        <v>0</v>
      </c>
      <c r="F274" s="13">
        <v>273</v>
      </c>
    </row>
    <row r="275" spans="1:6" x14ac:dyDescent="0.4">
      <c r="A275" s="13" t="s">
        <v>2324</v>
      </c>
      <c r="B275" s="13" t="s">
        <v>2345</v>
      </c>
      <c r="C275" s="13" t="s">
        <v>50</v>
      </c>
      <c r="D275" s="59">
        <v>46539</v>
      </c>
      <c r="E275" s="6">
        <v>0</v>
      </c>
      <c r="F275" s="54">
        <v>274</v>
      </c>
    </row>
    <row r="276" spans="1:6" x14ac:dyDescent="0.4">
      <c r="A276" s="13" t="s">
        <v>2324</v>
      </c>
      <c r="B276" s="13" t="s">
        <v>2345</v>
      </c>
      <c r="C276" s="13" t="s">
        <v>50</v>
      </c>
      <c r="D276" s="59">
        <v>46569</v>
      </c>
      <c r="E276" s="6">
        <v>0</v>
      </c>
      <c r="F276" s="13">
        <v>275</v>
      </c>
    </row>
    <row r="277" spans="1:6" x14ac:dyDescent="0.4">
      <c r="A277" s="13" t="s">
        <v>2324</v>
      </c>
      <c r="B277" s="13" t="s">
        <v>2345</v>
      </c>
      <c r="C277" s="13" t="s">
        <v>5133</v>
      </c>
      <c r="D277" s="59">
        <v>45839</v>
      </c>
      <c r="E277" s="6">
        <v>0</v>
      </c>
      <c r="F277" s="13">
        <v>276</v>
      </c>
    </row>
    <row r="278" spans="1:6" x14ac:dyDescent="0.4">
      <c r="A278" s="13" t="s">
        <v>2324</v>
      </c>
      <c r="B278" s="13" t="s">
        <v>2345</v>
      </c>
      <c r="C278" s="13" t="s">
        <v>5133</v>
      </c>
      <c r="D278" s="59">
        <v>45870</v>
      </c>
      <c r="E278" s="6">
        <v>0</v>
      </c>
      <c r="F278" s="54">
        <v>277</v>
      </c>
    </row>
    <row r="279" spans="1:6" x14ac:dyDescent="0.4">
      <c r="A279" s="13" t="s">
        <v>2324</v>
      </c>
      <c r="B279" s="13" t="s">
        <v>2345</v>
      </c>
      <c r="C279" s="13" t="s">
        <v>5133</v>
      </c>
      <c r="D279" s="59">
        <v>45901</v>
      </c>
      <c r="E279" s="6">
        <v>12737</v>
      </c>
      <c r="F279" s="13">
        <v>278</v>
      </c>
    </row>
    <row r="280" spans="1:6" x14ac:dyDescent="0.4">
      <c r="A280" s="13" t="s">
        <v>2324</v>
      </c>
      <c r="B280" s="13" t="s">
        <v>2345</v>
      </c>
      <c r="C280" s="13" t="s">
        <v>5133</v>
      </c>
      <c r="D280" s="59">
        <v>45931</v>
      </c>
      <c r="E280" s="6">
        <v>12737</v>
      </c>
      <c r="F280" s="54">
        <v>279</v>
      </c>
    </row>
    <row r="281" spans="1:6" x14ac:dyDescent="0.4">
      <c r="A281" s="13" t="s">
        <v>2324</v>
      </c>
      <c r="B281" s="13" t="s">
        <v>2345</v>
      </c>
      <c r="C281" s="13" t="s">
        <v>5133</v>
      </c>
      <c r="D281" s="59">
        <v>45962</v>
      </c>
      <c r="E281" s="6">
        <v>12737</v>
      </c>
      <c r="F281" s="13">
        <v>280</v>
      </c>
    </row>
    <row r="282" spans="1:6" x14ac:dyDescent="0.4">
      <c r="A282" s="13" t="s">
        <v>2324</v>
      </c>
      <c r="B282" s="13" t="s">
        <v>2345</v>
      </c>
      <c r="C282" s="13" t="s">
        <v>5133</v>
      </c>
      <c r="D282" s="59">
        <v>45992</v>
      </c>
      <c r="E282" s="6">
        <v>12737</v>
      </c>
      <c r="F282" s="13">
        <v>281</v>
      </c>
    </row>
    <row r="283" spans="1:6" x14ac:dyDescent="0.4">
      <c r="A283" s="13" t="s">
        <v>2324</v>
      </c>
      <c r="B283" s="13" t="s">
        <v>2345</v>
      </c>
      <c r="C283" s="13" t="s">
        <v>5133</v>
      </c>
      <c r="D283" s="59">
        <v>46023</v>
      </c>
      <c r="E283" s="6">
        <v>12737</v>
      </c>
      <c r="F283" s="54">
        <v>282</v>
      </c>
    </row>
    <row r="284" spans="1:6" x14ac:dyDescent="0.4">
      <c r="A284" s="13" t="s">
        <v>2324</v>
      </c>
      <c r="B284" s="13" t="s">
        <v>2345</v>
      </c>
      <c r="C284" s="13" t="s">
        <v>5133</v>
      </c>
      <c r="D284" s="59">
        <v>46054</v>
      </c>
      <c r="E284" s="6">
        <v>12737</v>
      </c>
      <c r="F284" s="13">
        <v>283</v>
      </c>
    </row>
    <row r="285" spans="1:6" x14ac:dyDescent="0.4">
      <c r="A285" s="13" t="s">
        <v>2324</v>
      </c>
      <c r="B285" s="13" t="s">
        <v>2345</v>
      </c>
      <c r="C285" s="13" t="s">
        <v>5133</v>
      </c>
      <c r="D285" s="59">
        <v>46082</v>
      </c>
      <c r="E285" s="6">
        <v>12737</v>
      </c>
      <c r="F285" s="54">
        <v>284</v>
      </c>
    </row>
    <row r="286" spans="1:6" x14ac:dyDescent="0.4">
      <c r="A286" s="13" t="s">
        <v>2324</v>
      </c>
      <c r="B286" s="13" t="s">
        <v>2345</v>
      </c>
      <c r="C286" s="13" t="s">
        <v>5133</v>
      </c>
      <c r="D286" s="59">
        <v>46113</v>
      </c>
      <c r="E286" s="6">
        <v>12737</v>
      </c>
      <c r="F286" s="13">
        <v>285</v>
      </c>
    </row>
    <row r="287" spans="1:6" x14ac:dyDescent="0.4">
      <c r="A287" s="13" t="s">
        <v>2324</v>
      </c>
      <c r="B287" s="13" t="s">
        <v>2345</v>
      </c>
      <c r="C287" s="13" t="s">
        <v>5133</v>
      </c>
      <c r="D287" s="59">
        <v>46143</v>
      </c>
      <c r="E287" s="6">
        <v>12737</v>
      </c>
      <c r="F287" s="13">
        <v>286</v>
      </c>
    </row>
    <row r="288" spans="1:6" x14ac:dyDescent="0.4">
      <c r="A288" s="13" t="s">
        <v>2324</v>
      </c>
      <c r="B288" s="13" t="s">
        <v>2345</v>
      </c>
      <c r="C288" s="13" t="s">
        <v>5133</v>
      </c>
      <c r="D288" s="59">
        <v>46174</v>
      </c>
      <c r="E288" s="6">
        <v>12737</v>
      </c>
      <c r="F288" s="54">
        <v>287</v>
      </c>
    </row>
    <row r="289" spans="1:6" x14ac:dyDescent="0.4">
      <c r="A289" s="13" t="s">
        <v>2324</v>
      </c>
      <c r="B289" s="13" t="s">
        <v>2345</v>
      </c>
      <c r="C289" s="13" t="s">
        <v>5133</v>
      </c>
      <c r="D289" s="59">
        <v>46204</v>
      </c>
      <c r="E289" s="6">
        <v>12737</v>
      </c>
      <c r="F289" s="13">
        <v>288</v>
      </c>
    </row>
    <row r="290" spans="1:6" x14ac:dyDescent="0.4">
      <c r="A290" s="13" t="s">
        <v>2324</v>
      </c>
      <c r="B290" s="13" t="s">
        <v>2345</v>
      </c>
      <c r="C290" s="13" t="s">
        <v>5133</v>
      </c>
      <c r="D290" s="59">
        <v>46235</v>
      </c>
      <c r="E290" s="6">
        <v>12737</v>
      </c>
      <c r="F290" s="54">
        <v>289</v>
      </c>
    </row>
    <row r="291" spans="1:6" x14ac:dyDescent="0.4">
      <c r="A291" s="13" t="s">
        <v>2324</v>
      </c>
      <c r="B291" s="13" t="s">
        <v>2345</v>
      </c>
      <c r="C291" s="13" t="s">
        <v>5133</v>
      </c>
      <c r="D291" s="59">
        <v>46266</v>
      </c>
      <c r="E291" s="6">
        <v>0</v>
      </c>
      <c r="F291" s="13">
        <v>290</v>
      </c>
    </row>
    <row r="292" spans="1:6" x14ac:dyDescent="0.4">
      <c r="A292" s="13" t="s">
        <v>2324</v>
      </c>
      <c r="B292" s="13" t="s">
        <v>2345</v>
      </c>
      <c r="C292" s="13" t="s">
        <v>5133</v>
      </c>
      <c r="D292" s="59">
        <v>46296</v>
      </c>
      <c r="E292" s="6">
        <v>0</v>
      </c>
      <c r="F292" s="13">
        <v>291</v>
      </c>
    </row>
    <row r="293" spans="1:6" x14ac:dyDescent="0.4">
      <c r="A293" s="13" t="s">
        <v>2324</v>
      </c>
      <c r="B293" s="13" t="s">
        <v>2345</v>
      </c>
      <c r="C293" s="13" t="s">
        <v>5133</v>
      </c>
      <c r="D293" s="59">
        <v>46327</v>
      </c>
      <c r="E293" s="6">
        <v>0</v>
      </c>
      <c r="F293" s="54">
        <v>292</v>
      </c>
    </row>
    <row r="294" spans="1:6" x14ac:dyDescent="0.4">
      <c r="A294" s="13" t="s">
        <v>2324</v>
      </c>
      <c r="B294" s="13" t="s">
        <v>2345</v>
      </c>
      <c r="C294" s="13" t="s">
        <v>5133</v>
      </c>
      <c r="D294" s="59">
        <v>46357</v>
      </c>
      <c r="E294" s="6">
        <v>0</v>
      </c>
      <c r="F294" s="13">
        <v>293</v>
      </c>
    </row>
    <row r="295" spans="1:6" x14ac:dyDescent="0.4">
      <c r="A295" s="13" t="s">
        <v>2324</v>
      </c>
      <c r="B295" s="13" t="s">
        <v>2345</v>
      </c>
      <c r="C295" s="13" t="s">
        <v>5133</v>
      </c>
      <c r="D295" s="59">
        <v>46388</v>
      </c>
      <c r="E295" s="6">
        <v>0</v>
      </c>
      <c r="F295" s="54">
        <v>294</v>
      </c>
    </row>
    <row r="296" spans="1:6" x14ac:dyDescent="0.4">
      <c r="A296" s="13" t="s">
        <v>2324</v>
      </c>
      <c r="B296" s="13" t="s">
        <v>2345</v>
      </c>
      <c r="C296" s="13" t="s">
        <v>5133</v>
      </c>
      <c r="D296" s="59">
        <v>46419</v>
      </c>
      <c r="E296" s="6">
        <v>0</v>
      </c>
      <c r="F296" s="54">
        <v>295</v>
      </c>
    </row>
    <row r="297" spans="1:6" x14ac:dyDescent="0.4">
      <c r="A297" s="13" t="s">
        <v>2324</v>
      </c>
      <c r="B297" s="13" t="s">
        <v>2345</v>
      </c>
      <c r="C297" s="13" t="s">
        <v>5133</v>
      </c>
      <c r="D297" s="59">
        <v>46447</v>
      </c>
      <c r="E297" s="6">
        <v>0</v>
      </c>
      <c r="F297" s="13">
        <v>296</v>
      </c>
    </row>
    <row r="298" spans="1:6" x14ac:dyDescent="0.4">
      <c r="A298" s="13" t="s">
        <v>2324</v>
      </c>
      <c r="B298" s="13" t="s">
        <v>2345</v>
      </c>
      <c r="C298" s="13" t="s">
        <v>5133</v>
      </c>
      <c r="D298" s="59">
        <v>46478</v>
      </c>
      <c r="E298" s="6">
        <v>0</v>
      </c>
      <c r="F298" s="54">
        <v>297</v>
      </c>
    </row>
    <row r="299" spans="1:6" x14ac:dyDescent="0.4">
      <c r="A299" s="13" t="s">
        <v>2324</v>
      </c>
      <c r="B299" s="13" t="s">
        <v>2345</v>
      </c>
      <c r="C299" s="13" t="s">
        <v>5133</v>
      </c>
      <c r="D299" s="59">
        <v>46508</v>
      </c>
      <c r="E299" s="6">
        <v>0</v>
      </c>
      <c r="F299" s="54">
        <v>298</v>
      </c>
    </row>
    <row r="300" spans="1:6" x14ac:dyDescent="0.4">
      <c r="A300" s="13" t="s">
        <v>2324</v>
      </c>
      <c r="B300" s="13" t="s">
        <v>2345</v>
      </c>
      <c r="C300" s="13" t="s">
        <v>5133</v>
      </c>
      <c r="D300" s="59">
        <v>46539</v>
      </c>
      <c r="E300" s="6">
        <v>0</v>
      </c>
      <c r="F300" s="13">
        <v>299</v>
      </c>
    </row>
    <row r="301" spans="1:6" x14ac:dyDescent="0.4">
      <c r="A301" s="13" t="s">
        <v>2324</v>
      </c>
      <c r="B301" s="13" t="s">
        <v>2345</v>
      </c>
      <c r="C301" s="13" t="s">
        <v>5133</v>
      </c>
      <c r="D301" s="59">
        <v>46569</v>
      </c>
      <c r="E301" s="6">
        <v>0</v>
      </c>
      <c r="F301" s="54">
        <v>300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FE1B-2E1E-4D20-B074-14842C26C6B6}">
  <sheetPr>
    <tabColor theme="7" tint="0.59999389629810485"/>
  </sheetPr>
  <dimension ref="A1:H289"/>
  <sheetViews>
    <sheetView zoomScale="70" zoomScaleNormal="70" workbookViewId="0">
      <selection activeCell="L2" sqref="L2:S26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12.75" customWidth="1"/>
    <col min="6" max="6" width="5.375" customWidth="1"/>
    <col min="11" max="11" width="17.625" bestFit="1" customWidth="1"/>
    <col min="12" max="12" width="19" customWidth="1"/>
    <col min="13" max="19" width="7.25" customWidth="1"/>
  </cols>
  <sheetData>
    <row r="1" spans="1:8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13" t="s">
        <v>2323</v>
      </c>
      <c r="F1" s="13" t="s">
        <v>5289</v>
      </c>
      <c r="H1" s="61">
        <v>0.45</v>
      </c>
    </row>
    <row r="2" spans="1:8" x14ac:dyDescent="0.4">
      <c r="A2" s="13" t="s">
        <v>2324</v>
      </c>
      <c r="B2" s="55" t="s">
        <v>2325</v>
      </c>
      <c r="C2" s="10" t="s">
        <v>25</v>
      </c>
      <c r="D2" s="59">
        <v>45809</v>
      </c>
      <c r="E2" s="6"/>
      <c r="F2" s="13">
        <v>1</v>
      </c>
    </row>
    <row r="3" spans="1:8" x14ac:dyDescent="0.4">
      <c r="A3" s="13" t="s">
        <v>2324</v>
      </c>
      <c r="B3" s="55" t="s">
        <v>2325</v>
      </c>
      <c r="C3" s="10" t="s">
        <v>25</v>
      </c>
      <c r="D3" s="59">
        <v>45839</v>
      </c>
      <c r="E3" s="6">
        <v>1108800</v>
      </c>
      <c r="F3" s="54">
        <v>2</v>
      </c>
    </row>
    <row r="4" spans="1:8" x14ac:dyDescent="0.4">
      <c r="A4" s="13" t="s">
        <v>2324</v>
      </c>
      <c r="B4" s="55" t="s">
        <v>2325</v>
      </c>
      <c r="C4" s="10" t="s">
        <v>25</v>
      </c>
      <c r="D4" s="59">
        <v>45870</v>
      </c>
      <c r="E4" s="6">
        <v>1405800</v>
      </c>
      <c r="F4" s="13">
        <v>3</v>
      </c>
    </row>
    <row r="5" spans="1:8" x14ac:dyDescent="0.4">
      <c r="A5" s="13" t="s">
        <v>2324</v>
      </c>
      <c r="B5" s="55" t="s">
        <v>2325</v>
      </c>
      <c r="C5" s="10" t="s">
        <v>25</v>
      </c>
      <c r="D5" s="59">
        <v>45901</v>
      </c>
      <c r="E5" s="6">
        <v>1445400</v>
      </c>
      <c r="F5" s="54">
        <v>4</v>
      </c>
    </row>
    <row r="6" spans="1:8" x14ac:dyDescent="0.4">
      <c r="A6" s="13" t="s">
        <v>2324</v>
      </c>
      <c r="B6" s="55" t="s">
        <v>2325</v>
      </c>
      <c r="C6" s="10" t="s">
        <v>25</v>
      </c>
      <c r="D6" s="59">
        <v>45931</v>
      </c>
      <c r="E6" s="6">
        <v>356400</v>
      </c>
      <c r="F6" s="13">
        <v>5</v>
      </c>
    </row>
    <row r="7" spans="1:8" x14ac:dyDescent="0.4">
      <c r="A7" s="13" t="s">
        <v>2324</v>
      </c>
      <c r="B7" s="55" t="s">
        <v>2325</v>
      </c>
      <c r="C7" s="10" t="s">
        <v>25</v>
      </c>
      <c r="D7" s="59">
        <v>45962</v>
      </c>
      <c r="E7" s="6">
        <v>59400</v>
      </c>
      <c r="F7" s="54">
        <v>6</v>
      </c>
    </row>
    <row r="8" spans="1:8" x14ac:dyDescent="0.4">
      <c r="A8" s="13" t="s">
        <v>2324</v>
      </c>
      <c r="B8" s="55" t="s">
        <v>2325</v>
      </c>
      <c r="C8" s="10" t="s">
        <v>25</v>
      </c>
      <c r="D8" s="59">
        <v>45992</v>
      </c>
      <c r="E8" s="6">
        <v>19800</v>
      </c>
      <c r="F8" s="13">
        <v>7</v>
      </c>
    </row>
    <row r="9" spans="1:8" x14ac:dyDescent="0.4">
      <c r="A9" s="13" t="s">
        <v>2324</v>
      </c>
      <c r="B9" s="55" t="s">
        <v>2325</v>
      </c>
      <c r="C9" s="10" t="s">
        <v>25</v>
      </c>
      <c r="D9" s="59">
        <v>46023</v>
      </c>
      <c r="E9" s="6"/>
      <c r="F9" s="54">
        <v>8</v>
      </c>
    </row>
    <row r="10" spans="1:8" x14ac:dyDescent="0.4">
      <c r="A10" s="13" t="s">
        <v>2324</v>
      </c>
      <c r="B10" s="55" t="s">
        <v>2325</v>
      </c>
      <c r="C10" s="10" t="s">
        <v>25</v>
      </c>
      <c r="D10" s="59">
        <v>46054</v>
      </c>
      <c r="E10" s="6"/>
      <c r="F10" s="13">
        <v>9</v>
      </c>
    </row>
    <row r="11" spans="1:8" x14ac:dyDescent="0.4">
      <c r="A11" s="13" t="s">
        <v>2324</v>
      </c>
      <c r="B11" s="55" t="s">
        <v>2325</v>
      </c>
      <c r="C11" s="10" t="s">
        <v>25</v>
      </c>
      <c r="D11" s="59">
        <v>46082</v>
      </c>
      <c r="E11" s="6"/>
      <c r="F11" s="54">
        <v>10</v>
      </c>
    </row>
    <row r="12" spans="1:8" x14ac:dyDescent="0.4">
      <c r="A12" s="13" t="s">
        <v>2324</v>
      </c>
      <c r="B12" s="55" t="s">
        <v>2325</v>
      </c>
      <c r="C12" s="10" t="s">
        <v>25</v>
      </c>
      <c r="D12" s="59">
        <v>46113</v>
      </c>
      <c r="E12" s="6"/>
      <c r="F12" s="13">
        <v>11</v>
      </c>
    </row>
    <row r="13" spans="1:8" x14ac:dyDescent="0.4">
      <c r="A13" s="13" t="s">
        <v>2324</v>
      </c>
      <c r="B13" s="55" t="s">
        <v>2325</v>
      </c>
      <c r="C13" s="10" t="s">
        <v>25</v>
      </c>
      <c r="D13" s="59">
        <v>46143</v>
      </c>
      <c r="E13" s="6"/>
      <c r="F13" s="54">
        <v>12</v>
      </c>
    </row>
    <row r="14" spans="1:8" x14ac:dyDescent="0.4">
      <c r="A14" s="13" t="s">
        <v>2324</v>
      </c>
      <c r="B14" s="55" t="s">
        <v>2325</v>
      </c>
      <c r="C14" s="10" t="s">
        <v>25</v>
      </c>
      <c r="D14" s="59">
        <v>46174</v>
      </c>
      <c r="E14" s="6"/>
      <c r="F14" s="13">
        <v>13</v>
      </c>
    </row>
    <row r="15" spans="1:8" x14ac:dyDescent="0.4">
      <c r="A15" s="13" t="s">
        <v>2324</v>
      </c>
      <c r="B15" s="55" t="s">
        <v>2325</v>
      </c>
      <c r="C15" s="10" t="s">
        <v>25</v>
      </c>
      <c r="D15" s="59">
        <v>46204</v>
      </c>
      <c r="E15" s="6"/>
      <c r="F15" s="54">
        <v>14</v>
      </c>
    </row>
    <row r="16" spans="1:8" x14ac:dyDescent="0.4">
      <c r="A16" s="13" t="s">
        <v>2324</v>
      </c>
      <c r="B16" s="55" t="s">
        <v>2325</v>
      </c>
      <c r="C16" s="10" t="s">
        <v>25</v>
      </c>
      <c r="D16" s="59">
        <v>46235</v>
      </c>
      <c r="E16" s="6"/>
      <c r="F16" s="13">
        <v>15</v>
      </c>
    </row>
    <row r="17" spans="1:6" x14ac:dyDescent="0.4">
      <c r="A17" s="13" t="s">
        <v>2324</v>
      </c>
      <c r="B17" s="55" t="s">
        <v>2325</v>
      </c>
      <c r="C17" s="10" t="s">
        <v>25</v>
      </c>
      <c r="D17" s="59">
        <v>46266</v>
      </c>
      <c r="E17" s="6"/>
      <c r="F17" s="54">
        <v>16</v>
      </c>
    </row>
    <row r="18" spans="1:6" x14ac:dyDescent="0.4">
      <c r="A18" s="13" t="s">
        <v>2324</v>
      </c>
      <c r="B18" s="55" t="s">
        <v>2325</v>
      </c>
      <c r="C18" s="10" t="s">
        <v>25</v>
      </c>
      <c r="D18" s="59">
        <v>46296</v>
      </c>
      <c r="E18" s="6"/>
      <c r="F18" s="13">
        <v>17</v>
      </c>
    </row>
    <row r="19" spans="1:6" x14ac:dyDescent="0.4">
      <c r="A19" s="13" t="s">
        <v>2324</v>
      </c>
      <c r="B19" s="55" t="s">
        <v>2325</v>
      </c>
      <c r="C19" s="10" t="s">
        <v>25</v>
      </c>
      <c r="D19" s="59">
        <v>46327</v>
      </c>
      <c r="E19" s="6"/>
      <c r="F19" s="54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46357</v>
      </c>
      <c r="E20" s="6"/>
      <c r="F20" s="13">
        <v>19</v>
      </c>
    </row>
    <row r="21" spans="1:6" x14ac:dyDescent="0.4">
      <c r="A21" s="13" t="s">
        <v>2324</v>
      </c>
      <c r="B21" s="55" t="s">
        <v>2325</v>
      </c>
      <c r="C21" s="10" t="s">
        <v>25</v>
      </c>
      <c r="D21" s="59">
        <v>46388</v>
      </c>
      <c r="E21" s="6"/>
      <c r="F21" s="54">
        <v>20</v>
      </c>
    </row>
    <row r="22" spans="1:6" x14ac:dyDescent="0.4">
      <c r="A22" s="13" t="s">
        <v>2324</v>
      </c>
      <c r="B22" s="55" t="s">
        <v>2325</v>
      </c>
      <c r="C22" s="10" t="s">
        <v>25</v>
      </c>
      <c r="D22" s="59">
        <v>46419</v>
      </c>
      <c r="E22" s="6"/>
      <c r="F22" s="13">
        <v>21</v>
      </c>
    </row>
    <row r="23" spans="1:6" x14ac:dyDescent="0.4">
      <c r="A23" s="13" t="s">
        <v>2324</v>
      </c>
      <c r="B23" s="55" t="s">
        <v>2325</v>
      </c>
      <c r="C23" s="10" t="s">
        <v>25</v>
      </c>
      <c r="D23" s="59">
        <v>46447</v>
      </c>
      <c r="E23" s="6"/>
      <c r="F23" s="54">
        <v>22</v>
      </c>
    </row>
    <row r="24" spans="1:6" x14ac:dyDescent="0.4">
      <c r="A24" s="13" t="s">
        <v>2324</v>
      </c>
      <c r="B24" s="55" t="s">
        <v>2325</v>
      </c>
      <c r="C24" s="10" t="s">
        <v>25</v>
      </c>
      <c r="D24" s="59">
        <v>46478</v>
      </c>
      <c r="E24" s="6"/>
      <c r="F24" s="13">
        <v>23</v>
      </c>
    </row>
    <row r="25" spans="1:6" x14ac:dyDescent="0.4">
      <c r="A25" s="13" t="s">
        <v>2324</v>
      </c>
      <c r="B25" s="55" t="s">
        <v>2325</v>
      </c>
      <c r="C25" s="10" t="s">
        <v>25</v>
      </c>
      <c r="D25" s="59">
        <v>46508</v>
      </c>
      <c r="E25" s="6"/>
      <c r="F25" s="54">
        <v>24</v>
      </c>
    </row>
    <row r="26" spans="1:6" x14ac:dyDescent="0.4">
      <c r="A26" s="13" t="s">
        <v>2324</v>
      </c>
      <c r="B26" s="55" t="s">
        <v>2325</v>
      </c>
      <c r="C26" s="13" t="s">
        <v>44</v>
      </c>
      <c r="D26" s="59">
        <v>45809</v>
      </c>
      <c r="E26" s="6"/>
      <c r="F26" s="13">
        <v>25</v>
      </c>
    </row>
    <row r="27" spans="1:6" x14ac:dyDescent="0.4">
      <c r="A27" s="13" t="s">
        <v>2324</v>
      </c>
      <c r="B27" s="55" t="s">
        <v>2325</v>
      </c>
      <c r="C27" s="13" t="s">
        <v>44</v>
      </c>
      <c r="D27" s="59">
        <v>45839</v>
      </c>
      <c r="E27" s="6">
        <v>5657850</v>
      </c>
      <c r="F27" s="54">
        <v>26</v>
      </c>
    </row>
    <row r="28" spans="1:6" x14ac:dyDescent="0.4">
      <c r="A28" s="13" t="s">
        <v>2324</v>
      </c>
      <c r="B28" s="55" t="s">
        <v>2325</v>
      </c>
      <c r="C28" s="13" t="s">
        <v>44</v>
      </c>
      <c r="D28" s="59">
        <v>45870</v>
      </c>
      <c r="E28" s="6">
        <v>5772150</v>
      </c>
      <c r="F28" s="13">
        <v>27</v>
      </c>
    </row>
    <row r="29" spans="1:6" x14ac:dyDescent="0.4">
      <c r="A29" s="13" t="s">
        <v>2324</v>
      </c>
      <c r="B29" s="55" t="s">
        <v>2325</v>
      </c>
      <c r="C29" s="13" t="s">
        <v>44</v>
      </c>
      <c r="D29" s="59">
        <v>45901</v>
      </c>
      <c r="E29" s="6">
        <v>5867400</v>
      </c>
      <c r="F29" s="54">
        <v>28</v>
      </c>
    </row>
    <row r="30" spans="1:6" x14ac:dyDescent="0.4">
      <c r="A30" s="13" t="s">
        <v>2324</v>
      </c>
      <c r="B30" s="55" t="s">
        <v>2325</v>
      </c>
      <c r="C30" s="13" t="s">
        <v>44</v>
      </c>
      <c r="D30" s="59">
        <v>45931</v>
      </c>
      <c r="E30" s="6">
        <v>6400800</v>
      </c>
      <c r="F30" s="13">
        <v>29</v>
      </c>
    </row>
    <row r="31" spans="1:6" x14ac:dyDescent="0.4">
      <c r="A31" s="13" t="s">
        <v>2324</v>
      </c>
      <c r="B31" s="55" t="s">
        <v>2325</v>
      </c>
      <c r="C31" s="13" t="s">
        <v>44</v>
      </c>
      <c r="D31" s="59">
        <v>45962</v>
      </c>
      <c r="E31" s="6">
        <v>8362950</v>
      </c>
      <c r="F31" s="54">
        <v>30</v>
      </c>
    </row>
    <row r="32" spans="1:6" x14ac:dyDescent="0.4">
      <c r="A32" s="13" t="s">
        <v>2324</v>
      </c>
      <c r="B32" s="55" t="s">
        <v>2325</v>
      </c>
      <c r="C32" s="13" t="s">
        <v>44</v>
      </c>
      <c r="D32" s="59">
        <v>45992</v>
      </c>
      <c r="E32" s="6">
        <v>8496300</v>
      </c>
      <c r="F32" s="13">
        <v>31</v>
      </c>
    </row>
    <row r="33" spans="1:6" x14ac:dyDescent="0.4">
      <c r="A33" s="13" t="s">
        <v>2324</v>
      </c>
      <c r="B33" s="55" t="s">
        <v>2325</v>
      </c>
      <c r="C33" s="13" t="s">
        <v>44</v>
      </c>
      <c r="D33" s="59">
        <v>46023</v>
      </c>
      <c r="E33" s="6">
        <v>2876550</v>
      </c>
      <c r="F33" s="54">
        <v>32</v>
      </c>
    </row>
    <row r="34" spans="1:6" x14ac:dyDescent="0.4">
      <c r="A34" s="13" t="s">
        <v>2324</v>
      </c>
      <c r="B34" s="55" t="s">
        <v>2325</v>
      </c>
      <c r="C34" s="13" t="s">
        <v>44</v>
      </c>
      <c r="D34" s="59">
        <v>46054</v>
      </c>
      <c r="E34" s="6">
        <v>2762250</v>
      </c>
      <c r="F34" s="13">
        <v>33</v>
      </c>
    </row>
    <row r="35" spans="1:6" x14ac:dyDescent="0.4">
      <c r="A35" s="13" t="s">
        <v>2324</v>
      </c>
      <c r="B35" s="55" t="s">
        <v>2325</v>
      </c>
      <c r="C35" s="13" t="s">
        <v>44</v>
      </c>
      <c r="D35" s="59">
        <v>46082</v>
      </c>
      <c r="E35" s="6">
        <v>2667000</v>
      </c>
      <c r="F35" s="54">
        <v>34</v>
      </c>
    </row>
    <row r="36" spans="1:6" x14ac:dyDescent="0.4">
      <c r="A36" s="13" t="s">
        <v>2324</v>
      </c>
      <c r="B36" s="55" t="s">
        <v>2325</v>
      </c>
      <c r="C36" s="13" t="s">
        <v>44</v>
      </c>
      <c r="D36" s="59">
        <v>46113</v>
      </c>
      <c r="E36" s="6">
        <v>2133600</v>
      </c>
      <c r="F36" s="13">
        <v>35</v>
      </c>
    </row>
    <row r="37" spans="1:6" x14ac:dyDescent="0.4">
      <c r="A37" s="13" t="s">
        <v>2324</v>
      </c>
      <c r="B37" s="55" t="s">
        <v>2325</v>
      </c>
      <c r="C37" s="13" t="s">
        <v>44</v>
      </c>
      <c r="D37" s="59">
        <v>46143</v>
      </c>
      <c r="E37" s="6">
        <v>171450</v>
      </c>
      <c r="F37" s="54">
        <v>36</v>
      </c>
    </row>
    <row r="38" spans="1:6" x14ac:dyDescent="0.4">
      <c r="A38" s="13" t="s">
        <v>2324</v>
      </c>
      <c r="B38" s="55" t="s">
        <v>2325</v>
      </c>
      <c r="C38" s="13" t="s">
        <v>44</v>
      </c>
      <c r="D38" s="59">
        <v>46174</v>
      </c>
      <c r="E38" s="6">
        <v>38100</v>
      </c>
      <c r="F38" s="13">
        <v>37</v>
      </c>
    </row>
    <row r="39" spans="1:6" x14ac:dyDescent="0.4">
      <c r="A39" s="13" t="s">
        <v>2324</v>
      </c>
      <c r="B39" s="55" t="s">
        <v>2325</v>
      </c>
      <c r="C39" s="13" t="s">
        <v>44</v>
      </c>
      <c r="D39" s="59">
        <v>46204</v>
      </c>
      <c r="E39" s="6"/>
      <c r="F39" s="54">
        <v>38</v>
      </c>
    </row>
    <row r="40" spans="1:6" x14ac:dyDescent="0.4">
      <c r="A40" s="13" t="s">
        <v>2324</v>
      </c>
      <c r="B40" s="55" t="s">
        <v>2325</v>
      </c>
      <c r="C40" s="13" t="s">
        <v>44</v>
      </c>
      <c r="D40" s="59">
        <v>46235</v>
      </c>
      <c r="E40" s="6"/>
      <c r="F40" s="13">
        <v>39</v>
      </c>
    </row>
    <row r="41" spans="1:6" x14ac:dyDescent="0.4">
      <c r="A41" s="13" t="s">
        <v>2324</v>
      </c>
      <c r="B41" s="55" t="s">
        <v>2325</v>
      </c>
      <c r="C41" s="13" t="s">
        <v>44</v>
      </c>
      <c r="D41" s="59">
        <v>46266</v>
      </c>
      <c r="E41" s="6"/>
      <c r="F41" s="54">
        <v>40</v>
      </c>
    </row>
    <row r="42" spans="1:6" x14ac:dyDescent="0.4">
      <c r="A42" s="13" t="s">
        <v>2324</v>
      </c>
      <c r="B42" s="55" t="s">
        <v>2325</v>
      </c>
      <c r="C42" s="13" t="s">
        <v>44</v>
      </c>
      <c r="D42" s="59">
        <v>46296</v>
      </c>
      <c r="E42" s="6"/>
      <c r="F42" s="13">
        <v>41</v>
      </c>
    </row>
    <row r="43" spans="1:6" x14ac:dyDescent="0.4">
      <c r="A43" s="13" t="s">
        <v>2324</v>
      </c>
      <c r="B43" s="55" t="s">
        <v>2325</v>
      </c>
      <c r="C43" s="13" t="s">
        <v>44</v>
      </c>
      <c r="D43" s="59">
        <v>46327</v>
      </c>
      <c r="E43" s="6"/>
      <c r="F43" s="54">
        <v>42</v>
      </c>
    </row>
    <row r="44" spans="1:6" x14ac:dyDescent="0.4">
      <c r="A44" s="13" t="s">
        <v>2324</v>
      </c>
      <c r="B44" s="55" t="s">
        <v>2325</v>
      </c>
      <c r="C44" s="13" t="s">
        <v>44</v>
      </c>
      <c r="D44" s="59">
        <v>46357</v>
      </c>
      <c r="E44" s="6"/>
      <c r="F44" s="13">
        <v>43</v>
      </c>
    </row>
    <row r="45" spans="1:6" x14ac:dyDescent="0.4">
      <c r="A45" s="13" t="s">
        <v>2324</v>
      </c>
      <c r="B45" s="55" t="s">
        <v>2325</v>
      </c>
      <c r="C45" s="13" t="s">
        <v>44</v>
      </c>
      <c r="D45" s="59">
        <v>46388</v>
      </c>
      <c r="E45" s="6"/>
      <c r="F45" s="54">
        <v>44</v>
      </c>
    </row>
    <row r="46" spans="1:6" x14ac:dyDescent="0.4">
      <c r="A46" s="13" t="s">
        <v>2324</v>
      </c>
      <c r="B46" s="55" t="s">
        <v>2325</v>
      </c>
      <c r="C46" s="13" t="s">
        <v>44</v>
      </c>
      <c r="D46" s="59">
        <v>46419</v>
      </c>
      <c r="E46" s="6"/>
      <c r="F46" s="13">
        <v>45</v>
      </c>
    </row>
    <row r="47" spans="1:6" x14ac:dyDescent="0.4">
      <c r="A47" s="13" t="s">
        <v>2324</v>
      </c>
      <c r="B47" s="55" t="s">
        <v>2325</v>
      </c>
      <c r="C47" s="13" t="s">
        <v>44</v>
      </c>
      <c r="D47" s="59">
        <v>46447</v>
      </c>
      <c r="E47" s="6"/>
      <c r="F47" s="54">
        <v>46</v>
      </c>
    </row>
    <row r="48" spans="1:6" x14ac:dyDescent="0.4">
      <c r="A48" s="13" t="s">
        <v>2324</v>
      </c>
      <c r="B48" s="55" t="s">
        <v>2325</v>
      </c>
      <c r="C48" s="13" t="s">
        <v>44</v>
      </c>
      <c r="D48" s="59">
        <v>46478</v>
      </c>
      <c r="E48" s="6"/>
      <c r="F48" s="13">
        <v>47</v>
      </c>
    </row>
    <row r="49" spans="1:6" x14ac:dyDescent="0.4">
      <c r="A49" s="13" t="s">
        <v>2324</v>
      </c>
      <c r="B49" s="55" t="s">
        <v>2325</v>
      </c>
      <c r="C49" s="13" t="s">
        <v>44</v>
      </c>
      <c r="D49" s="59">
        <v>46508</v>
      </c>
      <c r="E49" s="6"/>
      <c r="F49" s="54">
        <v>48</v>
      </c>
    </row>
    <row r="50" spans="1:6" x14ac:dyDescent="0.4">
      <c r="A50" s="13" t="s">
        <v>2324</v>
      </c>
      <c r="B50" s="55" t="s">
        <v>2325</v>
      </c>
      <c r="C50" s="13" t="s">
        <v>1944</v>
      </c>
      <c r="D50" s="59">
        <v>45809</v>
      </c>
      <c r="E50" s="6"/>
      <c r="F50" s="13">
        <v>49</v>
      </c>
    </row>
    <row r="51" spans="1:6" x14ac:dyDescent="0.4">
      <c r="A51" s="13" t="s">
        <v>2324</v>
      </c>
      <c r="B51" s="55" t="s">
        <v>2325</v>
      </c>
      <c r="C51" s="13" t="s">
        <v>1944</v>
      </c>
      <c r="D51" s="59">
        <v>45839</v>
      </c>
      <c r="E51" s="6"/>
      <c r="F51" s="54">
        <v>50</v>
      </c>
    </row>
    <row r="52" spans="1:6" x14ac:dyDescent="0.4">
      <c r="A52" s="13" t="s">
        <v>2324</v>
      </c>
      <c r="B52" s="55" t="s">
        <v>2325</v>
      </c>
      <c r="C52" s="13" t="s">
        <v>1944</v>
      </c>
      <c r="D52" s="59">
        <v>45870</v>
      </c>
      <c r="E52" s="6">
        <v>9435</v>
      </c>
      <c r="F52" s="13">
        <v>51</v>
      </c>
    </row>
    <row r="53" spans="1:6" x14ac:dyDescent="0.4">
      <c r="A53" s="13" t="s">
        <v>2324</v>
      </c>
      <c r="B53" s="55" t="s">
        <v>2325</v>
      </c>
      <c r="C53" s="13" t="s">
        <v>1944</v>
      </c>
      <c r="D53" s="59">
        <v>45901</v>
      </c>
      <c r="E53" s="6">
        <v>160395</v>
      </c>
      <c r="F53" s="54">
        <v>52</v>
      </c>
    </row>
    <row r="54" spans="1:6" x14ac:dyDescent="0.4">
      <c r="A54" s="13" t="s">
        <v>2324</v>
      </c>
      <c r="B54" s="55" t="s">
        <v>2325</v>
      </c>
      <c r="C54" s="13" t="s">
        <v>1944</v>
      </c>
      <c r="D54" s="59">
        <v>45931</v>
      </c>
      <c r="E54" s="6">
        <v>160395</v>
      </c>
      <c r="F54" s="13">
        <v>53</v>
      </c>
    </row>
    <row r="55" spans="1:6" x14ac:dyDescent="0.4">
      <c r="A55" s="13" t="s">
        <v>2324</v>
      </c>
      <c r="B55" s="55" t="s">
        <v>2325</v>
      </c>
      <c r="C55" s="13" t="s">
        <v>1944</v>
      </c>
      <c r="D55" s="59">
        <v>45962</v>
      </c>
      <c r="E55" s="6">
        <v>160395</v>
      </c>
      <c r="F55" s="54">
        <v>54</v>
      </c>
    </row>
    <row r="56" spans="1:6" x14ac:dyDescent="0.4">
      <c r="A56" s="13" t="s">
        <v>2324</v>
      </c>
      <c r="B56" s="55" t="s">
        <v>2325</v>
      </c>
      <c r="C56" s="13" t="s">
        <v>1944</v>
      </c>
      <c r="D56" s="59">
        <v>45992</v>
      </c>
      <c r="E56" s="6">
        <v>160395</v>
      </c>
      <c r="F56" s="13">
        <v>55</v>
      </c>
    </row>
    <row r="57" spans="1:6" x14ac:dyDescent="0.4">
      <c r="A57" s="13" t="s">
        <v>2324</v>
      </c>
      <c r="B57" s="55" t="s">
        <v>2325</v>
      </c>
      <c r="C57" s="13" t="s">
        <v>1944</v>
      </c>
      <c r="D57" s="59">
        <v>46023</v>
      </c>
      <c r="E57" s="6">
        <v>169830</v>
      </c>
      <c r="F57" s="54">
        <v>56</v>
      </c>
    </row>
    <row r="58" spans="1:6" x14ac:dyDescent="0.4">
      <c r="A58" s="13" t="s">
        <v>2324</v>
      </c>
      <c r="B58" s="55" t="s">
        <v>2325</v>
      </c>
      <c r="C58" s="13" t="s">
        <v>1944</v>
      </c>
      <c r="D58" s="59">
        <v>46054</v>
      </c>
      <c r="E58" s="6">
        <v>169830</v>
      </c>
      <c r="F58" s="13">
        <v>57</v>
      </c>
    </row>
    <row r="59" spans="1:6" x14ac:dyDescent="0.4">
      <c r="A59" s="13" t="s">
        <v>2324</v>
      </c>
      <c r="B59" s="55" t="s">
        <v>2325</v>
      </c>
      <c r="C59" s="13" t="s">
        <v>1944</v>
      </c>
      <c r="D59" s="59">
        <v>46082</v>
      </c>
      <c r="E59" s="6">
        <v>264180</v>
      </c>
      <c r="F59" s="54">
        <v>58</v>
      </c>
    </row>
    <row r="60" spans="1:6" x14ac:dyDescent="0.4">
      <c r="A60" s="13" t="s">
        <v>2324</v>
      </c>
      <c r="B60" s="55" t="s">
        <v>2325</v>
      </c>
      <c r="C60" s="13" t="s">
        <v>1944</v>
      </c>
      <c r="D60" s="59">
        <v>46113</v>
      </c>
      <c r="E60" s="6">
        <v>264180</v>
      </c>
      <c r="F60" s="13">
        <v>59</v>
      </c>
    </row>
    <row r="61" spans="1:6" x14ac:dyDescent="0.4">
      <c r="A61" s="13" t="s">
        <v>2324</v>
      </c>
      <c r="B61" s="55" t="s">
        <v>2325</v>
      </c>
      <c r="C61" s="13" t="s">
        <v>1944</v>
      </c>
      <c r="D61" s="59">
        <v>46143</v>
      </c>
      <c r="E61" s="6">
        <v>320790</v>
      </c>
      <c r="F61" s="54">
        <v>60</v>
      </c>
    </row>
    <row r="62" spans="1:6" x14ac:dyDescent="0.4">
      <c r="A62" s="13" t="s">
        <v>2324</v>
      </c>
      <c r="B62" s="55" t="s">
        <v>2325</v>
      </c>
      <c r="C62" s="13" t="s">
        <v>1944</v>
      </c>
      <c r="D62" s="59">
        <v>46174</v>
      </c>
      <c r="E62" s="6">
        <v>386835</v>
      </c>
      <c r="F62" s="13">
        <v>61</v>
      </c>
    </row>
    <row r="63" spans="1:6" x14ac:dyDescent="0.4">
      <c r="A63" s="13" t="s">
        <v>2324</v>
      </c>
      <c r="B63" s="55" t="s">
        <v>2325</v>
      </c>
      <c r="C63" s="13" t="s">
        <v>1944</v>
      </c>
      <c r="D63" s="59">
        <v>46204</v>
      </c>
      <c r="E63" s="6">
        <v>386835</v>
      </c>
      <c r="F63" s="54">
        <v>62</v>
      </c>
    </row>
    <row r="64" spans="1:6" x14ac:dyDescent="0.4">
      <c r="A64" s="13" t="s">
        <v>2324</v>
      </c>
      <c r="B64" s="55" t="s">
        <v>2325</v>
      </c>
      <c r="C64" s="13" t="s">
        <v>1944</v>
      </c>
      <c r="D64" s="59">
        <v>46235</v>
      </c>
      <c r="E64" s="6">
        <v>377400</v>
      </c>
      <c r="F64" s="13">
        <v>63</v>
      </c>
    </row>
    <row r="65" spans="1:6" x14ac:dyDescent="0.4">
      <c r="A65" s="13" t="s">
        <v>2324</v>
      </c>
      <c r="B65" s="55" t="s">
        <v>2325</v>
      </c>
      <c r="C65" s="13" t="s">
        <v>1944</v>
      </c>
      <c r="D65" s="59">
        <v>46266</v>
      </c>
      <c r="E65" s="6">
        <v>226440</v>
      </c>
      <c r="F65" s="54">
        <v>64</v>
      </c>
    </row>
    <row r="66" spans="1:6" x14ac:dyDescent="0.4">
      <c r="A66" s="13" t="s">
        <v>2324</v>
      </c>
      <c r="B66" s="55" t="s">
        <v>2325</v>
      </c>
      <c r="C66" s="13" t="s">
        <v>1944</v>
      </c>
      <c r="D66" s="59">
        <v>46296</v>
      </c>
      <c r="E66" s="6">
        <v>226440</v>
      </c>
      <c r="F66" s="13">
        <v>65</v>
      </c>
    </row>
    <row r="67" spans="1:6" x14ac:dyDescent="0.4">
      <c r="A67" s="13" t="s">
        <v>2324</v>
      </c>
      <c r="B67" s="55" t="s">
        <v>2325</v>
      </c>
      <c r="C67" s="13" t="s">
        <v>1944</v>
      </c>
      <c r="D67" s="59">
        <v>46327</v>
      </c>
      <c r="E67" s="6">
        <v>226440</v>
      </c>
      <c r="F67" s="54">
        <v>66</v>
      </c>
    </row>
    <row r="68" spans="1:6" x14ac:dyDescent="0.4">
      <c r="A68" s="13" t="s">
        <v>2324</v>
      </c>
      <c r="B68" s="55" t="s">
        <v>2325</v>
      </c>
      <c r="C68" s="13" t="s">
        <v>1944</v>
      </c>
      <c r="D68" s="59">
        <v>46357</v>
      </c>
      <c r="E68" s="6">
        <v>226440</v>
      </c>
      <c r="F68" s="13">
        <v>67</v>
      </c>
    </row>
    <row r="69" spans="1:6" x14ac:dyDescent="0.4">
      <c r="A69" s="13" t="s">
        <v>2324</v>
      </c>
      <c r="B69" s="55" t="s">
        <v>2325</v>
      </c>
      <c r="C69" s="13" t="s">
        <v>1944</v>
      </c>
      <c r="D69" s="59">
        <v>46388</v>
      </c>
      <c r="E69" s="6">
        <v>217005</v>
      </c>
      <c r="F69" s="54">
        <v>68</v>
      </c>
    </row>
    <row r="70" spans="1:6" x14ac:dyDescent="0.4">
      <c r="A70" s="13" t="s">
        <v>2324</v>
      </c>
      <c r="B70" s="55" t="s">
        <v>2325</v>
      </c>
      <c r="C70" s="13" t="s">
        <v>1944</v>
      </c>
      <c r="D70" s="59">
        <v>46419</v>
      </c>
      <c r="E70" s="6">
        <v>217005</v>
      </c>
      <c r="F70" s="13">
        <v>69</v>
      </c>
    </row>
    <row r="71" spans="1:6" x14ac:dyDescent="0.4">
      <c r="A71" s="13" t="s">
        <v>2324</v>
      </c>
      <c r="B71" s="55" t="s">
        <v>2325</v>
      </c>
      <c r="C71" s="13" t="s">
        <v>1944</v>
      </c>
      <c r="D71" s="59">
        <v>46447</v>
      </c>
      <c r="E71" s="6">
        <v>122655</v>
      </c>
      <c r="F71" s="54">
        <v>70</v>
      </c>
    </row>
    <row r="72" spans="1:6" x14ac:dyDescent="0.4">
      <c r="A72" s="13" t="s">
        <v>2324</v>
      </c>
      <c r="B72" s="55" t="s">
        <v>2325</v>
      </c>
      <c r="C72" s="13" t="s">
        <v>1944</v>
      </c>
      <c r="D72" s="59">
        <v>46478</v>
      </c>
      <c r="E72" s="6">
        <v>122655</v>
      </c>
      <c r="F72" s="13">
        <v>71</v>
      </c>
    </row>
    <row r="73" spans="1:6" x14ac:dyDescent="0.4">
      <c r="A73" s="13" t="s">
        <v>2324</v>
      </c>
      <c r="B73" s="55" t="s">
        <v>2325</v>
      </c>
      <c r="C73" s="13" t="s">
        <v>1944</v>
      </c>
      <c r="D73" s="59">
        <v>46508</v>
      </c>
      <c r="E73" s="6">
        <v>66045</v>
      </c>
      <c r="F73" s="54">
        <v>72</v>
      </c>
    </row>
    <row r="74" spans="1:6" x14ac:dyDescent="0.4">
      <c r="A74" s="13" t="s">
        <v>2324</v>
      </c>
      <c r="B74" s="55" t="s">
        <v>2325</v>
      </c>
      <c r="C74" s="13" t="s">
        <v>70</v>
      </c>
      <c r="D74" s="59">
        <v>45809</v>
      </c>
      <c r="E74" s="6"/>
      <c r="F74" s="13">
        <v>73</v>
      </c>
    </row>
    <row r="75" spans="1:6" x14ac:dyDescent="0.4">
      <c r="A75" s="13" t="s">
        <v>2324</v>
      </c>
      <c r="B75" s="55" t="s">
        <v>2325</v>
      </c>
      <c r="C75" s="13" t="s">
        <v>70</v>
      </c>
      <c r="D75" s="59">
        <v>45839</v>
      </c>
      <c r="E75" s="6">
        <v>39600</v>
      </c>
      <c r="F75" s="54">
        <v>74</v>
      </c>
    </row>
    <row r="76" spans="1:6" x14ac:dyDescent="0.4">
      <c r="A76" s="13" t="s">
        <v>2324</v>
      </c>
      <c r="B76" s="55" t="s">
        <v>2325</v>
      </c>
      <c r="C76" s="13" t="s">
        <v>70</v>
      </c>
      <c r="D76" s="59">
        <v>45870</v>
      </c>
      <c r="E76" s="6">
        <v>39600</v>
      </c>
      <c r="F76" s="13">
        <v>75</v>
      </c>
    </row>
    <row r="77" spans="1:6" x14ac:dyDescent="0.4">
      <c r="A77" s="13" t="s">
        <v>2324</v>
      </c>
      <c r="B77" s="55" t="s">
        <v>2325</v>
      </c>
      <c r="C77" s="13" t="s">
        <v>70</v>
      </c>
      <c r="D77" s="59">
        <v>45901</v>
      </c>
      <c r="E77" s="6">
        <v>39600</v>
      </c>
      <c r="F77" s="54">
        <v>76</v>
      </c>
    </row>
    <row r="78" spans="1:6" x14ac:dyDescent="0.4">
      <c r="A78" s="13" t="s">
        <v>2324</v>
      </c>
      <c r="B78" s="55" t="s">
        <v>2325</v>
      </c>
      <c r="C78" s="13" t="s">
        <v>70</v>
      </c>
      <c r="D78" s="59">
        <v>45931</v>
      </c>
      <c r="E78" s="6">
        <v>19800</v>
      </c>
      <c r="F78" s="13">
        <v>77</v>
      </c>
    </row>
    <row r="79" spans="1:6" x14ac:dyDescent="0.4">
      <c r="A79" s="13" t="s">
        <v>2324</v>
      </c>
      <c r="B79" s="55" t="s">
        <v>2325</v>
      </c>
      <c r="C79" s="13" t="s">
        <v>70</v>
      </c>
      <c r="D79" s="59">
        <v>45962</v>
      </c>
      <c r="E79" s="6">
        <v>19800</v>
      </c>
      <c r="F79" s="54">
        <v>78</v>
      </c>
    </row>
    <row r="80" spans="1:6" x14ac:dyDescent="0.4">
      <c r="A80" s="13" t="s">
        <v>2324</v>
      </c>
      <c r="B80" s="55" t="s">
        <v>2325</v>
      </c>
      <c r="C80" s="13" t="s">
        <v>70</v>
      </c>
      <c r="D80" s="59">
        <v>45992</v>
      </c>
      <c r="E80" s="6">
        <v>19800</v>
      </c>
      <c r="F80" s="13">
        <v>79</v>
      </c>
    </row>
    <row r="81" spans="1:6" x14ac:dyDescent="0.4">
      <c r="A81" s="13" t="s">
        <v>2324</v>
      </c>
      <c r="B81" s="55" t="s">
        <v>2325</v>
      </c>
      <c r="C81" s="13" t="s">
        <v>70</v>
      </c>
      <c r="D81" s="59">
        <v>46023</v>
      </c>
      <c r="E81" s="6"/>
      <c r="F81" s="54">
        <v>80</v>
      </c>
    </row>
    <row r="82" spans="1:6" x14ac:dyDescent="0.4">
      <c r="A82" s="13" t="s">
        <v>2324</v>
      </c>
      <c r="B82" s="55" t="s">
        <v>2325</v>
      </c>
      <c r="C82" s="13" t="s">
        <v>70</v>
      </c>
      <c r="D82" s="59">
        <v>46054</v>
      </c>
      <c r="E82" s="6"/>
      <c r="F82" s="13">
        <v>81</v>
      </c>
    </row>
    <row r="83" spans="1:6" x14ac:dyDescent="0.4">
      <c r="A83" s="13" t="s">
        <v>2324</v>
      </c>
      <c r="B83" s="55" t="s">
        <v>2325</v>
      </c>
      <c r="C83" s="13" t="s">
        <v>70</v>
      </c>
      <c r="D83" s="59">
        <v>46082</v>
      </c>
      <c r="E83" s="6"/>
      <c r="F83" s="54">
        <v>82</v>
      </c>
    </row>
    <row r="84" spans="1:6" x14ac:dyDescent="0.4">
      <c r="A84" s="13" t="s">
        <v>2324</v>
      </c>
      <c r="B84" s="55" t="s">
        <v>2325</v>
      </c>
      <c r="C84" s="13" t="s">
        <v>70</v>
      </c>
      <c r="D84" s="59">
        <v>46113</v>
      </c>
      <c r="E84" s="6"/>
      <c r="F84" s="13">
        <v>83</v>
      </c>
    </row>
    <row r="85" spans="1:6" x14ac:dyDescent="0.4">
      <c r="A85" s="13" t="s">
        <v>2324</v>
      </c>
      <c r="B85" s="55" t="s">
        <v>2325</v>
      </c>
      <c r="C85" s="13" t="s">
        <v>70</v>
      </c>
      <c r="D85" s="59">
        <v>46143</v>
      </c>
      <c r="E85" s="6"/>
      <c r="F85" s="54">
        <v>84</v>
      </c>
    </row>
    <row r="86" spans="1:6" x14ac:dyDescent="0.4">
      <c r="A86" s="13" t="s">
        <v>2324</v>
      </c>
      <c r="B86" s="55" t="s">
        <v>2325</v>
      </c>
      <c r="C86" s="13" t="s">
        <v>70</v>
      </c>
      <c r="D86" s="59">
        <v>46174</v>
      </c>
      <c r="E86" s="6"/>
      <c r="F86" s="13">
        <v>85</v>
      </c>
    </row>
    <row r="87" spans="1:6" x14ac:dyDescent="0.4">
      <c r="A87" s="13" t="s">
        <v>2324</v>
      </c>
      <c r="B87" s="55" t="s">
        <v>2325</v>
      </c>
      <c r="C87" s="13" t="s">
        <v>70</v>
      </c>
      <c r="D87" s="59">
        <v>46204</v>
      </c>
      <c r="E87" s="6"/>
      <c r="F87" s="54">
        <v>86</v>
      </c>
    </row>
    <row r="88" spans="1:6" x14ac:dyDescent="0.4">
      <c r="A88" s="13" t="s">
        <v>2324</v>
      </c>
      <c r="B88" s="55" t="s">
        <v>2325</v>
      </c>
      <c r="C88" s="13" t="s">
        <v>70</v>
      </c>
      <c r="D88" s="59">
        <v>46235</v>
      </c>
      <c r="E88" s="6"/>
      <c r="F88" s="13">
        <v>87</v>
      </c>
    </row>
    <row r="89" spans="1:6" x14ac:dyDescent="0.4">
      <c r="A89" s="13" t="s">
        <v>2324</v>
      </c>
      <c r="B89" s="55" t="s">
        <v>2325</v>
      </c>
      <c r="C89" s="13" t="s">
        <v>70</v>
      </c>
      <c r="D89" s="59">
        <v>46266</v>
      </c>
      <c r="E89" s="6"/>
      <c r="F89" s="54">
        <v>88</v>
      </c>
    </row>
    <row r="90" spans="1:6" x14ac:dyDescent="0.4">
      <c r="A90" s="13" t="s">
        <v>2324</v>
      </c>
      <c r="B90" s="55" t="s">
        <v>2325</v>
      </c>
      <c r="C90" s="13" t="s">
        <v>70</v>
      </c>
      <c r="D90" s="59">
        <v>46296</v>
      </c>
      <c r="E90" s="6"/>
      <c r="F90" s="13">
        <v>89</v>
      </c>
    </row>
    <row r="91" spans="1:6" x14ac:dyDescent="0.4">
      <c r="A91" s="13" t="s">
        <v>2324</v>
      </c>
      <c r="B91" s="55" t="s">
        <v>2325</v>
      </c>
      <c r="C91" s="13" t="s">
        <v>70</v>
      </c>
      <c r="D91" s="59">
        <v>46327</v>
      </c>
      <c r="E91" s="6"/>
      <c r="F91" s="54">
        <v>90</v>
      </c>
    </row>
    <row r="92" spans="1:6" x14ac:dyDescent="0.4">
      <c r="A92" s="13" t="s">
        <v>2324</v>
      </c>
      <c r="B92" s="55" t="s">
        <v>2325</v>
      </c>
      <c r="C92" s="13" t="s">
        <v>70</v>
      </c>
      <c r="D92" s="59">
        <v>46357</v>
      </c>
      <c r="E92" s="6"/>
      <c r="F92" s="13">
        <v>91</v>
      </c>
    </row>
    <row r="93" spans="1:6" x14ac:dyDescent="0.4">
      <c r="A93" s="13" t="s">
        <v>2324</v>
      </c>
      <c r="B93" s="55" t="s">
        <v>2325</v>
      </c>
      <c r="C93" s="13" t="s">
        <v>70</v>
      </c>
      <c r="D93" s="59">
        <v>46388</v>
      </c>
      <c r="E93" s="6"/>
      <c r="F93" s="54">
        <v>92</v>
      </c>
    </row>
    <row r="94" spans="1:6" x14ac:dyDescent="0.4">
      <c r="A94" s="13" t="s">
        <v>2324</v>
      </c>
      <c r="B94" s="55" t="s">
        <v>2325</v>
      </c>
      <c r="C94" s="13" t="s">
        <v>70</v>
      </c>
      <c r="D94" s="59">
        <v>46419</v>
      </c>
      <c r="E94" s="6"/>
      <c r="F94" s="13">
        <v>93</v>
      </c>
    </row>
    <row r="95" spans="1:6" x14ac:dyDescent="0.4">
      <c r="A95" s="13" t="s">
        <v>2324</v>
      </c>
      <c r="B95" s="55" t="s">
        <v>2325</v>
      </c>
      <c r="C95" s="13" t="s">
        <v>70</v>
      </c>
      <c r="D95" s="59">
        <v>46447</v>
      </c>
      <c r="E95" s="6"/>
      <c r="F95" s="54">
        <v>94</v>
      </c>
    </row>
    <row r="96" spans="1:6" x14ac:dyDescent="0.4">
      <c r="A96" s="13" t="s">
        <v>2324</v>
      </c>
      <c r="B96" s="55" t="s">
        <v>2325</v>
      </c>
      <c r="C96" s="13" t="s">
        <v>70</v>
      </c>
      <c r="D96" s="59">
        <v>46478</v>
      </c>
      <c r="E96" s="6"/>
      <c r="F96" s="13">
        <v>95</v>
      </c>
    </row>
    <row r="97" spans="1:6" x14ac:dyDescent="0.4">
      <c r="A97" s="13" t="s">
        <v>2324</v>
      </c>
      <c r="B97" s="55" t="s">
        <v>2325</v>
      </c>
      <c r="C97" s="13" t="s">
        <v>70</v>
      </c>
      <c r="D97" s="59">
        <v>46508</v>
      </c>
      <c r="E97" s="6"/>
      <c r="F97" s="54">
        <v>96</v>
      </c>
    </row>
    <row r="98" spans="1:6" x14ac:dyDescent="0.4">
      <c r="A98" s="13" t="s">
        <v>2324</v>
      </c>
      <c r="B98" s="55" t="s">
        <v>2325</v>
      </c>
      <c r="C98" s="13" t="s">
        <v>50</v>
      </c>
      <c r="D98" s="59">
        <v>45809</v>
      </c>
      <c r="E98" s="6"/>
      <c r="F98" s="13">
        <v>97</v>
      </c>
    </row>
    <row r="99" spans="1:6" x14ac:dyDescent="0.4">
      <c r="A99" s="13" t="s">
        <v>2324</v>
      </c>
      <c r="B99" s="55" t="s">
        <v>2325</v>
      </c>
      <c r="C99" s="13" t="s">
        <v>50</v>
      </c>
      <c r="D99" s="59">
        <v>45839</v>
      </c>
      <c r="E99" s="6">
        <v>304800</v>
      </c>
      <c r="F99" s="54">
        <v>98</v>
      </c>
    </row>
    <row r="100" spans="1:6" x14ac:dyDescent="0.4">
      <c r="A100" s="13" t="s">
        <v>2324</v>
      </c>
      <c r="B100" s="55" t="s">
        <v>2325</v>
      </c>
      <c r="C100" s="13" t="s">
        <v>50</v>
      </c>
      <c r="D100" s="59">
        <v>45870</v>
      </c>
      <c r="E100" s="6">
        <v>304800</v>
      </c>
      <c r="F100" s="13">
        <v>99</v>
      </c>
    </row>
    <row r="101" spans="1:6" x14ac:dyDescent="0.4">
      <c r="A101" s="13" t="s">
        <v>2324</v>
      </c>
      <c r="B101" s="55" t="s">
        <v>2325</v>
      </c>
      <c r="C101" s="13" t="s">
        <v>50</v>
      </c>
      <c r="D101" s="59">
        <v>45901</v>
      </c>
      <c r="E101" s="6">
        <v>304800</v>
      </c>
      <c r="F101" s="54">
        <v>100</v>
      </c>
    </row>
    <row r="102" spans="1:6" x14ac:dyDescent="0.4">
      <c r="A102" s="13" t="s">
        <v>2324</v>
      </c>
      <c r="B102" s="55" t="s">
        <v>2325</v>
      </c>
      <c r="C102" s="13" t="s">
        <v>50</v>
      </c>
      <c r="D102" s="59">
        <v>45931</v>
      </c>
      <c r="E102" s="6">
        <v>323850</v>
      </c>
      <c r="F102" s="13">
        <v>101</v>
      </c>
    </row>
    <row r="103" spans="1:6" x14ac:dyDescent="0.4">
      <c r="A103" s="13" t="s">
        <v>2324</v>
      </c>
      <c r="B103" s="55" t="s">
        <v>2325</v>
      </c>
      <c r="C103" s="13" t="s">
        <v>50</v>
      </c>
      <c r="D103" s="59">
        <v>45962</v>
      </c>
      <c r="E103" s="6">
        <v>419100</v>
      </c>
      <c r="F103" s="54">
        <v>102</v>
      </c>
    </row>
    <row r="104" spans="1:6" x14ac:dyDescent="0.4">
      <c r="A104" s="13" t="s">
        <v>2324</v>
      </c>
      <c r="B104" s="55" t="s">
        <v>2325</v>
      </c>
      <c r="C104" s="13" t="s">
        <v>50</v>
      </c>
      <c r="D104" s="59">
        <v>45992</v>
      </c>
      <c r="E104" s="6">
        <v>419100</v>
      </c>
      <c r="F104" s="13">
        <v>103</v>
      </c>
    </row>
    <row r="105" spans="1:6" x14ac:dyDescent="0.4">
      <c r="A105" s="13" t="s">
        <v>2324</v>
      </c>
      <c r="B105" s="55" t="s">
        <v>2325</v>
      </c>
      <c r="C105" s="13" t="s">
        <v>50</v>
      </c>
      <c r="D105" s="59">
        <v>46023</v>
      </c>
      <c r="E105" s="6">
        <v>190500</v>
      </c>
      <c r="F105" s="54">
        <v>104</v>
      </c>
    </row>
    <row r="106" spans="1:6" x14ac:dyDescent="0.4">
      <c r="A106" s="13" t="s">
        <v>2324</v>
      </c>
      <c r="B106" s="55" t="s">
        <v>2325</v>
      </c>
      <c r="C106" s="13" t="s">
        <v>50</v>
      </c>
      <c r="D106" s="59">
        <v>46054</v>
      </c>
      <c r="E106" s="6">
        <v>190500</v>
      </c>
      <c r="F106" s="13">
        <v>105</v>
      </c>
    </row>
    <row r="107" spans="1:6" x14ac:dyDescent="0.4">
      <c r="A107" s="13" t="s">
        <v>2324</v>
      </c>
      <c r="B107" s="55" t="s">
        <v>2325</v>
      </c>
      <c r="C107" s="13" t="s">
        <v>50</v>
      </c>
      <c r="D107" s="59">
        <v>46082</v>
      </c>
      <c r="E107" s="6">
        <v>190500</v>
      </c>
      <c r="F107" s="54">
        <v>106</v>
      </c>
    </row>
    <row r="108" spans="1:6" x14ac:dyDescent="0.4">
      <c r="A108" s="13" t="s">
        <v>2324</v>
      </c>
      <c r="B108" s="55" t="s">
        <v>2325</v>
      </c>
      <c r="C108" s="13" t="s">
        <v>50</v>
      </c>
      <c r="D108" s="59">
        <v>46113</v>
      </c>
      <c r="E108" s="6">
        <v>171450</v>
      </c>
      <c r="F108" s="13">
        <v>107</v>
      </c>
    </row>
    <row r="109" spans="1:6" x14ac:dyDescent="0.4">
      <c r="A109" s="13" t="s">
        <v>2324</v>
      </c>
      <c r="B109" s="55" t="s">
        <v>2325</v>
      </c>
      <c r="C109" s="13" t="s">
        <v>50</v>
      </c>
      <c r="D109" s="59">
        <v>46143</v>
      </c>
      <c r="E109" s="6">
        <v>76200</v>
      </c>
      <c r="F109" s="54">
        <v>108</v>
      </c>
    </row>
    <row r="110" spans="1:6" x14ac:dyDescent="0.4">
      <c r="A110" s="13" t="s">
        <v>2324</v>
      </c>
      <c r="B110" s="55" t="s">
        <v>2325</v>
      </c>
      <c r="C110" s="13" t="s">
        <v>50</v>
      </c>
      <c r="D110" s="59">
        <v>46174</v>
      </c>
      <c r="E110" s="6">
        <v>76200</v>
      </c>
      <c r="F110" s="13">
        <v>109</v>
      </c>
    </row>
    <row r="111" spans="1:6" x14ac:dyDescent="0.4">
      <c r="A111" s="13" t="s">
        <v>2324</v>
      </c>
      <c r="B111" s="55" t="s">
        <v>2325</v>
      </c>
      <c r="C111" s="13" t="s">
        <v>50</v>
      </c>
      <c r="D111" s="59">
        <v>46204</v>
      </c>
      <c r="E111" s="6"/>
      <c r="F111" s="54">
        <v>110</v>
      </c>
    </row>
    <row r="112" spans="1:6" x14ac:dyDescent="0.4">
      <c r="A112" s="13" t="s">
        <v>2324</v>
      </c>
      <c r="B112" s="55" t="s">
        <v>2325</v>
      </c>
      <c r="C112" s="13" t="s">
        <v>50</v>
      </c>
      <c r="D112" s="59">
        <v>46235</v>
      </c>
      <c r="E112" s="6"/>
      <c r="F112" s="13">
        <v>111</v>
      </c>
    </row>
    <row r="113" spans="1:6" x14ac:dyDescent="0.4">
      <c r="A113" s="13" t="s">
        <v>2324</v>
      </c>
      <c r="B113" s="55" t="s">
        <v>2325</v>
      </c>
      <c r="C113" s="13" t="s">
        <v>50</v>
      </c>
      <c r="D113" s="59">
        <v>46266</v>
      </c>
      <c r="E113" s="6"/>
      <c r="F113" s="54">
        <v>112</v>
      </c>
    </row>
    <row r="114" spans="1:6" x14ac:dyDescent="0.4">
      <c r="A114" s="13" t="s">
        <v>2324</v>
      </c>
      <c r="B114" s="55" t="s">
        <v>2325</v>
      </c>
      <c r="C114" s="13" t="s">
        <v>50</v>
      </c>
      <c r="D114" s="59">
        <v>46296</v>
      </c>
      <c r="E114" s="6"/>
      <c r="F114" s="13">
        <v>113</v>
      </c>
    </row>
    <row r="115" spans="1:6" x14ac:dyDescent="0.4">
      <c r="A115" s="13" t="s">
        <v>2324</v>
      </c>
      <c r="B115" s="55" t="s">
        <v>2325</v>
      </c>
      <c r="C115" s="13" t="s">
        <v>50</v>
      </c>
      <c r="D115" s="59">
        <v>46327</v>
      </c>
      <c r="E115" s="6"/>
      <c r="F115" s="54">
        <v>114</v>
      </c>
    </row>
    <row r="116" spans="1:6" x14ac:dyDescent="0.4">
      <c r="A116" s="13" t="s">
        <v>2324</v>
      </c>
      <c r="B116" s="55" t="s">
        <v>2325</v>
      </c>
      <c r="C116" s="13" t="s">
        <v>50</v>
      </c>
      <c r="D116" s="59">
        <v>46357</v>
      </c>
      <c r="E116" s="6"/>
      <c r="F116" s="13">
        <v>115</v>
      </c>
    </row>
    <row r="117" spans="1:6" x14ac:dyDescent="0.4">
      <c r="A117" s="13" t="s">
        <v>2324</v>
      </c>
      <c r="B117" s="55" t="s">
        <v>2325</v>
      </c>
      <c r="C117" s="13" t="s">
        <v>50</v>
      </c>
      <c r="D117" s="59">
        <v>46388</v>
      </c>
      <c r="E117" s="6"/>
      <c r="F117" s="54">
        <v>116</v>
      </c>
    </row>
    <row r="118" spans="1:6" x14ac:dyDescent="0.4">
      <c r="A118" s="13" t="s">
        <v>2324</v>
      </c>
      <c r="B118" s="55" t="s">
        <v>2325</v>
      </c>
      <c r="C118" s="13" t="s">
        <v>50</v>
      </c>
      <c r="D118" s="59">
        <v>46419</v>
      </c>
      <c r="E118" s="6"/>
      <c r="F118" s="13">
        <v>117</v>
      </c>
    </row>
    <row r="119" spans="1:6" x14ac:dyDescent="0.4">
      <c r="A119" s="13" t="s">
        <v>2324</v>
      </c>
      <c r="B119" s="55" t="s">
        <v>2325</v>
      </c>
      <c r="C119" s="13" t="s">
        <v>50</v>
      </c>
      <c r="D119" s="59">
        <v>46447</v>
      </c>
      <c r="E119" s="6"/>
      <c r="F119" s="54">
        <v>118</v>
      </c>
    </row>
    <row r="120" spans="1:6" x14ac:dyDescent="0.4">
      <c r="A120" s="13" t="s">
        <v>2324</v>
      </c>
      <c r="B120" s="55" t="s">
        <v>2325</v>
      </c>
      <c r="C120" s="13" t="s">
        <v>50</v>
      </c>
      <c r="D120" s="59">
        <v>46478</v>
      </c>
      <c r="E120" s="6"/>
      <c r="F120" s="13">
        <v>119</v>
      </c>
    </row>
    <row r="121" spans="1:6" x14ac:dyDescent="0.4">
      <c r="A121" s="13" t="s">
        <v>2324</v>
      </c>
      <c r="B121" s="55" t="s">
        <v>2325</v>
      </c>
      <c r="C121" s="13" t="s">
        <v>50</v>
      </c>
      <c r="D121" s="59">
        <v>46508</v>
      </c>
      <c r="E121" s="6"/>
      <c r="F121" s="54">
        <v>120</v>
      </c>
    </row>
    <row r="122" spans="1:6" x14ac:dyDescent="0.4">
      <c r="A122" s="13" t="s">
        <v>2324</v>
      </c>
      <c r="B122" s="55" t="s">
        <v>2325</v>
      </c>
      <c r="C122" s="13" t="s">
        <v>5133</v>
      </c>
      <c r="D122" s="59">
        <v>45809</v>
      </c>
      <c r="E122" s="6"/>
      <c r="F122" s="13">
        <v>121</v>
      </c>
    </row>
    <row r="123" spans="1:6" x14ac:dyDescent="0.4">
      <c r="A123" s="13" t="s">
        <v>2324</v>
      </c>
      <c r="B123" s="55" t="s">
        <v>2325</v>
      </c>
      <c r="C123" s="13" t="s">
        <v>5133</v>
      </c>
      <c r="D123" s="59">
        <v>45839</v>
      </c>
      <c r="E123" s="6"/>
      <c r="F123" s="54">
        <v>122</v>
      </c>
    </row>
    <row r="124" spans="1:6" x14ac:dyDescent="0.4">
      <c r="A124" s="13" t="s">
        <v>2324</v>
      </c>
      <c r="B124" s="55" t="s">
        <v>2325</v>
      </c>
      <c r="C124" s="13" t="s">
        <v>5133</v>
      </c>
      <c r="D124" s="59">
        <v>45870</v>
      </c>
      <c r="E124" s="6"/>
      <c r="F124" s="13">
        <v>123</v>
      </c>
    </row>
    <row r="125" spans="1:6" x14ac:dyDescent="0.4">
      <c r="A125" s="13" t="s">
        <v>2324</v>
      </c>
      <c r="B125" s="55" t="s">
        <v>2325</v>
      </c>
      <c r="C125" s="13" t="s">
        <v>5133</v>
      </c>
      <c r="D125" s="59">
        <v>45901</v>
      </c>
      <c r="E125" s="6">
        <v>28305</v>
      </c>
      <c r="F125" s="54">
        <v>124</v>
      </c>
    </row>
    <row r="126" spans="1:6" x14ac:dyDescent="0.4">
      <c r="A126" s="13" t="s">
        <v>2324</v>
      </c>
      <c r="B126" s="55" t="s">
        <v>2325</v>
      </c>
      <c r="C126" s="13" t="s">
        <v>5133</v>
      </c>
      <c r="D126" s="59">
        <v>45931</v>
      </c>
      <c r="E126" s="6">
        <v>28305</v>
      </c>
      <c r="F126" s="13">
        <v>125</v>
      </c>
    </row>
    <row r="127" spans="1:6" x14ac:dyDescent="0.4">
      <c r="A127" s="13" t="s">
        <v>2324</v>
      </c>
      <c r="B127" s="55" t="s">
        <v>2325</v>
      </c>
      <c r="C127" s="13" t="s">
        <v>5133</v>
      </c>
      <c r="D127" s="59">
        <v>45962</v>
      </c>
      <c r="E127" s="6">
        <v>28305</v>
      </c>
      <c r="F127" s="54">
        <v>126</v>
      </c>
    </row>
    <row r="128" spans="1:6" x14ac:dyDescent="0.4">
      <c r="A128" s="13" t="s">
        <v>2324</v>
      </c>
      <c r="B128" s="55" t="s">
        <v>2325</v>
      </c>
      <c r="C128" s="13" t="s">
        <v>5133</v>
      </c>
      <c r="D128" s="59">
        <v>45992</v>
      </c>
      <c r="E128" s="6">
        <v>28305</v>
      </c>
      <c r="F128" s="13">
        <v>127</v>
      </c>
    </row>
    <row r="129" spans="1:6" x14ac:dyDescent="0.4">
      <c r="A129" s="13" t="s">
        <v>2324</v>
      </c>
      <c r="B129" s="55" t="s">
        <v>2325</v>
      </c>
      <c r="C129" s="13" t="s">
        <v>5133</v>
      </c>
      <c r="D129" s="59">
        <v>46023</v>
      </c>
      <c r="E129" s="6">
        <v>28305</v>
      </c>
      <c r="F129" s="54">
        <v>128</v>
      </c>
    </row>
    <row r="130" spans="1:6" x14ac:dyDescent="0.4">
      <c r="A130" s="13" t="s">
        <v>2324</v>
      </c>
      <c r="B130" s="55" t="s">
        <v>2325</v>
      </c>
      <c r="C130" s="13" t="s">
        <v>5133</v>
      </c>
      <c r="D130" s="59">
        <v>46054</v>
      </c>
      <c r="E130" s="6">
        <v>28305</v>
      </c>
      <c r="F130" s="13">
        <v>129</v>
      </c>
    </row>
    <row r="131" spans="1:6" x14ac:dyDescent="0.4">
      <c r="A131" s="13" t="s">
        <v>2324</v>
      </c>
      <c r="B131" s="55" t="s">
        <v>2325</v>
      </c>
      <c r="C131" s="13" t="s">
        <v>5133</v>
      </c>
      <c r="D131" s="59">
        <v>46082</v>
      </c>
      <c r="E131" s="6">
        <v>28305</v>
      </c>
      <c r="F131" s="54">
        <v>130</v>
      </c>
    </row>
    <row r="132" spans="1:6" x14ac:dyDescent="0.4">
      <c r="A132" s="13" t="s">
        <v>2324</v>
      </c>
      <c r="B132" s="55" t="s">
        <v>2325</v>
      </c>
      <c r="C132" s="13" t="s">
        <v>5133</v>
      </c>
      <c r="D132" s="59">
        <v>46113</v>
      </c>
      <c r="E132" s="6">
        <v>28305</v>
      </c>
      <c r="F132" s="13">
        <v>131</v>
      </c>
    </row>
    <row r="133" spans="1:6" x14ac:dyDescent="0.4">
      <c r="A133" s="13" t="s">
        <v>2324</v>
      </c>
      <c r="B133" s="55" t="s">
        <v>2325</v>
      </c>
      <c r="C133" s="13" t="s">
        <v>5133</v>
      </c>
      <c r="D133" s="59">
        <v>46143</v>
      </c>
      <c r="E133" s="6">
        <v>28305</v>
      </c>
      <c r="F133" s="54">
        <v>132</v>
      </c>
    </row>
    <row r="134" spans="1:6" x14ac:dyDescent="0.4">
      <c r="A134" s="13" t="s">
        <v>2324</v>
      </c>
      <c r="B134" s="55" t="s">
        <v>2325</v>
      </c>
      <c r="C134" s="13" t="s">
        <v>5133</v>
      </c>
      <c r="D134" s="59">
        <v>46174</v>
      </c>
      <c r="E134" s="6">
        <v>28305</v>
      </c>
      <c r="F134" s="13">
        <v>133</v>
      </c>
    </row>
    <row r="135" spans="1:6" x14ac:dyDescent="0.4">
      <c r="A135" s="13" t="s">
        <v>2324</v>
      </c>
      <c r="B135" s="55" t="s">
        <v>2325</v>
      </c>
      <c r="C135" s="13" t="s">
        <v>5133</v>
      </c>
      <c r="D135" s="59">
        <v>46204</v>
      </c>
      <c r="E135" s="6">
        <v>28305</v>
      </c>
      <c r="F135" s="54">
        <v>134</v>
      </c>
    </row>
    <row r="136" spans="1:6" x14ac:dyDescent="0.4">
      <c r="A136" s="13" t="s">
        <v>2324</v>
      </c>
      <c r="B136" s="55" t="s">
        <v>2325</v>
      </c>
      <c r="C136" s="13" t="s">
        <v>5133</v>
      </c>
      <c r="D136" s="59">
        <v>46235</v>
      </c>
      <c r="E136" s="6">
        <v>28305</v>
      </c>
      <c r="F136" s="13">
        <v>135</v>
      </c>
    </row>
    <row r="137" spans="1:6" x14ac:dyDescent="0.4">
      <c r="A137" s="13" t="s">
        <v>2324</v>
      </c>
      <c r="B137" s="55" t="s">
        <v>2325</v>
      </c>
      <c r="C137" s="13" t="s">
        <v>5133</v>
      </c>
      <c r="D137" s="59">
        <v>46266</v>
      </c>
      <c r="E137" s="6"/>
      <c r="F137" s="54">
        <v>136</v>
      </c>
    </row>
    <row r="138" spans="1:6" x14ac:dyDescent="0.4">
      <c r="A138" s="13" t="s">
        <v>2324</v>
      </c>
      <c r="B138" s="55" t="s">
        <v>2325</v>
      </c>
      <c r="C138" s="13" t="s">
        <v>5133</v>
      </c>
      <c r="D138" s="59">
        <v>46296</v>
      </c>
      <c r="E138" s="6"/>
      <c r="F138" s="13">
        <v>137</v>
      </c>
    </row>
    <row r="139" spans="1:6" x14ac:dyDescent="0.4">
      <c r="A139" s="13" t="s">
        <v>2324</v>
      </c>
      <c r="B139" s="55" t="s">
        <v>2325</v>
      </c>
      <c r="C139" s="13" t="s">
        <v>5133</v>
      </c>
      <c r="D139" s="59">
        <v>46327</v>
      </c>
      <c r="E139" s="6"/>
      <c r="F139" s="54">
        <v>138</v>
      </c>
    </row>
    <row r="140" spans="1:6" x14ac:dyDescent="0.4">
      <c r="A140" s="13" t="s">
        <v>2324</v>
      </c>
      <c r="B140" s="55" t="s">
        <v>2325</v>
      </c>
      <c r="C140" s="13" t="s">
        <v>5133</v>
      </c>
      <c r="D140" s="59">
        <v>46357</v>
      </c>
      <c r="E140" s="6"/>
      <c r="F140" s="13">
        <v>139</v>
      </c>
    </row>
    <row r="141" spans="1:6" x14ac:dyDescent="0.4">
      <c r="A141" s="13" t="s">
        <v>2324</v>
      </c>
      <c r="B141" s="55" t="s">
        <v>2325</v>
      </c>
      <c r="C141" s="13" t="s">
        <v>5133</v>
      </c>
      <c r="D141" s="59">
        <v>46388</v>
      </c>
      <c r="E141" s="6"/>
      <c r="F141" s="54">
        <v>140</v>
      </c>
    </row>
    <row r="142" spans="1:6" x14ac:dyDescent="0.4">
      <c r="A142" s="13" t="s">
        <v>2324</v>
      </c>
      <c r="B142" s="55" t="s">
        <v>2325</v>
      </c>
      <c r="C142" s="13" t="s">
        <v>5133</v>
      </c>
      <c r="D142" s="59">
        <v>46419</v>
      </c>
      <c r="E142" s="6"/>
      <c r="F142" s="13">
        <v>141</v>
      </c>
    </row>
    <row r="143" spans="1:6" x14ac:dyDescent="0.4">
      <c r="A143" s="13" t="s">
        <v>2324</v>
      </c>
      <c r="B143" s="55" t="s">
        <v>2325</v>
      </c>
      <c r="C143" s="13" t="s">
        <v>5133</v>
      </c>
      <c r="D143" s="59">
        <v>46447</v>
      </c>
      <c r="E143" s="6"/>
      <c r="F143" s="54">
        <v>142</v>
      </c>
    </row>
    <row r="144" spans="1:6" x14ac:dyDescent="0.4">
      <c r="A144" s="13" t="s">
        <v>2324</v>
      </c>
      <c r="B144" s="55" t="s">
        <v>2325</v>
      </c>
      <c r="C144" s="13" t="s">
        <v>5133</v>
      </c>
      <c r="D144" s="59">
        <v>46478</v>
      </c>
      <c r="E144" s="6"/>
      <c r="F144" s="13">
        <v>143</v>
      </c>
    </row>
    <row r="145" spans="1:6" x14ac:dyDescent="0.4">
      <c r="A145" s="13" t="s">
        <v>2324</v>
      </c>
      <c r="B145" s="55" t="s">
        <v>2325</v>
      </c>
      <c r="C145" s="13" t="s">
        <v>5133</v>
      </c>
      <c r="D145" s="59">
        <v>46508</v>
      </c>
      <c r="E145" s="6"/>
      <c r="F145" s="54">
        <v>144</v>
      </c>
    </row>
    <row r="146" spans="1:6" x14ac:dyDescent="0.4">
      <c r="A146" s="13" t="s">
        <v>2324</v>
      </c>
      <c r="B146" s="13" t="s">
        <v>2345</v>
      </c>
      <c r="C146" s="10" t="s">
        <v>25</v>
      </c>
      <c r="D146" s="59">
        <v>45809</v>
      </c>
      <c r="E146" s="6">
        <v>0</v>
      </c>
      <c r="F146" s="13">
        <v>145</v>
      </c>
    </row>
    <row r="147" spans="1:6" x14ac:dyDescent="0.4">
      <c r="A147" s="13" t="s">
        <v>2324</v>
      </c>
      <c r="B147" s="13" t="s">
        <v>2345</v>
      </c>
      <c r="C147" s="10" t="s">
        <v>25</v>
      </c>
      <c r="D147" s="59">
        <v>45839</v>
      </c>
      <c r="E147" s="6">
        <v>498960</v>
      </c>
      <c r="F147" s="54">
        <v>146</v>
      </c>
    </row>
    <row r="148" spans="1:6" x14ac:dyDescent="0.4">
      <c r="A148" s="13" t="s">
        <v>2324</v>
      </c>
      <c r="B148" s="13" t="s">
        <v>2345</v>
      </c>
      <c r="C148" s="10" t="s">
        <v>25</v>
      </c>
      <c r="D148" s="59">
        <v>45870</v>
      </c>
      <c r="E148" s="6">
        <v>632610</v>
      </c>
      <c r="F148" s="13">
        <v>147</v>
      </c>
    </row>
    <row r="149" spans="1:6" x14ac:dyDescent="0.4">
      <c r="A149" s="13" t="s">
        <v>2324</v>
      </c>
      <c r="B149" s="13" t="s">
        <v>2345</v>
      </c>
      <c r="C149" s="10" t="s">
        <v>25</v>
      </c>
      <c r="D149" s="59">
        <v>45901</v>
      </c>
      <c r="E149" s="6">
        <v>650430</v>
      </c>
      <c r="F149" s="54">
        <v>148</v>
      </c>
    </row>
    <row r="150" spans="1:6" x14ac:dyDescent="0.4">
      <c r="A150" s="13" t="s">
        <v>2324</v>
      </c>
      <c r="B150" s="13" t="s">
        <v>2345</v>
      </c>
      <c r="C150" s="10" t="s">
        <v>25</v>
      </c>
      <c r="D150" s="59">
        <v>45931</v>
      </c>
      <c r="E150" s="6">
        <v>160380</v>
      </c>
      <c r="F150" s="13">
        <v>149</v>
      </c>
    </row>
    <row r="151" spans="1:6" x14ac:dyDescent="0.4">
      <c r="A151" s="13" t="s">
        <v>2324</v>
      </c>
      <c r="B151" s="13" t="s">
        <v>2345</v>
      </c>
      <c r="C151" s="10" t="s">
        <v>25</v>
      </c>
      <c r="D151" s="59">
        <v>45962</v>
      </c>
      <c r="E151" s="6">
        <v>26730</v>
      </c>
      <c r="F151" s="54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45992</v>
      </c>
      <c r="E152" s="6">
        <v>8910</v>
      </c>
      <c r="F152" s="13">
        <v>151</v>
      </c>
    </row>
    <row r="153" spans="1:6" x14ac:dyDescent="0.4">
      <c r="A153" s="13" t="s">
        <v>2324</v>
      </c>
      <c r="B153" s="13" t="s">
        <v>2345</v>
      </c>
      <c r="C153" s="10" t="s">
        <v>25</v>
      </c>
      <c r="D153" s="59">
        <v>46023</v>
      </c>
      <c r="E153" s="6">
        <v>0</v>
      </c>
      <c r="F153" s="54">
        <v>152</v>
      </c>
    </row>
    <row r="154" spans="1:6" x14ac:dyDescent="0.4">
      <c r="A154" s="13" t="s">
        <v>2324</v>
      </c>
      <c r="B154" s="13" t="s">
        <v>2345</v>
      </c>
      <c r="C154" s="10" t="s">
        <v>25</v>
      </c>
      <c r="D154" s="59">
        <v>46054</v>
      </c>
      <c r="E154" s="6">
        <v>0</v>
      </c>
      <c r="F154" s="13">
        <v>153</v>
      </c>
    </row>
    <row r="155" spans="1:6" x14ac:dyDescent="0.4">
      <c r="A155" s="13" t="s">
        <v>2324</v>
      </c>
      <c r="B155" s="13" t="s">
        <v>2345</v>
      </c>
      <c r="C155" s="10" t="s">
        <v>25</v>
      </c>
      <c r="D155" s="59">
        <v>46082</v>
      </c>
      <c r="E155" s="6">
        <v>0</v>
      </c>
      <c r="F155" s="54">
        <v>154</v>
      </c>
    </row>
    <row r="156" spans="1:6" x14ac:dyDescent="0.4">
      <c r="A156" s="13" t="s">
        <v>2324</v>
      </c>
      <c r="B156" s="13" t="s">
        <v>2345</v>
      </c>
      <c r="C156" s="10" t="s">
        <v>25</v>
      </c>
      <c r="D156" s="59">
        <v>46113</v>
      </c>
      <c r="E156" s="6">
        <v>0</v>
      </c>
      <c r="F156" s="13">
        <v>155</v>
      </c>
    </row>
    <row r="157" spans="1:6" x14ac:dyDescent="0.4">
      <c r="A157" s="13" t="s">
        <v>2324</v>
      </c>
      <c r="B157" s="13" t="s">
        <v>2345</v>
      </c>
      <c r="C157" s="10" t="s">
        <v>25</v>
      </c>
      <c r="D157" s="59">
        <v>46143</v>
      </c>
      <c r="E157" s="6">
        <v>0</v>
      </c>
      <c r="F157" s="54">
        <v>156</v>
      </c>
    </row>
    <row r="158" spans="1:6" x14ac:dyDescent="0.4">
      <c r="A158" s="13" t="s">
        <v>2324</v>
      </c>
      <c r="B158" s="13" t="s">
        <v>2345</v>
      </c>
      <c r="C158" s="10" t="s">
        <v>25</v>
      </c>
      <c r="D158" s="59">
        <v>46174</v>
      </c>
      <c r="E158" s="6">
        <v>0</v>
      </c>
      <c r="F158" s="13">
        <v>157</v>
      </c>
    </row>
    <row r="159" spans="1:6" x14ac:dyDescent="0.4">
      <c r="A159" s="13" t="s">
        <v>2324</v>
      </c>
      <c r="B159" s="13" t="s">
        <v>2345</v>
      </c>
      <c r="C159" s="10" t="s">
        <v>25</v>
      </c>
      <c r="D159" s="59">
        <v>46204</v>
      </c>
      <c r="E159" s="6">
        <v>0</v>
      </c>
      <c r="F159" s="54">
        <v>158</v>
      </c>
    </row>
    <row r="160" spans="1:6" x14ac:dyDescent="0.4">
      <c r="A160" s="13" t="s">
        <v>2324</v>
      </c>
      <c r="B160" s="13" t="s">
        <v>2345</v>
      </c>
      <c r="C160" s="10" t="s">
        <v>25</v>
      </c>
      <c r="D160" s="59">
        <v>46235</v>
      </c>
      <c r="E160" s="6">
        <v>0</v>
      </c>
      <c r="F160" s="13">
        <v>159</v>
      </c>
    </row>
    <row r="161" spans="1:6" x14ac:dyDescent="0.4">
      <c r="A161" s="13" t="s">
        <v>2324</v>
      </c>
      <c r="B161" s="13" t="s">
        <v>2345</v>
      </c>
      <c r="C161" s="10" t="s">
        <v>25</v>
      </c>
      <c r="D161" s="59">
        <v>46266</v>
      </c>
      <c r="E161" s="6">
        <v>0</v>
      </c>
      <c r="F161" s="54">
        <v>160</v>
      </c>
    </row>
    <row r="162" spans="1:6" x14ac:dyDescent="0.4">
      <c r="A162" s="13" t="s">
        <v>2324</v>
      </c>
      <c r="B162" s="13" t="s">
        <v>2345</v>
      </c>
      <c r="C162" s="10" t="s">
        <v>25</v>
      </c>
      <c r="D162" s="59">
        <v>46296</v>
      </c>
      <c r="E162" s="6">
        <v>0</v>
      </c>
      <c r="F162" s="13">
        <v>161</v>
      </c>
    </row>
    <row r="163" spans="1:6" x14ac:dyDescent="0.4">
      <c r="A163" s="13" t="s">
        <v>2324</v>
      </c>
      <c r="B163" s="13" t="s">
        <v>2345</v>
      </c>
      <c r="C163" s="10" t="s">
        <v>25</v>
      </c>
      <c r="D163" s="59">
        <v>46327</v>
      </c>
      <c r="E163" s="6">
        <v>0</v>
      </c>
      <c r="F163" s="54">
        <v>162</v>
      </c>
    </row>
    <row r="164" spans="1:6" x14ac:dyDescent="0.4">
      <c r="A164" s="13" t="s">
        <v>2324</v>
      </c>
      <c r="B164" s="13" t="s">
        <v>2345</v>
      </c>
      <c r="C164" s="10" t="s">
        <v>25</v>
      </c>
      <c r="D164" s="59">
        <v>46357</v>
      </c>
      <c r="E164" s="6">
        <v>0</v>
      </c>
      <c r="F164" s="13">
        <v>163</v>
      </c>
    </row>
    <row r="165" spans="1:6" x14ac:dyDescent="0.4">
      <c r="A165" s="13" t="s">
        <v>2324</v>
      </c>
      <c r="B165" s="13" t="s">
        <v>2345</v>
      </c>
      <c r="C165" s="10" t="s">
        <v>25</v>
      </c>
      <c r="D165" s="59">
        <v>46388</v>
      </c>
      <c r="E165" s="6">
        <v>0</v>
      </c>
      <c r="F165" s="54">
        <v>164</v>
      </c>
    </row>
    <row r="166" spans="1:6" x14ac:dyDescent="0.4">
      <c r="A166" s="13" t="s">
        <v>2324</v>
      </c>
      <c r="B166" s="13" t="s">
        <v>2345</v>
      </c>
      <c r="C166" s="10" t="s">
        <v>25</v>
      </c>
      <c r="D166" s="59">
        <v>46419</v>
      </c>
      <c r="E166" s="6">
        <v>0</v>
      </c>
      <c r="F166" s="13">
        <v>165</v>
      </c>
    </row>
    <row r="167" spans="1:6" x14ac:dyDescent="0.4">
      <c r="A167" s="13" t="s">
        <v>2324</v>
      </c>
      <c r="B167" s="13" t="s">
        <v>2345</v>
      </c>
      <c r="C167" s="10" t="s">
        <v>25</v>
      </c>
      <c r="D167" s="59">
        <v>46447</v>
      </c>
      <c r="E167" s="6">
        <v>0</v>
      </c>
      <c r="F167" s="54">
        <v>166</v>
      </c>
    </row>
    <row r="168" spans="1:6" x14ac:dyDescent="0.4">
      <c r="A168" s="13" t="s">
        <v>2324</v>
      </c>
      <c r="B168" s="13" t="s">
        <v>2345</v>
      </c>
      <c r="C168" s="10" t="s">
        <v>25</v>
      </c>
      <c r="D168" s="59">
        <v>46478</v>
      </c>
      <c r="E168" s="6">
        <v>0</v>
      </c>
      <c r="F168" s="13">
        <v>167</v>
      </c>
    </row>
    <row r="169" spans="1:6" x14ac:dyDescent="0.4">
      <c r="A169" s="13" t="s">
        <v>2324</v>
      </c>
      <c r="B169" s="13" t="s">
        <v>2345</v>
      </c>
      <c r="C169" s="10" t="s">
        <v>25</v>
      </c>
      <c r="D169" s="59">
        <v>46508</v>
      </c>
      <c r="E169" s="6">
        <v>0</v>
      </c>
      <c r="F169" s="54">
        <v>168</v>
      </c>
    </row>
    <row r="170" spans="1:6" x14ac:dyDescent="0.4">
      <c r="A170" s="13" t="s">
        <v>2324</v>
      </c>
      <c r="B170" s="13" t="s">
        <v>2345</v>
      </c>
      <c r="C170" s="13" t="s">
        <v>44</v>
      </c>
      <c r="D170" s="59">
        <v>45809</v>
      </c>
      <c r="E170" s="6">
        <v>0</v>
      </c>
      <c r="F170" s="13">
        <v>169</v>
      </c>
    </row>
    <row r="171" spans="1:6" x14ac:dyDescent="0.4">
      <c r="A171" s="13" t="s">
        <v>2324</v>
      </c>
      <c r="B171" s="13" t="s">
        <v>2345</v>
      </c>
      <c r="C171" s="13" t="s">
        <v>44</v>
      </c>
      <c r="D171" s="59">
        <v>45839</v>
      </c>
      <c r="E171" s="6">
        <v>2546033</v>
      </c>
      <c r="F171" s="54">
        <v>170</v>
      </c>
    </row>
    <row r="172" spans="1:6" x14ac:dyDescent="0.4">
      <c r="A172" s="13" t="s">
        <v>2324</v>
      </c>
      <c r="B172" s="13" t="s">
        <v>2345</v>
      </c>
      <c r="C172" s="13" t="s">
        <v>44</v>
      </c>
      <c r="D172" s="59">
        <v>45870</v>
      </c>
      <c r="E172" s="6">
        <v>2597468</v>
      </c>
      <c r="F172" s="13">
        <v>171</v>
      </c>
    </row>
    <row r="173" spans="1:6" x14ac:dyDescent="0.4">
      <c r="A173" s="13" t="s">
        <v>2324</v>
      </c>
      <c r="B173" s="13" t="s">
        <v>2345</v>
      </c>
      <c r="C173" s="13" t="s">
        <v>44</v>
      </c>
      <c r="D173" s="59">
        <v>45901</v>
      </c>
      <c r="E173" s="6">
        <v>2640330</v>
      </c>
      <c r="F173" s="54">
        <v>172</v>
      </c>
    </row>
    <row r="174" spans="1:6" x14ac:dyDescent="0.4">
      <c r="A174" s="13" t="s">
        <v>2324</v>
      </c>
      <c r="B174" s="13" t="s">
        <v>2345</v>
      </c>
      <c r="C174" s="13" t="s">
        <v>44</v>
      </c>
      <c r="D174" s="59">
        <v>45931</v>
      </c>
      <c r="E174" s="6">
        <v>2880360</v>
      </c>
      <c r="F174" s="13">
        <v>173</v>
      </c>
    </row>
    <row r="175" spans="1:6" x14ac:dyDescent="0.4">
      <c r="A175" s="13" t="s">
        <v>2324</v>
      </c>
      <c r="B175" s="13" t="s">
        <v>2345</v>
      </c>
      <c r="C175" s="13" t="s">
        <v>44</v>
      </c>
      <c r="D175" s="59">
        <v>45962</v>
      </c>
      <c r="E175" s="6">
        <v>3763328</v>
      </c>
      <c r="F175" s="54">
        <v>174</v>
      </c>
    </row>
    <row r="176" spans="1:6" x14ac:dyDescent="0.4">
      <c r="A176" s="13" t="s">
        <v>2324</v>
      </c>
      <c r="B176" s="13" t="s">
        <v>2345</v>
      </c>
      <c r="C176" s="13" t="s">
        <v>44</v>
      </c>
      <c r="D176" s="59">
        <v>45992</v>
      </c>
      <c r="E176" s="6">
        <v>3823335</v>
      </c>
      <c r="F176" s="13">
        <v>175</v>
      </c>
    </row>
    <row r="177" spans="1:6" x14ac:dyDescent="0.4">
      <c r="A177" s="13" t="s">
        <v>2324</v>
      </c>
      <c r="B177" s="13" t="s">
        <v>2345</v>
      </c>
      <c r="C177" s="13" t="s">
        <v>44</v>
      </c>
      <c r="D177" s="59">
        <v>46023</v>
      </c>
      <c r="E177" s="6">
        <v>1294448</v>
      </c>
      <c r="F177" s="54">
        <v>176</v>
      </c>
    </row>
    <row r="178" spans="1:6" x14ac:dyDescent="0.4">
      <c r="A178" s="13" t="s">
        <v>2324</v>
      </c>
      <c r="B178" s="13" t="s">
        <v>2345</v>
      </c>
      <c r="C178" s="13" t="s">
        <v>44</v>
      </c>
      <c r="D178" s="59">
        <v>46054</v>
      </c>
      <c r="E178" s="6">
        <v>1243013</v>
      </c>
      <c r="F178" s="13">
        <v>177</v>
      </c>
    </row>
    <row r="179" spans="1:6" x14ac:dyDescent="0.4">
      <c r="A179" s="13" t="s">
        <v>2324</v>
      </c>
      <c r="B179" s="13" t="s">
        <v>2345</v>
      </c>
      <c r="C179" s="13" t="s">
        <v>44</v>
      </c>
      <c r="D179" s="59">
        <v>46082</v>
      </c>
      <c r="E179" s="6">
        <v>1200150</v>
      </c>
      <c r="F179" s="54">
        <v>178</v>
      </c>
    </row>
    <row r="180" spans="1:6" x14ac:dyDescent="0.4">
      <c r="A180" s="13" t="s">
        <v>2324</v>
      </c>
      <c r="B180" s="13" t="s">
        <v>2345</v>
      </c>
      <c r="C180" s="13" t="s">
        <v>44</v>
      </c>
      <c r="D180" s="59">
        <v>46113</v>
      </c>
      <c r="E180" s="6">
        <v>960120</v>
      </c>
      <c r="F180" s="13">
        <v>179</v>
      </c>
    </row>
    <row r="181" spans="1:6" x14ac:dyDescent="0.4">
      <c r="A181" s="13" t="s">
        <v>2324</v>
      </c>
      <c r="B181" s="13" t="s">
        <v>2345</v>
      </c>
      <c r="C181" s="13" t="s">
        <v>44</v>
      </c>
      <c r="D181" s="59">
        <v>46143</v>
      </c>
      <c r="E181" s="6">
        <v>77153</v>
      </c>
      <c r="F181" s="54">
        <v>180</v>
      </c>
    </row>
    <row r="182" spans="1:6" x14ac:dyDescent="0.4">
      <c r="A182" s="13" t="s">
        <v>2324</v>
      </c>
      <c r="B182" s="13" t="s">
        <v>2345</v>
      </c>
      <c r="C182" s="13" t="s">
        <v>44</v>
      </c>
      <c r="D182" s="59">
        <v>46174</v>
      </c>
      <c r="E182" s="6">
        <v>17145</v>
      </c>
      <c r="F182" s="13">
        <v>181</v>
      </c>
    </row>
    <row r="183" spans="1:6" x14ac:dyDescent="0.4">
      <c r="A183" s="13" t="s">
        <v>2324</v>
      </c>
      <c r="B183" s="13" t="s">
        <v>2345</v>
      </c>
      <c r="C183" s="13" t="s">
        <v>44</v>
      </c>
      <c r="D183" s="59">
        <v>46204</v>
      </c>
      <c r="E183" s="6">
        <v>0</v>
      </c>
      <c r="F183" s="54">
        <v>182</v>
      </c>
    </row>
    <row r="184" spans="1:6" x14ac:dyDescent="0.4">
      <c r="A184" s="13" t="s">
        <v>2324</v>
      </c>
      <c r="B184" s="13" t="s">
        <v>2345</v>
      </c>
      <c r="C184" s="13" t="s">
        <v>44</v>
      </c>
      <c r="D184" s="59">
        <v>46235</v>
      </c>
      <c r="E184" s="6">
        <v>0</v>
      </c>
      <c r="F184" s="13">
        <v>183</v>
      </c>
    </row>
    <row r="185" spans="1:6" x14ac:dyDescent="0.4">
      <c r="A185" s="13" t="s">
        <v>2324</v>
      </c>
      <c r="B185" s="13" t="s">
        <v>2345</v>
      </c>
      <c r="C185" s="13" t="s">
        <v>44</v>
      </c>
      <c r="D185" s="59">
        <v>46266</v>
      </c>
      <c r="E185" s="6">
        <v>0</v>
      </c>
      <c r="F185" s="54">
        <v>184</v>
      </c>
    </row>
    <row r="186" spans="1:6" x14ac:dyDescent="0.4">
      <c r="A186" s="13" t="s">
        <v>2324</v>
      </c>
      <c r="B186" s="13" t="s">
        <v>2345</v>
      </c>
      <c r="C186" s="13" t="s">
        <v>44</v>
      </c>
      <c r="D186" s="59">
        <v>46296</v>
      </c>
      <c r="E186" s="6">
        <v>0</v>
      </c>
      <c r="F186" s="13">
        <v>185</v>
      </c>
    </row>
    <row r="187" spans="1:6" x14ac:dyDescent="0.4">
      <c r="A187" s="13" t="s">
        <v>2324</v>
      </c>
      <c r="B187" s="13" t="s">
        <v>2345</v>
      </c>
      <c r="C187" s="13" t="s">
        <v>44</v>
      </c>
      <c r="D187" s="59">
        <v>46327</v>
      </c>
      <c r="E187" s="6">
        <v>0</v>
      </c>
      <c r="F187" s="54">
        <v>186</v>
      </c>
    </row>
    <row r="188" spans="1:6" x14ac:dyDescent="0.4">
      <c r="A188" s="13" t="s">
        <v>2324</v>
      </c>
      <c r="B188" s="13" t="s">
        <v>2345</v>
      </c>
      <c r="C188" s="13" t="s">
        <v>44</v>
      </c>
      <c r="D188" s="59">
        <v>46357</v>
      </c>
      <c r="E188" s="6">
        <v>0</v>
      </c>
      <c r="F188" s="13">
        <v>187</v>
      </c>
    </row>
    <row r="189" spans="1:6" x14ac:dyDescent="0.4">
      <c r="A189" s="13" t="s">
        <v>2324</v>
      </c>
      <c r="B189" s="13" t="s">
        <v>2345</v>
      </c>
      <c r="C189" s="13" t="s">
        <v>44</v>
      </c>
      <c r="D189" s="59">
        <v>46388</v>
      </c>
      <c r="E189" s="6">
        <v>0</v>
      </c>
      <c r="F189" s="54">
        <v>188</v>
      </c>
    </row>
    <row r="190" spans="1:6" x14ac:dyDescent="0.4">
      <c r="A190" s="13" t="s">
        <v>2324</v>
      </c>
      <c r="B190" s="13" t="s">
        <v>2345</v>
      </c>
      <c r="C190" s="13" t="s">
        <v>44</v>
      </c>
      <c r="D190" s="59">
        <v>46419</v>
      </c>
      <c r="E190" s="6">
        <v>0</v>
      </c>
      <c r="F190" s="13">
        <v>189</v>
      </c>
    </row>
    <row r="191" spans="1:6" x14ac:dyDescent="0.4">
      <c r="A191" s="13" t="s">
        <v>2324</v>
      </c>
      <c r="B191" s="13" t="s">
        <v>2345</v>
      </c>
      <c r="C191" s="13" t="s">
        <v>44</v>
      </c>
      <c r="D191" s="59">
        <v>46447</v>
      </c>
      <c r="E191" s="6">
        <v>0</v>
      </c>
      <c r="F191" s="54">
        <v>190</v>
      </c>
    </row>
    <row r="192" spans="1:6" x14ac:dyDescent="0.4">
      <c r="A192" s="13" t="s">
        <v>2324</v>
      </c>
      <c r="B192" s="13" t="s">
        <v>2345</v>
      </c>
      <c r="C192" s="13" t="s">
        <v>44</v>
      </c>
      <c r="D192" s="59">
        <v>46478</v>
      </c>
      <c r="E192" s="6">
        <v>0</v>
      </c>
      <c r="F192" s="13">
        <v>191</v>
      </c>
    </row>
    <row r="193" spans="1:6" x14ac:dyDescent="0.4">
      <c r="A193" s="13" t="s">
        <v>2324</v>
      </c>
      <c r="B193" s="13" t="s">
        <v>2345</v>
      </c>
      <c r="C193" s="13" t="s">
        <v>44</v>
      </c>
      <c r="D193" s="59">
        <v>46508</v>
      </c>
      <c r="E193" s="6">
        <v>0</v>
      </c>
      <c r="F193" s="54">
        <v>192</v>
      </c>
    </row>
    <row r="194" spans="1:6" x14ac:dyDescent="0.4">
      <c r="A194" s="13" t="s">
        <v>2324</v>
      </c>
      <c r="B194" s="13" t="s">
        <v>2345</v>
      </c>
      <c r="C194" s="13" t="s">
        <v>1944</v>
      </c>
      <c r="D194" s="59">
        <v>45809</v>
      </c>
      <c r="E194" s="6">
        <v>0</v>
      </c>
      <c r="F194" s="13">
        <v>193</v>
      </c>
    </row>
    <row r="195" spans="1:6" x14ac:dyDescent="0.4">
      <c r="A195" s="13" t="s">
        <v>2324</v>
      </c>
      <c r="B195" s="13" t="s">
        <v>2345</v>
      </c>
      <c r="C195" s="13" t="s">
        <v>1944</v>
      </c>
      <c r="D195" s="59">
        <v>45839</v>
      </c>
      <c r="E195" s="6">
        <v>0</v>
      </c>
      <c r="F195" s="54">
        <v>194</v>
      </c>
    </row>
    <row r="196" spans="1:6" x14ac:dyDescent="0.4">
      <c r="A196" s="13" t="s">
        <v>2324</v>
      </c>
      <c r="B196" s="13" t="s">
        <v>2345</v>
      </c>
      <c r="C196" s="13" t="s">
        <v>1944</v>
      </c>
      <c r="D196" s="59">
        <v>45870</v>
      </c>
      <c r="E196" s="6">
        <v>4246</v>
      </c>
      <c r="F196" s="13">
        <v>195</v>
      </c>
    </row>
    <row r="197" spans="1:6" x14ac:dyDescent="0.4">
      <c r="A197" s="13" t="s">
        <v>2324</v>
      </c>
      <c r="B197" s="13" t="s">
        <v>2345</v>
      </c>
      <c r="C197" s="13" t="s">
        <v>1944</v>
      </c>
      <c r="D197" s="59">
        <v>45901</v>
      </c>
      <c r="E197" s="6">
        <v>72178</v>
      </c>
      <c r="F197" s="54">
        <v>196</v>
      </c>
    </row>
    <row r="198" spans="1:6" x14ac:dyDescent="0.4">
      <c r="A198" s="13" t="s">
        <v>2324</v>
      </c>
      <c r="B198" s="13" t="s">
        <v>2345</v>
      </c>
      <c r="C198" s="13" t="s">
        <v>1944</v>
      </c>
      <c r="D198" s="59">
        <v>45931</v>
      </c>
      <c r="E198" s="6">
        <v>72178</v>
      </c>
      <c r="F198" s="13">
        <v>197</v>
      </c>
    </row>
    <row r="199" spans="1:6" x14ac:dyDescent="0.4">
      <c r="A199" s="13" t="s">
        <v>2324</v>
      </c>
      <c r="B199" s="13" t="s">
        <v>2345</v>
      </c>
      <c r="C199" s="13" t="s">
        <v>1944</v>
      </c>
      <c r="D199" s="59">
        <v>45962</v>
      </c>
      <c r="E199" s="6">
        <v>72178</v>
      </c>
      <c r="F199" s="54">
        <v>198</v>
      </c>
    </row>
    <row r="200" spans="1:6" x14ac:dyDescent="0.4">
      <c r="A200" s="13" t="s">
        <v>2324</v>
      </c>
      <c r="B200" s="13" t="s">
        <v>2345</v>
      </c>
      <c r="C200" s="13" t="s">
        <v>1944</v>
      </c>
      <c r="D200" s="59">
        <v>45992</v>
      </c>
      <c r="E200" s="6">
        <v>72178</v>
      </c>
      <c r="F200" s="13">
        <v>199</v>
      </c>
    </row>
    <row r="201" spans="1:6" x14ac:dyDescent="0.4">
      <c r="A201" s="13" t="s">
        <v>2324</v>
      </c>
      <c r="B201" s="13" t="s">
        <v>2345</v>
      </c>
      <c r="C201" s="13" t="s">
        <v>1944</v>
      </c>
      <c r="D201" s="59">
        <v>46023</v>
      </c>
      <c r="E201" s="6">
        <v>76424</v>
      </c>
      <c r="F201" s="54">
        <v>200</v>
      </c>
    </row>
    <row r="202" spans="1:6" x14ac:dyDescent="0.4">
      <c r="A202" s="13" t="s">
        <v>2324</v>
      </c>
      <c r="B202" s="13" t="s">
        <v>2345</v>
      </c>
      <c r="C202" s="13" t="s">
        <v>1944</v>
      </c>
      <c r="D202" s="59">
        <v>46054</v>
      </c>
      <c r="E202" s="6">
        <v>76424</v>
      </c>
      <c r="F202" s="13">
        <v>201</v>
      </c>
    </row>
    <row r="203" spans="1:6" x14ac:dyDescent="0.4">
      <c r="A203" s="13" t="s">
        <v>2324</v>
      </c>
      <c r="B203" s="13" t="s">
        <v>2345</v>
      </c>
      <c r="C203" s="13" t="s">
        <v>1944</v>
      </c>
      <c r="D203" s="59">
        <v>46082</v>
      </c>
      <c r="E203" s="6">
        <v>118881</v>
      </c>
      <c r="F203" s="54">
        <v>202</v>
      </c>
    </row>
    <row r="204" spans="1:6" x14ac:dyDescent="0.4">
      <c r="A204" s="13" t="s">
        <v>2324</v>
      </c>
      <c r="B204" s="13" t="s">
        <v>2345</v>
      </c>
      <c r="C204" s="13" t="s">
        <v>1944</v>
      </c>
      <c r="D204" s="59">
        <v>46113</v>
      </c>
      <c r="E204" s="6">
        <v>118881</v>
      </c>
      <c r="F204" s="13">
        <v>203</v>
      </c>
    </row>
    <row r="205" spans="1:6" x14ac:dyDescent="0.4">
      <c r="A205" s="13" t="s">
        <v>2324</v>
      </c>
      <c r="B205" s="13" t="s">
        <v>2345</v>
      </c>
      <c r="C205" s="13" t="s">
        <v>1944</v>
      </c>
      <c r="D205" s="59">
        <v>46143</v>
      </c>
      <c r="E205" s="6">
        <v>144356</v>
      </c>
      <c r="F205" s="54">
        <v>204</v>
      </c>
    </row>
    <row r="206" spans="1:6" x14ac:dyDescent="0.4">
      <c r="A206" s="13" t="s">
        <v>2324</v>
      </c>
      <c r="B206" s="13" t="s">
        <v>2345</v>
      </c>
      <c r="C206" s="13" t="s">
        <v>1944</v>
      </c>
      <c r="D206" s="59">
        <v>46174</v>
      </c>
      <c r="E206" s="6">
        <v>174076</v>
      </c>
      <c r="F206" s="13">
        <v>205</v>
      </c>
    </row>
    <row r="207" spans="1:6" x14ac:dyDescent="0.4">
      <c r="A207" s="13" t="s">
        <v>2324</v>
      </c>
      <c r="B207" s="13" t="s">
        <v>2345</v>
      </c>
      <c r="C207" s="13" t="s">
        <v>1944</v>
      </c>
      <c r="D207" s="59">
        <v>46204</v>
      </c>
      <c r="E207" s="6">
        <v>174076</v>
      </c>
      <c r="F207" s="54">
        <v>206</v>
      </c>
    </row>
    <row r="208" spans="1:6" x14ac:dyDescent="0.4">
      <c r="A208" s="13" t="s">
        <v>2324</v>
      </c>
      <c r="B208" s="13" t="s">
        <v>2345</v>
      </c>
      <c r="C208" s="13" t="s">
        <v>1944</v>
      </c>
      <c r="D208" s="59">
        <v>46235</v>
      </c>
      <c r="E208" s="6">
        <v>169830</v>
      </c>
      <c r="F208" s="13">
        <v>207</v>
      </c>
    </row>
    <row r="209" spans="1:6" x14ac:dyDescent="0.4">
      <c r="A209" s="13" t="s">
        <v>2324</v>
      </c>
      <c r="B209" s="13" t="s">
        <v>2345</v>
      </c>
      <c r="C209" s="13" t="s">
        <v>1944</v>
      </c>
      <c r="D209" s="59">
        <v>46266</v>
      </c>
      <c r="E209" s="6">
        <v>101898</v>
      </c>
      <c r="F209" s="54">
        <v>208</v>
      </c>
    </row>
    <row r="210" spans="1:6" x14ac:dyDescent="0.4">
      <c r="A210" s="13" t="s">
        <v>2324</v>
      </c>
      <c r="B210" s="13" t="s">
        <v>2345</v>
      </c>
      <c r="C210" s="13" t="s">
        <v>1944</v>
      </c>
      <c r="D210" s="59">
        <v>46296</v>
      </c>
      <c r="E210" s="6">
        <v>101898</v>
      </c>
      <c r="F210" s="13">
        <v>209</v>
      </c>
    </row>
    <row r="211" spans="1:6" x14ac:dyDescent="0.4">
      <c r="A211" s="13" t="s">
        <v>2324</v>
      </c>
      <c r="B211" s="13" t="s">
        <v>2345</v>
      </c>
      <c r="C211" s="13" t="s">
        <v>1944</v>
      </c>
      <c r="D211" s="59">
        <v>46327</v>
      </c>
      <c r="E211" s="6">
        <v>101898</v>
      </c>
      <c r="F211" s="54">
        <v>210</v>
      </c>
    </row>
    <row r="212" spans="1:6" x14ac:dyDescent="0.4">
      <c r="A212" s="13" t="s">
        <v>2324</v>
      </c>
      <c r="B212" s="13" t="s">
        <v>2345</v>
      </c>
      <c r="C212" s="13" t="s">
        <v>1944</v>
      </c>
      <c r="D212" s="59">
        <v>46357</v>
      </c>
      <c r="E212" s="6">
        <v>101898</v>
      </c>
      <c r="F212" s="13">
        <v>211</v>
      </c>
    </row>
    <row r="213" spans="1:6" x14ac:dyDescent="0.4">
      <c r="A213" s="13" t="s">
        <v>2324</v>
      </c>
      <c r="B213" s="13" t="s">
        <v>2345</v>
      </c>
      <c r="C213" s="13" t="s">
        <v>1944</v>
      </c>
      <c r="D213" s="59">
        <v>46388</v>
      </c>
      <c r="E213" s="6">
        <v>97652</v>
      </c>
      <c r="F213" s="54">
        <v>212</v>
      </c>
    </row>
    <row r="214" spans="1:6" x14ac:dyDescent="0.4">
      <c r="A214" s="13" t="s">
        <v>2324</v>
      </c>
      <c r="B214" s="13" t="s">
        <v>2345</v>
      </c>
      <c r="C214" s="13" t="s">
        <v>1944</v>
      </c>
      <c r="D214" s="59">
        <v>46419</v>
      </c>
      <c r="E214" s="6">
        <v>97652</v>
      </c>
      <c r="F214" s="13">
        <v>213</v>
      </c>
    </row>
    <row r="215" spans="1:6" x14ac:dyDescent="0.4">
      <c r="A215" s="13" t="s">
        <v>2324</v>
      </c>
      <c r="B215" s="13" t="s">
        <v>2345</v>
      </c>
      <c r="C215" s="13" t="s">
        <v>1944</v>
      </c>
      <c r="D215" s="59">
        <v>46447</v>
      </c>
      <c r="E215" s="6">
        <v>55195</v>
      </c>
      <c r="F215" s="54">
        <v>214</v>
      </c>
    </row>
    <row r="216" spans="1:6" x14ac:dyDescent="0.4">
      <c r="A216" s="13" t="s">
        <v>2324</v>
      </c>
      <c r="B216" s="13" t="s">
        <v>2345</v>
      </c>
      <c r="C216" s="13" t="s">
        <v>1944</v>
      </c>
      <c r="D216" s="59">
        <v>46478</v>
      </c>
      <c r="E216" s="6">
        <v>55195</v>
      </c>
      <c r="F216" s="13">
        <v>215</v>
      </c>
    </row>
    <row r="217" spans="1:6" x14ac:dyDescent="0.4">
      <c r="A217" s="13" t="s">
        <v>2324</v>
      </c>
      <c r="B217" s="13" t="s">
        <v>2345</v>
      </c>
      <c r="C217" s="13" t="s">
        <v>1944</v>
      </c>
      <c r="D217" s="59">
        <v>46508</v>
      </c>
      <c r="E217" s="6">
        <v>29720</v>
      </c>
      <c r="F217" s="54">
        <v>216</v>
      </c>
    </row>
    <row r="218" spans="1:6" x14ac:dyDescent="0.4">
      <c r="A218" s="13" t="s">
        <v>2324</v>
      </c>
      <c r="B218" s="13" t="s">
        <v>2345</v>
      </c>
      <c r="C218" s="13" t="s">
        <v>70</v>
      </c>
      <c r="D218" s="59">
        <v>45809</v>
      </c>
      <c r="E218" s="6">
        <v>0</v>
      </c>
      <c r="F218" s="13">
        <v>217</v>
      </c>
    </row>
    <row r="219" spans="1:6" x14ac:dyDescent="0.4">
      <c r="A219" s="13" t="s">
        <v>2324</v>
      </c>
      <c r="B219" s="13" t="s">
        <v>2345</v>
      </c>
      <c r="C219" s="13" t="s">
        <v>70</v>
      </c>
      <c r="D219" s="59">
        <v>45839</v>
      </c>
      <c r="E219" s="6">
        <v>17820</v>
      </c>
      <c r="F219" s="54">
        <v>218</v>
      </c>
    </row>
    <row r="220" spans="1:6" x14ac:dyDescent="0.4">
      <c r="A220" s="13" t="s">
        <v>2324</v>
      </c>
      <c r="B220" s="13" t="s">
        <v>2345</v>
      </c>
      <c r="C220" s="13" t="s">
        <v>70</v>
      </c>
      <c r="D220" s="59">
        <v>45870</v>
      </c>
      <c r="E220" s="6">
        <v>17820</v>
      </c>
      <c r="F220" s="13">
        <v>219</v>
      </c>
    </row>
    <row r="221" spans="1:6" x14ac:dyDescent="0.4">
      <c r="A221" s="13" t="s">
        <v>2324</v>
      </c>
      <c r="B221" s="13" t="s">
        <v>2345</v>
      </c>
      <c r="C221" s="13" t="s">
        <v>70</v>
      </c>
      <c r="D221" s="59">
        <v>45901</v>
      </c>
      <c r="E221" s="6">
        <v>17820</v>
      </c>
      <c r="F221" s="54">
        <v>220</v>
      </c>
    </row>
    <row r="222" spans="1:6" x14ac:dyDescent="0.4">
      <c r="A222" s="13" t="s">
        <v>2324</v>
      </c>
      <c r="B222" s="13" t="s">
        <v>2345</v>
      </c>
      <c r="C222" s="13" t="s">
        <v>70</v>
      </c>
      <c r="D222" s="59">
        <v>45931</v>
      </c>
      <c r="E222" s="6">
        <v>8910</v>
      </c>
      <c r="F222" s="13">
        <v>221</v>
      </c>
    </row>
    <row r="223" spans="1:6" x14ac:dyDescent="0.4">
      <c r="A223" s="13" t="s">
        <v>2324</v>
      </c>
      <c r="B223" s="13" t="s">
        <v>2345</v>
      </c>
      <c r="C223" s="13" t="s">
        <v>70</v>
      </c>
      <c r="D223" s="59">
        <v>45962</v>
      </c>
      <c r="E223" s="6">
        <v>8910</v>
      </c>
      <c r="F223" s="54">
        <v>222</v>
      </c>
    </row>
    <row r="224" spans="1:6" x14ac:dyDescent="0.4">
      <c r="A224" s="13" t="s">
        <v>2324</v>
      </c>
      <c r="B224" s="13" t="s">
        <v>2345</v>
      </c>
      <c r="C224" s="13" t="s">
        <v>70</v>
      </c>
      <c r="D224" s="59">
        <v>45992</v>
      </c>
      <c r="E224" s="6">
        <v>8910</v>
      </c>
      <c r="F224" s="13">
        <v>223</v>
      </c>
    </row>
    <row r="225" spans="1:6" x14ac:dyDescent="0.4">
      <c r="A225" s="13" t="s">
        <v>2324</v>
      </c>
      <c r="B225" s="13" t="s">
        <v>2345</v>
      </c>
      <c r="C225" s="13" t="s">
        <v>70</v>
      </c>
      <c r="D225" s="59">
        <v>46023</v>
      </c>
      <c r="E225" s="6">
        <v>0</v>
      </c>
      <c r="F225" s="54">
        <v>224</v>
      </c>
    </row>
    <row r="226" spans="1:6" x14ac:dyDescent="0.4">
      <c r="A226" s="13" t="s">
        <v>2324</v>
      </c>
      <c r="B226" s="13" t="s">
        <v>2345</v>
      </c>
      <c r="C226" s="13" t="s">
        <v>70</v>
      </c>
      <c r="D226" s="59">
        <v>46054</v>
      </c>
      <c r="E226" s="6">
        <v>0</v>
      </c>
      <c r="F226" s="13">
        <v>225</v>
      </c>
    </row>
    <row r="227" spans="1:6" x14ac:dyDescent="0.4">
      <c r="A227" s="13" t="s">
        <v>2324</v>
      </c>
      <c r="B227" s="13" t="s">
        <v>2345</v>
      </c>
      <c r="C227" s="13" t="s">
        <v>70</v>
      </c>
      <c r="D227" s="59">
        <v>46082</v>
      </c>
      <c r="E227" s="6">
        <v>0</v>
      </c>
      <c r="F227" s="54">
        <v>226</v>
      </c>
    </row>
    <row r="228" spans="1:6" x14ac:dyDescent="0.4">
      <c r="A228" s="13" t="s">
        <v>2324</v>
      </c>
      <c r="B228" s="13" t="s">
        <v>2345</v>
      </c>
      <c r="C228" s="13" t="s">
        <v>70</v>
      </c>
      <c r="D228" s="59">
        <v>46113</v>
      </c>
      <c r="E228" s="6">
        <v>0</v>
      </c>
      <c r="F228" s="13">
        <v>227</v>
      </c>
    </row>
    <row r="229" spans="1:6" x14ac:dyDescent="0.4">
      <c r="A229" s="13" t="s">
        <v>2324</v>
      </c>
      <c r="B229" s="13" t="s">
        <v>2345</v>
      </c>
      <c r="C229" s="13" t="s">
        <v>70</v>
      </c>
      <c r="D229" s="59">
        <v>46143</v>
      </c>
      <c r="E229" s="6">
        <v>0</v>
      </c>
      <c r="F229" s="54">
        <v>228</v>
      </c>
    </row>
    <row r="230" spans="1:6" x14ac:dyDescent="0.4">
      <c r="A230" s="13" t="s">
        <v>2324</v>
      </c>
      <c r="B230" s="13" t="s">
        <v>2345</v>
      </c>
      <c r="C230" s="13" t="s">
        <v>70</v>
      </c>
      <c r="D230" s="59">
        <v>46174</v>
      </c>
      <c r="E230" s="6">
        <v>0</v>
      </c>
      <c r="F230" s="13">
        <v>229</v>
      </c>
    </row>
    <row r="231" spans="1:6" x14ac:dyDescent="0.4">
      <c r="A231" s="13" t="s">
        <v>2324</v>
      </c>
      <c r="B231" s="13" t="s">
        <v>2345</v>
      </c>
      <c r="C231" s="13" t="s">
        <v>70</v>
      </c>
      <c r="D231" s="59">
        <v>46204</v>
      </c>
      <c r="E231" s="6">
        <v>0</v>
      </c>
      <c r="F231" s="54">
        <v>230</v>
      </c>
    </row>
    <row r="232" spans="1:6" x14ac:dyDescent="0.4">
      <c r="A232" s="13" t="s">
        <v>2324</v>
      </c>
      <c r="B232" s="13" t="s">
        <v>2345</v>
      </c>
      <c r="C232" s="13" t="s">
        <v>70</v>
      </c>
      <c r="D232" s="59">
        <v>46235</v>
      </c>
      <c r="E232" s="6">
        <v>0</v>
      </c>
      <c r="F232" s="13">
        <v>231</v>
      </c>
    </row>
    <row r="233" spans="1:6" x14ac:dyDescent="0.4">
      <c r="A233" s="13" t="s">
        <v>2324</v>
      </c>
      <c r="B233" s="13" t="s">
        <v>2345</v>
      </c>
      <c r="C233" s="13" t="s">
        <v>70</v>
      </c>
      <c r="D233" s="59">
        <v>46266</v>
      </c>
      <c r="E233" s="6">
        <v>0</v>
      </c>
      <c r="F233" s="54">
        <v>232</v>
      </c>
    </row>
    <row r="234" spans="1:6" x14ac:dyDescent="0.4">
      <c r="A234" s="13" t="s">
        <v>2324</v>
      </c>
      <c r="B234" s="13" t="s">
        <v>2345</v>
      </c>
      <c r="C234" s="13" t="s">
        <v>70</v>
      </c>
      <c r="D234" s="59">
        <v>46296</v>
      </c>
      <c r="E234" s="6">
        <v>0</v>
      </c>
      <c r="F234" s="13">
        <v>233</v>
      </c>
    </row>
    <row r="235" spans="1:6" x14ac:dyDescent="0.4">
      <c r="A235" s="13" t="s">
        <v>2324</v>
      </c>
      <c r="B235" s="13" t="s">
        <v>2345</v>
      </c>
      <c r="C235" s="13" t="s">
        <v>70</v>
      </c>
      <c r="D235" s="59">
        <v>46327</v>
      </c>
      <c r="E235" s="6">
        <v>0</v>
      </c>
      <c r="F235" s="54">
        <v>234</v>
      </c>
    </row>
    <row r="236" spans="1:6" x14ac:dyDescent="0.4">
      <c r="A236" s="13" t="s">
        <v>2324</v>
      </c>
      <c r="B236" s="13" t="s">
        <v>2345</v>
      </c>
      <c r="C236" s="13" t="s">
        <v>70</v>
      </c>
      <c r="D236" s="59">
        <v>46357</v>
      </c>
      <c r="E236" s="6">
        <v>0</v>
      </c>
      <c r="F236" s="13">
        <v>235</v>
      </c>
    </row>
    <row r="237" spans="1:6" x14ac:dyDescent="0.4">
      <c r="A237" s="13" t="s">
        <v>2324</v>
      </c>
      <c r="B237" s="13" t="s">
        <v>2345</v>
      </c>
      <c r="C237" s="13" t="s">
        <v>70</v>
      </c>
      <c r="D237" s="59">
        <v>46388</v>
      </c>
      <c r="E237" s="6">
        <v>0</v>
      </c>
      <c r="F237" s="54">
        <v>236</v>
      </c>
    </row>
    <row r="238" spans="1:6" x14ac:dyDescent="0.4">
      <c r="A238" s="13" t="s">
        <v>2324</v>
      </c>
      <c r="B238" s="13" t="s">
        <v>2345</v>
      </c>
      <c r="C238" s="13" t="s">
        <v>70</v>
      </c>
      <c r="D238" s="59">
        <v>46419</v>
      </c>
      <c r="E238" s="6">
        <v>0</v>
      </c>
      <c r="F238" s="13">
        <v>237</v>
      </c>
    </row>
    <row r="239" spans="1:6" x14ac:dyDescent="0.4">
      <c r="A239" s="13" t="s">
        <v>2324</v>
      </c>
      <c r="B239" s="13" t="s">
        <v>2345</v>
      </c>
      <c r="C239" s="13" t="s">
        <v>70</v>
      </c>
      <c r="D239" s="59">
        <v>46447</v>
      </c>
      <c r="E239" s="6">
        <v>0</v>
      </c>
      <c r="F239" s="54">
        <v>238</v>
      </c>
    </row>
    <row r="240" spans="1:6" x14ac:dyDescent="0.4">
      <c r="A240" s="13" t="s">
        <v>2324</v>
      </c>
      <c r="B240" s="13" t="s">
        <v>2345</v>
      </c>
      <c r="C240" s="13" t="s">
        <v>70</v>
      </c>
      <c r="D240" s="59">
        <v>46478</v>
      </c>
      <c r="E240" s="6">
        <v>0</v>
      </c>
      <c r="F240" s="13">
        <v>239</v>
      </c>
    </row>
    <row r="241" spans="1:6" x14ac:dyDescent="0.4">
      <c r="A241" s="13" t="s">
        <v>2324</v>
      </c>
      <c r="B241" s="13" t="s">
        <v>2345</v>
      </c>
      <c r="C241" s="13" t="s">
        <v>70</v>
      </c>
      <c r="D241" s="59">
        <v>46508</v>
      </c>
      <c r="E241" s="6">
        <v>0</v>
      </c>
      <c r="F241" s="54">
        <v>240</v>
      </c>
    </row>
    <row r="242" spans="1:6" x14ac:dyDescent="0.4">
      <c r="A242" s="13" t="s">
        <v>2324</v>
      </c>
      <c r="B242" s="13" t="s">
        <v>2345</v>
      </c>
      <c r="C242" s="13" t="s">
        <v>50</v>
      </c>
      <c r="D242" s="59">
        <v>45809</v>
      </c>
      <c r="E242" s="6">
        <v>0</v>
      </c>
      <c r="F242" s="13">
        <v>241</v>
      </c>
    </row>
    <row r="243" spans="1:6" x14ac:dyDescent="0.4">
      <c r="A243" s="13" t="s">
        <v>2324</v>
      </c>
      <c r="B243" s="13" t="s">
        <v>2345</v>
      </c>
      <c r="C243" s="13" t="s">
        <v>50</v>
      </c>
      <c r="D243" s="59">
        <v>45839</v>
      </c>
      <c r="E243" s="6">
        <v>137160</v>
      </c>
      <c r="F243" s="54">
        <v>242</v>
      </c>
    </row>
    <row r="244" spans="1:6" x14ac:dyDescent="0.4">
      <c r="A244" s="13" t="s">
        <v>2324</v>
      </c>
      <c r="B244" s="13" t="s">
        <v>2345</v>
      </c>
      <c r="C244" s="13" t="s">
        <v>50</v>
      </c>
      <c r="D244" s="59">
        <v>45870</v>
      </c>
      <c r="E244" s="6">
        <v>137160</v>
      </c>
      <c r="F244" s="13">
        <v>243</v>
      </c>
    </row>
    <row r="245" spans="1:6" x14ac:dyDescent="0.4">
      <c r="A245" s="13" t="s">
        <v>2324</v>
      </c>
      <c r="B245" s="13" t="s">
        <v>2345</v>
      </c>
      <c r="C245" s="13" t="s">
        <v>50</v>
      </c>
      <c r="D245" s="59">
        <v>45901</v>
      </c>
      <c r="E245" s="6">
        <v>137160</v>
      </c>
      <c r="F245" s="54">
        <v>244</v>
      </c>
    </row>
    <row r="246" spans="1:6" x14ac:dyDescent="0.4">
      <c r="A246" s="13" t="s">
        <v>2324</v>
      </c>
      <c r="B246" s="13" t="s">
        <v>2345</v>
      </c>
      <c r="C246" s="13" t="s">
        <v>50</v>
      </c>
      <c r="D246" s="59">
        <v>45931</v>
      </c>
      <c r="E246" s="6">
        <v>145733</v>
      </c>
      <c r="F246" s="13">
        <v>245</v>
      </c>
    </row>
    <row r="247" spans="1:6" x14ac:dyDescent="0.4">
      <c r="A247" s="13" t="s">
        <v>2324</v>
      </c>
      <c r="B247" s="13" t="s">
        <v>2345</v>
      </c>
      <c r="C247" s="13" t="s">
        <v>50</v>
      </c>
      <c r="D247" s="59">
        <v>45962</v>
      </c>
      <c r="E247" s="6">
        <v>188595</v>
      </c>
      <c r="F247" s="54">
        <v>246</v>
      </c>
    </row>
    <row r="248" spans="1:6" x14ac:dyDescent="0.4">
      <c r="A248" s="13" t="s">
        <v>2324</v>
      </c>
      <c r="B248" s="13" t="s">
        <v>2345</v>
      </c>
      <c r="C248" s="13" t="s">
        <v>50</v>
      </c>
      <c r="D248" s="59">
        <v>45992</v>
      </c>
      <c r="E248" s="6">
        <v>188595</v>
      </c>
      <c r="F248" s="13">
        <v>247</v>
      </c>
    </row>
    <row r="249" spans="1:6" x14ac:dyDescent="0.4">
      <c r="A249" s="13" t="s">
        <v>2324</v>
      </c>
      <c r="B249" s="13" t="s">
        <v>2345</v>
      </c>
      <c r="C249" s="13" t="s">
        <v>50</v>
      </c>
      <c r="D249" s="59">
        <v>46023</v>
      </c>
      <c r="E249" s="6">
        <v>85725</v>
      </c>
      <c r="F249" s="54">
        <v>248</v>
      </c>
    </row>
    <row r="250" spans="1:6" x14ac:dyDescent="0.4">
      <c r="A250" s="13" t="s">
        <v>2324</v>
      </c>
      <c r="B250" s="13" t="s">
        <v>2345</v>
      </c>
      <c r="C250" s="13" t="s">
        <v>50</v>
      </c>
      <c r="D250" s="59">
        <v>46054</v>
      </c>
      <c r="E250" s="6">
        <v>85725</v>
      </c>
      <c r="F250" s="13">
        <v>249</v>
      </c>
    </row>
    <row r="251" spans="1:6" x14ac:dyDescent="0.4">
      <c r="A251" s="13" t="s">
        <v>2324</v>
      </c>
      <c r="B251" s="13" t="s">
        <v>2345</v>
      </c>
      <c r="C251" s="13" t="s">
        <v>50</v>
      </c>
      <c r="D251" s="59">
        <v>46082</v>
      </c>
      <c r="E251" s="6">
        <v>85725</v>
      </c>
      <c r="F251" s="54">
        <v>250</v>
      </c>
    </row>
    <row r="252" spans="1:6" x14ac:dyDescent="0.4">
      <c r="A252" s="13" t="s">
        <v>2324</v>
      </c>
      <c r="B252" s="13" t="s">
        <v>2345</v>
      </c>
      <c r="C252" s="13" t="s">
        <v>50</v>
      </c>
      <c r="D252" s="59">
        <v>46113</v>
      </c>
      <c r="E252" s="6">
        <v>77153</v>
      </c>
      <c r="F252" s="13">
        <v>251</v>
      </c>
    </row>
    <row r="253" spans="1:6" x14ac:dyDescent="0.4">
      <c r="A253" s="13" t="s">
        <v>2324</v>
      </c>
      <c r="B253" s="13" t="s">
        <v>2345</v>
      </c>
      <c r="C253" s="13" t="s">
        <v>50</v>
      </c>
      <c r="D253" s="59">
        <v>46143</v>
      </c>
      <c r="E253" s="6">
        <v>34290</v>
      </c>
      <c r="F253" s="54">
        <v>252</v>
      </c>
    </row>
    <row r="254" spans="1:6" x14ac:dyDescent="0.4">
      <c r="A254" s="13" t="s">
        <v>2324</v>
      </c>
      <c r="B254" s="13" t="s">
        <v>2345</v>
      </c>
      <c r="C254" s="13" t="s">
        <v>50</v>
      </c>
      <c r="D254" s="59">
        <v>46174</v>
      </c>
      <c r="E254" s="6">
        <v>34290</v>
      </c>
      <c r="F254" s="13">
        <v>253</v>
      </c>
    </row>
    <row r="255" spans="1:6" x14ac:dyDescent="0.4">
      <c r="A255" s="13" t="s">
        <v>2324</v>
      </c>
      <c r="B255" s="13" t="s">
        <v>2345</v>
      </c>
      <c r="C255" s="13" t="s">
        <v>50</v>
      </c>
      <c r="D255" s="59">
        <v>46204</v>
      </c>
      <c r="E255" s="6">
        <v>0</v>
      </c>
      <c r="F255" s="54">
        <v>254</v>
      </c>
    </row>
    <row r="256" spans="1:6" x14ac:dyDescent="0.4">
      <c r="A256" s="13" t="s">
        <v>2324</v>
      </c>
      <c r="B256" s="13" t="s">
        <v>2345</v>
      </c>
      <c r="C256" s="13" t="s">
        <v>50</v>
      </c>
      <c r="D256" s="59">
        <v>46235</v>
      </c>
      <c r="E256" s="6">
        <v>0</v>
      </c>
      <c r="F256" s="13">
        <v>255</v>
      </c>
    </row>
    <row r="257" spans="1:6" x14ac:dyDescent="0.4">
      <c r="A257" s="13" t="s">
        <v>2324</v>
      </c>
      <c r="B257" s="13" t="s">
        <v>2345</v>
      </c>
      <c r="C257" s="13" t="s">
        <v>50</v>
      </c>
      <c r="D257" s="59">
        <v>46266</v>
      </c>
      <c r="E257" s="6">
        <v>0</v>
      </c>
      <c r="F257" s="54">
        <v>256</v>
      </c>
    </row>
    <row r="258" spans="1:6" x14ac:dyDescent="0.4">
      <c r="A258" s="13" t="s">
        <v>2324</v>
      </c>
      <c r="B258" s="13" t="s">
        <v>2345</v>
      </c>
      <c r="C258" s="13" t="s">
        <v>50</v>
      </c>
      <c r="D258" s="59">
        <v>46296</v>
      </c>
      <c r="E258" s="6">
        <v>0</v>
      </c>
      <c r="F258" s="13">
        <v>257</v>
      </c>
    </row>
    <row r="259" spans="1:6" x14ac:dyDescent="0.4">
      <c r="A259" s="13" t="s">
        <v>2324</v>
      </c>
      <c r="B259" s="13" t="s">
        <v>2345</v>
      </c>
      <c r="C259" s="13" t="s">
        <v>50</v>
      </c>
      <c r="D259" s="59">
        <v>46327</v>
      </c>
      <c r="E259" s="6">
        <v>0</v>
      </c>
      <c r="F259" s="54">
        <v>258</v>
      </c>
    </row>
    <row r="260" spans="1:6" x14ac:dyDescent="0.4">
      <c r="A260" s="13" t="s">
        <v>2324</v>
      </c>
      <c r="B260" s="13" t="s">
        <v>2345</v>
      </c>
      <c r="C260" s="13" t="s">
        <v>50</v>
      </c>
      <c r="D260" s="59">
        <v>46357</v>
      </c>
      <c r="E260" s="6">
        <v>0</v>
      </c>
      <c r="F260" s="13">
        <v>259</v>
      </c>
    </row>
    <row r="261" spans="1:6" x14ac:dyDescent="0.4">
      <c r="A261" s="13" t="s">
        <v>2324</v>
      </c>
      <c r="B261" s="13" t="s">
        <v>2345</v>
      </c>
      <c r="C261" s="13" t="s">
        <v>50</v>
      </c>
      <c r="D261" s="59">
        <v>46388</v>
      </c>
      <c r="E261" s="6">
        <v>0</v>
      </c>
      <c r="F261" s="54">
        <v>260</v>
      </c>
    </row>
    <row r="262" spans="1:6" x14ac:dyDescent="0.4">
      <c r="A262" s="13" t="s">
        <v>2324</v>
      </c>
      <c r="B262" s="13" t="s">
        <v>2345</v>
      </c>
      <c r="C262" s="13" t="s">
        <v>50</v>
      </c>
      <c r="D262" s="59">
        <v>46419</v>
      </c>
      <c r="E262" s="6">
        <v>0</v>
      </c>
      <c r="F262" s="13">
        <v>261</v>
      </c>
    </row>
    <row r="263" spans="1:6" x14ac:dyDescent="0.4">
      <c r="A263" s="13" t="s">
        <v>2324</v>
      </c>
      <c r="B263" s="13" t="s">
        <v>2345</v>
      </c>
      <c r="C263" s="13" t="s">
        <v>50</v>
      </c>
      <c r="D263" s="59">
        <v>46447</v>
      </c>
      <c r="E263" s="6">
        <v>0</v>
      </c>
      <c r="F263" s="54">
        <v>262</v>
      </c>
    </row>
    <row r="264" spans="1:6" x14ac:dyDescent="0.4">
      <c r="A264" s="13" t="s">
        <v>2324</v>
      </c>
      <c r="B264" s="13" t="s">
        <v>2345</v>
      </c>
      <c r="C264" s="13" t="s">
        <v>50</v>
      </c>
      <c r="D264" s="59">
        <v>46478</v>
      </c>
      <c r="E264" s="6">
        <v>0</v>
      </c>
      <c r="F264" s="13">
        <v>263</v>
      </c>
    </row>
    <row r="265" spans="1:6" x14ac:dyDescent="0.4">
      <c r="A265" s="13" t="s">
        <v>2324</v>
      </c>
      <c r="B265" s="13" t="s">
        <v>2345</v>
      </c>
      <c r="C265" s="13" t="s">
        <v>50</v>
      </c>
      <c r="D265" s="59">
        <v>46508</v>
      </c>
      <c r="E265" s="6">
        <v>0</v>
      </c>
      <c r="F265" s="54">
        <v>264</v>
      </c>
    </row>
    <row r="266" spans="1:6" x14ac:dyDescent="0.4">
      <c r="A266" s="13" t="s">
        <v>2324</v>
      </c>
      <c r="B266" s="13" t="s">
        <v>2345</v>
      </c>
      <c r="C266" s="13" t="s">
        <v>5133</v>
      </c>
      <c r="D266" s="59">
        <v>45809</v>
      </c>
      <c r="E266" s="6">
        <v>0</v>
      </c>
      <c r="F266" s="13">
        <v>265</v>
      </c>
    </row>
    <row r="267" spans="1:6" x14ac:dyDescent="0.4">
      <c r="A267" s="13" t="s">
        <v>2324</v>
      </c>
      <c r="B267" s="13" t="s">
        <v>2345</v>
      </c>
      <c r="C267" s="13" t="s">
        <v>5133</v>
      </c>
      <c r="D267" s="59">
        <v>45839</v>
      </c>
      <c r="E267" s="6">
        <v>0</v>
      </c>
      <c r="F267" s="54">
        <v>266</v>
      </c>
    </row>
    <row r="268" spans="1:6" x14ac:dyDescent="0.4">
      <c r="A268" s="13" t="s">
        <v>2324</v>
      </c>
      <c r="B268" s="13" t="s">
        <v>2345</v>
      </c>
      <c r="C268" s="13" t="s">
        <v>5133</v>
      </c>
      <c r="D268" s="59">
        <v>45870</v>
      </c>
      <c r="E268" s="6">
        <v>0</v>
      </c>
      <c r="F268" s="13">
        <v>267</v>
      </c>
    </row>
    <row r="269" spans="1:6" x14ac:dyDescent="0.4">
      <c r="A269" s="13" t="s">
        <v>2324</v>
      </c>
      <c r="B269" s="13" t="s">
        <v>2345</v>
      </c>
      <c r="C269" s="13" t="s">
        <v>5133</v>
      </c>
      <c r="D269" s="59">
        <v>45901</v>
      </c>
      <c r="E269" s="6">
        <v>12737</v>
      </c>
      <c r="F269" s="54">
        <v>268</v>
      </c>
    </row>
    <row r="270" spans="1:6" x14ac:dyDescent="0.4">
      <c r="A270" s="13" t="s">
        <v>2324</v>
      </c>
      <c r="B270" s="13" t="s">
        <v>2345</v>
      </c>
      <c r="C270" s="13" t="s">
        <v>5133</v>
      </c>
      <c r="D270" s="59">
        <v>45931</v>
      </c>
      <c r="E270" s="6">
        <v>12737</v>
      </c>
      <c r="F270" s="13">
        <v>269</v>
      </c>
    </row>
    <row r="271" spans="1:6" x14ac:dyDescent="0.4">
      <c r="A271" s="13" t="s">
        <v>2324</v>
      </c>
      <c r="B271" s="13" t="s">
        <v>2345</v>
      </c>
      <c r="C271" s="13" t="s">
        <v>5133</v>
      </c>
      <c r="D271" s="59">
        <v>45962</v>
      </c>
      <c r="E271" s="6">
        <v>12737</v>
      </c>
      <c r="F271" s="54">
        <v>270</v>
      </c>
    </row>
    <row r="272" spans="1:6" x14ac:dyDescent="0.4">
      <c r="A272" s="13" t="s">
        <v>2324</v>
      </c>
      <c r="B272" s="13" t="s">
        <v>2345</v>
      </c>
      <c r="C272" s="13" t="s">
        <v>5133</v>
      </c>
      <c r="D272" s="59">
        <v>45992</v>
      </c>
      <c r="E272" s="6">
        <v>12737</v>
      </c>
      <c r="F272" s="13">
        <v>271</v>
      </c>
    </row>
    <row r="273" spans="1:6" x14ac:dyDescent="0.4">
      <c r="A273" s="13" t="s">
        <v>2324</v>
      </c>
      <c r="B273" s="13" t="s">
        <v>2345</v>
      </c>
      <c r="C273" s="13" t="s">
        <v>5133</v>
      </c>
      <c r="D273" s="59">
        <v>46023</v>
      </c>
      <c r="E273" s="6">
        <v>12737</v>
      </c>
      <c r="F273" s="54">
        <v>272</v>
      </c>
    </row>
    <row r="274" spans="1:6" x14ac:dyDescent="0.4">
      <c r="A274" s="13" t="s">
        <v>2324</v>
      </c>
      <c r="B274" s="13" t="s">
        <v>2345</v>
      </c>
      <c r="C274" s="13" t="s">
        <v>5133</v>
      </c>
      <c r="D274" s="59">
        <v>46054</v>
      </c>
      <c r="E274" s="6">
        <v>12737</v>
      </c>
      <c r="F274" s="13">
        <v>273</v>
      </c>
    </row>
    <row r="275" spans="1:6" x14ac:dyDescent="0.4">
      <c r="A275" s="13" t="s">
        <v>2324</v>
      </c>
      <c r="B275" s="13" t="s">
        <v>2345</v>
      </c>
      <c r="C275" s="13" t="s">
        <v>5133</v>
      </c>
      <c r="D275" s="59">
        <v>46082</v>
      </c>
      <c r="E275" s="6">
        <v>12737</v>
      </c>
      <c r="F275" s="54">
        <v>274</v>
      </c>
    </row>
    <row r="276" spans="1:6" x14ac:dyDescent="0.4">
      <c r="A276" s="13" t="s">
        <v>2324</v>
      </c>
      <c r="B276" s="13" t="s">
        <v>2345</v>
      </c>
      <c r="C276" s="13" t="s">
        <v>5133</v>
      </c>
      <c r="D276" s="59">
        <v>46113</v>
      </c>
      <c r="E276" s="6">
        <v>12737</v>
      </c>
      <c r="F276" s="13">
        <v>275</v>
      </c>
    </row>
    <row r="277" spans="1:6" x14ac:dyDescent="0.4">
      <c r="A277" s="13" t="s">
        <v>2324</v>
      </c>
      <c r="B277" s="13" t="s">
        <v>2345</v>
      </c>
      <c r="C277" s="13" t="s">
        <v>5133</v>
      </c>
      <c r="D277" s="59">
        <v>46143</v>
      </c>
      <c r="E277" s="6">
        <v>12737</v>
      </c>
      <c r="F277" s="54">
        <v>276</v>
      </c>
    </row>
    <row r="278" spans="1:6" x14ac:dyDescent="0.4">
      <c r="A278" s="13" t="s">
        <v>2324</v>
      </c>
      <c r="B278" s="13" t="s">
        <v>2345</v>
      </c>
      <c r="C278" s="13" t="s">
        <v>5133</v>
      </c>
      <c r="D278" s="59">
        <v>46174</v>
      </c>
      <c r="E278" s="6">
        <v>12737</v>
      </c>
      <c r="F278" s="13">
        <v>277</v>
      </c>
    </row>
    <row r="279" spans="1:6" x14ac:dyDescent="0.4">
      <c r="A279" s="13" t="s">
        <v>2324</v>
      </c>
      <c r="B279" s="13" t="s">
        <v>2345</v>
      </c>
      <c r="C279" s="13" t="s">
        <v>5133</v>
      </c>
      <c r="D279" s="59">
        <v>46204</v>
      </c>
      <c r="E279" s="6">
        <v>12737</v>
      </c>
      <c r="F279" s="54">
        <v>278</v>
      </c>
    </row>
    <row r="280" spans="1:6" x14ac:dyDescent="0.4">
      <c r="A280" s="13" t="s">
        <v>2324</v>
      </c>
      <c r="B280" s="13" t="s">
        <v>2345</v>
      </c>
      <c r="C280" s="13" t="s">
        <v>5133</v>
      </c>
      <c r="D280" s="59">
        <v>46235</v>
      </c>
      <c r="E280" s="6">
        <v>12737</v>
      </c>
      <c r="F280" s="13">
        <v>279</v>
      </c>
    </row>
    <row r="281" spans="1:6" x14ac:dyDescent="0.4">
      <c r="A281" s="13" t="s">
        <v>2324</v>
      </c>
      <c r="B281" s="13" t="s">
        <v>2345</v>
      </c>
      <c r="C281" s="13" t="s">
        <v>5133</v>
      </c>
      <c r="D281" s="59">
        <v>46266</v>
      </c>
      <c r="E281" s="6">
        <v>0</v>
      </c>
      <c r="F281" s="54">
        <v>280</v>
      </c>
    </row>
    <row r="282" spans="1:6" x14ac:dyDescent="0.4">
      <c r="A282" s="13" t="s">
        <v>2324</v>
      </c>
      <c r="B282" s="13" t="s">
        <v>2345</v>
      </c>
      <c r="C282" s="13" t="s">
        <v>5133</v>
      </c>
      <c r="D282" s="59">
        <v>46296</v>
      </c>
      <c r="E282" s="6">
        <v>0</v>
      </c>
      <c r="F282" s="13">
        <v>281</v>
      </c>
    </row>
    <row r="283" spans="1:6" x14ac:dyDescent="0.4">
      <c r="A283" s="13" t="s">
        <v>2324</v>
      </c>
      <c r="B283" s="13" t="s">
        <v>2345</v>
      </c>
      <c r="C283" s="13" t="s">
        <v>5133</v>
      </c>
      <c r="D283" s="59">
        <v>46327</v>
      </c>
      <c r="E283" s="6">
        <v>0</v>
      </c>
      <c r="F283" s="54">
        <v>282</v>
      </c>
    </row>
    <row r="284" spans="1:6" x14ac:dyDescent="0.4">
      <c r="A284" s="13" t="s">
        <v>2324</v>
      </c>
      <c r="B284" s="13" t="s">
        <v>2345</v>
      </c>
      <c r="C284" s="13" t="s">
        <v>5133</v>
      </c>
      <c r="D284" s="59">
        <v>46357</v>
      </c>
      <c r="E284" s="6">
        <v>0</v>
      </c>
      <c r="F284" s="13">
        <v>283</v>
      </c>
    </row>
    <row r="285" spans="1:6" x14ac:dyDescent="0.4">
      <c r="A285" s="13" t="s">
        <v>2324</v>
      </c>
      <c r="B285" s="13" t="s">
        <v>2345</v>
      </c>
      <c r="C285" s="13" t="s">
        <v>5133</v>
      </c>
      <c r="D285" s="59">
        <v>46388</v>
      </c>
      <c r="E285" s="6">
        <v>0</v>
      </c>
      <c r="F285" s="54">
        <v>284</v>
      </c>
    </row>
    <row r="286" spans="1:6" x14ac:dyDescent="0.4">
      <c r="A286" s="13" t="s">
        <v>2324</v>
      </c>
      <c r="B286" s="13" t="s">
        <v>2345</v>
      </c>
      <c r="C286" s="13" t="s">
        <v>5133</v>
      </c>
      <c r="D286" s="59">
        <v>46419</v>
      </c>
      <c r="E286" s="6">
        <v>0</v>
      </c>
      <c r="F286" s="13">
        <v>285</v>
      </c>
    </row>
    <row r="287" spans="1:6" x14ac:dyDescent="0.4">
      <c r="A287" s="13" t="s">
        <v>2324</v>
      </c>
      <c r="B287" s="13" t="s">
        <v>2345</v>
      </c>
      <c r="C287" s="13" t="s">
        <v>5133</v>
      </c>
      <c r="D287" s="59">
        <v>46447</v>
      </c>
      <c r="E287" s="6">
        <v>0</v>
      </c>
      <c r="F287" s="54">
        <v>286</v>
      </c>
    </row>
    <row r="288" spans="1:6" x14ac:dyDescent="0.4">
      <c r="A288" s="13" t="s">
        <v>2324</v>
      </c>
      <c r="B288" s="13" t="s">
        <v>2345</v>
      </c>
      <c r="C288" s="13" t="s">
        <v>5133</v>
      </c>
      <c r="D288" s="59">
        <v>46478</v>
      </c>
      <c r="E288" s="6">
        <v>0</v>
      </c>
      <c r="F288" s="13">
        <v>287</v>
      </c>
    </row>
    <row r="289" spans="1:6" x14ac:dyDescent="0.4">
      <c r="A289" s="13" t="s">
        <v>2324</v>
      </c>
      <c r="B289" s="13" t="s">
        <v>2345</v>
      </c>
      <c r="C289" s="13" t="s">
        <v>5133</v>
      </c>
      <c r="D289" s="59">
        <v>46508</v>
      </c>
      <c r="E289" s="6">
        <v>0</v>
      </c>
      <c r="F289" s="54">
        <v>288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DBB8-2C4A-4606-BE20-6A3A00134BA9}">
  <sheetPr>
    <tabColor rgb="FF00B050"/>
  </sheetPr>
  <dimension ref="A1:F277"/>
  <sheetViews>
    <sheetView topLeftCell="A181" zoomScale="55" zoomScaleNormal="55" workbookViewId="0">
      <selection activeCell="L41" sqref="L40:L41"/>
    </sheetView>
  </sheetViews>
  <sheetFormatPr defaultRowHeight="18.75" x14ac:dyDescent="0.4"/>
  <cols>
    <col min="1" max="1" width="11" bestFit="1" customWidth="1"/>
    <col min="3" max="3" width="37" bestFit="1" customWidth="1"/>
    <col min="4" max="4" width="10.25" customWidth="1"/>
    <col min="5" max="5" width="9.5" bestFit="1" customWidth="1"/>
    <col min="6" max="6" width="5.375" customWidth="1"/>
    <col min="11" max="11" width="17.625" bestFit="1" customWidth="1"/>
    <col min="12" max="13" width="37.375" bestFit="1" customWidth="1"/>
    <col min="14" max="14" width="26.625" bestFit="1" customWidth="1"/>
    <col min="15" max="16" width="29.375" bestFit="1" customWidth="1"/>
    <col min="17" max="17" width="33.125" bestFit="1" customWidth="1"/>
  </cols>
  <sheetData>
    <row r="1" spans="1:6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13" t="s">
        <v>2323</v>
      </c>
      <c r="F1" s="13" t="s">
        <v>5289</v>
      </c>
    </row>
    <row r="2" spans="1:6" x14ac:dyDescent="0.4">
      <c r="A2" s="13" t="s">
        <v>2324</v>
      </c>
      <c r="B2" s="55" t="s">
        <v>2325</v>
      </c>
      <c r="C2" s="10" t="s">
        <v>25</v>
      </c>
      <c r="D2" s="59">
        <v>45778</v>
      </c>
      <c r="E2" s="6"/>
      <c r="F2" s="54">
        <v>1</v>
      </c>
    </row>
    <row r="3" spans="1:6" x14ac:dyDescent="0.4">
      <c r="A3" s="13" t="s">
        <v>2324</v>
      </c>
      <c r="B3" s="55" t="s">
        <v>2325</v>
      </c>
      <c r="C3" s="10" t="s">
        <v>25</v>
      </c>
      <c r="D3" s="59">
        <v>45809</v>
      </c>
      <c r="E3" s="6">
        <v>39600</v>
      </c>
      <c r="F3" s="13">
        <v>2</v>
      </c>
    </row>
    <row r="4" spans="1:6" x14ac:dyDescent="0.4">
      <c r="A4" s="13" t="s">
        <v>2324</v>
      </c>
      <c r="B4" s="55" t="s">
        <v>2325</v>
      </c>
      <c r="C4" s="10" t="s">
        <v>25</v>
      </c>
      <c r="D4" s="59">
        <v>45839</v>
      </c>
      <c r="E4" s="6">
        <v>1207800</v>
      </c>
      <c r="F4" s="54">
        <v>3</v>
      </c>
    </row>
    <row r="5" spans="1:6" x14ac:dyDescent="0.4">
      <c r="A5" s="13" t="s">
        <v>2324</v>
      </c>
      <c r="B5" s="55" t="s">
        <v>2325</v>
      </c>
      <c r="C5" s="10" t="s">
        <v>25</v>
      </c>
      <c r="D5" s="59">
        <v>45870</v>
      </c>
      <c r="E5" s="6">
        <v>1485000</v>
      </c>
      <c r="F5" s="13">
        <v>4</v>
      </c>
    </row>
    <row r="6" spans="1:6" x14ac:dyDescent="0.4">
      <c r="A6" s="13" t="s">
        <v>2324</v>
      </c>
      <c r="B6" s="55" t="s">
        <v>2325</v>
      </c>
      <c r="C6" s="10" t="s">
        <v>25</v>
      </c>
      <c r="D6" s="59">
        <v>45901</v>
      </c>
      <c r="E6" s="6">
        <v>1445400</v>
      </c>
      <c r="F6" s="54">
        <v>5</v>
      </c>
    </row>
    <row r="7" spans="1:6" x14ac:dyDescent="0.4">
      <c r="A7" s="13" t="s">
        <v>2324</v>
      </c>
      <c r="B7" s="55" t="s">
        <v>2325</v>
      </c>
      <c r="C7" s="10" t="s">
        <v>25</v>
      </c>
      <c r="D7" s="59">
        <v>45931</v>
      </c>
      <c r="E7" s="6">
        <v>277200</v>
      </c>
      <c r="F7" s="13">
        <v>6</v>
      </c>
    </row>
    <row r="8" spans="1:6" x14ac:dyDescent="0.4">
      <c r="A8" s="13" t="s">
        <v>2324</v>
      </c>
      <c r="B8" s="55" t="s">
        <v>2325</v>
      </c>
      <c r="C8" s="10" t="s">
        <v>25</v>
      </c>
      <c r="D8" s="59">
        <v>45962</v>
      </c>
      <c r="E8" s="6"/>
      <c r="F8" s="54">
        <v>7</v>
      </c>
    </row>
    <row r="9" spans="1:6" x14ac:dyDescent="0.4">
      <c r="A9" s="13" t="s">
        <v>2324</v>
      </c>
      <c r="B9" s="55" t="s">
        <v>2325</v>
      </c>
      <c r="C9" s="10" t="s">
        <v>25</v>
      </c>
      <c r="D9" s="59">
        <v>45992</v>
      </c>
      <c r="E9" s="6"/>
      <c r="F9" s="13">
        <v>8</v>
      </c>
    </row>
    <row r="10" spans="1:6" x14ac:dyDescent="0.4">
      <c r="A10" s="13" t="s">
        <v>2324</v>
      </c>
      <c r="B10" s="55" t="s">
        <v>2325</v>
      </c>
      <c r="C10" s="10" t="s">
        <v>25</v>
      </c>
      <c r="D10" s="59">
        <v>46023</v>
      </c>
      <c r="E10" s="6"/>
      <c r="F10" s="54">
        <v>9</v>
      </c>
    </row>
    <row r="11" spans="1:6" x14ac:dyDescent="0.4">
      <c r="A11" s="13" t="s">
        <v>2324</v>
      </c>
      <c r="B11" s="55" t="s">
        <v>2325</v>
      </c>
      <c r="C11" s="10" t="s">
        <v>25</v>
      </c>
      <c r="D11" s="59">
        <v>46054</v>
      </c>
      <c r="E11" s="6"/>
      <c r="F11" s="13">
        <v>10</v>
      </c>
    </row>
    <row r="12" spans="1:6" x14ac:dyDescent="0.4">
      <c r="A12" s="13" t="s">
        <v>2324</v>
      </c>
      <c r="B12" s="55" t="s">
        <v>2325</v>
      </c>
      <c r="C12" s="10" t="s">
        <v>25</v>
      </c>
      <c r="D12" s="59">
        <v>46082</v>
      </c>
      <c r="E12" s="6"/>
      <c r="F12" s="54">
        <v>11</v>
      </c>
    </row>
    <row r="13" spans="1:6" x14ac:dyDescent="0.4">
      <c r="A13" s="13" t="s">
        <v>2324</v>
      </c>
      <c r="B13" s="55" t="s">
        <v>2325</v>
      </c>
      <c r="C13" s="10" t="s">
        <v>25</v>
      </c>
      <c r="D13" s="59">
        <v>46113</v>
      </c>
      <c r="E13" s="6"/>
      <c r="F13" s="13">
        <v>12</v>
      </c>
    </row>
    <row r="14" spans="1:6" x14ac:dyDescent="0.4">
      <c r="A14" s="13" t="s">
        <v>2324</v>
      </c>
      <c r="B14" s="55" t="s">
        <v>2325</v>
      </c>
      <c r="C14" s="10" t="s">
        <v>25</v>
      </c>
      <c r="D14" s="59">
        <v>46143</v>
      </c>
      <c r="E14" s="6"/>
      <c r="F14" s="54">
        <v>13</v>
      </c>
    </row>
    <row r="15" spans="1:6" x14ac:dyDescent="0.4">
      <c r="A15" s="13" t="s">
        <v>2324</v>
      </c>
      <c r="B15" s="55" t="s">
        <v>2325</v>
      </c>
      <c r="C15" s="10" t="s">
        <v>25</v>
      </c>
      <c r="D15" s="59">
        <v>46174</v>
      </c>
      <c r="E15" s="6"/>
      <c r="F15" s="13">
        <v>14</v>
      </c>
    </row>
    <row r="16" spans="1:6" x14ac:dyDescent="0.4">
      <c r="A16" s="13" t="s">
        <v>2324</v>
      </c>
      <c r="B16" s="55" t="s">
        <v>2325</v>
      </c>
      <c r="C16" s="10" t="s">
        <v>25</v>
      </c>
      <c r="D16" s="59">
        <v>46204</v>
      </c>
      <c r="E16" s="6"/>
      <c r="F16" s="54">
        <v>15</v>
      </c>
    </row>
    <row r="17" spans="1:6" x14ac:dyDescent="0.4">
      <c r="A17" s="13" t="s">
        <v>2324</v>
      </c>
      <c r="B17" s="55" t="s">
        <v>2325</v>
      </c>
      <c r="C17" s="10" t="s">
        <v>25</v>
      </c>
      <c r="D17" s="59">
        <v>46235</v>
      </c>
      <c r="E17" s="6"/>
      <c r="F17" s="13">
        <v>16</v>
      </c>
    </row>
    <row r="18" spans="1:6" x14ac:dyDescent="0.4">
      <c r="A18" s="13" t="s">
        <v>2324</v>
      </c>
      <c r="B18" s="55" t="s">
        <v>2325</v>
      </c>
      <c r="C18" s="10" t="s">
        <v>25</v>
      </c>
      <c r="D18" s="59">
        <v>46266</v>
      </c>
      <c r="E18" s="6"/>
      <c r="F18" s="54">
        <v>17</v>
      </c>
    </row>
    <row r="19" spans="1:6" x14ac:dyDescent="0.4">
      <c r="A19" s="13" t="s">
        <v>2324</v>
      </c>
      <c r="B19" s="55" t="s">
        <v>2325</v>
      </c>
      <c r="C19" s="10" t="s">
        <v>25</v>
      </c>
      <c r="D19" s="59">
        <v>46296</v>
      </c>
      <c r="E19" s="6"/>
      <c r="F19" s="13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46327</v>
      </c>
      <c r="E20" s="6"/>
      <c r="F20" s="54">
        <v>19</v>
      </c>
    </row>
    <row r="21" spans="1:6" x14ac:dyDescent="0.4">
      <c r="A21" s="13" t="s">
        <v>2324</v>
      </c>
      <c r="B21" s="55" t="s">
        <v>2325</v>
      </c>
      <c r="C21" s="10" t="s">
        <v>25</v>
      </c>
      <c r="D21" s="59">
        <v>46357</v>
      </c>
      <c r="E21" s="6"/>
      <c r="F21" s="13">
        <v>20</v>
      </c>
    </row>
    <row r="22" spans="1:6" x14ac:dyDescent="0.4">
      <c r="A22" s="13" t="s">
        <v>2324</v>
      </c>
      <c r="B22" s="55" t="s">
        <v>2325</v>
      </c>
      <c r="C22" s="10" t="s">
        <v>25</v>
      </c>
      <c r="D22" s="59">
        <v>46388</v>
      </c>
      <c r="E22" s="6"/>
      <c r="F22" s="54">
        <v>21</v>
      </c>
    </row>
    <row r="23" spans="1:6" x14ac:dyDescent="0.4">
      <c r="A23" s="13" t="s">
        <v>2324</v>
      </c>
      <c r="B23" s="55" t="s">
        <v>2325</v>
      </c>
      <c r="C23" s="10" t="s">
        <v>25</v>
      </c>
      <c r="D23" s="59">
        <v>46419</v>
      </c>
      <c r="E23" s="6"/>
      <c r="F23" s="13">
        <v>22</v>
      </c>
    </row>
    <row r="24" spans="1:6" x14ac:dyDescent="0.4">
      <c r="A24" s="13" t="s">
        <v>2324</v>
      </c>
      <c r="B24" s="55" t="s">
        <v>2325</v>
      </c>
      <c r="C24" s="10" t="s">
        <v>25</v>
      </c>
      <c r="D24" s="59">
        <v>46447</v>
      </c>
      <c r="E24" s="6"/>
      <c r="F24" s="54">
        <v>23</v>
      </c>
    </row>
    <row r="25" spans="1:6" x14ac:dyDescent="0.4">
      <c r="A25" s="13" t="s">
        <v>2324</v>
      </c>
      <c r="B25" s="55" t="s">
        <v>2325</v>
      </c>
      <c r="C25" s="13" t="s">
        <v>44</v>
      </c>
      <c r="D25" s="59">
        <v>45778</v>
      </c>
      <c r="E25" s="6"/>
      <c r="F25" s="13">
        <v>24</v>
      </c>
    </row>
    <row r="26" spans="1:6" x14ac:dyDescent="0.4">
      <c r="A26" s="13" t="s">
        <v>2324</v>
      </c>
      <c r="B26" s="55" t="s">
        <v>2325</v>
      </c>
      <c r="C26" s="13" t="s">
        <v>44</v>
      </c>
      <c r="D26" s="59">
        <v>45809</v>
      </c>
      <c r="E26" s="6">
        <v>171450</v>
      </c>
      <c r="F26" s="54">
        <v>25</v>
      </c>
    </row>
    <row r="27" spans="1:6" x14ac:dyDescent="0.4">
      <c r="A27" s="13" t="s">
        <v>2324</v>
      </c>
      <c r="B27" s="55" t="s">
        <v>2325</v>
      </c>
      <c r="C27" s="13" t="s">
        <v>44</v>
      </c>
      <c r="D27" s="59">
        <v>45839</v>
      </c>
      <c r="E27" s="6">
        <v>6248400</v>
      </c>
      <c r="F27" s="13">
        <v>26</v>
      </c>
    </row>
    <row r="28" spans="1:6" x14ac:dyDescent="0.4">
      <c r="A28" s="13" t="s">
        <v>2324</v>
      </c>
      <c r="B28" s="55" t="s">
        <v>2325</v>
      </c>
      <c r="C28" s="13" t="s">
        <v>44</v>
      </c>
      <c r="D28" s="59">
        <v>45870</v>
      </c>
      <c r="E28" s="6">
        <v>6362700</v>
      </c>
      <c r="F28" s="54">
        <v>27</v>
      </c>
    </row>
    <row r="29" spans="1:6" x14ac:dyDescent="0.4">
      <c r="A29" s="13" t="s">
        <v>2324</v>
      </c>
      <c r="B29" s="55" t="s">
        <v>2325</v>
      </c>
      <c r="C29" s="13" t="s">
        <v>44</v>
      </c>
      <c r="D29" s="59">
        <v>45901</v>
      </c>
      <c r="E29" s="6">
        <v>6457950</v>
      </c>
      <c r="F29" s="13">
        <v>28</v>
      </c>
    </row>
    <row r="30" spans="1:6" x14ac:dyDescent="0.4">
      <c r="A30" s="13" t="s">
        <v>2324</v>
      </c>
      <c r="B30" s="55" t="s">
        <v>2325</v>
      </c>
      <c r="C30" s="13" t="s">
        <v>44</v>
      </c>
      <c r="D30" s="59">
        <v>45931</v>
      </c>
      <c r="E30" s="6">
        <v>6991350</v>
      </c>
      <c r="F30" s="54">
        <v>29</v>
      </c>
    </row>
    <row r="31" spans="1:6" x14ac:dyDescent="0.4">
      <c r="A31" s="13" t="s">
        <v>2324</v>
      </c>
      <c r="B31" s="55" t="s">
        <v>2325</v>
      </c>
      <c r="C31" s="13" t="s">
        <v>44</v>
      </c>
      <c r="D31" s="59">
        <v>45962</v>
      </c>
      <c r="E31" s="6">
        <v>8953500</v>
      </c>
      <c r="F31" s="13">
        <v>30</v>
      </c>
    </row>
    <row r="32" spans="1:6" x14ac:dyDescent="0.4">
      <c r="A32" s="13" t="s">
        <v>2324</v>
      </c>
      <c r="B32" s="55" t="s">
        <v>2325</v>
      </c>
      <c r="C32" s="13" t="s">
        <v>44</v>
      </c>
      <c r="D32" s="59">
        <v>45992</v>
      </c>
      <c r="E32" s="6">
        <v>8801100</v>
      </c>
      <c r="F32" s="54">
        <v>31</v>
      </c>
    </row>
    <row r="33" spans="1:6" x14ac:dyDescent="0.4">
      <c r="A33" s="13" t="s">
        <v>2324</v>
      </c>
      <c r="B33" s="55" t="s">
        <v>2325</v>
      </c>
      <c r="C33" s="13" t="s">
        <v>44</v>
      </c>
      <c r="D33" s="59">
        <v>46023</v>
      </c>
      <c r="E33" s="6">
        <v>2724150</v>
      </c>
      <c r="F33" s="13">
        <v>32</v>
      </c>
    </row>
    <row r="34" spans="1:6" x14ac:dyDescent="0.4">
      <c r="A34" s="13" t="s">
        <v>2324</v>
      </c>
      <c r="B34" s="55" t="s">
        <v>2325</v>
      </c>
      <c r="C34" s="13" t="s">
        <v>44</v>
      </c>
      <c r="D34" s="59">
        <v>46054</v>
      </c>
      <c r="E34" s="6">
        <v>2609850</v>
      </c>
      <c r="F34" s="54">
        <v>33</v>
      </c>
    </row>
    <row r="35" spans="1:6" x14ac:dyDescent="0.4">
      <c r="A35" s="13" t="s">
        <v>2324</v>
      </c>
      <c r="B35" s="55" t="s">
        <v>2325</v>
      </c>
      <c r="C35" s="13" t="s">
        <v>44</v>
      </c>
      <c r="D35" s="59">
        <v>46082</v>
      </c>
      <c r="E35" s="6">
        <v>2514600</v>
      </c>
      <c r="F35" s="13">
        <v>34</v>
      </c>
    </row>
    <row r="36" spans="1:6" x14ac:dyDescent="0.4">
      <c r="A36" s="13" t="s">
        <v>2324</v>
      </c>
      <c r="B36" s="55" t="s">
        <v>2325</v>
      </c>
      <c r="C36" s="13" t="s">
        <v>44</v>
      </c>
      <c r="D36" s="59">
        <v>46113</v>
      </c>
      <c r="E36" s="6">
        <v>1981200</v>
      </c>
      <c r="F36" s="54">
        <v>35</v>
      </c>
    </row>
    <row r="37" spans="1:6" x14ac:dyDescent="0.4">
      <c r="A37" s="13" t="s">
        <v>2324</v>
      </c>
      <c r="B37" s="55" t="s">
        <v>2325</v>
      </c>
      <c r="C37" s="13" t="s">
        <v>44</v>
      </c>
      <c r="D37" s="59">
        <v>46143</v>
      </c>
      <c r="E37" s="6">
        <v>19050</v>
      </c>
      <c r="F37" s="13">
        <v>36</v>
      </c>
    </row>
    <row r="38" spans="1:6" x14ac:dyDescent="0.4">
      <c r="A38" s="13" t="s">
        <v>2324</v>
      </c>
      <c r="B38" s="55" t="s">
        <v>2325</v>
      </c>
      <c r="C38" s="13" t="s">
        <v>44</v>
      </c>
      <c r="D38" s="59">
        <v>46174</v>
      </c>
      <c r="E38" s="6"/>
      <c r="F38" s="54">
        <v>37</v>
      </c>
    </row>
    <row r="39" spans="1:6" x14ac:dyDescent="0.4">
      <c r="A39" s="13" t="s">
        <v>2324</v>
      </c>
      <c r="B39" s="55" t="s">
        <v>2325</v>
      </c>
      <c r="C39" s="13" t="s">
        <v>44</v>
      </c>
      <c r="D39" s="59">
        <v>46204</v>
      </c>
      <c r="E39" s="6"/>
      <c r="F39" s="13">
        <v>38</v>
      </c>
    </row>
    <row r="40" spans="1:6" x14ac:dyDescent="0.4">
      <c r="A40" s="13" t="s">
        <v>2324</v>
      </c>
      <c r="B40" s="55" t="s">
        <v>2325</v>
      </c>
      <c r="C40" s="13" t="s">
        <v>44</v>
      </c>
      <c r="D40" s="59">
        <v>46235</v>
      </c>
      <c r="E40" s="6"/>
      <c r="F40" s="54">
        <v>39</v>
      </c>
    </row>
    <row r="41" spans="1:6" x14ac:dyDescent="0.4">
      <c r="A41" s="13" t="s">
        <v>2324</v>
      </c>
      <c r="B41" s="55" t="s">
        <v>2325</v>
      </c>
      <c r="C41" s="13" t="s">
        <v>44</v>
      </c>
      <c r="D41" s="59">
        <v>46266</v>
      </c>
      <c r="E41" s="6"/>
      <c r="F41" s="13">
        <v>40</v>
      </c>
    </row>
    <row r="42" spans="1:6" x14ac:dyDescent="0.4">
      <c r="A42" s="13" t="s">
        <v>2324</v>
      </c>
      <c r="B42" s="55" t="s">
        <v>2325</v>
      </c>
      <c r="C42" s="13" t="s">
        <v>44</v>
      </c>
      <c r="D42" s="59">
        <v>46296</v>
      </c>
      <c r="E42" s="6"/>
      <c r="F42" s="54">
        <v>41</v>
      </c>
    </row>
    <row r="43" spans="1:6" x14ac:dyDescent="0.4">
      <c r="A43" s="13" t="s">
        <v>2324</v>
      </c>
      <c r="B43" s="55" t="s">
        <v>2325</v>
      </c>
      <c r="C43" s="13" t="s">
        <v>44</v>
      </c>
      <c r="D43" s="59">
        <v>46327</v>
      </c>
      <c r="E43" s="6"/>
      <c r="F43" s="13">
        <v>42</v>
      </c>
    </row>
    <row r="44" spans="1:6" x14ac:dyDescent="0.4">
      <c r="A44" s="13" t="s">
        <v>2324</v>
      </c>
      <c r="B44" s="55" t="s">
        <v>2325</v>
      </c>
      <c r="C44" s="13" t="s">
        <v>44</v>
      </c>
      <c r="D44" s="59">
        <v>46357</v>
      </c>
      <c r="E44" s="6"/>
      <c r="F44" s="54">
        <v>43</v>
      </c>
    </row>
    <row r="45" spans="1:6" x14ac:dyDescent="0.4">
      <c r="A45" s="13" t="s">
        <v>2324</v>
      </c>
      <c r="B45" s="55" t="s">
        <v>2325</v>
      </c>
      <c r="C45" s="13" t="s">
        <v>44</v>
      </c>
      <c r="D45" s="59">
        <v>46388</v>
      </c>
      <c r="E45" s="6"/>
      <c r="F45" s="13">
        <v>44</v>
      </c>
    </row>
    <row r="46" spans="1:6" x14ac:dyDescent="0.4">
      <c r="A46" s="13" t="s">
        <v>2324</v>
      </c>
      <c r="B46" s="55" t="s">
        <v>2325</v>
      </c>
      <c r="C46" s="13" t="s">
        <v>44</v>
      </c>
      <c r="D46" s="59">
        <v>46419</v>
      </c>
      <c r="E46" s="6"/>
      <c r="F46" s="54">
        <v>45</v>
      </c>
    </row>
    <row r="47" spans="1:6" x14ac:dyDescent="0.4">
      <c r="A47" s="13" t="s">
        <v>2324</v>
      </c>
      <c r="B47" s="55" t="s">
        <v>2325</v>
      </c>
      <c r="C47" s="13" t="s">
        <v>44</v>
      </c>
      <c r="D47" s="59">
        <v>46447</v>
      </c>
      <c r="E47" s="6"/>
      <c r="F47" s="13">
        <v>46</v>
      </c>
    </row>
    <row r="48" spans="1:6" x14ac:dyDescent="0.4">
      <c r="A48" s="13" t="s">
        <v>2324</v>
      </c>
      <c r="B48" s="55" t="s">
        <v>2325</v>
      </c>
      <c r="C48" s="13" t="s">
        <v>1944</v>
      </c>
      <c r="D48" s="59">
        <v>45778</v>
      </c>
      <c r="E48" s="6"/>
      <c r="F48" s="54">
        <v>47</v>
      </c>
    </row>
    <row r="49" spans="1:6" x14ac:dyDescent="0.4">
      <c r="A49" s="13" t="s">
        <v>2324</v>
      </c>
      <c r="B49" s="55" t="s">
        <v>2325</v>
      </c>
      <c r="C49" s="13" t="s">
        <v>1944</v>
      </c>
      <c r="D49" s="59">
        <v>45809</v>
      </c>
      <c r="E49" s="6">
        <v>28305</v>
      </c>
      <c r="F49" s="13">
        <v>48</v>
      </c>
    </row>
    <row r="50" spans="1:6" x14ac:dyDescent="0.4">
      <c r="A50" s="13" t="s">
        <v>2324</v>
      </c>
      <c r="B50" s="55" t="s">
        <v>2325</v>
      </c>
      <c r="C50" s="13" t="s">
        <v>1944</v>
      </c>
      <c r="D50" s="59">
        <v>45839</v>
      </c>
      <c r="E50" s="6">
        <v>28305</v>
      </c>
      <c r="F50" s="54">
        <v>49</v>
      </c>
    </row>
    <row r="51" spans="1:6" x14ac:dyDescent="0.4">
      <c r="A51" s="13" t="s">
        <v>2324</v>
      </c>
      <c r="B51" s="55" t="s">
        <v>2325</v>
      </c>
      <c r="C51" s="13" t="s">
        <v>1944</v>
      </c>
      <c r="D51" s="59">
        <v>45870</v>
      </c>
      <c r="E51" s="6">
        <v>37740</v>
      </c>
      <c r="F51" s="13">
        <v>50</v>
      </c>
    </row>
    <row r="52" spans="1:6" x14ac:dyDescent="0.4">
      <c r="A52" s="13" t="s">
        <v>2324</v>
      </c>
      <c r="B52" s="55" t="s">
        <v>2325</v>
      </c>
      <c r="C52" s="13" t="s">
        <v>1944</v>
      </c>
      <c r="D52" s="59">
        <v>45901</v>
      </c>
      <c r="E52" s="6">
        <v>188700</v>
      </c>
      <c r="F52" s="54">
        <v>51</v>
      </c>
    </row>
    <row r="53" spans="1:6" x14ac:dyDescent="0.4">
      <c r="A53" s="13" t="s">
        <v>2324</v>
      </c>
      <c r="B53" s="55" t="s">
        <v>2325</v>
      </c>
      <c r="C53" s="13" t="s">
        <v>1944</v>
      </c>
      <c r="D53" s="59">
        <v>45931</v>
      </c>
      <c r="E53" s="6">
        <v>188700</v>
      </c>
      <c r="F53" s="13">
        <v>52</v>
      </c>
    </row>
    <row r="54" spans="1:6" x14ac:dyDescent="0.4">
      <c r="A54" s="13" t="s">
        <v>2324</v>
      </c>
      <c r="B54" s="55" t="s">
        <v>2325</v>
      </c>
      <c r="C54" s="13" t="s">
        <v>1944</v>
      </c>
      <c r="D54" s="59">
        <v>45962</v>
      </c>
      <c r="E54" s="6">
        <v>188700</v>
      </c>
      <c r="F54" s="54">
        <v>53</v>
      </c>
    </row>
    <row r="55" spans="1:6" x14ac:dyDescent="0.4">
      <c r="A55" s="13" t="s">
        <v>2324</v>
      </c>
      <c r="B55" s="55" t="s">
        <v>2325</v>
      </c>
      <c r="C55" s="13" t="s">
        <v>1944</v>
      </c>
      <c r="D55" s="59">
        <v>45992</v>
      </c>
      <c r="E55" s="6">
        <v>188700</v>
      </c>
      <c r="F55" s="13">
        <v>54</v>
      </c>
    </row>
    <row r="56" spans="1:6" x14ac:dyDescent="0.4">
      <c r="A56" s="13" t="s">
        <v>2324</v>
      </c>
      <c r="B56" s="55" t="s">
        <v>2325</v>
      </c>
      <c r="C56" s="13" t="s">
        <v>1944</v>
      </c>
      <c r="D56" s="59">
        <v>46023</v>
      </c>
      <c r="E56" s="6">
        <v>198135</v>
      </c>
      <c r="F56" s="54">
        <v>55</v>
      </c>
    </row>
    <row r="57" spans="1:6" x14ac:dyDescent="0.4">
      <c r="A57" s="13" t="s">
        <v>2324</v>
      </c>
      <c r="B57" s="55" t="s">
        <v>2325</v>
      </c>
      <c r="C57" s="13" t="s">
        <v>1944</v>
      </c>
      <c r="D57" s="59">
        <v>46054</v>
      </c>
      <c r="E57" s="6">
        <v>198135</v>
      </c>
      <c r="F57" s="13">
        <v>56</v>
      </c>
    </row>
    <row r="58" spans="1:6" x14ac:dyDescent="0.4">
      <c r="A58" s="13" t="s">
        <v>2324</v>
      </c>
      <c r="B58" s="55" t="s">
        <v>2325</v>
      </c>
      <c r="C58" s="13" t="s">
        <v>1944</v>
      </c>
      <c r="D58" s="59">
        <v>46082</v>
      </c>
      <c r="E58" s="6">
        <v>292485</v>
      </c>
      <c r="F58" s="54">
        <v>57</v>
      </c>
    </row>
    <row r="59" spans="1:6" x14ac:dyDescent="0.4">
      <c r="A59" s="13" t="s">
        <v>2324</v>
      </c>
      <c r="B59" s="55" t="s">
        <v>2325</v>
      </c>
      <c r="C59" s="13" t="s">
        <v>1944</v>
      </c>
      <c r="D59" s="59">
        <v>46113</v>
      </c>
      <c r="E59" s="6">
        <v>292485</v>
      </c>
      <c r="F59" s="13">
        <v>58</v>
      </c>
    </row>
    <row r="60" spans="1:6" x14ac:dyDescent="0.4">
      <c r="A60" s="13" t="s">
        <v>2324</v>
      </c>
      <c r="B60" s="55" t="s">
        <v>2325</v>
      </c>
      <c r="C60" s="13" t="s">
        <v>1944</v>
      </c>
      <c r="D60" s="59">
        <v>46143</v>
      </c>
      <c r="E60" s="6">
        <v>292485</v>
      </c>
      <c r="F60" s="54">
        <v>59</v>
      </c>
    </row>
    <row r="61" spans="1:6" x14ac:dyDescent="0.4">
      <c r="A61" s="13" t="s">
        <v>2324</v>
      </c>
      <c r="B61" s="55" t="s">
        <v>2325</v>
      </c>
      <c r="C61" s="13" t="s">
        <v>1944</v>
      </c>
      <c r="D61" s="59">
        <v>46174</v>
      </c>
      <c r="E61" s="6">
        <v>264180</v>
      </c>
      <c r="F61" s="13">
        <v>60</v>
      </c>
    </row>
    <row r="62" spans="1:6" x14ac:dyDescent="0.4">
      <c r="A62" s="13" t="s">
        <v>2324</v>
      </c>
      <c r="B62" s="55" t="s">
        <v>2325</v>
      </c>
      <c r="C62" s="13" t="s">
        <v>1944</v>
      </c>
      <c r="D62" s="59">
        <v>46204</v>
      </c>
      <c r="E62" s="6">
        <v>264180</v>
      </c>
      <c r="F62" s="54">
        <v>61</v>
      </c>
    </row>
    <row r="63" spans="1:6" x14ac:dyDescent="0.4">
      <c r="A63" s="13" t="s">
        <v>2324</v>
      </c>
      <c r="B63" s="55" t="s">
        <v>2325</v>
      </c>
      <c r="C63" s="13" t="s">
        <v>1944</v>
      </c>
      <c r="D63" s="59">
        <v>46235</v>
      </c>
      <c r="E63" s="6">
        <v>254745</v>
      </c>
      <c r="F63" s="13">
        <v>62</v>
      </c>
    </row>
    <row r="64" spans="1:6" x14ac:dyDescent="0.4">
      <c r="A64" s="13" t="s">
        <v>2324</v>
      </c>
      <c r="B64" s="55" t="s">
        <v>2325</v>
      </c>
      <c r="C64" s="13" t="s">
        <v>1944</v>
      </c>
      <c r="D64" s="59">
        <v>46266</v>
      </c>
      <c r="E64" s="6">
        <v>103785</v>
      </c>
      <c r="F64" s="54">
        <v>63</v>
      </c>
    </row>
    <row r="65" spans="1:6" x14ac:dyDescent="0.4">
      <c r="A65" s="13" t="s">
        <v>2324</v>
      </c>
      <c r="B65" s="55" t="s">
        <v>2325</v>
      </c>
      <c r="C65" s="13" t="s">
        <v>1944</v>
      </c>
      <c r="D65" s="59">
        <v>46296</v>
      </c>
      <c r="E65" s="6">
        <v>103785</v>
      </c>
      <c r="F65" s="13">
        <v>64</v>
      </c>
    </row>
    <row r="66" spans="1:6" x14ac:dyDescent="0.4">
      <c r="A66" s="13" t="s">
        <v>2324</v>
      </c>
      <c r="B66" s="55" t="s">
        <v>2325</v>
      </c>
      <c r="C66" s="13" t="s">
        <v>1944</v>
      </c>
      <c r="D66" s="59">
        <v>46327</v>
      </c>
      <c r="E66" s="6">
        <v>103785</v>
      </c>
      <c r="F66" s="54">
        <v>65</v>
      </c>
    </row>
    <row r="67" spans="1:6" x14ac:dyDescent="0.4">
      <c r="A67" s="13" t="s">
        <v>2324</v>
      </c>
      <c r="B67" s="55" t="s">
        <v>2325</v>
      </c>
      <c r="C67" s="13" t="s">
        <v>1944</v>
      </c>
      <c r="D67" s="59">
        <v>46357</v>
      </c>
      <c r="E67" s="6">
        <v>103785</v>
      </c>
      <c r="F67" s="13">
        <v>66</v>
      </c>
    </row>
    <row r="68" spans="1:6" x14ac:dyDescent="0.4">
      <c r="A68" s="13" t="s">
        <v>2324</v>
      </c>
      <c r="B68" s="55" t="s">
        <v>2325</v>
      </c>
      <c r="C68" s="13" t="s">
        <v>1944</v>
      </c>
      <c r="D68" s="59">
        <v>46388</v>
      </c>
      <c r="E68" s="6">
        <v>94350</v>
      </c>
      <c r="F68" s="54">
        <v>67</v>
      </c>
    </row>
    <row r="69" spans="1:6" x14ac:dyDescent="0.4">
      <c r="A69" s="13" t="s">
        <v>2324</v>
      </c>
      <c r="B69" s="55" t="s">
        <v>2325</v>
      </c>
      <c r="C69" s="13" t="s">
        <v>1944</v>
      </c>
      <c r="D69" s="59">
        <v>46419</v>
      </c>
      <c r="E69" s="6">
        <v>94350</v>
      </c>
      <c r="F69" s="13">
        <v>68</v>
      </c>
    </row>
    <row r="70" spans="1:6" x14ac:dyDescent="0.4">
      <c r="A70" s="13" t="s">
        <v>2324</v>
      </c>
      <c r="B70" s="55" t="s">
        <v>2325</v>
      </c>
      <c r="C70" s="13" t="s">
        <v>1944</v>
      </c>
      <c r="D70" s="59">
        <v>46447</v>
      </c>
      <c r="E70" s="6"/>
      <c r="F70" s="54">
        <v>69</v>
      </c>
    </row>
    <row r="71" spans="1:6" x14ac:dyDescent="0.4">
      <c r="A71" s="13" t="s">
        <v>2324</v>
      </c>
      <c r="B71" s="55" t="s">
        <v>2325</v>
      </c>
      <c r="C71" s="13" t="s">
        <v>70</v>
      </c>
      <c r="D71" s="59">
        <v>45778</v>
      </c>
      <c r="E71" s="6"/>
      <c r="F71" s="13">
        <v>70</v>
      </c>
    </row>
    <row r="72" spans="1:6" x14ac:dyDescent="0.4">
      <c r="A72" s="13" t="s">
        <v>2324</v>
      </c>
      <c r="B72" s="55" t="s">
        <v>2325</v>
      </c>
      <c r="C72" s="13" t="s">
        <v>70</v>
      </c>
      <c r="D72" s="59">
        <v>45809</v>
      </c>
      <c r="E72" s="6"/>
      <c r="F72" s="54">
        <v>71</v>
      </c>
    </row>
    <row r="73" spans="1:6" x14ac:dyDescent="0.4">
      <c r="A73" s="13" t="s">
        <v>2324</v>
      </c>
      <c r="B73" s="55" t="s">
        <v>2325</v>
      </c>
      <c r="C73" s="13" t="s">
        <v>70</v>
      </c>
      <c r="D73" s="59">
        <v>45839</v>
      </c>
      <c r="E73" s="6">
        <v>59400</v>
      </c>
      <c r="F73" s="13">
        <v>72</v>
      </c>
    </row>
    <row r="74" spans="1:6" x14ac:dyDescent="0.4">
      <c r="A74" s="13" t="s">
        <v>2324</v>
      </c>
      <c r="B74" s="55" t="s">
        <v>2325</v>
      </c>
      <c r="C74" s="13" t="s">
        <v>70</v>
      </c>
      <c r="D74" s="59">
        <v>45870</v>
      </c>
      <c r="E74" s="6">
        <v>59400</v>
      </c>
      <c r="F74" s="54">
        <v>73</v>
      </c>
    </row>
    <row r="75" spans="1:6" x14ac:dyDescent="0.4">
      <c r="A75" s="13" t="s">
        <v>2324</v>
      </c>
      <c r="B75" s="55" t="s">
        <v>2325</v>
      </c>
      <c r="C75" s="13" t="s">
        <v>70</v>
      </c>
      <c r="D75" s="59">
        <v>45901</v>
      </c>
      <c r="E75" s="6">
        <v>59400</v>
      </c>
      <c r="F75" s="13">
        <v>74</v>
      </c>
    </row>
    <row r="76" spans="1:6" x14ac:dyDescent="0.4">
      <c r="A76" s="13" t="s">
        <v>2324</v>
      </c>
      <c r="B76" s="55" t="s">
        <v>2325</v>
      </c>
      <c r="C76" s="13" t="s">
        <v>70</v>
      </c>
      <c r="D76" s="59">
        <v>45931</v>
      </c>
      <c r="E76" s="6"/>
      <c r="F76" s="54">
        <v>75</v>
      </c>
    </row>
    <row r="77" spans="1:6" x14ac:dyDescent="0.4">
      <c r="A77" s="13" t="s">
        <v>2324</v>
      </c>
      <c r="B77" s="55" t="s">
        <v>2325</v>
      </c>
      <c r="C77" s="13" t="s">
        <v>70</v>
      </c>
      <c r="D77" s="59">
        <v>45962</v>
      </c>
      <c r="E77" s="6"/>
      <c r="F77" s="13">
        <v>76</v>
      </c>
    </row>
    <row r="78" spans="1:6" x14ac:dyDescent="0.4">
      <c r="A78" s="13" t="s">
        <v>2324</v>
      </c>
      <c r="B78" s="55" t="s">
        <v>2325</v>
      </c>
      <c r="C78" s="13" t="s">
        <v>70</v>
      </c>
      <c r="D78" s="59">
        <v>45992</v>
      </c>
      <c r="E78" s="6"/>
      <c r="F78" s="54">
        <v>77</v>
      </c>
    </row>
    <row r="79" spans="1:6" x14ac:dyDescent="0.4">
      <c r="A79" s="13" t="s">
        <v>2324</v>
      </c>
      <c r="B79" s="55" t="s">
        <v>2325</v>
      </c>
      <c r="C79" s="13" t="s">
        <v>70</v>
      </c>
      <c r="D79" s="59">
        <v>46023</v>
      </c>
      <c r="E79" s="6"/>
      <c r="F79" s="13">
        <v>78</v>
      </c>
    </row>
    <row r="80" spans="1:6" x14ac:dyDescent="0.4">
      <c r="A80" s="13" t="s">
        <v>2324</v>
      </c>
      <c r="B80" s="55" t="s">
        <v>2325</v>
      </c>
      <c r="C80" s="13" t="s">
        <v>70</v>
      </c>
      <c r="D80" s="59">
        <v>46054</v>
      </c>
      <c r="E80" s="6"/>
      <c r="F80" s="54">
        <v>79</v>
      </c>
    </row>
    <row r="81" spans="1:6" x14ac:dyDescent="0.4">
      <c r="A81" s="13" t="s">
        <v>2324</v>
      </c>
      <c r="B81" s="55" t="s">
        <v>2325</v>
      </c>
      <c r="C81" s="13" t="s">
        <v>70</v>
      </c>
      <c r="D81" s="59">
        <v>46082</v>
      </c>
      <c r="E81" s="6"/>
      <c r="F81" s="13">
        <v>80</v>
      </c>
    </row>
    <row r="82" spans="1:6" x14ac:dyDescent="0.4">
      <c r="A82" s="13" t="s">
        <v>2324</v>
      </c>
      <c r="B82" s="55" t="s">
        <v>2325</v>
      </c>
      <c r="C82" s="13" t="s">
        <v>70</v>
      </c>
      <c r="D82" s="59">
        <v>46113</v>
      </c>
      <c r="E82" s="6"/>
      <c r="F82" s="54">
        <v>81</v>
      </c>
    </row>
    <row r="83" spans="1:6" x14ac:dyDescent="0.4">
      <c r="A83" s="13" t="s">
        <v>2324</v>
      </c>
      <c r="B83" s="55" t="s">
        <v>2325</v>
      </c>
      <c r="C83" s="13" t="s">
        <v>70</v>
      </c>
      <c r="D83" s="59">
        <v>46143</v>
      </c>
      <c r="E83" s="6"/>
      <c r="F83" s="13">
        <v>82</v>
      </c>
    </row>
    <row r="84" spans="1:6" x14ac:dyDescent="0.4">
      <c r="A84" s="13" t="s">
        <v>2324</v>
      </c>
      <c r="B84" s="55" t="s">
        <v>2325</v>
      </c>
      <c r="C84" s="13" t="s">
        <v>70</v>
      </c>
      <c r="D84" s="59">
        <v>46174</v>
      </c>
      <c r="E84" s="6"/>
      <c r="F84" s="54">
        <v>83</v>
      </c>
    </row>
    <row r="85" spans="1:6" x14ac:dyDescent="0.4">
      <c r="A85" s="13" t="s">
        <v>2324</v>
      </c>
      <c r="B85" s="55" t="s">
        <v>2325</v>
      </c>
      <c r="C85" s="13" t="s">
        <v>70</v>
      </c>
      <c r="D85" s="59">
        <v>46204</v>
      </c>
      <c r="E85" s="6"/>
      <c r="F85" s="13">
        <v>84</v>
      </c>
    </row>
    <row r="86" spans="1:6" x14ac:dyDescent="0.4">
      <c r="A86" s="13" t="s">
        <v>2324</v>
      </c>
      <c r="B86" s="55" t="s">
        <v>2325</v>
      </c>
      <c r="C86" s="13" t="s">
        <v>70</v>
      </c>
      <c r="D86" s="59">
        <v>46235</v>
      </c>
      <c r="E86" s="6"/>
      <c r="F86" s="54">
        <v>85</v>
      </c>
    </row>
    <row r="87" spans="1:6" x14ac:dyDescent="0.4">
      <c r="A87" s="13" t="s">
        <v>2324</v>
      </c>
      <c r="B87" s="55" t="s">
        <v>2325</v>
      </c>
      <c r="C87" s="13" t="s">
        <v>70</v>
      </c>
      <c r="D87" s="59">
        <v>46266</v>
      </c>
      <c r="E87" s="6"/>
      <c r="F87" s="13">
        <v>86</v>
      </c>
    </row>
    <row r="88" spans="1:6" x14ac:dyDescent="0.4">
      <c r="A88" s="13" t="s">
        <v>2324</v>
      </c>
      <c r="B88" s="55" t="s">
        <v>2325</v>
      </c>
      <c r="C88" s="13" t="s">
        <v>70</v>
      </c>
      <c r="D88" s="59">
        <v>46296</v>
      </c>
      <c r="E88" s="6"/>
      <c r="F88" s="54">
        <v>87</v>
      </c>
    </row>
    <row r="89" spans="1:6" x14ac:dyDescent="0.4">
      <c r="A89" s="13" t="s">
        <v>2324</v>
      </c>
      <c r="B89" s="55" t="s">
        <v>2325</v>
      </c>
      <c r="C89" s="13" t="s">
        <v>70</v>
      </c>
      <c r="D89" s="59">
        <v>46327</v>
      </c>
      <c r="E89" s="6"/>
      <c r="F89" s="13">
        <v>88</v>
      </c>
    </row>
    <row r="90" spans="1:6" x14ac:dyDescent="0.4">
      <c r="A90" s="13" t="s">
        <v>2324</v>
      </c>
      <c r="B90" s="55" t="s">
        <v>2325</v>
      </c>
      <c r="C90" s="13" t="s">
        <v>70</v>
      </c>
      <c r="D90" s="59">
        <v>46357</v>
      </c>
      <c r="E90" s="6"/>
      <c r="F90" s="54">
        <v>89</v>
      </c>
    </row>
    <row r="91" spans="1:6" x14ac:dyDescent="0.4">
      <c r="A91" s="13" t="s">
        <v>2324</v>
      </c>
      <c r="B91" s="55" t="s">
        <v>2325</v>
      </c>
      <c r="C91" s="13" t="s">
        <v>70</v>
      </c>
      <c r="D91" s="59">
        <v>46388</v>
      </c>
      <c r="E91" s="6"/>
      <c r="F91" s="13">
        <v>90</v>
      </c>
    </row>
    <row r="92" spans="1:6" x14ac:dyDescent="0.4">
      <c r="A92" s="13" t="s">
        <v>2324</v>
      </c>
      <c r="B92" s="55" t="s">
        <v>2325</v>
      </c>
      <c r="C92" s="13" t="s">
        <v>70</v>
      </c>
      <c r="D92" s="59">
        <v>46419</v>
      </c>
      <c r="E92" s="6"/>
      <c r="F92" s="54">
        <v>91</v>
      </c>
    </row>
    <row r="93" spans="1:6" x14ac:dyDescent="0.4">
      <c r="A93" s="13" t="s">
        <v>2324</v>
      </c>
      <c r="B93" s="55" t="s">
        <v>2325</v>
      </c>
      <c r="C93" s="13" t="s">
        <v>70</v>
      </c>
      <c r="D93" s="59">
        <v>46447</v>
      </c>
      <c r="E93" s="6"/>
      <c r="F93" s="13">
        <v>92</v>
      </c>
    </row>
    <row r="94" spans="1:6" x14ac:dyDescent="0.4">
      <c r="A94" s="13" t="s">
        <v>2324</v>
      </c>
      <c r="B94" s="55" t="s">
        <v>2325</v>
      </c>
      <c r="C94" s="13" t="s">
        <v>50</v>
      </c>
      <c r="D94" s="59">
        <v>45778</v>
      </c>
      <c r="E94" s="6"/>
      <c r="F94" s="54">
        <v>93</v>
      </c>
    </row>
    <row r="95" spans="1:6" x14ac:dyDescent="0.4">
      <c r="A95" s="13" t="s">
        <v>2324</v>
      </c>
      <c r="B95" s="55" t="s">
        <v>2325</v>
      </c>
      <c r="C95" s="13" t="s">
        <v>50</v>
      </c>
      <c r="D95" s="59">
        <v>45809</v>
      </c>
      <c r="E95" s="6"/>
      <c r="F95" s="13">
        <v>94</v>
      </c>
    </row>
    <row r="96" spans="1:6" x14ac:dyDescent="0.4">
      <c r="A96" s="13" t="s">
        <v>2324</v>
      </c>
      <c r="B96" s="55" t="s">
        <v>2325</v>
      </c>
      <c r="C96" s="13" t="s">
        <v>50</v>
      </c>
      <c r="D96" s="59">
        <v>45839</v>
      </c>
      <c r="E96" s="6">
        <v>419100</v>
      </c>
      <c r="F96" s="54">
        <v>95</v>
      </c>
    </row>
    <row r="97" spans="1:6" x14ac:dyDescent="0.4">
      <c r="A97" s="13" t="s">
        <v>2324</v>
      </c>
      <c r="B97" s="55" t="s">
        <v>2325</v>
      </c>
      <c r="C97" s="13" t="s">
        <v>50</v>
      </c>
      <c r="D97" s="59">
        <v>45870</v>
      </c>
      <c r="E97" s="6">
        <v>419100</v>
      </c>
      <c r="F97" s="13">
        <v>96</v>
      </c>
    </row>
    <row r="98" spans="1:6" x14ac:dyDescent="0.4">
      <c r="A98" s="13" t="s">
        <v>2324</v>
      </c>
      <c r="B98" s="55" t="s">
        <v>2325</v>
      </c>
      <c r="C98" s="13" t="s">
        <v>50</v>
      </c>
      <c r="D98" s="59">
        <v>45901</v>
      </c>
      <c r="E98" s="6">
        <v>419100</v>
      </c>
      <c r="F98" s="54">
        <v>97</v>
      </c>
    </row>
    <row r="99" spans="1:6" x14ac:dyDescent="0.4">
      <c r="A99" s="13" t="s">
        <v>2324</v>
      </c>
      <c r="B99" s="55" t="s">
        <v>2325</v>
      </c>
      <c r="C99" s="13" t="s">
        <v>50</v>
      </c>
      <c r="D99" s="59">
        <v>45931</v>
      </c>
      <c r="E99" s="6">
        <v>438150</v>
      </c>
      <c r="F99" s="13">
        <v>98</v>
      </c>
    </row>
    <row r="100" spans="1:6" x14ac:dyDescent="0.4">
      <c r="A100" s="13" t="s">
        <v>2324</v>
      </c>
      <c r="B100" s="55" t="s">
        <v>2325</v>
      </c>
      <c r="C100" s="13" t="s">
        <v>50</v>
      </c>
      <c r="D100" s="59">
        <v>45962</v>
      </c>
      <c r="E100" s="6">
        <v>533400</v>
      </c>
      <c r="F100" s="54">
        <v>99</v>
      </c>
    </row>
    <row r="101" spans="1:6" x14ac:dyDescent="0.4">
      <c r="A101" s="13" t="s">
        <v>2324</v>
      </c>
      <c r="B101" s="55" t="s">
        <v>2325</v>
      </c>
      <c r="C101" s="13" t="s">
        <v>50</v>
      </c>
      <c r="D101" s="59">
        <v>45992</v>
      </c>
      <c r="E101" s="6">
        <v>533400</v>
      </c>
      <c r="F101" s="13">
        <v>100</v>
      </c>
    </row>
    <row r="102" spans="1:6" x14ac:dyDescent="0.4">
      <c r="A102" s="13" t="s">
        <v>2324</v>
      </c>
      <c r="B102" s="55" t="s">
        <v>2325</v>
      </c>
      <c r="C102" s="13" t="s">
        <v>50</v>
      </c>
      <c r="D102" s="59">
        <v>46023</v>
      </c>
      <c r="E102" s="6">
        <v>114300</v>
      </c>
      <c r="F102" s="54">
        <v>101</v>
      </c>
    </row>
    <row r="103" spans="1:6" x14ac:dyDescent="0.4">
      <c r="A103" s="13" t="s">
        <v>2324</v>
      </c>
      <c r="B103" s="55" t="s">
        <v>2325</v>
      </c>
      <c r="C103" s="13" t="s">
        <v>50</v>
      </c>
      <c r="D103" s="59">
        <v>46054</v>
      </c>
      <c r="E103" s="6">
        <v>114300</v>
      </c>
      <c r="F103" s="13">
        <v>102</v>
      </c>
    </row>
    <row r="104" spans="1:6" x14ac:dyDescent="0.4">
      <c r="A104" s="13" t="s">
        <v>2324</v>
      </c>
      <c r="B104" s="55" t="s">
        <v>2325</v>
      </c>
      <c r="C104" s="13" t="s">
        <v>50</v>
      </c>
      <c r="D104" s="59">
        <v>46082</v>
      </c>
      <c r="E104" s="6">
        <v>114300</v>
      </c>
      <c r="F104" s="54">
        <v>103</v>
      </c>
    </row>
    <row r="105" spans="1:6" x14ac:dyDescent="0.4">
      <c r="A105" s="13" t="s">
        <v>2324</v>
      </c>
      <c r="B105" s="55" t="s">
        <v>2325</v>
      </c>
      <c r="C105" s="13" t="s">
        <v>50</v>
      </c>
      <c r="D105" s="59">
        <v>46113</v>
      </c>
      <c r="E105" s="6">
        <v>95250</v>
      </c>
      <c r="F105" s="13">
        <v>104</v>
      </c>
    </row>
    <row r="106" spans="1:6" x14ac:dyDescent="0.4">
      <c r="A106" s="13" t="s">
        <v>2324</v>
      </c>
      <c r="B106" s="55" t="s">
        <v>2325</v>
      </c>
      <c r="C106" s="13" t="s">
        <v>50</v>
      </c>
      <c r="D106" s="59">
        <v>46143</v>
      </c>
      <c r="E106" s="6"/>
      <c r="F106" s="54">
        <v>105</v>
      </c>
    </row>
    <row r="107" spans="1:6" x14ac:dyDescent="0.4">
      <c r="A107" s="13" t="s">
        <v>2324</v>
      </c>
      <c r="B107" s="55" t="s">
        <v>2325</v>
      </c>
      <c r="C107" s="13" t="s">
        <v>50</v>
      </c>
      <c r="D107" s="59">
        <v>46174</v>
      </c>
      <c r="E107" s="6"/>
      <c r="F107" s="13">
        <v>106</v>
      </c>
    </row>
    <row r="108" spans="1:6" x14ac:dyDescent="0.4">
      <c r="A108" s="13" t="s">
        <v>2324</v>
      </c>
      <c r="B108" s="55" t="s">
        <v>2325</v>
      </c>
      <c r="C108" s="13" t="s">
        <v>50</v>
      </c>
      <c r="D108" s="59">
        <v>46204</v>
      </c>
      <c r="E108" s="6"/>
      <c r="F108" s="54">
        <v>107</v>
      </c>
    </row>
    <row r="109" spans="1:6" x14ac:dyDescent="0.4">
      <c r="A109" s="13" t="s">
        <v>2324</v>
      </c>
      <c r="B109" s="55" t="s">
        <v>2325</v>
      </c>
      <c r="C109" s="13" t="s">
        <v>50</v>
      </c>
      <c r="D109" s="59">
        <v>46235</v>
      </c>
      <c r="E109" s="6"/>
      <c r="F109" s="13">
        <v>108</v>
      </c>
    </row>
    <row r="110" spans="1:6" x14ac:dyDescent="0.4">
      <c r="A110" s="13" t="s">
        <v>2324</v>
      </c>
      <c r="B110" s="55" t="s">
        <v>2325</v>
      </c>
      <c r="C110" s="13" t="s">
        <v>50</v>
      </c>
      <c r="D110" s="59">
        <v>46266</v>
      </c>
      <c r="E110" s="6"/>
      <c r="F110" s="54">
        <v>109</v>
      </c>
    </row>
    <row r="111" spans="1:6" x14ac:dyDescent="0.4">
      <c r="A111" s="13" t="s">
        <v>2324</v>
      </c>
      <c r="B111" s="55" t="s">
        <v>2325</v>
      </c>
      <c r="C111" s="13" t="s">
        <v>50</v>
      </c>
      <c r="D111" s="59">
        <v>46296</v>
      </c>
      <c r="E111" s="6"/>
      <c r="F111" s="13">
        <v>110</v>
      </c>
    </row>
    <row r="112" spans="1:6" x14ac:dyDescent="0.4">
      <c r="A112" s="13" t="s">
        <v>2324</v>
      </c>
      <c r="B112" s="55" t="s">
        <v>2325</v>
      </c>
      <c r="C112" s="13" t="s">
        <v>50</v>
      </c>
      <c r="D112" s="59">
        <v>46327</v>
      </c>
      <c r="E112" s="6"/>
      <c r="F112" s="54">
        <v>111</v>
      </c>
    </row>
    <row r="113" spans="1:6" x14ac:dyDescent="0.4">
      <c r="A113" s="13" t="s">
        <v>2324</v>
      </c>
      <c r="B113" s="55" t="s">
        <v>2325</v>
      </c>
      <c r="C113" s="13" t="s">
        <v>50</v>
      </c>
      <c r="D113" s="59">
        <v>46357</v>
      </c>
      <c r="E113" s="6"/>
      <c r="F113" s="13">
        <v>112</v>
      </c>
    </row>
    <row r="114" spans="1:6" x14ac:dyDescent="0.4">
      <c r="A114" s="13" t="s">
        <v>2324</v>
      </c>
      <c r="B114" s="55" t="s">
        <v>2325</v>
      </c>
      <c r="C114" s="13" t="s">
        <v>50</v>
      </c>
      <c r="D114" s="59">
        <v>46388</v>
      </c>
      <c r="E114" s="6"/>
      <c r="F114" s="54">
        <v>113</v>
      </c>
    </row>
    <row r="115" spans="1:6" x14ac:dyDescent="0.4">
      <c r="A115" s="13" t="s">
        <v>2324</v>
      </c>
      <c r="B115" s="55" t="s">
        <v>2325</v>
      </c>
      <c r="C115" s="13" t="s">
        <v>50</v>
      </c>
      <c r="D115" s="59">
        <v>46419</v>
      </c>
      <c r="E115" s="6"/>
      <c r="F115" s="13">
        <v>114</v>
      </c>
    </row>
    <row r="116" spans="1:6" x14ac:dyDescent="0.4">
      <c r="A116" s="13" t="s">
        <v>2324</v>
      </c>
      <c r="B116" s="55" t="s">
        <v>2325</v>
      </c>
      <c r="C116" s="13" t="s">
        <v>50</v>
      </c>
      <c r="D116" s="59">
        <v>46447</v>
      </c>
      <c r="E116" s="6"/>
      <c r="F116" s="54">
        <v>115</v>
      </c>
    </row>
    <row r="117" spans="1:6" x14ac:dyDescent="0.4">
      <c r="A117" s="13" t="s">
        <v>2324</v>
      </c>
      <c r="B117" s="55" t="s">
        <v>2325</v>
      </c>
      <c r="C117" s="13" t="s">
        <v>5133</v>
      </c>
      <c r="D117" s="59">
        <v>45778</v>
      </c>
      <c r="E117" s="6"/>
      <c r="F117" s="13">
        <v>116</v>
      </c>
    </row>
    <row r="118" spans="1:6" x14ac:dyDescent="0.4">
      <c r="A118" s="13" t="s">
        <v>2324</v>
      </c>
      <c r="B118" s="55" t="s">
        <v>2325</v>
      </c>
      <c r="C118" s="13" t="s">
        <v>5133</v>
      </c>
      <c r="D118" s="59">
        <v>45809</v>
      </c>
      <c r="E118" s="6"/>
      <c r="F118" s="54">
        <v>117</v>
      </c>
    </row>
    <row r="119" spans="1:6" x14ac:dyDescent="0.4">
      <c r="A119" s="13" t="s">
        <v>2324</v>
      </c>
      <c r="B119" s="55" t="s">
        <v>2325</v>
      </c>
      <c r="C119" s="13" t="s">
        <v>5133</v>
      </c>
      <c r="D119" s="59">
        <v>45839</v>
      </c>
      <c r="E119" s="6"/>
      <c r="F119" s="13">
        <v>118</v>
      </c>
    </row>
    <row r="120" spans="1:6" x14ac:dyDescent="0.4">
      <c r="A120" s="13" t="s">
        <v>2324</v>
      </c>
      <c r="B120" s="55" t="s">
        <v>2325</v>
      </c>
      <c r="C120" s="13" t="s">
        <v>5133</v>
      </c>
      <c r="D120" s="59">
        <v>45870</v>
      </c>
      <c r="E120" s="6"/>
      <c r="F120" s="54">
        <v>119</v>
      </c>
    </row>
    <row r="121" spans="1:6" x14ac:dyDescent="0.4">
      <c r="A121" s="13" t="s">
        <v>2324</v>
      </c>
      <c r="B121" s="55" t="s">
        <v>2325</v>
      </c>
      <c r="C121" s="13" t="s">
        <v>5133</v>
      </c>
      <c r="D121" s="59">
        <v>45901</v>
      </c>
      <c r="E121" s="6">
        <v>28305</v>
      </c>
      <c r="F121" s="13">
        <v>120</v>
      </c>
    </row>
    <row r="122" spans="1:6" x14ac:dyDescent="0.4">
      <c r="A122" s="13" t="s">
        <v>2324</v>
      </c>
      <c r="B122" s="55" t="s">
        <v>2325</v>
      </c>
      <c r="C122" s="13" t="s">
        <v>5133</v>
      </c>
      <c r="D122" s="59">
        <v>45931</v>
      </c>
      <c r="E122" s="6">
        <v>28305</v>
      </c>
      <c r="F122" s="54">
        <v>121</v>
      </c>
    </row>
    <row r="123" spans="1:6" x14ac:dyDescent="0.4">
      <c r="A123" s="13" t="s">
        <v>2324</v>
      </c>
      <c r="B123" s="55" t="s">
        <v>2325</v>
      </c>
      <c r="C123" s="13" t="s">
        <v>5133</v>
      </c>
      <c r="D123" s="59">
        <v>45962</v>
      </c>
      <c r="E123" s="6">
        <v>28305</v>
      </c>
      <c r="F123" s="13">
        <v>122</v>
      </c>
    </row>
    <row r="124" spans="1:6" x14ac:dyDescent="0.4">
      <c r="A124" s="13" t="s">
        <v>2324</v>
      </c>
      <c r="B124" s="55" t="s">
        <v>2325</v>
      </c>
      <c r="C124" s="13" t="s">
        <v>5133</v>
      </c>
      <c r="D124" s="59">
        <v>45992</v>
      </c>
      <c r="E124" s="6">
        <v>28305</v>
      </c>
      <c r="F124" s="54">
        <v>123</v>
      </c>
    </row>
    <row r="125" spans="1:6" x14ac:dyDescent="0.4">
      <c r="A125" s="13" t="s">
        <v>2324</v>
      </c>
      <c r="B125" s="55" t="s">
        <v>2325</v>
      </c>
      <c r="C125" s="13" t="s">
        <v>5133</v>
      </c>
      <c r="D125" s="59">
        <v>46023</v>
      </c>
      <c r="E125" s="6">
        <v>28305</v>
      </c>
      <c r="F125" s="13">
        <v>124</v>
      </c>
    </row>
    <row r="126" spans="1:6" x14ac:dyDescent="0.4">
      <c r="A126" s="13" t="s">
        <v>2324</v>
      </c>
      <c r="B126" s="55" t="s">
        <v>2325</v>
      </c>
      <c r="C126" s="13" t="s">
        <v>5133</v>
      </c>
      <c r="D126" s="59">
        <v>46054</v>
      </c>
      <c r="E126" s="6">
        <v>28305</v>
      </c>
      <c r="F126" s="54">
        <v>125</v>
      </c>
    </row>
    <row r="127" spans="1:6" x14ac:dyDescent="0.4">
      <c r="A127" s="13" t="s">
        <v>2324</v>
      </c>
      <c r="B127" s="55" t="s">
        <v>2325</v>
      </c>
      <c r="C127" s="13" t="s">
        <v>5133</v>
      </c>
      <c r="D127" s="59">
        <v>46082</v>
      </c>
      <c r="E127" s="6">
        <v>28305</v>
      </c>
      <c r="F127" s="13">
        <v>126</v>
      </c>
    </row>
    <row r="128" spans="1:6" x14ac:dyDescent="0.4">
      <c r="A128" s="13" t="s">
        <v>2324</v>
      </c>
      <c r="B128" s="55" t="s">
        <v>2325</v>
      </c>
      <c r="C128" s="13" t="s">
        <v>5133</v>
      </c>
      <c r="D128" s="59">
        <v>46113</v>
      </c>
      <c r="E128" s="6">
        <v>28305</v>
      </c>
      <c r="F128" s="54">
        <v>127</v>
      </c>
    </row>
    <row r="129" spans="1:6" x14ac:dyDescent="0.4">
      <c r="A129" s="13" t="s">
        <v>2324</v>
      </c>
      <c r="B129" s="55" t="s">
        <v>2325</v>
      </c>
      <c r="C129" s="13" t="s">
        <v>5133</v>
      </c>
      <c r="D129" s="59">
        <v>46143</v>
      </c>
      <c r="E129" s="6">
        <v>28305</v>
      </c>
      <c r="F129" s="13">
        <v>128</v>
      </c>
    </row>
    <row r="130" spans="1:6" x14ac:dyDescent="0.4">
      <c r="A130" s="13" t="s">
        <v>2324</v>
      </c>
      <c r="B130" s="55" t="s">
        <v>2325</v>
      </c>
      <c r="C130" s="13" t="s">
        <v>5133</v>
      </c>
      <c r="D130" s="59">
        <v>46174</v>
      </c>
      <c r="E130" s="6">
        <v>28305</v>
      </c>
      <c r="F130" s="54">
        <v>129</v>
      </c>
    </row>
    <row r="131" spans="1:6" x14ac:dyDescent="0.4">
      <c r="A131" s="13" t="s">
        <v>2324</v>
      </c>
      <c r="B131" s="55" t="s">
        <v>2325</v>
      </c>
      <c r="C131" s="13" t="s">
        <v>5133</v>
      </c>
      <c r="D131" s="59">
        <v>46204</v>
      </c>
      <c r="E131" s="6">
        <v>28305</v>
      </c>
      <c r="F131" s="13">
        <v>130</v>
      </c>
    </row>
    <row r="132" spans="1:6" x14ac:dyDescent="0.4">
      <c r="A132" s="13" t="s">
        <v>2324</v>
      </c>
      <c r="B132" s="55" t="s">
        <v>2325</v>
      </c>
      <c r="C132" s="13" t="s">
        <v>5133</v>
      </c>
      <c r="D132" s="59">
        <v>46235</v>
      </c>
      <c r="E132" s="6">
        <v>28305</v>
      </c>
      <c r="F132" s="54">
        <v>131</v>
      </c>
    </row>
    <row r="133" spans="1:6" x14ac:dyDescent="0.4">
      <c r="A133" s="13" t="s">
        <v>2324</v>
      </c>
      <c r="B133" s="55" t="s">
        <v>2325</v>
      </c>
      <c r="C133" s="13" t="s">
        <v>5133</v>
      </c>
      <c r="D133" s="59">
        <v>46266</v>
      </c>
      <c r="E133" s="6"/>
      <c r="F133" s="13">
        <v>132</v>
      </c>
    </row>
    <row r="134" spans="1:6" x14ac:dyDescent="0.4">
      <c r="A134" s="13" t="s">
        <v>2324</v>
      </c>
      <c r="B134" s="55" t="s">
        <v>2325</v>
      </c>
      <c r="C134" s="13" t="s">
        <v>5133</v>
      </c>
      <c r="D134" s="59">
        <v>46296</v>
      </c>
      <c r="E134" s="6"/>
      <c r="F134" s="54">
        <v>133</v>
      </c>
    </row>
    <row r="135" spans="1:6" x14ac:dyDescent="0.4">
      <c r="A135" s="13" t="s">
        <v>2324</v>
      </c>
      <c r="B135" s="55" t="s">
        <v>2325</v>
      </c>
      <c r="C135" s="13" t="s">
        <v>5133</v>
      </c>
      <c r="D135" s="59">
        <v>46327</v>
      </c>
      <c r="E135" s="6"/>
      <c r="F135" s="13">
        <v>134</v>
      </c>
    </row>
    <row r="136" spans="1:6" x14ac:dyDescent="0.4">
      <c r="A136" s="13" t="s">
        <v>2324</v>
      </c>
      <c r="B136" s="55" t="s">
        <v>2325</v>
      </c>
      <c r="C136" s="13" t="s">
        <v>5133</v>
      </c>
      <c r="D136" s="59">
        <v>46357</v>
      </c>
      <c r="E136" s="6"/>
      <c r="F136" s="54">
        <v>135</v>
      </c>
    </row>
    <row r="137" spans="1:6" x14ac:dyDescent="0.4">
      <c r="A137" s="13" t="s">
        <v>2324</v>
      </c>
      <c r="B137" s="55" t="s">
        <v>2325</v>
      </c>
      <c r="C137" s="13" t="s">
        <v>5133</v>
      </c>
      <c r="D137" s="59">
        <v>46388</v>
      </c>
      <c r="E137" s="6"/>
      <c r="F137" s="13">
        <v>136</v>
      </c>
    </row>
    <row r="138" spans="1:6" x14ac:dyDescent="0.4">
      <c r="A138" s="13" t="s">
        <v>2324</v>
      </c>
      <c r="B138" s="55" t="s">
        <v>2325</v>
      </c>
      <c r="C138" s="13" t="s">
        <v>5133</v>
      </c>
      <c r="D138" s="59">
        <v>46419</v>
      </c>
      <c r="E138" s="6"/>
      <c r="F138" s="54">
        <v>137</v>
      </c>
    </row>
    <row r="139" spans="1:6" x14ac:dyDescent="0.4">
      <c r="A139" s="13" t="s">
        <v>2324</v>
      </c>
      <c r="B139" s="55" t="s">
        <v>2325</v>
      </c>
      <c r="C139" s="13" t="s">
        <v>5133</v>
      </c>
      <c r="D139" s="59">
        <v>46447</v>
      </c>
      <c r="E139" s="6"/>
      <c r="F139" s="13">
        <v>138</v>
      </c>
    </row>
    <row r="140" spans="1:6" x14ac:dyDescent="0.4">
      <c r="A140" s="13" t="s">
        <v>2324</v>
      </c>
      <c r="B140" s="13" t="s">
        <v>2345</v>
      </c>
      <c r="C140" s="10" t="s">
        <v>25</v>
      </c>
      <c r="D140" s="59">
        <v>45778</v>
      </c>
      <c r="E140" s="31">
        <v>0</v>
      </c>
      <c r="F140" s="54">
        <v>139</v>
      </c>
    </row>
    <row r="141" spans="1:6" x14ac:dyDescent="0.4">
      <c r="A141" s="13" t="s">
        <v>2324</v>
      </c>
      <c r="B141" s="13" t="s">
        <v>2345</v>
      </c>
      <c r="C141" s="10" t="s">
        <v>25</v>
      </c>
      <c r="D141" s="59">
        <v>45809</v>
      </c>
      <c r="E141" s="31">
        <v>17820</v>
      </c>
      <c r="F141" s="13">
        <v>140</v>
      </c>
    </row>
    <row r="142" spans="1:6" x14ac:dyDescent="0.4">
      <c r="A142" s="13" t="s">
        <v>2324</v>
      </c>
      <c r="B142" s="13" t="s">
        <v>2345</v>
      </c>
      <c r="C142" s="10" t="s">
        <v>25</v>
      </c>
      <c r="D142" s="59">
        <v>45839</v>
      </c>
      <c r="E142" s="31">
        <v>543510</v>
      </c>
      <c r="F142" s="54">
        <v>141</v>
      </c>
    </row>
    <row r="143" spans="1:6" x14ac:dyDescent="0.4">
      <c r="A143" s="13" t="s">
        <v>2324</v>
      </c>
      <c r="B143" s="13" t="s">
        <v>2345</v>
      </c>
      <c r="C143" s="10" t="s">
        <v>25</v>
      </c>
      <c r="D143" s="59">
        <v>45870</v>
      </c>
      <c r="E143" s="31">
        <v>668250</v>
      </c>
      <c r="F143" s="13">
        <v>142</v>
      </c>
    </row>
    <row r="144" spans="1:6" x14ac:dyDescent="0.4">
      <c r="A144" s="13" t="s">
        <v>2324</v>
      </c>
      <c r="B144" s="13" t="s">
        <v>2345</v>
      </c>
      <c r="C144" s="10" t="s">
        <v>25</v>
      </c>
      <c r="D144" s="59">
        <v>45901</v>
      </c>
      <c r="E144" s="31">
        <v>650430</v>
      </c>
      <c r="F144" s="54">
        <v>143</v>
      </c>
    </row>
    <row r="145" spans="1:6" x14ac:dyDescent="0.4">
      <c r="A145" s="13" t="s">
        <v>2324</v>
      </c>
      <c r="B145" s="13" t="s">
        <v>2345</v>
      </c>
      <c r="C145" s="10" t="s">
        <v>25</v>
      </c>
      <c r="D145" s="59">
        <v>45931</v>
      </c>
      <c r="E145" s="31">
        <v>124740</v>
      </c>
      <c r="F145" s="13">
        <v>144</v>
      </c>
    </row>
    <row r="146" spans="1:6" x14ac:dyDescent="0.4">
      <c r="A146" s="13" t="s">
        <v>2324</v>
      </c>
      <c r="B146" s="13" t="s">
        <v>2345</v>
      </c>
      <c r="C146" s="10" t="s">
        <v>25</v>
      </c>
      <c r="D146" s="59">
        <v>45962</v>
      </c>
      <c r="E146" s="31">
        <v>0</v>
      </c>
      <c r="F146" s="54">
        <v>145</v>
      </c>
    </row>
    <row r="147" spans="1:6" x14ac:dyDescent="0.4">
      <c r="A147" s="13" t="s">
        <v>2324</v>
      </c>
      <c r="B147" s="13" t="s">
        <v>2345</v>
      </c>
      <c r="C147" s="10" t="s">
        <v>25</v>
      </c>
      <c r="D147" s="59">
        <v>45992</v>
      </c>
      <c r="E147" s="31">
        <v>0</v>
      </c>
      <c r="F147" s="13">
        <v>146</v>
      </c>
    </row>
    <row r="148" spans="1:6" x14ac:dyDescent="0.4">
      <c r="A148" s="13" t="s">
        <v>2324</v>
      </c>
      <c r="B148" s="13" t="s">
        <v>2345</v>
      </c>
      <c r="C148" s="10" t="s">
        <v>25</v>
      </c>
      <c r="D148" s="59">
        <v>46023</v>
      </c>
      <c r="E148" s="31">
        <v>0</v>
      </c>
      <c r="F148" s="54">
        <v>147</v>
      </c>
    </row>
    <row r="149" spans="1:6" x14ac:dyDescent="0.4">
      <c r="A149" s="13" t="s">
        <v>2324</v>
      </c>
      <c r="B149" s="13" t="s">
        <v>2345</v>
      </c>
      <c r="C149" s="10" t="s">
        <v>25</v>
      </c>
      <c r="D149" s="59">
        <v>46054</v>
      </c>
      <c r="E149" s="31">
        <v>0</v>
      </c>
      <c r="F149" s="13">
        <v>148</v>
      </c>
    </row>
    <row r="150" spans="1:6" x14ac:dyDescent="0.4">
      <c r="A150" s="13" t="s">
        <v>2324</v>
      </c>
      <c r="B150" s="13" t="s">
        <v>2345</v>
      </c>
      <c r="C150" s="10" t="s">
        <v>25</v>
      </c>
      <c r="D150" s="59">
        <v>46082</v>
      </c>
      <c r="E150" s="31">
        <v>0</v>
      </c>
      <c r="F150" s="54">
        <v>149</v>
      </c>
    </row>
    <row r="151" spans="1:6" x14ac:dyDescent="0.4">
      <c r="A151" s="13" t="s">
        <v>2324</v>
      </c>
      <c r="B151" s="13" t="s">
        <v>2345</v>
      </c>
      <c r="C151" s="10" t="s">
        <v>25</v>
      </c>
      <c r="D151" s="59">
        <v>46113</v>
      </c>
      <c r="E151" s="31">
        <v>0</v>
      </c>
      <c r="F151" s="13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46143</v>
      </c>
      <c r="E152" s="31">
        <v>0</v>
      </c>
      <c r="F152" s="54">
        <v>151</v>
      </c>
    </row>
    <row r="153" spans="1:6" x14ac:dyDescent="0.4">
      <c r="A153" s="13" t="s">
        <v>2324</v>
      </c>
      <c r="B153" s="13" t="s">
        <v>2345</v>
      </c>
      <c r="C153" s="10" t="s">
        <v>25</v>
      </c>
      <c r="D153" s="59">
        <v>46174</v>
      </c>
      <c r="E153" s="31">
        <v>0</v>
      </c>
      <c r="F153" s="13">
        <v>152</v>
      </c>
    </row>
    <row r="154" spans="1:6" x14ac:dyDescent="0.4">
      <c r="A154" s="13" t="s">
        <v>2324</v>
      </c>
      <c r="B154" s="13" t="s">
        <v>2345</v>
      </c>
      <c r="C154" s="10" t="s">
        <v>25</v>
      </c>
      <c r="D154" s="59">
        <v>46204</v>
      </c>
      <c r="E154" s="31">
        <v>0</v>
      </c>
      <c r="F154" s="54">
        <v>153</v>
      </c>
    </row>
    <row r="155" spans="1:6" x14ac:dyDescent="0.4">
      <c r="A155" s="13" t="s">
        <v>2324</v>
      </c>
      <c r="B155" s="13" t="s">
        <v>2345</v>
      </c>
      <c r="C155" s="10" t="s">
        <v>25</v>
      </c>
      <c r="D155" s="59">
        <v>46235</v>
      </c>
      <c r="E155" s="31">
        <v>0</v>
      </c>
      <c r="F155" s="13">
        <v>154</v>
      </c>
    </row>
    <row r="156" spans="1:6" x14ac:dyDescent="0.4">
      <c r="A156" s="13" t="s">
        <v>2324</v>
      </c>
      <c r="B156" s="13" t="s">
        <v>2345</v>
      </c>
      <c r="C156" s="10" t="s">
        <v>25</v>
      </c>
      <c r="D156" s="59">
        <v>46266</v>
      </c>
      <c r="E156" s="31">
        <v>0</v>
      </c>
      <c r="F156" s="54">
        <v>155</v>
      </c>
    </row>
    <row r="157" spans="1:6" x14ac:dyDescent="0.4">
      <c r="A157" s="13" t="s">
        <v>2324</v>
      </c>
      <c r="B157" s="13" t="s">
        <v>2345</v>
      </c>
      <c r="C157" s="10" t="s">
        <v>25</v>
      </c>
      <c r="D157" s="59">
        <v>46296</v>
      </c>
      <c r="E157" s="31">
        <v>0</v>
      </c>
      <c r="F157" s="13">
        <v>156</v>
      </c>
    </row>
    <row r="158" spans="1:6" x14ac:dyDescent="0.4">
      <c r="A158" s="13" t="s">
        <v>2324</v>
      </c>
      <c r="B158" s="13" t="s">
        <v>2345</v>
      </c>
      <c r="C158" s="10" t="s">
        <v>25</v>
      </c>
      <c r="D158" s="59">
        <v>46327</v>
      </c>
      <c r="E158" s="31">
        <v>0</v>
      </c>
      <c r="F158" s="54">
        <v>157</v>
      </c>
    </row>
    <row r="159" spans="1:6" x14ac:dyDescent="0.4">
      <c r="A159" s="13" t="s">
        <v>2324</v>
      </c>
      <c r="B159" s="13" t="s">
        <v>2345</v>
      </c>
      <c r="C159" s="10" t="s">
        <v>25</v>
      </c>
      <c r="D159" s="59">
        <v>46357</v>
      </c>
      <c r="E159" s="31">
        <v>0</v>
      </c>
      <c r="F159" s="13">
        <v>158</v>
      </c>
    </row>
    <row r="160" spans="1:6" x14ac:dyDescent="0.4">
      <c r="A160" s="13" t="s">
        <v>2324</v>
      </c>
      <c r="B160" s="13" t="s">
        <v>2345</v>
      </c>
      <c r="C160" s="10" t="s">
        <v>25</v>
      </c>
      <c r="D160" s="59">
        <v>46388</v>
      </c>
      <c r="E160" s="31">
        <v>0</v>
      </c>
      <c r="F160" s="54">
        <v>159</v>
      </c>
    </row>
    <row r="161" spans="1:6" x14ac:dyDescent="0.4">
      <c r="A161" s="13" t="s">
        <v>2324</v>
      </c>
      <c r="B161" s="13" t="s">
        <v>2345</v>
      </c>
      <c r="C161" s="10" t="s">
        <v>25</v>
      </c>
      <c r="D161" s="59">
        <v>46419</v>
      </c>
      <c r="E161" s="31">
        <v>0</v>
      </c>
      <c r="F161" s="13">
        <v>160</v>
      </c>
    </row>
    <row r="162" spans="1:6" x14ac:dyDescent="0.4">
      <c r="A162" s="13" t="s">
        <v>2324</v>
      </c>
      <c r="B162" s="13" t="s">
        <v>2345</v>
      </c>
      <c r="C162" s="10" t="s">
        <v>25</v>
      </c>
      <c r="D162" s="59">
        <v>46447</v>
      </c>
      <c r="E162" s="31">
        <v>0</v>
      </c>
      <c r="F162" s="54">
        <v>161</v>
      </c>
    </row>
    <row r="163" spans="1:6" x14ac:dyDescent="0.4">
      <c r="A163" s="13" t="s">
        <v>2324</v>
      </c>
      <c r="B163" s="13" t="s">
        <v>2345</v>
      </c>
      <c r="C163" s="13" t="s">
        <v>44</v>
      </c>
      <c r="D163" s="59">
        <v>45778</v>
      </c>
      <c r="E163" s="31">
        <v>0</v>
      </c>
      <c r="F163" s="13">
        <v>162</v>
      </c>
    </row>
    <row r="164" spans="1:6" x14ac:dyDescent="0.4">
      <c r="A164" s="13" t="s">
        <v>2324</v>
      </c>
      <c r="B164" s="13" t="s">
        <v>2345</v>
      </c>
      <c r="C164" s="13" t="s">
        <v>44</v>
      </c>
      <c r="D164" s="59">
        <v>45809</v>
      </c>
      <c r="E164" s="31">
        <v>77152.5</v>
      </c>
      <c r="F164" s="54">
        <v>163</v>
      </c>
    </row>
    <row r="165" spans="1:6" x14ac:dyDescent="0.4">
      <c r="A165" s="13" t="s">
        <v>2324</v>
      </c>
      <c r="B165" s="13" t="s">
        <v>2345</v>
      </c>
      <c r="C165" s="13" t="s">
        <v>44</v>
      </c>
      <c r="D165" s="59">
        <v>45839</v>
      </c>
      <c r="E165" s="31">
        <v>2811780</v>
      </c>
      <c r="F165" s="13">
        <v>164</v>
      </c>
    </row>
    <row r="166" spans="1:6" x14ac:dyDescent="0.4">
      <c r="A166" s="13" t="s">
        <v>2324</v>
      </c>
      <c r="B166" s="13" t="s">
        <v>2345</v>
      </c>
      <c r="C166" s="13" t="s">
        <v>44</v>
      </c>
      <c r="D166" s="59">
        <v>45870</v>
      </c>
      <c r="E166" s="31">
        <v>2863215</v>
      </c>
      <c r="F166" s="54">
        <v>165</v>
      </c>
    </row>
    <row r="167" spans="1:6" x14ac:dyDescent="0.4">
      <c r="A167" s="13" t="s">
        <v>2324</v>
      </c>
      <c r="B167" s="13" t="s">
        <v>2345</v>
      </c>
      <c r="C167" s="13" t="s">
        <v>44</v>
      </c>
      <c r="D167" s="59">
        <v>45901</v>
      </c>
      <c r="E167" s="31">
        <v>2906077.5</v>
      </c>
      <c r="F167" s="13">
        <v>166</v>
      </c>
    </row>
    <row r="168" spans="1:6" x14ac:dyDescent="0.4">
      <c r="A168" s="13" t="s">
        <v>2324</v>
      </c>
      <c r="B168" s="13" t="s">
        <v>2345</v>
      </c>
      <c r="C168" s="13" t="s">
        <v>44</v>
      </c>
      <c r="D168" s="59">
        <v>45931</v>
      </c>
      <c r="E168" s="31">
        <v>3146107.5</v>
      </c>
      <c r="F168" s="54">
        <v>167</v>
      </c>
    </row>
    <row r="169" spans="1:6" x14ac:dyDescent="0.4">
      <c r="A169" s="13" t="s">
        <v>2324</v>
      </c>
      <c r="B169" s="13" t="s">
        <v>2345</v>
      </c>
      <c r="C169" s="13" t="s">
        <v>44</v>
      </c>
      <c r="D169" s="59">
        <v>45962</v>
      </c>
      <c r="E169" s="31">
        <v>4029075</v>
      </c>
      <c r="F169" s="13">
        <v>168</v>
      </c>
    </row>
    <row r="170" spans="1:6" x14ac:dyDescent="0.4">
      <c r="A170" s="13" t="s">
        <v>2324</v>
      </c>
      <c r="B170" s="13" t="s">
        <v>2345</v>
      </c>
      <c r="C170" s="13" t="s">
        <v>44</v>
      </c>
      <c r="D170" s="59">
        <v>45992</v>
      </c>
      <c r="E170" s="31">
        <v>3960495</v>
      </c>
      <c r="F170" s="54">
        <v>169</v>
      </c>
    </row>
    <row r="171" spans="1:6" x14ac:dyDescent="0.4">
      <c r="A171" s="13" t="s">
        <v>2324</v>
      </c>
      <c r="B171" s="13" t="s">
        <v>2345</v>
      </c>
      <c r="C171" s="13" t="s">
        <v>44</v>
      </c>
      <c r="D171" s="59">
        <v>46023</v>
      </c>
      <c r="E171" s="31">
        <v>1225867.5</v>
      </c>
      <c r="F171" s="13">
        <v>170</v>
      </c>
    </row>
    <row r="172" spans="1:6" x14ac:dyDescent="0.4">
      <c r="A172" s="13" t="s">
        <v>2324</v>
      </c>
      <c r="B172" s="13" t="s">
        <v>2345</v>
      </c>
      <c r="C172" s="13" t="s">
        <v>44</v>
      </c>
      <c r="D172" s="59">
        <v>46054</v>
      </c>
      <c r="E172" s="31">
        <v>1174432.5</v>
      </c>
      <c r="F172" s="54">
        <v>171</v>
      </c>
    </row>
    <row r="173" spans="1:6" x14ac:dyDescent="0.4">
      <c r="A173" s="13" t="s">
        <v>2324</v>
      </c>
      <c r="B173" s="13" t="s">
        <v>2345</v>
      </c>
      <c r="C173" s="13" t="s">
        <v>44</v>
      </c>
      <c r="D173" s="59">
        <v>46082</v>
      </c>
      <c r="E173" s="31">
        <v>1131570</v>
      </c>
      <c r="F173" s="13">
        <v>172</v>
      </c>
    </row>
    <row r="174" spans="1:6" x14ac:dyDescent="0.4">
      <c r="A174" s="13" t="s">
        <v>2324</v>
      </c>
      <c r="B174" s="13" t="s">
        <v>2345</v>
      </c>
      <c r="C174" s="13" t="s">
        <v>44</v>
      </c>
      <c r="D174" s="59">
        <v>46113</v>
      </c>
      <c r="E174" s="31">
        <v>891540</v>
      </c>
      <c r="F174" s="54">
        <v>173</v>
      </c>
    </row>
    <row r="175" spans="1:6" x14ac:dyDescent="0.4">
      <c r="A175" s="13" t="s">
        <v>2324</v>
      </c>
      <c r="B175" s="13" t="s">
        <v>2345</v>
      </c>
      <c r="C175" s="13" t="s">
        <v>44</v>
      </c>
      <c r="D175" s="59">
        <v>46143</v>
      </c>
      <c r="E175" s="31">
        <v>8572.5</v>
      </c>
      <c r="F175" s="13">
        <v>174</v>
      </c>
    </row>
    <row r="176" spans="1:6" x14ac:dyDescent="0.4">
      <c r="A176" s="13" t="s">
        <v>2324</v>
      </c>
      <c r="B176" s="13" t="s">
        <v>2345</v>
      </c>
      <c r="C176" s="13" t="s">
        <v>44</v>
      </c>
      <c r="D176" s="59">
        <v>46174</v>
      </c>
      <c r="E176" s="31">
        <v>0</v>
      </c>
      <c r="F176" s="54">
        <v>175</v>
      </c>
    </row>
    <row r="177" spans="1:6" x14ac:dyDescent="0.4">
      <c r="A177" s="13" t="s">
        <v>2324</v>
      </c>
      <c r="B177" s="13" t="s">
        <v>2345</v>
      </c>
      <c r="C177" s="13" t="s">
        <v>44</v>
      </c>
      <c r="D177" s="59">
        <v>46204</v>
      </c>
      <c r="E177" s="31">
        <v>0</v>
      </c>
      <c r="F177" s="13">
        <v>176</v>
      </c>
    </row>
    <row r="178" spans="1:6" x14ac:dyDescent="0.4">
      <c r="A178" s="13" t="s">
        <v>2324</v>
      </c>
      <c r="B178" s="13" t="s">
        <v>2345</v>
      </c>
      <c r="C178" s="13" t="s">
        <v>44</v>
      </c>
      <c r="D178" s="59">
        <v>46235</v>
      </c>
      <c r="E178" s="31">
        <v>0</v>
      </c>
      <c r="F178" s="54">
        <v>177</v>
      </c>
    </row>
    <row r="179" spans="1:6" x14ac:dyDescent="0.4">
      <c r="A179" s="13" t="s">
        <v>2324</v>
      </c>
      <c r="B179" s="13" t="s">
        <v>2345</v>
      </c>
      <c r="C179" s="13" t="s">
        <v>44</v>
      </c>
      <c r="D179" s="59">
        <v>46266</v>
      </c>
      <c r="E179" s="31">
        <v>0</v>
      </c>
      <c r="F179" s="13">
        <v>178</v>
      </c>
    </row>
    <row r="180" spans="1:6" x14ac:dyDescent="0.4">
      <c r="A180" s="13" t="s">
        <v>2324</v>
      </c>
      <c r="B180" s="13" t="s">
        <v>2345</v>
      </c>
      <c r="C180" s="13" t="s">
        <v>44</v>
      </c>
      <c r="D180" s="59">
        <v>46296</v>
      </c>
      <c r="E180" s="31">
        <v>0</v>
      </c>
      <c r="F180" s="54">
        <v>179</v>
      </c>
    </row>
    <row r="181" spans="1:6" x14ac:dyDescent="0.4">
      <c r="A181" s="13" t="s">
        <v>2324</v>
      </c>
      <c r="B181" s="13" t="s">
        <v>2345</v>
      </c>
      <c r="C181" s="13" t="s">
        <v>44</v>
      </c>
      <c r="D181" s="59">
        <v>46327</v>
      </c>
      <c r="E181" s="31">
        <v>0</v>
      </c>
      <c r="F181" s="13">
        <v>180</v>
      </c>
    </row>
    <row r="182" spans="1:6" x14ac:dyDescent="0.4">
      <c r="A182" s="13" t="s">
        <v>2324</v>
      </c>
      <c r="B182" s="13" t="s">
        <v>2345</v>
      </c>
      <c r="C182" s="13" t="s">
        <v>44</v>
      </c>
      <c r="D182" s="59">
        <v>46357</v>
      </c>
      <c r="E182" s="31">
        <v>0</v>
      </c>
      <c r="F182" s="54">
        <v>181</v>
      </c>
    </row>
    <row r="183" spans="1:6" x14ac:dyDescent="0.4">
      <c r="A183" s="13" t="s">
        <v>2324</v>
      </c>
      <c r="B183" s="13" t="s">
        <v>2345</v>
      </c>
      <c r="C183" s="13" t="s">
        <v>44</v>
      </c>
      <c r="D183" s="59">
        <v>46388</v>
      </c>
      <c r="E183" s="31">
        <v>0</v>
      </c>
      <c r="F183" s="13">
        <v>182</v>
      </c>
    </row>
    <row r="184" spans="1:6" x14ac:dyDescent="0.4">
      <c r="A184" s="13" t="s">
        <v>2324</v>
      </c>
      <c r="B184" s="13" t="s">
        <v>2345</v>
      </c>
      <c r="C184" s="13" t="s">
        <v>44</v>
      </c>
      <c r="D184" s="59">
        <v>46419</v>
      </c>
      <c r="E184" s="31">
        <v>0</v>
      </c>
      <c r="F184" s="54">
        <v>183</v>
      </c>
    </row>
    <row r="185" spans="1:6" x14ac:dyDescent="0.4">
      <c r="A185" s="13" t="s">
        <v>2324</v>
      </c>
      <c r="B185" s="13" t="s">
        <v>2345</v>
      </c>
      <c r="C185" s="13" t="s">
        <v>44</v>
      </c>
      <c r="D185" s="59">
        <v>46447</v>
      </c>
      <c r="E185" s="31">
        <v>0</v>
      </c>
      <c r="F185" s="13">
        <v>184</v>
      </c>
    </row>
    <row r="186" spans="1:6" x14ac:dyDescent="0.4">
      <c r="A186" s="13" t="s">
        <v>2324</v>
      </c>
      <c r="B186" s="13" t="s">
        <v>2345</v>
      </c>
      <c r="C186" s="13" t="s">
        <v>1944</v>
      </c>
      <c r="D186" s="59">
        <v>45778</v>
      </c>
      <c r="E186" s="31">
        <v>0</v>
      </c>
      <c r="F186" s="54">
        <v>185</v>
      </c>
    </row>
    <row r="187" spans="1:6" x14ac:dyDescent="0.4">
      <c r="A187" s="13" t="s">
        <v>2324</v>
      </c>
      <c r="B187" s="13" t="s">
        <v>2345</v>
      </c>
      <c r="C187" s="13" t="s">
        <v>1944</v>
      </c>
      <c r="D187" s="59">
        <v>45809</v>
      </c>
      <c r="E187" s="31">
        <v>12737.2</v>
      </c>
      <c r="F187" s="13">
        <v>186</v>
      </c>
    </row>
    <row r="188" spans="1:6" x14ac:dyDescent="0.4">
      <c r="A188" s="13" t="s">
        <v>2324</v>
      </c>
      <c r="B188" s="13" t="s">
        <v>2345</v>
      </c>
      <c r="C188" s="13" t="s">
        <v>1944</v>
      </c>
      <c r="D188" s="59">
        <v>45839</v>
      </c>
      <c r="E188" s="31">
        <v>12737.2</v>
      </c>
      <c r="F188" s="54">
        <v>187</v>
      </c>
    </row>
    <row r="189" spans="1:6" x14ac:dyDescent="0.4">
      <c r="A189" s="13" t="s">
        <v>2324</v>
      </c>
      <c r="B189" s="13" t="s">
        <v>2345</v>
      </c>
      <c r="C189" s="13" t="s">
        <v>1944</v>
      </c>
      <c r="D189" s="59">
        <v>45870</v>
      </c>
      <c r="E189" s="31">
        <v>16983</v>
      </c>
      <c r="F189" s="13">
        <v>188</v>
      </c>
    </row>
    <row r="190" spans="1:6" x14ac:dyDescent="0.4">
      <c r="A190" s="13" t="s">
        <v>2324</v>
      </c>
      <c r="B190" s="13" t="s">
        <v>2345</v>
      </c>
      <c r="C190" s="13" t="s">
        <v>1944</v>
      </c>
      <c r="D190" s="59">
        <v>45901</v>
      </c>
      <c r="E190" s="31">
        <v>84915</v>
      </c>
      <c r="F190" s="54">
        <v>189</v>
      </c>
    </row>
    <row r="191" spans="1:6" x14ac:dyDescent="0.4">
      <c r="A191" s="13" t="s">
        <v>2324</v>
      </c>
      <c r="B191" s="13" t="s">
        <v>2345</v>
      </c>
      <c r="C191" s="13" t="s">
        <v>1944</v>
      </c>
      <c r="D191" s="59">
        <v>45931</v>
      </c>
      <c r="E191" s="31">
        <v>84915</v>
      </c>
      <c r="F191" s="13">
        <v>190</v>
      </c>
    </row>
    <row r="192" spans="1:6" x14ac:dyDescent="0.4">
      <c r="A192" s="13" t="s">
        <v>2324</v>
      </c>
      <c r="B192" s="13" t="s">
        <v>2345</v>
      </c>
      <c r="C192" s="13" t="s">
        <v>1944</v>
      </c>
      <c r="D192" s="59">
        <v>45962</v>
      </c>
      <c r="E192" s="31">
        <v>84915</v>
      </c>
      <c r="F192" s="54">
        <v>191</v>
      </c>
    </row>
    <row r="193" spans="1:6" x14ac:dyDescent="0.4">
      <c r="A193" s="13" t="s">
        <v>2324</v>
      </c>
      <c r="B193" s="13" t="s">
        <v>2345</v>
      </c>
      <c r="C193" s="13" t="s">
        <v>1944</v>
      </c>
      <c r="D193" s="59">
        <v>45992</v>
      </c>
      <c r="E193" s="31">
        <v>84915</v>
      </c>
      <c r="F193" s="13">
        <v>192</v>
      </c>
    </row>
    <row r="194" spans="1:6" x14ac:dyDescent="0.4">
      <c r="A194" s="13" t="s">
        <v>2324</v>
      </c>
      <c r="B194" s="13" t="s">
        <v>2345</v>
      </c>
      <c r="C194" s="13" t="s">
        <v>1944</v>
      </c>
      <c r="D194" s="59">
        <v>46023</v>
      </c>
      <c r="E194" s="31">
        <v>89160.7</v>
      </c>
      <c r="F194" s="54">
        <v>193</v>
      </c>
    </row>
    <row r="195" spans="1:6" x14ac:dyDescent="0.4">
      <c r="A195" s="13" t="s">
        <v>2324</v>
      </c>
      <c r="B195" s="13" t="s">
        <v>2345</v>
      </c>
      <c r="C195" s="13" t="s">
        <v>1944</v>
      </c>
      <c r="D195" s="59">
        <v>46054</v>
      </c>
      <c r="E195" s="31">
        <v>89160.7</v>
      </c>
      <c r="F195" s="13">
        <v>194</v>
      </c>
    </row>
    <row r="196" spans="1:6" x14ac:dyDescent="0.4">
      <c r="A196" s="13" t="s">
        <v>2324</v>
      </c>
      <c r="B196" s="13" t="s">
        <v>2345</v>
      </c>
      <c r="C196" s="13" t="s">
        <v>1944</v>
      </c>
      <c r="D196" s="59">
        <v>46082</v>
      </c>
      <c r="E196" s="31">
        <v>131618.20000000001</v>
      </c>
      <c r="F196" s="54">
        <v>195</v>
      </c>
    </row>
    <row r="197" spans="1:6" x14ac:dyDescent="0.4">
      <c r="A197" s="13" t="s">
        <v>2324</v>
      </c>
      <c r="B197" s="13" t="s">
        <v>2345</v>
      </c>
      <c r="C197" s="13" t="s">
        <v>1944</v>
      </c>
      <c r="D197" s="59">
        <v>46113</v>
      </c>
      <c r="E197" s="31">
        <v>131618.20000000001</v>
      </c>
      <c r="F197" s="13">
        <v>196</v>
      </c>
    </row>
    <row r="198" spans="1:6" x14ac:dyDescent="0.4">
      <c r="A198" s="13" t="s">
        <v>2324</v>
      </c>
      <c r="B198" s="13" t="s">
        <v>2345</v>
      </c>
      <c r="C198" s="13" t="s">
        <v>1944</v>
      </c>
      <c r="D198" s="59">
        <v>46143</v>
      </c>
      <c r="E198" s="31">
        <v>131618.20000000001</v>
      </c>
      <c r="F198" s="54">
        <v>197</v>
      </c>
    </row>
    <row r="199" spans="1:6" x14ac:dyDescent="0.4">
      <c r="A199" s="13" t="s">
        <v>2324</v>
      </c>
      <c r="B199" s="13" t="s">
        <v>2345</v>
      </c>
      <c r="C199" s="13" t="s">
        <v>1944</v>
      </c>
      <c r="D199" s="59">
        <v>46174</v>
      </c>
      <c r="E199" s="31">
        <v>118881</v>
      </c>
      <c r="F199" s="13">
        <v>198</v>
      </c>
    </row>
    <row r="200" spans="1:6" x14ac:dyDescent="0.4">
      <c r="A200" s="13" t="s">
        <v>2324</v>
      </c>
      <c r="B200" s="13" t="s">
        <v>2345</v>
      </c>
      <c r="C200" s="13" t="s">
        <v>1944</v>
      </c>
      <c r="D200" s="59">
        <v>46204</v>
      </c>
      <c r="E200" s="31">
        <v>118881</v>
      </c>
      <c r="F200" s="54">
        <v>199</v>
      </c>
    </row>
    <row r="201" spans="1:6" x14ac:dyDescent="0.4">
      <c r="A201" s="13" t="s">
        <v>2324</v>
      </c>
      <c r="B201" s="13" t="s">
        <v>2345</v>
      </c>
      <c r="C201" s="13" t="s">
        <v>1944</v>
      </c>
      <c r="D201" s="59">
        <v>46235</v>
      </c>
      <c r="E201" s="31">
        <v>114635.2</v>
      </c>
      <c r="F201" s="13">
        <v>200</v>
      </c>
    </row>
    <row r="202" spans="1:6" x14ac:dyDescent="0.4">
      <c r="A202" s="13" t="s">
        <v>2324</v>
      </c>
      <c r="B202" s="13" t="s">
        <v>2345</v>
      </c>
      <c r="C202" s="13" t="s">
        <v>1944</v>
      </c>
      <c r="D202" s="59">
        <v>46266</v>
      </c>
      <c r="E202" s="31">
        <v>46703.199999999997</v>
      </c>
      <c r="F202" s="54">
        <v>201</v>
      </c>
    </row>
    <row r="203" spans="1:6" x14ac:dyDescent="0.4">
      <c r="A203" s="13" t="s">
        <v>2324</v>
      </c>
      <c r="B203" s="13" t="s">
        <v>2345</v>
      </c>
      <c r="C203" s="13" t="s">
        <v>1944</v>
      </c>
      <c r="D203" s="59">
        <v>46296</v>
      </c>
      <c r="E203" s="31">
        <v>46703.199999999997</v>
      </c>
      <c r="F203" s="13">
        <v>202</v>
      </c>
    </row>
    <row r="204" spans="1:6" x14ac:dyDescent="0.4">
      <c r="A204" s="13" t="s">
        <v>2324</v>
      </c>
      <c r="B204" s="13" t="s">
        <v>2345</v>
      </c>
      <c r="C204" s="13" t="s">
        <v>1944</v>
      </c>
      <c r="D204" s="59">
        <v>46327</v>
      </c>
      <c r="E204" s="31">
        <v>46703.199999999997</v>
      </c>
      <c r="F204" s="54">
        <v>203</v>
      </c>
    </row>
    <row r="205" spans="1:6" x14ac:dyDescent="0.4">
      <c r="A205" s="13" t="s">
        <v>2324</v>
      </c>
      <c r="B205" s="13" t="s">
        <v>2345</v>
      </c>
      <c r="C205" s="13" t="s">
        <v>1944</v>
      </c>
      <c r="D205" s="59">
        <v>46357</v>
      </c>
      <c r="E205" s="31">
        <v>46703.199999999997</v>
      </c>
      <c r="F205" s="13">
        <v>204</v>
      </c>
    </row>
    <row r="206" spans="1:6" x14ac:dyDescent="0.4">
      <c r="A206" s="13" t="s">
        <v>2324</v>
      </c>
      <c r="B206" s="13" t="s">
        <v>2345</v>
      </c>
      <c r="C206" s="13" t="s">
        <v>1944</v>
      </c>
      <c r="D206" s="59">
        <v>46388</v>
      </c>
      <c r="E206" s="31">
        <v>42457.5</v>
      </c>
      <c r="F206" s="54">
        <v>205</v>
      </c>
    </row>
    <row r="207" spans="1:6" x14ac:dyDescent="0.4">
      <c r="A207" s="13" t="s">
        <v>2324</v>
      </c>
      <c r="B207" s="13" t="s">
        <v>2345</v>
      </c>
      <c r="C207" s="13" t="s">
        <v>1944</v>
      </c>
      <c r="D207" s="59">
        <v>46419</v>
      </c>
      <c r="E207" s="31">
        <v>42457.5</v>
      </c>
      <c r="F207" s="13">
        <v>206</v>
      </c>
    </row>
    <row r="208" spans="1:6" x14ac:dyDescent="0.4">
      <c r="A208" s="13" t="s">
        <v>2324</v>
      </c>
      <c r="B208" s="13" t="s">
        <v>2345</v>
      </c>
      <c r="C208" s="13" t="s">
        <v>1944</v>
      </c>
      <c r="D208" s="59">
        <v>46447</v>
      </c>
      <c r="E208" s="31">
        <v>0</v>
      </c>
      <c r="F208" s="54">
        <v>207</v>
      </c>
    </row>
    <row r="209" spans="1:6" x14ac:dyDescent="0.4">
      <c r="A209" s="13" t="s">
        <v>2324</v>
      </c>
      <c r="B209" s="13" t="s">
        <v>2345</v>
      </c>
      <c r="C209" s="13" t="s">
        <v>70</v>
      </c>
      <c r="D209" s="59">
        <v>45778</v>
      </c>
      <c r="E209" s="31">
        <v>0</v>
      </c>
      <c r="F209" s="13">
        <v>208</v>
      </c>
    </row>
    <row r="210" spans="1:6" x14ac:dyDescent="0.4">
      <c r="A210" s="13" t="s">
        <v>2324</v>
      </c>
      <c r="B210" s="13" t="s">
        <v>2345</v>
      </c>
      <c r="C210" s="13" t="s">
        <v>70</v>
      </c>
      <c r="D210" s="59">
        <v>45809</v>
      </c>
      <c r="E210" s="31">
        <v>0</v>
      </c>
      <c r="F210" s="54">
        <v>209</v>
      </c>
    </row>
    <row r="211" spans="1:6" x14ac:dyDescent="0.4">
      <c r="A211" s="13" t="s">
        <v>2324</v>
      </c>
      <c r="B211" s="13" t="s">
        <v>2345</v>
      </c>
      <c r="C211" s="13" t="s">
        <v>70</v>
      </c>
      <c r="D211" s="59">
        <v>45839</v>
      </c>
      <c r="E211" s="31">
        <v>26730</v>
      </c>
      <c r="F211" s="13">
        <v>210</v>
      </c>
    </row>
    <row r="212" spans="1:6" x14ac:dyDescent="0.4">
      <c r="A212" s="13" t="s">
        <v>2324</v>
      </c>
      <c r="B212" s="13" t="s">
        <v>2345</v>
      </c>
      <c r="C212" s="13" t="s">
        <v>70</v>
      </c>
      <c r="D212" s="59">
        <v>45870</v>
      </c>
      <c r="E212" s="31">
        <v>26730</v>
      </c>
      <c r="F212" s="54">
        <v>211</v>
      </c>
    </row>
    <row r="213" spans="1:6" x14ac:dyDescent="0.4">
      <c r="A213" s="13" t="s">
        <v>2324</v>
      </c>
      <c r="B213" s="13" t="s">
        <v>2345</v>
      </c>
      <c r="C213" s="13" t="s">
        <v>70</v>
      </c>
      <c r="D213" s="59">
        <v>45901</v>
      </c>
      <c r="E213" s="31">
        <v>26730</v>
      </c>
      <c r="F213" s="13">
        <v>212</v>
      </c>
    </row>
    <row r="214" spans="1:6" x14ac:dyDescent="0.4">
      <c r="A214" s="13" t="s">
        <v>2324</v>
      </c>
      <c r="B214" s="13" t="s">
        <v>2345</v>
      </c>
      <c r="C214" s="13" t="s">
        <v>70</v>
      </c>
      <c r="D214" s="59">
        <v>45931</v>
      </c>
      <c r="E214" s="31">
        <v>0</v>
      </c>
      <c r="F214" s="54">
        <v>213</v>
      </c>
    </row>
    <row r="215" spans="1:6" x14ac:dyDescent="0.4">
      <c r="A215" s="13" t="s">
        <v>2324</v>
      </c>
      <c r="B215" s="13" t="s">
        <v>2345</v>
      </c>
      <c r="C215" s="13" t="s">
        <v>70</v>
      </c>
      <c r="D215" s="59">
        <v>45962</v>
      </c>
      <c r="E215" s="31">
        <v>0</v>
      </c>
      <c r="F215" s="13">
        <v>214</v>
      </c>
    </row>
    <row r="216" spans="1:6" x14ac:dyDescent="0.4">
      <c r="A216" s="13" t="s">
        <v>2324</v>
      </c>
      <c r="B216" s="13" t="s">
        <v>2345</v>
      </c>
      <c r="C216" s="13" t="s">
        <v>70</v>
      </c>
      <c r="D216" s="59">
        <v>45992</v>
      </c>
      <c r="E216" s="31">
        <v>0</v>
      </c>
      <c r="F216" s="54">
        <v>215</v>
      </c>
    </row>
    <row r="217" spans="1:6" x14ac:dyDescent="0.4">
      <c r="A217" s="13" t="s">
        <v>2324</v>
      </c>
      <c r="B217" s="13" t="s">
        <v>2345</v>
      </c>
      <c r="C217" s="13" t="s">
        <v>70</v>
      </c>
      <c r="D217" s="59">
        <v>46023</v>
      </c>
      <c r="E217" s="31">
        <v>0</v>
      </c>
      <c r="F217" s="13">
        <v>216</v>
      </c>
    </row>
    <row r="218" spans="1:6" x14ac:dyDescent="0.4">
      <c r="A218" s="13" t="s">
        <v>2324</v>
      </c>
      <c r="B218" s="13" t="s">
        <v>2345</v>
      </c>
      <c r="C218" s="13" t="s">
        <v>70</v>
      </c>
      <c r="D218" s="59">
        <v>46054</v>
      </c>
      <c r="E218" s="31">
        <v>0</v>
      </c>
      <c r="F218" s="54">
        <v>217</v>
      </c>
    </row>
    <row r="219" spans="1:6" x14ac:dyDescent="0.4">
      <c r="A219" s="13" t="s">
        <v>2324</v>
      </c>
      <c r="B219" s="13" t="s">
        <v>2345</v>
      </c>
      <c r="C219" s="13" t="s">
        <v>70</v>
      </c>
      <c r="D219" s="59">
        <v>46082</v>
      </c>
      <c r="E219" s="31">
        <v>0</v>
      </c>
      <c r="F219" s="13">
        <v>218</v>
      </c>
    </row>
    <row r="220" spans="1:6" x14ac:dyDescent="0.4">
      <c r="A220" s="13" t="s">
        <v>2324</v>
      </c>
      <c r="B220" s="13" t="s">
        <v>2345</v>
      </c>
      <c r="C220" s="13" t="s">
        <v>70</v>
      </c>
      <c r="D220" s="59">
        <v>46113</v>
      </c>
      <c r="E220" s="31">
        <v>0</v>
      </c>
      <c r="F220" s="54">
        <v>219</v>
      </c>
    </row>
    <row r="221" spans="1:6" x14ac:dyDescent="0.4">
      <c r="A221" s="13" t="s">
        <v>2324</v>
      </c>
      <c r="B221" s="13" t="s">
        <v>2345</v>
      </c>
      <c r="C221" s="13" t="s">
        <v>70</v>
      </c>
      <c r="D221" s="59">
        <v>46143</v>
      </c>
      <c r="E221" s="31">
        <v>0</v>
      </c>
      <c r="F221" s="13">
        <v>220</v>
      </c>
    </row>
    <row r="222" spans="1:6" x14ac:dyDescent="0.4">
      <c r="A222" s="13" t="s">
        <v>2324</v>
      </c>
      <c r="B222" s="13" t="s">
        <v>2345</v>
      </c>
      <c r="C222" s="13" t="s">
        <v>70</v>
      </c>
      <c r="D222" s="59">
        <v>46174</v>
      </c>
      <c r="E222" s="31">
        <v>0</v>
      </c>
      <c r="F222" s="54">
        <v>221</v>
      </c>
    </row>
    <row r="223" spans="1:6" x14ac:dyDescent="0.4">
      <c r="A223" s="13" t="s">
        <v>2324</v>
      </c>
      <c r="B223" s="13" t="s">
        <v>2345</v>
      </c>
      <c r="C223" s="13" t="s">
        <v>70</v>
      </c>
      <c r="D223" s="59">
        <v>46204</v>
      </c>
      <c r="E223" s="31">
        <v>0</v>
      </c>
      <c r="F223" s="13">
        <v>222</v>
      </c>
    </row>
    <row r="224" spans="1:6" x14ac:dyDescent="0.4">
      <c r="A224" s="13" t="s">
        <v>2324</v>
      </c>
      <c r="B224" s="13" t="s">
        <v>2345</v>
      </c>
      <c r="C224" s="13" t="s">
        <v>70</v>
      </c>
      <c r="D224" s="59">
        <v>46235</v>
      </c>
      <c r="E224" s="31">
        <v>0</v>
      </c>
      <c r="F224" s="54">
        <v>223</v>
      </c>
    </row>
    <row r="225" spans="1:6" x14ac:dyDescent="0.4">
      <c r="A225" s="13" t="s">
        <v>2324</v>
      </c>
      <c r="B225" s="13" t="s">
        <v>2345</v>
      </c>
      <c r="C225" s="13" t="s">
        <v>70</v>
      </c>
      <c r="D225" s="59">
        <v>46266</v>
      </c>
      <c r="E225" s="31">
        <v>0</v>
      </c>
      <c r="F225" s="13">
        <v>224</v>
      </c>
    </row>
    <row r="226" spans="1:6" x14ac:dyDescent="0.4">
      <c r="A226" s="13" t="s">
        <v>2324</v>
      </c>
      <c r="B226" s="13" t="s">
        <v>2345</v>
      </c>
      <c r="C226" s="13" t="s">
        <v>70</v>
      </c>
      <c r="D226" s="59">
        <v>46296</v>
      </c>
      <c r="E226" s="31">
        <v>0</v>
      </c>
      <c r="F226" s="54">
        <v>225</v>
      </c>
    </row>
    <row r="227" spans="1:6" x14ac:dyDescent="0.4">
      <c r="A227" s="13" t="s">
        <v>2324</v>
      </c>
      <c r="B227" s="13" t="s">
        <v>2345</v>
      </c>
      <c r="C227" s="13" t="s">
        <v>70</v>
      </c>
      <c r="D227" s="59">
        <v>46327</v>
      </c>
      <c r="E227" s="31">
        <v>0</v>
      </c>
      <c r="F227" s="13">
        <v>226</v>
      </c>
    </row>
    <row r="228" spans="1:6" x14ac:dyDescent="0.4">
      <c r="A228" s="13" t="s">
        <v>2324</v>
      </c>
      <c r="B228" s="13" t="s">
        <v>2345</v>
      </c>
      <c r="C228" s="13" t="s">
        <v>70</v>
      </c>
      <c r="D228" s="59">
        <v>46357</v>
      </c>
      <c r="E228" s="31">
        <v>0</v>
      </c>
      <c r="F228" s="54">
        <v>227</v>
      </c>
    </row>
    <row r="229" spans="1:6" x14ac:dyDescent="0.4">
      <c r="A229" s="13" t="s">
        <v>2324</v>
      </c>
      <c r="B229" s="13" t="s">
        <v>2345</v>
      </c>
      <c r="C229" s="13" t="s">
        <v>70</v>
      </c>
      <c r="D229" s="59">
        <v>46388</v>
      </c>
      <c r="E229" s="31">
        <v>0</v>
      </c>
      <c r="F229" s="13">
        <v>228</v>
      </c>
    </row>
    <row r="230" spans="1:6" x14ac:dyDescent="0.4">
      <c r="A230" s="13" t="s">
        <v>2324</v>
      </c>
      <c r="B230" s="13" t="s">
        <v>2345</v>
      </c>
      <c r="C230" s="13" t="s">
        <v>70</v>
      </c>
      <c r="D230" s="59">
        <v>46419</v>
      </c>
      <c r="E230" s="31">
        <v>0</v>
      </c>
      <c r="F230" s="54">
        <v>229</v>
      </c>
    </row>
    <row r="231" spans="1:6" x14ac:dyDescent="0.4">
      <c r="A231" s="13" t="s">
        <v>2324</v>
      </c>
      <c r="B231" s="13" t="s">
        <v>2345</v>
      </c>
      <c r="C231" s="13" t="s">
        <v>70</v>
      </c>
      <c r="D231" s="59">
        <v>46447</v>
      </c>
      <c r="E231" s="31">
        <v>0</v>
      </c>
      <c r="F231" s="13">
        <v>230</v>
      </c>
    </row>
    <row r="232" spans="1:6" x14ac:dyDescent="0.4">
      <c r="A232" s="13" t="s">
        <v>2324</v>
      </c>
      <c r="B232" s="13" t="s">
        <v>2345</v>
      </c>
      <c r="C232" s="13" t="s">
        <v>50</v>
      </c>
      <c r="D232" s="59">
        <v>45778</v>
      </c>
      <c r="E232" s="31">
        <v>0</v>
      </c>
      <c r="F232" s="54">
        <v>231</v>
      </c>
    </row>
    <row r="233" spans="1:6" x14ac:dyDescent="0.4">
      <c r="A233" s="13" t="s">
        <v>2324</v>
      </c>
      <c r="B233" s="13" t="s">
        <v>2345</v>
      </c>
      <c r="C233" s="13" t="s">
        <v>50</v>
      </c>
      <c r="D233" s="59">
        <v>45809</v>
      </c>
      <c r="E233" s="31">
        <v>0</v>
      </c>
      <c r="F233" s="13">
        <v>232</v>
      </c>
    </row>
    <row r="234" spans="1:6" x14ac:dyDescent="0.4">
      <c r="A234" s="13" t="s">
        <v>2324</v>
      </c>
      <c r="B234" s="13" t="s">
        <v>2345</v>
      </c>
      <c r="C234" s="13" t="s">
        <v>50</v>
      </c>
      <c r="D234" s="59">
        <v>45839</v>
      </c>
      <c r="E234" s="31">
        <v>188595</v>
      </c>
      <c r="F234" s="54">
        <v>233</v>
      </c>
    </row>
    <row r="235" spans="1:6" x14ac:dyDescent="0.4">
      <c r="A235" s="13" t="s">
        <v>2324</v>
      </c>
      <c r="B235" s="13" t="s">
        <v>2345</v>
      </c>
      <c r="C235" s="13" t="s">
        <v>50</v>
      </c>
      <c r="D235" s="59">
        <v>45870</v>
      </c>
      <c r="E235" s="31">
        <v>188595</v>
      </c>
      <c r="F235" s="13">
        <v>234</v>
      </c>
    </row>
    <row r="236" spans="1:6" x14ac:dyDescent="0.4">
      <c r="A236" s="13" t="s">
        <v>2324</v>
      </c>
      <c r="B236" s="13" t="s">
        <v>2345</v>
      </c>
      <c r="C236" s="13" t="s">
        <v>50</v>
      </c>
      <c r="D236" s="59">
        <v>45901</v>
      </c>
      <c r="E236" s="31">
        <v>188595</v>
      </c>
      <c r="F236" s="54">
        <v>235</v>
      </c>
    </row>
    <row r="237" spans="1:6" x14ac:dyDescent="0.4">
      <c r="A237" s="13" t="s">
        <v>2324</v>
      </c>
      <c r="B237" s="13" t="s">
        <v>2345</v>
      </c>
      <c r="C237" s="13" t="s">
        <v>50</v>
      </c>
      <c r="D237" s="59">
        <v>45931</v>
      </c>
      <c r="E237" s="31">
        <v>197167.5</v>
      </c>
      <c r="F237" s="13">
        <v>236</v>
      </c>
    </row>
    <row r="238" spans="1:6" x14ac:dyDescent="0.4">
      <c r="A238" s="13" t="s">
        <v>2324</v>
      </c>
      <c r="B238" s="13" t="s">
        <v>2345</v>
      </c>
      <c r="C238" s="13" t="s">
        <v>50</v>
      </c>
      <c r="D238" s="59">
        <v>45962</v>
      </c>
      <c r="E238" s="31">
        <v>240030</v>
      </c>
      <c r="F238" s="54">
        <v>237</v>
      </c>
    </row>
    <row r="239" spans="1:6" x14ac:dyDescent="0.4">
      <c r="A239" s="13" t="s">
        <v>2324</v>
      </c>
      <c r="B239" s="13" t="s">
        <v>2345</v>
      </c>
      <c r="C239" s="13" t="s">
        <v>50</v>
      </c>
      <c r="D239" s="59">
        <v>45992</v>
      </c>
      <c r="E239" s="31">
        <v>240030</v>
      </c>
      <c r="F239" s="13">
        <v>238</v>
      </c>
    </row>
    <row r="240" spans="1:6" x14ac:dyDescent="0.4">
      <c r="A240" s="13" t="s">
        <v>2324</v>
      </c>
      <c r="B240" s="13" t="s">
        <v>2345</v>
      </c>
      <c r="C240" s="13" t="s">
        <v>50</v>
      </c>
      <c r="D240" s="59">
        <v>46023</v>
      </c>
      <c r="E240" s="31">
        <v>51435</v>
      </c>
      <c r="F240" s="54">
        <v>239</v>
      </c>
    </row>
    <row r="241" spans="1:6" x14ac:dyDescent="0.4">
      <c r="A241" s="13" t="s">
        <v>2324</v>
      </c>
      <c r="B241" s="13" t="s">
        <v>2345</v>
      </c>
      <c r="C241" s="13" t="s">
        <v>50</v>
      </c>
      <c r="D241" s="59">
        <v>46054</v>
      </c>
      <c r="E241" s="31">
        <v>51435</v>
      </c>
      <c r="F241" s="13">
        <v>240</v>
      </c>
    </row>
    <row r="242" spans="1:6" x14ac:dyDescent="0.4">
      <c r="A242" s="13" t="s">
        <v>2324</v>
      </c>
      <c r="B242" s="13" t="s">
        <v>2345</v>
      </c>
      <c r="C242" s="13" t="s">
        <v>50</v>
      </c>
      <c r="D242" s="59">
        <v>46082</v>
      </c>
      <c r="E242" s="31">
        <v>51435</v>
      </c>
      <c r="F242" s="54">
        <v>241</v>
      </c>
    </row>
    <row r="243" spans="1:6" x14ac:dyDescent="0.4">
      <c r="A243" s="13" t="s">
        <v>2324</v>
      </c>
      <c r="B243" s="13" t="s">
        <v>2345</v>
      </c>
      <c r="C243" s="13" t="s">
        <v>50</v>
      </c>
      <c r="D243" s="59">
        <v>46113</v>
      </c>
      <c r="E243" s="31">
        <v>42862.5</v>
      </c>
      <c r="F243" s="13">
        <v>242</v>
      </c>
    </row>
    <row r="244" spans="1:6" x14ac:dyDescent="0.4">
      <c r="A244" s="13" t="s">
        <v>2324</v>
      </c>
      <c r="B244" s="13" t="s">
        <v>2345</v>
      </c>
      <c r="C244" s="13" t="s">
        <v>50</v>
      </c>
      <c r="D244" s="59">
        <v>46143</v>
      </c>
      <c r="E244" s="31">
        <v>0</v>
      </c>
      <c r="F244" s="54">
        <v>243</v>
      </c>
    </row>
    <row r="245" spans="1:6" x14ac:dyDescent="0.4">
      <c r="A245" s="13" t="s">
        <v>2324</v>
      </c>
      <c r="B245" s="13" t="s">
        <v>2345</v>
      </c>
      <c r="C245" s="13" t="s">
        <v>50</v>
      </c>
      <c r="D245" s="59">
        <v>46174</v>
      </c>
      <c r="E245" s="31">
        <v>0</v>
      </c>
      <c r="F245" s="13">
        <v>244</v>
      </c>
    </row>
    <row r="246" spans="1:6" x14ac:dyDescent="0.4">
      <c r="A246" s="13" t="s">
        <v>2324</v>
      </c>
      <c r="B246" s="13" t="s">
        <v>2345</v>
      </c>
      <c r="C246" s="13" t="s">
        <v>50</v>
      </c>
      <c r="D246" s="59">
        <v>46204</v>
      </c>
      <c r="E246" s="31">
        <v>0</v>
      </c>
      <c r="F246" s="54">
        <v>245</v>
      </c>
    </row>
    <row r="247" spans="1:6" x14ac:dyDescent="0.4">
      <c r="A247" s="13" t="s">
        <v>2324</v>
      </c>
      <c r="B247" s="13" t="s">
        <v>2345</v>
      </c>
      <c r="C247" s="13" t="s">
        <v>50</v>
      </c>
      <c r="D247" s="59">
        <v>46235</v>
      </c>
      <c r="E247" s="31">
        <v>0</v>
      </c>
      <c r="F247" s="13">
        <v>246</v>
      </c>
    </row>
    <row r="248" spans="1:6" x14ac:dyDescent="0.4">
      <c r="A248" s="13" t="s">
        <v>2324</v>
      </c>
      <c r="B248" s="13" t="s">
        <v>2345</v>
      </c>
      <c r="C248" s="13" t="s">
        <v>50</v>
      </c>
      <c r="D248" s="59">
        <v>46266</v>
      </c>
      <c r="E248" s="31">
        <v>0</v>
      </c>
      <c r="F248" s="54">
        <v>247</v>
      </c>
    </row>
    <row r="249" spans="1:6" x14ac:dyDescent="0.4">
      <c r="A249" s="13" t="s">
        <v>2324</v>
      </c>
      <c r="B249" s="13" t="s">
        <v>2345</v>
      </c>
      <c r="C249" s="13" t="s">
        <v>50</v>
      </c>
      <c r="D249" s="59">
        <v>46296</v>
      </c>
      <c r="E249" s="31">
        <v>0</v>
      </c>
      <c r="F249" s="13">
        <v>248</v>
      </c>
    </row>
    <row r="250" spans="1:6" x14ac:dyDescent="0.4">
      <c r="A250" s="13" t="s">
        <v>2324</v>
      </c>
      <c r="B250" s="13" t="s">
        <v>2345</v>
      </c>
      <c r="C250" s="13" t="s">
        <v>50</v>
      </c>
      <c r="D250" s="59">
        <v>46327</v>
      </c>
      <c r="E250" s="31">
        <v>0</v>
      </c>
      <c r="F250" s="54">
        <v>249</v>
      </c>
    </row>
    <row r="251" spans="1:6" x14ac:dyDescent="0.4">
      <c r="A251" s="13" t="s">
        <v>2324</v>
      </c>
      <c r="B251" s="13" t="s">
        <v>2345</v>
      </c>
      <c r="C251" s="13" t="s">
        <v>50</v>
      </c>
      <c r="D251" s="59">
        <v>46357</v>
      </c>
      <c r="E251" s="31">
        <v>0</v>
      </c>
      <c r="F251" s="13">
        <v>250</v>
      </c>
    </row>
    <row r="252" spans="1:6" x14ac:dyDescent="0.4">
      <c r="A252" s="13" t="s">
        <v>2324</v>
      </c>
      <c r="B252" s="13" t="s">
        <v>2345</v>
      </c>
      <c r="C252" s="13" t="s">
        <v>50</v>
      </c>
      <c r="D252" s="59">
        <v>46388</v>
      </c>
      <c r="E252" s="31">
        <v>0</v>
      </c>
      <c r="F252" s="54">
        <v>251</v>
      </c>
    </row>
    <row r="253" spans="1:6" x14ac:dyDescent="0.4">
      <c r="A253" s="13" t="s">
        <v>2324</v>
      </c>
      <c r="B253" s="13" t="s">
        <v>2345</v>
      </c>
      <c r="C253" s="13" t="s">
        <v>50</v>
      </c>
      <c r="D253" s="59">
        <v>46419</v>
      </c>
      <c r="E253" s="31">
        <v>0</v>
      </c>
      <c r="F253" s="13">
        <v>252</v>
      </c>
    </row>
    <row r="254" spans="1:6" x14ac:dyDescent="0.4">
      <c r="A254" s="13" t="s">
        <v>2324</v>
      </c>
      <c r="B254" s="13" t="s">
        <v>2345</v>
      </c>
      <c r="C254" s="13" t="s">
        <v>50</v>
      </c>
      <c r="D254" s="59">
        <v>46447</v>
      </c>
      <c r="E254" s="31">
        <v>0</v>
      </c>
      <c r="F254" s="54">
        <v>253</v>
      </c>
    </row>
    <row r="255" spans="1:6" x14ac:dyDescent="0.4">
      <c r="A255" s="13" t="s">
        <v>2324</v>
      </c>
      <c r="B255" s="13" t="s">
        <v>2345</v>
      </c>
      <c r="C255" s="13" t="s">
        <v>5133</v>
      </c>
      <c r="D255" s="59">
        <v>45778</v>
      </c>
      <c r="E255" s="31">
        <v>0</v>
      </c>
      <c r="F255" s="13">
        <v>254</v>
      </c>
    </row>
    <row r="256" spans="1:6" x14ac:dyDescent="0.4">
      <c r="A256" s="13" t="s">
        <v>2324</v>
      </c>
      <c r="B256" s="13" t="s">
        <v>2345</v>
      </c>
      <c r="C256" s="13" t="s">
        <v>5133</v>
      </c>
      <c r="D256" s="59">
        <v>45809</v>
      </c>
      <c r="E256" s="31">
        <v>0</v>
      </c>
      <c r="F256" s="54">
        <v>255</v>
      </c>
    </row>
    <row r="257" spans="1:6" x14ac:dyDescent="0.4">
      <c r="A257" s="13" t="s">
        <v>2324</v>
      </c>
      <c r="B257" s="13" t="s">
        <v>2345</v>
      </c>
      <c r="C257" s="13" t="s">
        <v>5133</v>
      </c>
      <c r="D257" s="59">
        <v>45839</v>
      </c>
      <c r="E257" s="31">
        <v>0</v>
      </c>
      <c r="F257" s="13">
        <v>256</v>
      </c>
    </row>
    <row r="258" spans="1:6" x14ac:dyDescent="0.4">
      <c r="A258" s="13" t="s">
        <v>2324</v>
      </c>
      <c r="B258" s="13" t="s">
        <v>2345</v>
      </c>
      <c r="C258" s="13" t="s">
        <v>5133</v>
      </c>
      <c r="D258" s="59">
        <v>45870</v>
      </c>
      <c r="E258" s="31">
        <v>0</v>
      </c>
      <c r="F258" s="54">
        <v>257</v>
      </c>
    </row>
    <row r="259" spans="1:6" x14ac:dyDescent="0.4">
      <c r="A259" s="13" t="s">
        <v>2324</v>
      </c>
      <c r="B259" s="13" t="s">
        <v>2345</v>
      </c>
      <c r="C259" s="13" t="s">
        <v>5133</v>
      </c>
      <c r="D259" s="59">
        <v>45901</v>
      </c>
      <c r="E259" s="31">
        <v>12737.2</v>
      </c>
      <c r="F259" s="13">
        <v>258</v>
      </c>
    </row>
    <row r="260" spans="1:6" x14ac:dyDescent="0.4">
      <c r="A260" s="13" t="s">
        <v>2324</v>
      </c>
      <c r="B260" s="13" t="s">
        <v>2345</v>
      </c>
      <c r="C260" s="13" t="s">
        <v>5133</v>
      </c>
      <c r="D260" s="59">
        <v>45931</v>
      </c>
      <c r="E260" s="31">
        <v>12737.2</v>
      </c>
      <c r="F260" s="54">
        <v>259</v>
      </c>
    </row>
    <row r="261" spans="1:6" x14ac:dyDescent="0.4">
      <c r="A261" s="13" t="s">
        <v>2324</v>
      </c>
      <c r="B261" s="13" t="s">
        <v>2345</v>
      </c>
      <c r="C261" s="13" t="s">
        <v>5133</v>
      </c>
      <c r="D261" s="59">
        <v>45962</v>
      </c>
      <c r="E261" s="31">
        <v>12737.2</v>
      </c>
      <c r="F261" s="13">
        <v>260</v>
      </c>
    </row>
    <row r="262" spans="1:6" x14ac:dyDescent="0.4">
      <c r="A262" s="13" t="s">
        <v>2324</v>
      </c>
      <c r="B262" s="13" t="s">
        <v>2345</v>
      </c>
      <c r="C262" s="13" t="s">
        <v>5133</v>
      </c>
      <c r="D262" s="59">
        <v>45992</v>
      </c>
      <c r="E262" s="31">
        <v>12737.2</v>
      </c>
      <c r="F262" s="54">
        <v>261</v>
      </c>
    </row>
    <row r="263" spans="1:6" x14ac:dyDescent="0.4">
      <c r="A263" s="13" t="s">
        <v>2324</v>
      </c>
      <c r="B263" s="13" t="s">
        <v>2345</v>
      </c>
      <c r="C263" s="13" t="s">
        <v>5133</v>
      </c>
      <c r="D263" s="59">
        <v>46023</v>
      </c>
      <c r="E263" s="31">
        <v>12737.2</v>
      </c>
      <c r="F263" s="13">
        <v>262</v>
      </c>
    </row>
    <row r="264" spans="1:6" x14ac:dyDescent="0.4">
      <c r="A264" s="13" t="s">
        <v>2324</v>
      </c>
      <c r="B264" s="13" t="s">
        <v>2345</v>
      </c>
      <c r="C264" s="13" t="s">
        <v>5133</v>
      </c>
      <c r="D264" s="59">
        <v>46054</v>
      </c>
      <c r="E264" s="31">
        <v>12737.2</v>
      </c>
      <c r="F264" s="54">
        <v>263</v>
      </c>
    </row>
    <row r="265" spans="1:6" x14ac:dyDescent="0.4">
      <c r="A265" s="13" t="s">
        <v>2324</v>
      </c>
      <c r="B265" s="13" t="s">
        <v>2345</v>
      </c>
      <c r="C265" s="13" t="s">
        <v>5133</v>
      </c>
      <c r="D265" s="59">
        <v>46082</v>
      </c>
      <c r="E265" s="31">
        <v>12737.2</v>
      </c>
      <c r="F265" s="13">
        <v>264</v>
      </c>
    </row>
    <row r="266" spans="1:6" x14ac:dyDescent="0.4">
      <c r="A266" s="13" t="s">
        <v>2324</v>
      </c>
      <c r="B266" s="13" t="s">
        <v>2345</v>
      </c>
      <c r="C266" s="13" t="s">
        <v>5133</v>
      </c>
      <c r="D266" s="59">
        <v>46113</v>
      </c>
      <c r="E266" s="31">
        <v>12737.2</v>
      </c>
      <c r="F266" s="54">
        <v>265</v>
      </c>
    </row>
    <row r="267" spans="1:6" x14ac:dyDescent="0.4">
      <c r="A267" s="13" t="s">
        <v>2324</v>
      </c>
      <c r="B267" s="13" t="s">
        <v>2345</v>
      </c>
      <c r="C267" s="13" t="s">
        <v>5133</v>
      </c>
      <c r="D267" s="59">
        <v>46143</v>
      </c>
      <c r="E267" s="31">
        <v>12737.2</v>
      </c>
      <c r="F267" s="13">
        <v>266</v>
      </c>
    </row>
    <row r="268" spans="1:6" x14ac:dyDescent="0.4">
      <c r="A268" s="13" t="s">
        <v>2324</v>
      </c>
      <c r="B268" s="13" t="s">
        <v>2345</v>
      </c>
      <c r="C268" s="13" t="s">
        <v>5133</v>
      </c>
      <c r="D268" s="59">
        <v>46174</v>
      </c>
      <c r="E268" s="31">
        <v>12737.2</v>
      </c>
      <c r="F268" s="54">
        <v>267</v>
      </c>
    </row>
    <row r="269" spans="1:6" x14ac:dyDescent="0.4">
      <c r="A269" s="13" t="s">
        <v>2324</v>
      </c>
      <c r="B269" s="13" t="s">
        <v>2345</v>
      </c>
      <c r="C269" s="13" t="s">
        <v>5133</v>
      </c>
      <c r="D269" s="59">
        <v>46204</v>
      </c>
      <c r="E269" s="31">
        <v>12737.2</v>
      </c>
      <c r="F269" s="13">
        <v>268</v>
      </c>
    </row>
    <row r="270" spans="1:6" x14ac:dyDescent="0.4">
      <c r="A270" s="13" t="s">
        <v>2324</v>
      </c>
      <c r="B270" s="13" t="s">
        <v>2345</v>
      </c>
      <c r="C270" s="13" t="s">
        <v>5133</v>
      </c>
      <c r="D270" s="59">
        <v>46235</v>
      </c>
      <c r="E270" s="31">
        <v>12737.2</v>
      </c>
      <c r="F270" s="54">
        <v>269</v>
      </c>
    </row>
    <row r="271" spans="1:6" x14ac:dyDescent="0.4">
      <c r="A271" s="13" t="s">
        <v>2324</v>
      </c>
      <c r="B271" s="13" t="s">
        <v>2345</v>
      </c>
      <c r="C271" s="13" t="s">
        <v>5133</v>
      </c>
      <c r="D271" s="59">
        <v>46266</v>
      </c>
      <c r="E271" s="31">
        <v>0</v>
      </c>
      <c r="F271" s="13">
        <v>270</v>
      </c>
    </row>
    <row r="272" spans="1:6" x14ac:dyDescent="0.4">
      <c r="A272" s="13" t="s">
        <v>2324</v>
      </c>
      <c r="B272" s="13" t="s">
        <v>2345</v>
      </c>
      <c r="C272" s="13" t="s">
        <v>5133</v>
      </c>
      <c r="D272" s="59">
        <v>46296</v>
      </c>
      <c r="E272" s="31">
        <v>0</v>
      </c>
      <c r="F272" s="54">
        <v>271</v>
      </c>
    </row>
    <row r="273" spans="1:6" x14ac:dyDescent="0.4">
      <c r="A273" s="13" t="s">
        <v>2324</v>
      </c>
      <c r="B273" s="13" t="s">
        <v>2345</v>
      </c>
      <c r="C273" s="13" t="s">
        <v>5133</v>
      </c>
      <c r="D273" s="59">
        <v>46327</v>
      </c>
      <c r="E273" s="31">
        <v>0</v>
      </c>
      <c r="F273" s="13">
        <v>272</v>
      </c>
    </row>
    <row r="274" spans="1:6" x14ac:dyDescent="0.4">
      <c r="A274" s="13" t="s">
        <v>2324</v>
      </c>
      <c r="B274" s="13" t="s">
        <v>2345</v>
      </c>
      <c r="C274" s="13" t="s">
        <v>5133</v>
      </c>
      <c r="D274" s="59">
        <v>46357</v>
      </c>
      <c r="E274" s="31">
        <v>0</v>
      </c>
      <c r="F274" s="54">
        <v>273</v>
      </c>
    </row>
    <row r="275" spans="1:6" x14ac:dyDescent="0.4">
      <c r="A275" s="13" t="s">
        <v>2324</v>
      </c>
      <c r="B275" s="13" t="s">
        <v>2345</v>
      </c>
      <c r="C275" s="13" t="s">
        <v>5133</v>
      </c>
      <c r="D275" s="59">
        <v>46388</v>
      </c>
      <c r="E275" s="31">
        <v>0</v>
      </c>
      <c r="F275" s="13">
        <v>274</v>
      </c>
    </row>
    <row r="276" spans="1:6" x14ac:dyDescent="0.4">
      <c r="A276" s="13" t="s">
        <v>2324</v>
      </c>
      <c r="B276" s="13" t="s">
        <v>2345</v>
      </c>
      <c r="C276" s="13" t="s">
        <v>5133</v>
      </c>
      <c r="D276" s="59">
        <v>46419</v>
      </c>
      <c r="E276" s="31">
        <v>0</v>
      </c>
      <c r="F276" s="54">
        <v>275</v>
      </c>
    </row>
    <row r="277" spans="1:6" x14ac:dyDescent="0.4">
      <c r="A277" s="13" t="s">
        <v>2324</v>
      </c>
      <c r="B277" s="13" t="s">
        <v>2345</v>
      </c>
      <c r="C277" s="13" t="s">
        <v>5133</v>
      </c>
      <c r="D277" s="59">
        <v>46447</v>
      </c>
      <c r="E277" s="31">
        <v>0</v>
      </c>
      <c r="F277" s="13">
        <v>276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0719-C1D4-4D5A-8C01-3DB7196BCB01}">
  <sheetPr>
    <tabColor rgb="FF00B050"/>
  </sheetPr>
  <dimension ref="A1:F169"/>
  <sheetViews>
    <sheetView zoomScale="70" zoomScaleNormal="70" workbookViewId="0">
      <selection activeCell="E22" sqref="E22"/>
    </sheetView>
  </sheetViews>
  <sheetFormatPr defaultRowHeight="18.75" x14ac:dyDescent="0.4"/>
  <cols>
    <col min="1" max="1" width="11.5" bestFit="1" customWidth="1"/>
    <col min="2" max="2" width="9.5" bestFit="1" customWidth="1"/>
    <col min="3" max="3" width="39.25" bestFit="1" customWidth="1"/>
    <col min="4" max="4" width="13.75" bestFit="1" customWidth="1"/>
    <col min="5" max="5" width="9.5" bestFit="1" customWidth="1"/>
    <col min="6" max="6" width="6.25" bestFit="1" customWidth="1"/>
    <col min="7" max="7" width="11.875" bestFit="1" customWidth="1"/>
    <col min="9" max="9" width="37" bestFit="1" customWidth="1"/>
    <col min="10" max="12" width="11" customWidth="1"/>
    <col min="13" max="13" width="12.75" customWidth="1"/>
    <col min="14" max="15" width="10.625" bestFit="1" customWidth="1"/>
    <col min="16" max="19" width="9.125" bestFit="1" customWidth="1"/>
    <col min="20" max="20" width="11.75" bestFit="1" customWidth="1"/>
  </cols>
  <sheetData>
    <row r="1" spans="1:6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13" t="s">
        <v>2323</v>
      </c>
      <c r="F1" s="60" t="s">
        <v>5289</v>
      </c>
    </row>
    <row r="2" spans="1:6" x14ac:dyDescent="0.4">
      <c r="A2" s="13" t="s">
        <v>2324</v>
      </c>
      <c r="B2" s="55" t="s">
        <v>2325</v>
      </c>
      <c r="C2" s="10" t="s">
        <v>25</v>
      </c>
      <c r="D2" s="59">
        <v>45778</v>
      </c>
      <c r="E2" s="6">
        <v>415800</v>
      </c>
      <c r="F2" s="21">
        <v>1</v>
      </c>
    </row>
    <row r="3" spans="1:6" x14ac:dyDescent="0.4">
      <c r="A3" s="13" t="s">
        <v>2324</v>
      </c>
      <c r="B3" s="55" t="s">
        <v>2325</v>
      </c>
      <c r="C3" s="10" t="s">
        <v>44</v>
      </c>
      <c r="D3" s="59">
        <v>45778</v>
      </c>
      <c r="E3" s="6">
        <v>2381250</v>
      </c>
      <c r="F3" s="21">
        <v>2</v>
      </c>
    </row>
    <row r="4" spans="1:6" x14ac:dyDescent="0.4">
      <c r="A4" s="13" t="s">
        <v>2324</v>
      </c>
      <c r="B4" s="55" t="s">
        <v>2325</v>
      </c>
      <c r="C4" s="10" t="s">
        <v>1944</v>
      </c>
      <c r="D4" s="59">
        <v>45778</v>
      </c>
      <c r="E4" s="6">
        <v>56610</v>
      </c>
      <c r="F4" s="21">
        <v>3</v>
      </c>
    </row>
    <row r="5" spans="1:6" x14ac:dyDescent="0.4">
      <c r="A5" s="13" t="s">
        <v>2324</v>
      </c>
      <c r="B5" s="55" t="s">
        <v>2325</v>
      </c>
      <c r="C5" s="10" t="s">
        <v>70</v>
      </c>
      <c r="D5" s="59">
        <v>45778</v>
      </c>
      <c r="E5" s="6">
        <v>0</v>
      </c>
      <c r="F5" s="21">
        <v>4</v>
      </c>
    </row>
    <row r="6" spans="1:6" x14ac:dyDescent="0.4">
      <c r="A6" s="13" t="s">
        <v>2324</v>
      </c>
      <c r="B6" s="55" t="s">
        <v>2325</v>
      </c>
      <c r="C6" s="10" t="s">
        <v>50</v>
      </c>
      <c r="D6" s="59">
        <v>45778</v>
      </c>
      <c r="E6" s="6">
        <v>76200</v>
      </c>
      <c r="F6" s="21">
        <v>5</v>
      </c>
    </row>
    <row r="7" spans="1:6" x14ac:dyDescent="0.4">
      <c r="A7" s="13" t="s">
        <v>2324</v>
      </c>
      <c r="B7" s="55" t="s">
        <v>2325</v>
      </c>
      <c r="C7" s="10" t="s">
        <v>5133</v>
      </c>
      <c r="D7" s="59">
        <v>45778</v>
      </c>
      <c r="E7" s="6">
        <v>0</v>
      </c>
      <c r="F7" s="21">
        <v>6</v>
      </c>
    </row>
    <row r="8" spans="1:6" x14ac:dyDescent="0.4">
      <c r="A8" s="13" t="s">
        <v>2324</v>
      </c>
      <c r="B8" s="55" t="s">
        <v>2325</v>
      </c>
      <c r="C8" s="10" t="s">
        <v>25</v>
      </c>
      <c r="D8" s="59">
        <v>45809</v>
      </c>
      <c r="E8" s="6">
        <v>455400</v>
      </c>
      <c r="F8" s="21">
        <v>7</v>
      </c>
    </row>
    <row r="9" spans="1:6" x14ac:dyDescent="0.4">
      <c r="A9" s="13" t="s">
        <v>2324</v>
      </c>
      <c r="B9" s="55" t="s">
        <v>2325</v>
      </c>
      <c r="C9" s="10" t="s">
        <v>44</v>
      </c>
      <c r="D9" s="59">
        <v>45809</v>
      </c>
      <c r="E9" s="6">
        <v>2552700</v>
      </c>
      <c r="F9" s="21">
        <v>8</v>
      </c>
    </row>
    <row r="10" spans="1:6" x14ac:dyDescent="0.4">
      <c r="A10" s="13" t="s">
        <v>2324</v>
      </c>
      <c r="B10" s="55" t="s">
        <v>2325</v>
      </c>
      <c r="C10" s="10" t="s">
        <v>1944</v>
      </c>
      <c r="D10" s="59">
        <v>45809</v>
      </c>
      <c r="E10" s="6">
        <v>84915</v>
      </c>
      <c r="F10" s="21">
        <v>9</v>
      </c>
    </row>
    <row r="11" spans="1:6" x14ac:dyDescent="0.4">
      <c r="A11" s="13" t="s">
        <v>2324</v>
      </c>
      <c r="B11" s="55" t="s">
        <v>2325</v>
      </c>
      <c r="C11" s="10" t="s">
        <v>70</v>
      </c>
      <c r="D11" s="59">
        <v>45809</v>
      </c>
      <c r="E11" s="6">
        <v>0</v>
      </c>
      <c r="F11" s="21">
        <v>10</v>
      </c>
    </row>
    <row r="12" spans="1:6" x14ac:dyDescent="0.4">
      <c r="A12" s="13" t="s">
        <v>2324</v>
      </c>
      <c r="B12" s="55" t="s">
        <v>2325</v>
      </c>
      <c r="C12" s="10" t="s">
        <v>50</v>
      </c>
      <c r="D12" s="59">
        <v>45809</v>
      </c>
      <c r="E12" s="6">
        <v>76200</v>
      </c>
      <c r="F12" s="21">
        <v>11</v>
      </c>
    </row>
    <row r="13" spans="1:6" x14ac:dyDescent="0.4">
      <c r="A13" s="13" t="s">
        <v>2324</v>
      </c>
      <c r="B13" s="55" t="s">
        <v>2325</v>
      </c>
      <c r="C13" s="10" t="s">
        <v>5133</v>
      </c>
      <c r="D13" s="59">
        <v>45809</v>
      </c>
      <c r="E13" s="6">
        <v>0</v>
      </c>
      <c r="F13" s="21">
        <v>12</v>
      </c>
    </row>
    <row r="14" spans="1:6" x14ac:dyDescent="0.4">
      <c r="A14" s="13" t="s">
        <v>2324</v>
      </c>
      <c r="B14" s="55" t="s">
        <v>2325</v>
      </c>
      <c r="C14" s="10" t="s">
        <v>25</v>
      </c>
      <c r="D14" s="59">
        <v>45839</v>
      </c>
      <c r="E14" s="6">
        <v>1623600</v>
      </c>
      <c r="F14" s="21">
        <v>13</v>
      </c>
    </row>
    <row r="15" spans="1:6" x14ac:dyDescent="0.4">
      <c r="A15" s="13" t="s">
        <v>2324</v>
      </c>
      <c r="B15" s="55" t="s">
        <v>2325</v>
      </c>
      <c r="C15" s="10" t="s">
        <v>44</v>
      </c>
      <c r="D15" s="59">
        <v>45839</v>
      </c>
      <c r="E15" s="6">
        <v>8705850</v>
      </c>
      <c r="F15" s="21">
        <v>14</v>
      </c>
    </row>
    <row r="16" spans="1:6" x14ac:dyDescent="0.4">
      <c r="A16" s="13" t="s">
        <v>2324</v>
      </c>
      <c r="B16" s="55" t="s">
        <v>2325</v>
      </c>
      <c r="C16" s="10" t="s">
        <v>1944</v>
      </c>
      <c r="D16" s="59">
        <v>45839</v>
      </c>
      <c r="E16" s="6">
        <v>84915</v>
      </c>
      <c r="F16" s="21">
        <v>15</v>
      </c>
    </row>
    <row r="17" spans="1:6" x14ac:dyDescent="0.4">
      <c r="A17" s="13" t="s">
        <v>2324</v>
      </c>
      <c r="B17" s="55" t="s">
        <v>2325</v>
      </c>
      <c r="C17" s="10" t="s">
        <v>70</v>
      </c>
      <c r="D17" s="59">
        <v>45839</v>
      </c>
      <c r="E17" s="6">
        <v>59400</v>
      </c>
      <c r="F17" s="21">
        <v>16</v>
      </c>
    </row>
    <row r="18" spans="1:6" x14ac:dyDescent="0.4">
      <c r="A18" s="13" t="s">
        <v>2324</v>
      </c>
      <c r="B18" s="55" t="s">
        <v>2325</v>
      </c>
      <c r="C18" s="10" t="s">
        <v>50</v>
      </c>
      <c r="D18" s="59">
        <v>45839</v>
      </c>
      <c r="E18" s="6">
        <v>495300</v>
      </c>
      <c r="F18" s="21">
        <v>17</v>
      </c>
    </row>
    <row r="19" spans="1:6" x14ac:dyDescent="0.4">
      <c r="A19" s="13" t="s">
        <v>2324</v>
      </c>
      <c r="B19" s="55" t="s">
        <v>2325</v>
      </c>
      <c r="C19" s="10" t="s">
        <v>5133</v>
      </c>
      <c r="D19" s="59">
        <v>45839</v>
      </c>
      <c r="E19" s="6">
        <v>0</v>
      </c>
      <c r="F19" s="21">
        <v>18</v>
      </c>
    </row>
    <row r="20" spans="1:6" x14ac:dyDescent="0.4">
      <c r="A20" s="13" t="s">
        <v>2324</v>
      </c>
      <c r="B20" s="55" t="s">
        <v>2325</v>
      </c>
      <c r="C20" s="10" t="s">
        <v>25</v>
      </c>
      <c r="D20" s="59">
        <v>45870</v>
      </c>
      <c r="E20" s="6">
        <v>1207800</v>
      </c>
      <c r="F20" s="21">
        <v>19</v>
      </c>
    </row>
    <row r="21" spans="1:6" x14ac:dyDescent="0.4">
      <c r="A21" s="13" t="s">
        <v>2324</v>
      </c>
      <c r="B21" s="55" t="s">
        <v>2325</v>
      </c>
      <c r="C21" s="10" t="s">
        <v>44</v>
      </c>
      <c r="D21" s="59">
        <v>45870</v>
      </c>
      <c r="E21" s="6">
        <v>8820150</v>
      </c>
      <c r="F21" s="21">
        <v>20</v>
      </c>
    </row>
    <row r="22" spans="1:6" x14ac:dyDescent="0.4">
      <c r="A22" s="13" t="s">
        <v>2324</v>
      </c>
      <c r="B22" s="55" t="s">
        <v>2325</v>
      </c>
      <c r="C22" s="10" t="s">
        <v>1944</v>
      </c>
      <c r="D22" s="59">
        <v>45870</v>
      </c>
      <c r="E22" s="6">
        <v>94350</v>
      </c>
      <c r="F22" s="21">
        <v>21</v>
      </c>
    </row>
    <row r="23" spans="1:6" x14ac:dyDescent="0.4">
      <c r="A23" s="13" t="s">
        <v>2324</v>
      </c>
      <c r="B23" s="55" t="s">
        <v>2325</v>
      </c>
      <c r="C23" s="10" t="s">
        <v>70</v>
      </c>
      <c r="D23" s="59">
        <v>45870</v>
      </c>
      <c r="E23" s="6">
        <v>59400</v>
      </c>
      <c r="F23" s="21">
        <v>22</v>
      </c>
    </row>
    <row r="24" spans="1:6" x14ac:dyDescent="0.4">
      <c r="A24" s="13" t="s">
        <v>2324</v>
      </c>
      <c r="B24" s="55" t="s">
        <v>2325</v>
      </c>
      <c r="C24" s="10" t="s">
        <v>50</v>
      </c>
      <c r="D24" s="59">
        <v>45870</v>
      </c>
      <c r="E24" s="6">
        <v>495300</v>
      </c>
      <c r="F24" s="21">
        <v>23</v>
      </c>
    </row>
    <row r="25" spans="1:6" x14ac:dyDescent="0.4">
      <c r="A25" s="13" t="s">
        <v>2324</v>
      </c>
      <c r="B25" s="55" t="s">
        <v>2325</v>
      </c>
      <c r="C25" s="10" t="s">
        <v>5133</v>
      </c>
      <c r="D25" s="59">
        <v>45870</v>
      </c>
      <c r="E25" s="6">
        <v>0</v>
      </c>
      <c r="F25" s="21">
        <v>24</v>
      </c>
    </row>
    <row r="26" spans="1:6" x14ac:dyDescent="0.4">
      <c r="A26" s="13" t="s">
        <v>2324</v>
      </c>
      <c r="B26" s="55" t="s">
        <v>2325</v>
      </c>
      <c r="C26" s="10" t="s">
        <v>25</v>
      </c>
      <c r="D26" s="59">
        <v>45901</v>
      </c>
      <c r="E26" s="6">
        <v>1168200</v>
      </c>
      <c r="F26" s="21">
        <v>25</v>
      </c>
    </row>
    <row r="27" spans="1:6" x14ac:dyDescent="0.4">
      <c r="A27" s="13" t="s">
        <v>2324</v>
      </c>
      <c r="B27" s="55" t="s">
        <v>2325</v>
      </c>
      <c r="C27" s="10" t="s">
        <v>44</v>
      </c>
      <c r="D27" s="59">
        <v>45901</v>
      </c>
      <c r="E27" s="6">
        <v>8915400</v>
      </c>
      <c r="F27" s="21">
        <v>26</v>
      </c>
    </row>
    <row r="28" spans="1:6" x14ac:dyDescent="0.4">
      <c r="A28" s="13" t="s">
        <v>2324</v>
      </c>
      <c r="B28" s="55" t="s">
        <v>2325</v>
      </c>
      <c r="C28" s="10" t="s">
        <v>1944</v>
      </c>
      <c r="D28" s="59">
        <v>45901</v>
      </c>
      <c r="E28" s="6">
        <v>245310</v>
      </c>
      <c r="F28" s="21">
        <v>27</v>
      </c>
    </row>
    <row r="29" spans="1:6" x14ac:dyDescent="0.4">
      <c r="A29" s="13" t="s">
        <v>2324</v>
      </c>
      <c r="B29" s="55" t="s">
        <v>2325</v>
      </c>
      <c r="C29" s="10" t="s">
        <v>70</v>
      </c>
      <c r="D29" s="59">
        <v>45901</v>
      </c>
      <c r="E29" s="6">
        <v>59400</v>
      </c>
      <c r="F29" s="21">
        <v>28</v>
      </c>
    </row>
    <row r="30" spans="1:6" x14ac:dyDescent="0.4">
      <c r="A30" s="13" t="s">
        <v>2324</v>
      </c>
      <c r="B30" s="55" t="s">
        <v>2325</v>
      </c>
      <c r="C30" s="10" t="s">
        <v>50</v>
      </c>
      <c r="D30" s="59">
        <v>45901</v>
      </c>
      <c r="E30" s="6">
        <v>495300</v>
      </c>
      <c r="F30" s="21">
        <v>29</v>
      </c>
    </row>
    <row r="31" spans="1:6" x14ac:dyDescent="0.4">
      <c r="A31" s="13" t="s">
        <v>2324</v>
      </c>
      <c r="B31" s="55" t="s">
        <v>2325</v>
      </c>
      <c r="C31" s="10" t="s">
        <v>5133</v>
      </c>
      <c r="D31" s="59">
        <v>45901</v>
      </c>
      <c r="E31" s="6">
        <v>28305</v>
      </c>
      <c r="F31" s="21">
        <v>30</v>
      </c>
    </row>
    <row r="32" spans="1:6" x14ac:dyDescent="0.4">
      <c r="A32" s="13" t="s">
        <v>2324</v>
      </c>
      <c r="B32" s="55" t="s">
        <v>2325</v>
      </c>
      <c r="C32" s="10" t="s">
        <v>25</v>
      </c>
      <c r="D32" s="59">
        <v>45931</v>
      </c>
      <c r="E32" s="6">
        <v>0</v>
      </c>
      <c r="F32" s="21">
        <v>31</v>
      </c>
    </row>
    <row r="33" spans="1:6" x14ac:dyDescent="0.4">
      <c r="A33" s="13" t="s">
        <v>2324</v>
      </c>
      <c r="B33" s="55" t="s">
        <v>2325</v>
      </c>
      <c r="C33" s="10" t="s">
        <v>44</v>
      </c>
      <c r="D33" s="59">
        <v>45931</v>
      </c>
      <c r="E33" s="6">
        <v>9448800</v>
      </c>
      <c r="F33" s="21">
        <v>32</v>
      </c>
    </row>
    <row r="34" spans="1:6" x14ac:dyDescent="0.4">
      <c r="A34" s="13" t="s">
        <v>2324</v>
      </c>
      <c r="B34" s="55" t="s">
        <v>2325</v>
      </c>
      <c r="C34" s="10" t="s">
        <v>1944</v>
      </c>
      <c r="D34" s="59">
        <v>45931</v>
      </c>
      <c r="E34" s="6">
        <v>245310</v>
      </c>
      <c r="F34" s="21">
        <v>33</v>
      </c>
    </row>
    <row r="35" spans="1:6" x14ac:dyDescent="0.4">
      <c r="A35" s="13" t="s">
        <v>2324</v>
      </c>
      <c r="B35" s="55" t="s">
        <v>2325</v>
      </c>
      <c r="C35" s="10" t="s">
        <v>70</v>
      </c>
      <c r="D35" s="59">
        <v>45931</v>
      </c>
      <c r="E35" s="6">
        <v>0</v>
      </c>
      <c r="F35" s="21">
        <v>34</v>
      </c>
    </row>
    <row r="36" spans="1:6" x14ac:dyDescent="0.4">
      <c r="A36" s="13" t="s">
        <v>2324</v>
      </c>
      <c r="B36" s="55" t="s">
        <v>2325</v>
      </c>
      <c r="C36" s="10" t="s">
        <v>50</v>
      </c>
      <c r="D36" s="59">
        <v>45931</v>
      </c>
      <c r="E36" s="6">
        <v>514350</v>
      </c>
      <c r="F36" s="21">
        <v>35</v>
      </c>
    </row>
    <row r="37" spans="1:6" x14ac:dyDescent="0.4">
      <c r="A37" s="13" t="s">
        <v>2324</v>
      </c>
      <c r="B37" s="55" t="s">
        <v>2325</v>
      </c>
      <c r="C37" s="10" t="s">
        <v>5133</v>
      </c>
      <c r="D37" s="59">
        <v>45931</v>
      </c>
      <c r="E37" s="6">
        <v>28305</v>
      </c>
      <c r="F37" s="21">
        <v>36</v>
      </c>
    </row>
    <row r="38" spans="1:6" x14ac:dyDescent="0.4">
      <c r="A38" s="13" t="s">
        <v>2324</v>
      </c>
      <c r="B38" s="55" t="s">
        <v>2325</v>
      </c>
      <c r="C38" s="10" t="s">
        <v>25</v>
      </c>
      <c r="D38" s="59">
        <v>45962</v>
      </c>
      <c r="E38" s="6">
        <v>0</v>
      </c>
      <c r="F38" s="21">
        <v>37</v>
      </c>
    </row>
    <row r="39" spans="1:6" x14ac:dyDescent="0.4">
      <c r="A39" s="13" t="s">
        <v>2324</v>
      </c>
      <c r="B39" s="55" t="s">
        <v>2325</v>
      </c>
      <c r="C39" s="10" t="s">
        <v>44</v>
      </c>
      <c r="D39" s="59">
        <v>45962</v>
      </c>
      <c r="E39" s="6">
        <v>7086600</v>
      </c>
      <c r="F39" s="21">
        <v>38</v>
      </c>
    </row>
    <row r="40" spans="1:6" x14ac:dyDescent="0.4">
      <c r="A40" s="13" t="s">
        <v>2324</v>
      </c>
      <c r="B40" s="55" t="s">
        <v>2325</v>
      </c>
      <c r="C40" s="10" t="s">
        <v>1944</v>
      </c>
      <c r="D40" s="59">
        <v>45962</v>
      </c>
      <c r="E40" s="6">
        <v>245310</v>
      </c>
      <c r="F40" s="21">
        <v>39</v>
      </c>
    </row>
    <row r="41" spans="1:6" x14ac:dyDescent="0.4">
      <c r="A41" s="13" t="s">
        <v>2324</v>
      </c>
      <c r="B41" s="55" t="s">
        <v>2325</v>
      </c>
      <c r="C41" s="10" t="s">
        <v>70</v>
      </c>
      <c r="D41" s="59">
        <v>45962</v>
      </c>
      <c r="E41" s="6">
        <v>0</v>
      </c>
      <c r="F41" s="21">
        <v>40</v>
      </c>
    </row>
    <row r="42" spans="1:6" x14ac:dyDescent="0.4">
      <c r="A42" s="13" t="s">
        <v>2324</v>
      </c>
      <c r="B42" s="55" t="s">
        <v>2325</v>
      </c>
      <c r="C42" s="10" t="s">
        <v>50</v>
      </c>
      <c r="D42" s="59">
        <v>45962</v>
      </c>
      <c r="E42" s="6">
        <v>438150</v>
      </c>
      <c r="F42" s="21">
        <v>41</v>
      </c>
    </row>
    <row r="43" spans="1:6" x14ac:dyDescent="0.4">
      <c r="A43" s="13" t="s">
        <v>2324</v>
      </c>
      <c r="B43" s="55" t="s">
        <v>2325</v>
      </c>
      <c r="C43" s="10" t="s">
        <v>5133</v>
      </c>
      <c r="D43" s="59">
        <v>45962</v>
      </c>
      <c r="E43" s="6">
        <v>28305</v>
      </c>
      <c r="F43" s="21">
        <v>42</v>
      </c>
    </row>
    <row r="44" spans="1:6" x14ac:dyDescent="0.4">
      <c r="A44" s="13" t="s">
        <v>2324</v>
      </c>
      <c r="B44" s="55" t="s">
        <v>2325</v>
      </c>
      <c r="C44" s="10" t="s">
        <v>25</v>
      </c>
      <c r="D44" s="59">
        <v>45992</v>
      </c>
      <c r="E44" s="6">
        <v>0</v>
      </c>
      <c r="F44" s="21">
        <v>43</v>
      </c>
    </row>
    <row r="45" spans="1:6" x14ac:dyDescent="0.4">
      <c r="A45" s="13" t="s">
        <v>2324</v>
      </c>
      <c r="B45" s="55" t="s">
        <v>2325</v>
      </c>
      <c r="C45" s="10" t="s">
        <v>44</v>
      </c>
      <c r="D45" s="59">
        <v>45992</v>
      </c>
      <c r="E45" s="6">
        <v>6915150</v>
      </c>
      <c r="F45" s="21">
        <v>44</v>
      </c>
    </row>
    <row r="46" spans="1:6" x14ac:dyDescent="0.4">
      <c r="A46" s="13" t="s">
        <v>2324</v>
      </c>
      <c r="B46" s="55" t="s">
        <v>2325</v>
      </c>
      <c r="C46" s="10" t="s">
        <v>1944</v>
      </c>
      <c r="D46" s="59">
        <v>45992</v>
      </c>
      <c r="E46" s="6">
        <v>245310</v>
      </c>
      <c r="F46" s="21">
        <v>45</v>
      </c>
    </row>
    <row r="47" spans="1:6" x14ac:dyDescent="0.4">
      <c r="A47" s="13" t="s">
        <v>2324</v>
      </c>
      <c r="B47" s="55" t="s">
        <v>2325</v>
      </c>
      <c r="C47" s="10" t="s">
        <v>70</v>
      </c>
      <c r="D47" s="59">
        <v>45992</v>
      </c>
      <c r="E47" s="6">
        <v>0</v>
      </c>
      <c r="F47" s="21">
        <v>46</v>
      </c>
    </row>
    <row r="48" spans="1:6" x14ac:dyDescent="0.4">
      <c r="A48" s="13" t="s">
        <v>2324</v>
      </c>
      <c r="B48" s="55" t="s">
        <v>2325</v>
      </c>
      <c r="C48" s="10" t="s">
        <v>50</v>
      </c>
      <c r="D48" s="59">
        <v>45992</v>
      </c>
      <c r="E48" s="6">
        <v>438150</v>
      </c>
      <c r="F48" s="21">
        <v>47</v>
      </c>
    </row>
    <row r="49" spans="1:6" x14ac:dyDescent="0.4">
      <c r="A49" s="13" t="s">
        <v>2324</v>
      </c>
      <c r="B49" s="55" t="s">
        <v>2325</v>
      </c>
      <c r="C49" s="10" t="s">
        <v>5133</v>
      </c>
      <c r="D49" s="59">
        <v>45992</v>
      </c>
      <c r="E49" s="6">
        <v>28305</v>
      </c>
      <c r="F49" s="21">
        <v>48</v>
      </c>
    </row>
    <row r="50" spans="1:6" x14ac:dyDescent="0.4">
      <c r="A50" s="13" t="s">
        <v>2324</v>
      </c>
      <c r="B50" s="55" t="s">
        <v>2325</v>
      </c>
      <c r="C50" s="10" t="s">
        <v>25</v>
      </c>
      <c r="D50" s="59">
        <v>46023</v>
      </c>
      <c r="E50" s="6">
        <v>0</v>
      </c>
      <c r="F50" s="21">
        <v>49</v>
      </c>
    </row>
    <row r="51" spans="1:6" x14ac:dyDescent="0.4">
      <c r="A51" s="13" t="s">
        <v>2324</v>
      </c>
      <c r="B51" s="55" t="s">
        <v>2325</v>
      </c>
      <c r="C51" s="10" t="s">
        <v>44</v>
      </c>
      <c r="D51" s="59">
        <v>46023</v>
      </c>
      <c r="E51" s="6">
        <v>762000</v>
      </c>
      <c r="F51" s="21">
        <v>50</v>
      </c>
    </row>
    <row r="52" spans="1:6" x14ac:dyDescent="0.4">
      <c r="A52" s="13" t="s">
        <v>2324</v>
      </c>
      <c r="B52" s="55" t="s">
        <v>2325</v>
      </c>
      <c r="C52" s="10" t="s">
        <v>1944</v>
      </c>
      <c r="D52" s="59">
        <v>46023</v>
      </c>
      <c r="E52" s="6">
        <v>254745</v>
      </c>
      <c r="F52" s="21">
        <v>51</v>
      </c>
    </row>
    <row r="53" spans="1:6" x14ac:dyDescent="0.4">
      <c r="A53" s="13" t="s">
        <v>2324</v>
      </c>
      <c r="B53" s="55" t="s">
        <v>2325</v>
      </c>
      <c r="C53" s="10" t="s">
        <v>70</v>
      </c>
      <c r="D53" s="59">
        <v>46023</v>
      </c>
      <c r="E53" s="6">
        <v>0</v>
      </c>
      <c r="F53" s="21">
        <v>52</v>
      </c>
    </row>
    <row r="54" spans="1:6" x14ac:dyDescent="0.4">
      <c r="A54" s="13" t="s">
        <v>2324</v>
      </c>
      <c r="B54" s="55" t="s">
        <v>2325</v>
      </c>
      <c r="C54" s="10" t="s">
        <v>50</v>
      </c>
      <c r="D54" s="59">
        <v>46023</v>
      </c>
      <c r="E54" s="6">
        <v>19050</v>
      </c>
      <c r="F54" s="21">
        <v>53</v>
      </c>
    </row>
    <row r="55" spans="1:6" x14ac:dyDescent="0.4">
      <c r="A55" s="13" t="s">
        <v>2324</v>
      </c>
      <c r="B55" s="55" t="s">
        <v>2325</v>
      </c>
      <c r="C55" s="10" t="s">
        <v>5133</v>
      </c>
      <c r="D55" s="59">
        <v>46023</v>
      </c>
      <c r="E55" s="6">
        <v>28305</v>
      </c>
      <c r="F55" s="21">
        <v>54</v>
      </c>
    </row>
    <row r="56" spans="1:6" x14ac:dyDescent="0.4">
      <c r="A56" s="13" t="s">
        <v>2324</v>
      </c>
      <c r="B56" s="55" t="s">
        <v>2325</v>
      </c>
      <c r="C56" s="10" t="s">
        <v>25</v>
      </c>
      <c r="D56" s="59">
        <v>46054</v>
      </c>
      <c r="E56" s="6">
        <v>0</v>
      </c>
      <c r="F56" s="21">
        <v>55</v>
      </c>
    </row>
    <row r="57" spans="1:6" x14ac:dyDescent="0.4">
      <c r="A57" s="13" t="s">
        <v>2324</v>
      </c>
      <c r="B57" s="55" t="s">
        <v>2325</v>
      </c>
      <c r="C57" s="10" t="s">
        <v>44</v>
      </c>
      <c r="D57" s="59">
        <v>46054</v>
      </c>
      <c r="E57" s="6">
        <v>647700</v>
      </c>
      <c r="F57" s="21">
        <v>56</v>
      </c>
    </row>
    <row r="58" spans="1:6" x14ac:dyDescent="0.4">
      <c r="A58" s="13" t="s">
        <v>2324</v>
      </c>
      <c r="B58" s="55" t="s">
        <v>2325</v>
      </c>
      <c r="C58" s="10" t="s">
        <v>1944</v>
      </c>
      <c r="D58" s="59">
        <v>46054</v>
      </c>
      <c r="E58" s="6">
        <v>254745</v>
      </c>
      <c r="F58" s="21">
        <v>57</v>
      </c>
    </row>
    <row r="59" spans="1:6" x14ac:dyDescent="0.4">
      <c r="A59" s="13" t="s">
        <v>2324</v>
      </c>
      <c r="B59" s="55" t="s">
        <v>2325</v>
      </c>
      <c r="C59" s="10" t="s">
        <v>70</v>
      </c>
      <c r="D59" s="59">
        <v>46054</v>
      </c>
      <c r="E59" s="6">
        <v>0</v>
      </c>
      <c r="F59" s="21">
        <v>58</v>
      </c>
    </row>
    <row r="60" spans="1:6" x14ac:dyDescent="0.4">
      <c r="A60" s="13" t="s">
        <v>2324</v>
      </c>
      <c r="B60" s="55" t="s">
        <v>2325</v>
      </c>
      <c r="C60" s="10" t="s">
        <v>50</v>
      </c>
      <c r="D60" s="59">
        <v>46054</v>
      </c>
      <c r="E60" s="6">
        <v>19050</v>
      </c>
      <c r="F60" s="21">
        <v>59</v>
      </c>
    </row>
    <row r="61" spans="1:6" x14ac:dyDescent="0.4">
      <c r="A61" s="13" t="s">
        <v>2324</v>
      </c>
      <c r="B61" s="55" t="s">
        <v>2325</v>
      </c>
      <c r="C61" s="10" t="s">
        <v>5133</v>
      </c>
      <c r="D61" s="59">
        <v>46054</v>
      </c>
      <c r="E61" s="6">
        <v>28305</v>
      </c>
      <c r="F61" s="21">
        <v>60</v>
      </c>
    </row>
    <row r="62" spans="1:6" x14ac:dyDescent="0.4">
      <c r="A62" s="13" t="s">
        <v>2324</v>
      </c>
      <c r="B62" s="55" t="s">
        <v>2325</v>
      </c>
      <c r="C62" s="10" t="s">
        <v>25</v>
      </c>
      <c r="D62" s="59">
        <v>46082</v>
      </c>
      <c r="E62" s="6">
        <v>0</v>
      </c>
      <c r="F62" s="21">
        <v>61</v>
      </c>
    </row>
    <row r="63" spans="1:6" x14ac:dyDescent="0.4">
      <c r="A63" s="13" t="s">
        <v>2324</v>
      </c>
      <c r="B63" s="55" t="s">
        <v>2325</v>
      </c>
      <c r="C63" s="10" t="s">
        <v>44</v>
      </c>
      <c r="D63" s="59">
        <v>46082</v>
      </c>
      <c r="E63" s="6">
        <v>552450</v>
      </c>
      <c r="F63" s="21">
        <v>62</v>
      </c>
    </row>
    <row r="64" spans="1:6" x14ac:dyDescent="0.4">
      <c r="A64" s="13" t="s">
        <v>2324</v>
      </c>
      <c r="B64" s="55" t="s">
        <v>2325</v>
      </c>
      <c r="C64" s="10" t="s">
        <v>1944</v>
      </c>
      <c r="D64" s="59">
        <v>46082</v>
      </c>
      <c r="E64" s="6">
        <v>349095</v>
      </c>
      <c r="F64" s="21">
        <v>63</v>
      </c>
    </row>
    <row r="65" spans="1:6" x14ac:dyDescent="0.4">
      <c r="A65" s="13" t="s">
        <v>2324</v>
      </c>
      <c r="B65" s="55" t="s">
        <v>2325</v>
      </c>
      <c r="C65" s="10" t="s">
        <v>70</v>
      </c>
      <c r="D65" s="59">
        <v>46082</v>
      </c>
      <c r="E65" s="6">
        <v>0</v>
      </c>
      <c r="F65" s="21">
        <v>64</v>
      </c>
    </row>
    <row r="66" spans="1:6" x14ac:dyDescent="0.4">
      <c r="A66" s="13" t="s">
        <v>2324</v>
      </c>
      <c r="B66" s="55" t="s">
        <v>2325</v>
      </c>
      <c r="C66" s="10" t="s">
        <v>50</v>
      </c>
      <c r="D66" s="59">
        <v>46082</v>
      </c>
      <c r="E66" s="6">
        <v>19050</v>
      </c>
      <c r="F66" s="21">
        <v>65</v>
      </c>
    </row>
    <row r="67" spans="1:6" x14ac:dyDescent="0.4">
      <c r="A67" s="13" t="s">
        <v>2324</v>
      </c>
      <c r="B67" s="55" t="s">
        <v>2325</v>
      </c>
      <c r="C67" s="10" t="s">
        <v>5133</v>
      </c>
      <c r="D67" s="59">
        <v>46082</v>
      </c>
      <c r="E67" s="6">
        <v>28305</v>
      </c>
      <c r="F67" s="21">
        <v>66</v>
      </c>
    </row>
    <row r="68" spans="1:6" x14ac:dyDescent="0.4">
      <c r="A68" s="13" t="s">
        <v>2324</v>
      </c>
      <c r="B68" s="55" t="s">
        <v>2325</v>
      </c>
      <c r="C68" s="10" t="s">
        <v>25</v>
      </c>
      <c r="D68" s="59">
        <v>46113</v>
      </c>
      <c r="E68" s="6">
        <v>0</v>
      </c>
      <c r="F68" s="21">
        <v>67</v>
      </c>
    </row>
    <row r="69" spans="1:6" x14ac:dyDescent="0.4">
      <c r="A69" s="13" t="s">
        <v>2324</v>
      </c>
      <c r="B69" s="55" t="s">
        <v>2325</v>
      </c>
      <c r="C69" s="10" t="s">
        <v>44</v>
      </c>
      <c r="D69" s="59">
        <v>46113</v>
      </c>
      <c r="E69" s="6">
        <v>19050</v>
      </c>
      <c r="F69" s="21">
        <v>68</v>
      </c>
    </row>
    <row r="70" spans="1:6" x14ac:dyDescent="0.4">
      <c r="A70" s="13" t="s">
        <v>2324</v>
      </c>
      <c r="B70" s="55" t="s">
        <v>2325</v>
      </c>
      <c r="C70" s="10" t="s">
        <v>1944</v>
      </c>
      <c r="D70" s="59">
        <v>46113</v>
      </c>
      <c r="E70" s="6">
        <v>349095</v>
      </c>
      <c r="F70" s="21">
        <v>69</v>
      </c>
    </row>
    <row r="71" spans="1:6" x14ac:dyDescent="0.4">
      <c r="A71" s="13" t="s">
        <v>2324</v>
      </c>
      <c r="B71" s="55" t="s">
        <v>2325</v>
      </c>
      <c r="C71" s="10" t="s">
        <v>70</v>
      </c>
      <c r="D71" s="59">
        <v>46113</v>
      </c>
      <c r="E71" s="6">
        <v>0</v>
      </c>
      <c r="F71" s="21">
        <v>70</v>
      </c>
    </row>
    <row r="72" spans="1:6" x14ac:dyDescent="0.4">
      <c r="A72" s="13" t="s">
        <v>2324</v>
      </c>
      <c r="B72" s="55" t="s">
        <v>2325</v>
      </c>
      <c r="C72" s="10" t="s">
        <v>50</v>
      </c>
      <c r="D72" s="59">
        <v>46113</v>
      </c>
      <c r="E72" s="6">
        <v>0</v>
      </c>
      <c r="F72" s="21">
        <v>71</v>
      </c>
    </row>
    <row r="73" spans="1:6" x14ac:dyDescent="0.4">
      <c r="A73" s="13" t="s">
        <v>2324</v>
      </c>
      <c r="B73" s="55" t="s">
        <v>2325</v>
      </c>
      <c r="C73" s="10" t="s">
        <v>5133</v>
      </c>
      <c r="D73" s="59">
        <v>46113</v>
      </c>
      <c r="E73" s="6">
        <v>28305</v>
      </c>
      <c r="F73" s="21">
        <v>72</v>
      </c>
    </row>
    <row r="74" spans="1:6" x14ac:dyDescent="0.4">
      <c r="A74" s="13" t="s">
        <v>2324</v>
      </c>
      <c r="B74" s="55" t="s">
        <v>2325</v>
      </c>
      <c r="C74" s="10" t="s">
        <v>25</v>
      </c>
      <c r="D74" s="59">
        <v>46143</v>
      </c>
      <c r="E74" s="6">
        <v>0</v>
      </c>
      <c r="F74" s="21">
        <v>73</v>
      </c>
    </row>
    <row r="75" spans="1:6" x14ac:dyDescent="0.4">
      <c r="A75" s="13" t="s">
        <v>2324</v>
      </c>
      <c r="B75" s="55" t="s">
        <v>2325</v>
      </c>
      <c r="C75" s="10" t="s">
        <v>44</v>
      </c>
      <c r="D75" s="59">
        <v>46143</v>
      </c>
      <c r="E75" s="6">
        <v>0</v>
      </c>
      <c r="F75" s="21">
        <v>74</v>
      </c>
    </row>
    <row r="76" spans="1:6" x14ac:dyDescent="0.4">
      <c r="A76" s="13" t="s">
        <v>2324</v>
      </c>
      <c r="B76" s="55" t="s">
        <v>2325</v>
      </c>
      <c r="C76" s="10" t="s">
        <v>1944</v>
      </c>
      <c r="D76" s="59">
        <v>46143</v>
      </c>
      <c r="E76" s="6">
        <v>292485</v>
      </c>
      <c r="F76" s="21">
        <v>75</v>
      </c>
    </row>
    <row r="77" spans="1:6" x14ac:dyDescent="0.4">
      <c r="A77" s="13" t="s">
        <v>2324</v>
      </c>
      <c r="B77" s="55" t="s">
        <v>2325</v>
      </c>
      <c r="C77" s="10" t="s">
        <v>70</v>
      </c>
      <c r="D77" s="59">
        <v>46143</v>
      </c>
      <c r="E77" s="6">
        <v>0</v>
      </c>
      <c r="F77" s="21">
        <v>76</v>
      </c>
    </row>
    <row r="78" spans="1:6" x14ac:dyDescent="0.4">
      <c r="A78" s="13" t="s">
        <v>2324</v>
      </c>
      <c r="B78" s="55" t="s">
        <v>2325</v>
      </c>
      <c r="C78" s="10" t="s">
        <v>50</v>
      </c>
      <c r="D78" s="59">
        <v>46143</v>
      </c>
      <c r="E78" s="6">
        <v>0</v>
      </c>
      <c r="F78" s="21">
        <v>77</v>
      </c>
    </row>
    <row r="79" spans="1:6" x14ac:dyDescent="0.4">
      <c r="A79" s="13" t="s">
        <v>2324</v>
      </c>
      <c r="B79" s="55" t="s">
        <v>2325</v>
      </c>
      <c r="C79" s="10" t="s">
        <v>5133</v>
      </c>
      <c r="D79" s="59">
        <v>46143</v>
      </c>
      <c r="E79" s="6">
        <v>28305</v>
      </c>
      <c r="F79" s="21">
        <v>78</v>
      </c>
    </row>
    <row r="80" spans="1:6" x14ac:dyDescent="0.4">
      <c r="A80" s="13" t="s">
        <v>2324</v>
      </c>
      <c r="B80" s="55" t="s">
        <v>2325</v>
      </c>
      <c r="C80" s="10" t="s">
        <v>25</v>
      </c>
      <c r="D80" s="59">
        <v>46174</v>
      </c>
      <c r="E80" s="6">
        <v>0</v>
      </c>
      <c r="F80" s="21">
        <v>79</v>
      </c>
    </row>
    <row r="81" spans="1:6" x14ac:dyDescent="0.4">
      <c r="A81" s="13" t="s">
        <v>2324</v>
      </c>
      <c r="B81" s="55" t="s">
        <v>2325</v>
      </c>
      <c r="C81" s="10" t="s">
        <v>44</v>
      </c>
      <c r="D81" s="59">
        <v>46174</v>
      </c>
      <c r="E81" s="6">
        <v>0</v>
      </c>
      <c r="F81" s="21">
        <v>80</v>
      </c>
    </row>
    <row r="82" spans="1:6" x14ac:dyDescent="0.4">
      <c r="A82" s="13" t="s">
        <v>2324</v>
      </c>
      <c r="B82" s="55" t="s">
        <v>2325</v>
      </c>
      <c r="C82" s="10" t="s">
        <v>1944</v>
      </c>
      <c r="D82" s="59">
        <v>46174</v>
      </c>
      <c r="E82" s="6">
        <v>264180</v>
      </c>
      <c r="F82" s="21">
        <v>81</v>
      </c>
    </row>
    <row r="83" spans="1:6" x14ac:dyDescent="0.4">
      <c r="A83" s="13" t="s">
        <v>2324</v>
      </c>
      <c r="B83" s="55" t="s">
        <v>2325</v>
      </c>
      <c r="C83" s="10" t="s">
        <v>70</v>
      </c>
      <c r="D83" s="59">
        <v>46174</v>
      </c>
      <c r="E83" s="6">
        <v>0</v>
      </c>
      <c r="F83" s="21">
        <v>82</v>
      </c>
    </row>
    <row r="84" spans="1:6" x14ac:dyDescent="0.4">
      <c r="A84" s="13" t="s">
        <v>2324</v>
      </c>
      <c r="B84" s="55" t="s">
        <v>2325</v>
      </c>
      <c r="C84" s="10" t="s">
        <v>50</v>
      </c>
      <c r="D84" s="59">
        <v>46174</v>
      </c>
      <c r="E84" s="6">
        <v>0</v>
      </c>
      <c r="F84" s="21">
        <v>83</v>
      </c>
    </row>
    <row r="85" spans="1:6" x14ac:dyDescent="0.4">
      <c r="A85" s="13" t="s">
        <v>2324</v>
      </c>
      <c r="B85" s="55" t="s">
        <v>2325</v>
      </c>
      <c r="C85" s="10" t="s">
        <v>5133</v>
      </c>
      <c r="D85" s="59">
        <v>46174</v>
      </c>
      <c r="E85" s="6">
        <v>28305</v>
      </c>
      <c r="F85" s="21">
        <v>84</v>
      </c>
    </row>
    <row r="86" spans="1:6" x14ac:dyDescent="0.4">
      <c r="A86" s="13" t="s">
        <v>2324</v>
      </c>
      <c r="B86" s="13" t="s">
        <v>2345</v>
      </c>
      <c r="C86" s="10" t="s">
        <v>25</v>
      </c>
      <c r="D86" s="59">
        <v>45778</v>
      </c>
      <c r="E86" s="6">
        <v>187110</v>
      </c>
      <c r="F86" s="21">
        <v>85</v>
      </c>
    </row>
    <row r="87" spans="1:6" x14ac:dyDescent="0.4">
      <c r="A87" s="13" t="s">
        <v>2324</v>
      </c>
      <c r="B87" s="13" t="s">
        <v>2345</v>
      </c>
      <c r="C87" s="10" t="s">
        <v>44</v>
      </c>
      <c r="D87" s="59">
        <v>45778</v>
      </c>
      <c r="E87" s="6">
        <v>1071563</v>
      </c>
      <c r="F87" s="21">
        <v>86</v>
      </c>
    </row>
    <row r="88" spans="1:6" x14ac:dyDescent="0.4">
      <c r="A88" s="13" t="s">
        <v>2324</v>
      </c>
      <c r="B88" s="13" t="s">
        <v>2345</v>
      </c>
      <c r="C88" s="10" t="s">
        <v>1944</v>
      </c>
      <c r="D88" s="59">
        <v>45778</v>
      </c>
      <c r="E88" s="6">
        <v>25475</v>
      </c>
      <c r="F88" s="21">
        <v>87</v>
      </c>
    </row>
    <row r="89" spans="1:6" x14ac:dyDescent="0.4">
      <c r="A89" s="13" t="s">
        <v>2324</v>
      </c>
      <c r="B89" s="13" t="s">
        <v>2345</v>
      </c>
      <c r="C89" s="10" t="s">
        <v>70</v>
      </c>
      <c r="D89" s="59">
        <v>45778</v>
      </c>
      <c r="E89" s="6">
        <v>0</v>
      </c>
      <c r="F89" s="21">
        <v>88</v>
      </c>
    </row>
    <row r="90" spans="1:6" x14ac:dyDescent="0.4">
      <c r="A90" s="13" t="s">
        <v>2324</v>
      </c>
      <c r="B90" s="13" t="s">
        <v>2345</v>
      </c>
      <c r="C90" s="10" t="s">
        <v>50</v>
      </c>
      <c r="D90" s="59">
        <v>45778</v>
      </c>
      <c r="E90" s="6">
        <v>34290</v>
      </c>
      <c r="F90" s="21">
        <v>89</v>
      </c>
    </row>
    <row r="91" spans="1:6" x14ac:dyDescent="0.4">
      <c r="A91" s="13" t="s">
        <v>2324</v>
      </c>
      <c r="B91" s="13" t="s">
        <v>2345</v>
      </c>
      <c r="C91" s="10" t="s">
        <v>5133</v>
      </c>
      <c r="D91" s="59">
        <v>45778</v>
      </c>
      <c r="E91" s="6">
        <v>0</v>
      </c>
      <c r="F91" s="21">
        <v>90</v>
      </c>
    </row>
    <row r="92" spans="1:6" x14ac:dyDescent="0.4">
      <c r="A92" s="13" t="s">
        <v>2324</v>
      </c>
      <c r="B92" s="13" t="s">
        <v>2345</v>
      </c>
      <c r="C92" s="10" t="s">
        <v>25</v>
      </c>
      <c r="D92" s="59">
        <v>45809</v>
      </c>
      <c r="E92" s="6">
        <v>204930</v>
      </c>
      <c r="F92" s="21">
        <v>91</v>
      </c>
    </row>
    <row r="93" spans="1:6" x14ac:dyDescent="0.4">
      <c r="A93" s="13" t="s">
        <v>2324</v>
      </c>
      <c r="B93" s="13" t="s">
        <v>2345</v>
      </c>
      <c r="C93" s="10" t="s">
        <v>44</v>
      </c>
      <c r="D93" s="59">
        <v>45809</v>
      </c>
      <c r="E93" s="6">
        <v>1148715</v>
      </c>
      <c r="F93" s="21">
        <v>92</v>
      </c>
    </row>
    <row r="94" spans="1:6" x14ac:dyDescent="0.4">
      <c r="A94" s="13" t="s">
        <v>2324</v>
      </c>
      <c r="B94" s="13" t="s">
        <v>2345</v>
      </c>
      <c r="C94" s="10" t="s">
        <v>1944</v>
      </c>
      <c r="D94" s="59">
        <v>45809</v>
      </c>
      <c r="E94" s="6">
        <v>38212</v>
      </c>
      <c r="F94" s="21">
        <v>93</v>
      </c>
    </row>
    <row r="95" spans="1:6" x14ac:dyDescent="0.4">
      <c r="A95" s="13" t="s">
        <v>2324</v>
      </c>
      <c r="B95" s="13" t="s">
        <v>2345</v>
      </c>
      <c r="C95" s="10" t="s">
        <v>70</v>
      </c>
      <c r="D95" s="59">
        <v>45809</v>
      </c>
      <c r="E95" s="6">
        <v>0</v>
      </c>
      <c r="F95" s="21">
        <v>94</v>
      </c>
    </row>
    <row r="96" spans="1:6" x14ac:dyDescent="0.4">
      <c r="A96" s="13" t="s">
        <v>2324</v>
      </c>
      <c r="B96" s="13" t="s">
        <v>2345</v>
      </c>
      <c r="C96" s="10" t="s">
        <v>50</v>
      </c>
      <c r="D96" s="59">
        <v>45809</v>
      </c>
      <c r="E96" s="6">
        <v>34290</v>
      </c>
      <c r="F96" s="21">
        <v>95</v>
      </c>
    </row>
    <row r="97" spans="1:6" x14ac:dyDescent="0.4">
      <c r="A97" s="13" t="s">
        <v>2324</v>
      </c>
      <c r="B97" s="13" t="s">
        <v>2345</v>
      </c>
      <c r="C97" s="10" t="s">
        <v>5133</v>
      </c>
      <c r="D97" s="59">
        <v>45809</v>
      </c>
      <c r="E97" s="6">
        <v>0</v>
      </c>
      <c r="F97" s="21">
        <v>96</v>
      </c>
    </row>
    <row r="98" spans="1:6" x14ac:dyDescent="0.4">
      <c r="A98" s="13" t="s">
        <v>2324</v>
      </c>
      <c r="B98" s="13" t="s">
        <v>2345</v>
      </c>
      <c r="C98" s="10" t="s">
        <v>25</v>
      </c>
      <c r="D98" s="59">
        <v>45839</v>
      </c>
      <c r="E98" s="6">
        <v>730620</v>
      </c>
      <c r="F98" s="21">
        <v>97</v>
      </c>
    </row>
    <row r="99" spans="1:6" x14ac:dyDescent="0.4">
      <c r="A99" s="13" t="s">
        <v>2324</v>
      </c>
      <c r="B99" s="13" t="s">
        <v>2345</v>
      </c>
      <c r="C99" s="10" t="s">
        <v>44</v>
      </c>
      <c r="D99" s="59">
        <v>45839</v>
      </c>
      <c r="E99" s="6">
        <v>3917633</v>
      </c>
      <c r="F99" s="21">
        <v>98</v>
      </c>
    </row>
    <row r="100" spans="1:6" x14ac:dyDescent="0.4">
      <c r="A100" s="13" t="s">
        <v>2324</v>
      </c>
      <c r="B100" s="13" t="s">
        <v>2345</v>
      </c>
      <c r="C100" s="10" t="s">
        <v>1944</v>
      </c>
      <c r="D100" s="59">
        <v>45839</v>
      </c>
      <c r="E100" s="6">
        <v>38212</v>
      </c>
      <c r="F100" s="21">
        <v>99</v>
      </c>
    </row>
    <row r="101" spans="1:6" x14ac:dyDescent="0.4">
      <c r="A101" s="13" t="s">
        <v>2324</v>
      </c>
      <c r="B101" s="13" t="s">
        <v>2345</v>
      </c>
      <c r="C101" s="10" t="s">
        <v>70</v>
      </c>
      <c r="D101" s="59">
        <v>45839</v>
      </c>
      <c r="E101" s="6">
        <v>26730</v>
      </c>
      <c r="F101" s="21">
        <v>100</v>
      </c>
    </row>
    <row r="102" spans="1:6" x14ac:dyDescent="0.4">
      <c r="A102" s="13" t="s">
        <v>2324</v>
      </c>
      <c r="B102" s="13" t="s">
        <v>2345</v>
      </c>
      <c r="C102" s="10" t="s">
        <v>50</v>
      </c>
      <c r="D102" s="59">
        <v>45839</v>
      </c>
      <c r="E102" s="6">
        <v>222885</v>
      </c>
      <c r="F102" s="21">
        <v>101</v>
      </c>
    </row>
    <row r="103" spans="1:6" x14ac:dyDescent="0.4">
      <c r="A103" s="13" t="s">
        <v>2324</v>
      </c>
      <c r="B103" s="13" t="s">
        <v>2345</v>
      </c>
      <c r="C103" s="10" t="s">
        <v>5133</v>
      </c>
      <c r="D103" s="59">
        <v>45839</v>
      </c>
      <c r="E103" s="6">
        <v>0</v>
      </c>
      <c r="F103" s="21">
        <v>102</v>
      </c>
    </row>
    <row r="104" spans="1:6" x14ac:dyDescent="0.4">
      <c r="A104" s="13" t="s">
        <v>2324</v>
      </c>
      <c r="B104" s="13" t="s">
        <v>2345</v>
      </c>
      <c r="C104" s="10" t="s">
        <v>25</v>
      </c>
      <c r="D104" s="59">
        <v>45870</v>
      </c>
      <c r="E104" s="6">
        <v>543510</v>
      </c>
      <c r="F104" s="21">
        <v>103</v>
      </c>
    </row>
    <row r="105" spans="1:6" x14ac:dyDescent="0.4">
      <c r="A105" s="13" t="s">
        <v>2324</v>
      </c>
      <c r="B105" s="13" t="s">
        <v>2345</v>
      </c>
      <c r="C105" s="10" t="s">
        <v>44</v>
      </c>
      <c r="D105" s="59">
        <v>45870</v>
      </c>
      <c r="E105" s="6">
        <v>3969068</v>
      </c>
      <c r="F105" s="21">
        <v>104</v>
      </c>
    </row>
    <row r="106" spans="1:6" x14ac:dyDescent="0.4">
      <c r="A106" s="13" t="s">
        <v>2324</v>
      </c>
      <c r="B106" s="13" t="s">
        <v>2345</v>
      </c>
      <c r="C106" s="10" t="s">
        <v>1944</v>
      </c>
      <c r="D106" s="59">
        <v>45870</v>
      </c>
      <c r="E106" s="6">
        <v>42458</v>
      </c>
      <c r="F106" s="21">
        <v>105</v>
      </c>
    </row>
    <row r="107" spans="1:6" x14ac:dyDescent="0.4">
      <c r="A107" s="13" t="s">
        <v>2324</v>
      </c>
      <c r="B107" s="13" t="s">
        <v>2345</v>
      </c>
      <c r="C107" s="10" t="s">
        <v>70</v>
      </c>
      <c r="D107" s="59">
        <v>45870</v>
      </c>
      <c r="E107" s="6">
        <v>26730</v>
      </c>
      <c r="F107" s="21">
        <v>106</v>
      </c>
    </row>
    <row r="108" spans="1:6" x14ac:dyDescent="0.4">
      <c r="A108" s="13" t="s">
        <v>2324</v>
      </c>
      <c r="B108" s="13" t="s">
        <v>2345</v>
      </c>
      <c r="C108" s="10" t="s">
        <v>50</v>
      </c>
      <c r="D108" s="59">
        <v>45870</v>
      </c>
      <c r="E108" s="6">
        <v>222885</v>
      </c>
      <c r="F108" s="21">
        <v>107</v>
      </c>
    </row>
    <row r="109" spans="1:6" x14ac:dyDescent="0.4">
      <c r="A109" s="13" t="s">
        <v>2324</v>
      </c>
      <c r="B109" s="13" t="s">
        <v>2345</v>
      </c>
      <c r="C109" s="10" t="s">
        <v>5133</v>
      </c>
      <c r="D109" s="59">
        <v>45870</v>
      </c>
      <c r="E109" s="6">
        <v>0</v>
      </c>
      <c r="F109" s="21">
        <v>108</v>
      </c>
    </row>
    <row r="110" spans="1:6" x14ac:dyDescent="0.4">
      <c r="A110" s="13" t="s">
        <v>2324</v>
      </c>
      <c r="B110" s="13" t="s">
        <v>2345</v>
      </c>
      <c r="C110" s="10" t="s">
        <v>25</v>
      </c>
      <c r="D110" s="59">
        <v>45901</v>
      </c>
      <c r="E110" s="6">
        <v>525690</v>
      </c>
      <c r="F110" s="21">
        <v>109</v>
      </c>
    </row>
    <row r="111" spans="1:6" x14ac:dyDescent="0.4">
      <c r="A111" s="13" t="s">
        <v>2324</v>
      </c>
      <c r="B111" s="13" t="s">
        <v>2345</v>
      </c>
      <c r="C111" s="10" t="s">
        <v>44</v>
      </c>
      <c r="D111" s="59">
        <v>45901</v>
      </c>
      <c r="E111" s="6">
        <v>4011930</v>
      </c>
      <c r="F111" s="21">
        <v>110</v>
      </c>
    </row>
    <row r="112" spans="1:6" x14ac:dyDescent="0.4">
      <c r="A112" s="13" t="s">
        <v>2324</v>
      </c>
      <c r="B112" s="13" t="s">
        <v>2345</v>
      </c>
      <c r="C112" s="10" t="s">
        <v>1944</v>
      </c>
      <c r="D112" s="59">
        <v>45901</v>
      </c>
      <c r="E112" s="6">
        <v>110390</v>
      </c>
      <c r="F112" s="21">
        <v>111</v>
      </c>
    </row>
    <row r="113" spans="1:6" x14ac:dyDescent="0.4">
      <c r="A113" s="13" t="s">
        <v>2324</v>
      </c>
      <c r="B113" s="13" t="s">
        <v>2345</v>
      </c>
      <c r="C113" s="10" t="s">
        <v>70</v>
      </c>
      <c r="D113" s="59">
        <v>45901</v>
      </c>
      <c r="E113" s="6">
        <v>26730</v>
      </c>
      <c r="F113" s="21">
        <v>112</v>
      </c>
    </row>
    <row r="114" spans="1:6" x14ac:dyDescent="0.4">
      <c r="A114" s="13" t="s">
        <v>2324</v>
      </c>
      <c r="B114" s="13" t="s">
        <v>2345</v>
      </c>
      <c r="C114" s="10" t="s">
        <v>50</v>
      </c>
      <c r="D114" s="59">
        <v>45901</v>
      </c>
      <c r="E114" s="6">
        <v>222885</v>
      </c>
      <c r="F114" s="21">
        <v>113</v>
      </c>
    </row>
    <row r="115" spans="1:6" x14ac:dyDescent="0.4">
      <c r="A115" s="13" t="s">
        <v>2324</v>
      </c>
      <c r="B115" s="13" t="s">
        <v>2345</v>
      </c>
      <c r="C115" s="10" t="s">
        <v>5133</v>
      </c>
      <c r="D115" s="59">
        <v>45901</v>
      </c>
      <c r="E115" s="6">
        <v>12737</v>
      </c>
      <c r="F115" s="21">
        <v>114</v>
      </c>
    </row>
    <row r="116" spans="1:6" x14ac:dyDescent="0.4">
      <c r="A116" s="13" t="s">
        <v>2324</v>
      </c>
      <c r="B116" s="13" t="s">
        <v>2345</v>
      </c>
      <c r="C116" s="10" t="s">
        <v>25</v>
      </c>
      <c r="D116" s="59">
        <v>45931</v>
      </c>
      <c r="E116" s="6">
        <v>0</v>
      </c>
      <c r="F116" s="21">
        <v>115</v>
      </c>
    </row>
    <row r="117" spans="1:6" x14ac:dyDescent="0.4">
      <c r="A117" s="13" t="s">
        <v>2324</v>
      </c>
      <c r="B117" s="13" t="s">
        <v>2345</v>
      </c>
      <c r="C117" s="10" t="s">
        <v>44</v>
      </c>
      <c r="D117" s="59">
        <v>45931</v>
      </c>
      <c r="E117" s="6">
        <v>4251960</v>
      </c>
      <c r="F117" s="21">
        <v>116</v>
      </c>
    </row>
    <row r="118" spans="1:6" x14ac:dyDescent="0.4">
      <c r="A118" s="13" t="s">
        <v>2324</v>
      </c>
      <c r="B118" s="13" t="s">
        <v>2345</v>
      </c>
      <c r="C118" s="10" t="s">
        <v>1944</v>
      </c>
      <c r="D118" s="59">
        <v>45931</v>
      </c>
      <c r="E118" s="6">
        <v>110390</v>
      </c>
      <c r="F118" s="21">
        <v>117</v>
      </c>
    </row>
    <row r="119" spans="1:6" x14ac:dyDescent="0.4">
      <c r="A119" s="13" t="s">
        <v>2324</v>
      </c>
      <c r="B119" s="13" t="s">
        <v>2345</v>
      </c>
      <c r="C119" s="10" t="s">
        <v>70</v>
      </c>
      <c r="D119" s="59">
        <v>45931</v>
      </c>
      <c r="E119" s="6">
        <v>0</v>
      </c>
      <c r="F119" s="21">
        <v>118</v>
      </c>
    </row>
    <row r="120" spans="1:6" x14ac:dyDescent="0.4">
      <c r="A120" s="13" t="s">
        <v>2324</v>
      </c>
      <c r="B120" s="13" t="s">
        <v>2345</v>
      </c>
      <c r="C120" s="10" t="s">
        <v>50</v>
      </c>
      <c r="D120" s="59">
        <v>45931</v>
      </c>
      <c r="E120" s="6">
        <v>231458</v>
      </c>
      <c r="F120" s="21">
        <v>119</v>
      </c>
    </row>
    <row r="121" spans="1:6" x14ac:dyDescent="0.4">
      <c r="A121" s="13" t="s">
        <v>2324</v>
      </c>
      <c r="B121" s="13" t="s">
        <v>2345</v>
      </c>
      <c r="C121" s="10" t="s">
        <v>5133</v>
      </c>
      <c r="D121" s="59">
        <v>45931</v>
      </c>
      <c r="E121" s="6">
        <v>12737</v>
      </c>
      <c r="F121" s="21">
        <v>120</v>
      </c>
    </row>
    <row r="122" spans="1:6" x14ac:dyDescent="0.4">
      <c r="A122" s="13" t="s">
        <v>2324</v>
      </c>
      <c r="B122" s="13" t="s">
        <v>2345</v>
      </c>
      <c r="C122" s="10" t="s">
        <v>25</v>
      </c>
      <c r="D122" s="59">
        <v>45962</v>
      </c>
      <c r="E122" s="6">
        <v>0</v>
      </c>
      <c r="F122" s="21">
        <v>121</v>
      </c>
    </row>
    <row r="123" spans="1:6" x14ac:dyDescent="0.4">
      <c r="A123" s="13" t="s">
        <v>2324</v>
      </c>
      <c r="B123" s="13" t="s">
        <v>2345</v>
      </c>
      <c r="C123" s="10" t="s">
        <v>44</v>
      </c>
      <c r="D123" s="59">
        <v>45962</v>
      </c>
      <c r="E123" s="6">
        <v>3188970</v>
      </c>
      <c r="F123" s="21">
        <v>122</v>
      </c>
    </row>
    <row r="124" spans="1:6" x14ac:dyDescent="0.4">
      <c r="A124" s="13" t="s">
        <v>2324</v>
      </c>
      <c r="B124" s="13" t="s">
        <v>2345</v>
      </c>
      <c r="C124" s="10" t="s">
        <v>1944</v>
      </c>
      <c r="D124" s="59">
        <v>45962</v>
      </c>
      <c r="E124" s="6">
        <v>110390</v>
      </c>
      <c r="F124" s="21">
        <v>123</v>
      </c>
    </row>
    <row r="125" spans="1:6" x14ac:dyDescent="0.4">
      <c r="A125" s="13" t="s">
        <v>2324</v>
      </c>
      <c r="B125" s="13" t="s">
        <v>2345</v>
      </c>
      <c r="C125" s="10" t="s">
        <v>70</v>
      </c>
      <c r="D125" s="59">
        <v>45962</v>
      </c>
      <c r="E125" s="6">
        <v>0</v>
      </c>
      <c r="F125" s="21">
        <v>124</v>
      </c>
    </row>
    <row r="126" spans="1:6" x14ac:dyDescent="0.4">
      <c r="A126" s="13" t="s">
        <v>2324</v>
      </c>
      <c r="B126" s="13" t="s">
        <v>2345</v>
      </c>
      <c r="C126" s="10" t="s">
        <v>50</v>
      </c>
      <c r="D126" s="59">
        <v>45962</v>
      </c>
      <c r="E126" s="6">
        <v>197168</v>
      </c>
      <c r="F126" s="21">
        <v>125</v>
      </c>
    </row>
    <row r="127" spans="1:6" x14ac:dyDescent="0.4">
      <c r="A127" s="13" t="s">
        <v>2324</v>
      </c>
      <c r="B127" s="13" t="s">
        <v>2345</v>
      </c>
      <c r="C127" s="10" t="s">
        <v>5133</v>
      </c>
      <c r="D127" s="59">
        <v>45962</v>
      </c>
      <c r="E127" s="6">
        <v>12737</v>
      </c>
      <c r="F127" s="21">
        <v>126</v>
      </c>
    </row>
    <row r="128" spans="1:6" x14ac:dyDescent="0.4">
      <c r="A128" s="13" t="s">
        <v>2324</v>
      </c>
      <c r="B128" s="13" t="s">
        <v>2345</v>
      </c>
      <c r="C128" s="10" t="s">
        <v>25</v>
      </c>
      <c r="D128" s="59">
        <v>45992</v>
      </c>
      <c r="E128" s="6">
        <v>0</v>
      </c>
      <c r="F128" s="21">
        <v>127</v>
      </c>
    </row>
    <row r="129" spans="1:6" x14ac:dyDescent="0.4">
      <c r="A129" s="13" t="s">
        <v>2324</v>
      </c>
      <c r="B129" s="13" t="s">
        <v>2345</v>
      </c>
      <c r="C129" s="10" t="s">
        <v>44</v>
      </c>
      <c r="D129" s="59">
        <v>45992</v>
      </c>
      <c r="E129" s="6">
        <v>3111818</v>
      </c>
      <c r="F129" s="21">
        <v>128</v>
      </c>
    </row>
    <row r="130" spans="1:6" x14ac:dyDescent="0.4">
      <c r="A130" s="13" t="s">
        <v>2324</v>
      </c>
      <c r="B130" s="13" t="s">
        <v>2345</v>
      </c>
      <c r="C130" s="10" t="s">
        <v>1944</v>
      </c>
      <c r="D130" s="59">
        <v>45992</v>
      </c>
      <c r="E130" s="6">
        <v>110390</v>
      </c>
      <c r="F130" s="21">
        <v>129</v>
      </c>
    </row>
    <row r="131" spans="1:6" x14ac:dyDescent="0.4">
      <c r="A131" s="13" t="s">
        <v>2324</v>
      </c>
      <c r="B131" s="13" t="s">
        <v>2345</v>
      </c>
      <c r="C131" s="10" t="s">
        <v>70</v>
      </c>
      <c r="D131" s="59">
        <v>45992</v>
      </c>
      <c r="E131" s="6">
        <v>0</v>
      </c>
      <c r="F131" s="21">
        <v>130</v>
      </c>
    </row>
    <row r="132" spans="1:6" x14ac:dyDescent="0.4">
      <c r="A132" s="13" t="s">
        <v>2324</v>
      </c>
      <c r="B132" s="13" t="s">
        <v>2345</v>
      </c>
      <c r="C132" s="10" t="s">
        <v>50</v>
      </c>
      <c r="D132" s="59">
        <v>45992</v>
      </c>
      <c r="E132" s="6">
        <v>197168</v>
      </c>
      <c r="F132" s="21">
        <v>131</v>
      </c>
    </row>
    <row r="133" spans="1:6" x14ac:dyDescent="0.4">
      <c r="A133" s="13" t="s">
        <v>2324</v>
      </c>
      <c r="B133" s="13" t="s">
        <v>2345</v>
      </c>
      <c r="C133" s="10" t="s">
        <v>5133</v>
      </c>
      <c r="D133" s="59">
        <v>45992</v>
      </c>
      <c r="E133" s="6">
        <v>12737</v>
      </c>
      <c r="F133" s="21">
        <v>132</v>
      </c>
    </row>
    <row r="134" spans="1:6" x14ac:dyDescent="0.4">
      <c r="A134" s="13" t="s">
        <v>2324</v>
      </c>
      <c r="B134" s="13" t="s">
        <v>2345</v>
      </c>
      <c r="C134" s="10" t="s">
        <v>25</v>
      </c>
      <c r="D134" s="59">
        <v>46023</v>
      </c>
      <c r="E134" s="6">
        <v>0</v>
      </c>
      <c r="F134" s="21">
        <v>133</v>
      </c>
    </row>
    <row r="135" spans="1:6" x14ac:dyDescent="0.4">
      <c r="A135" s="13" t="s">
        <v>2324</v>
      </c>
      <c r="B135" s="13" t="s">
        <v>2345</v>
      </c>
      <c r="C135" s="10" t="s">
        <v>44</v>
      </c>
      <c r="D135" s="59">
        <v>46023</v>
      </c>
      <c r="E135" s="6">
        <v>342900</v>
      </c>
      <c r="F135" s="21">
        <v>134</v>
      </c>
    </row>
    <row r="136" spans="1:6" x14ac:dyDescent="0.4">
      <c r="A136" s="13" t="s">
        <v>2324</v>
      </c>
      <c r="B136" s="13" t="s">
        <v>2345</v>
      </c>
      <c r="C136" s="10" t="s">
        <v>1944</v>
      </c>
      <c r="D136" s="59">
        <v>46023</v>
      </c>
      <c r="E136" s="6">
        <v>114635</v>
      </c>
      <c r="F136" s="21">
        <v>135</v>
      </c>
    </row>
    <row r="137" spans="1:6" x14ac:dyDescent="0.4">
      <c r="A137" s="13" t="s">
        <v>2324</v>
      </c>
      <c r="B137" s="13" t="s">
        <v>2345</v>
      </c>
      <c r="C137" s="10" t="s">
        <v>70</v>
      </c>
      <c r="D137" s="59">
        <v>46023</v>
      </c>
      <c r="E137" s="6">
        <v>0</v>
      </c>
      <c r="F137" s="21">
        <v>136</v>
      </c>
    </row>
    <row r="138" spans="1:6" x14ac:dyDescent="0.4">
      <c r="A138" s="13" t="s">
        <v>2324</v>
      </c>
      <c r="B138" s="13" t="s">
        <v>2345</v>
      </c>
      <c r="C138" s="10" t="s">
        <v>50</v>
      </c>
      <c r="D138" s="59">
        <v>46023</v>
      </c>
      <c r="E138" s="6">
        <v>8573</v>
      </c>
      <c r="F138" s="21">
        <v>137</v>
      </c>
    </row>
    <row r="139" spans="1:6" x14ac:dyDescent="0.4">
      <c r="A139" s="13" t="s">
        <v>2324</v>
      </c>
      <c r="B139" s="13" t="s">
        <v>2345</v>
      </c>
      <c r="C139" s="10" t="s">
        <v>5133</v>
      </c>
      <c r="D139" s="59">
        <v>46023</v>
      </c>
      <c r="E139" s="6">
        <v>12737</v>
      </c>
      <c r="F139" s="21">
        <v>138</v>
      </c>
    </row>
    <row r="140" spans="1:6" x14ac:dyDescent="0.4">
      <c r="A140" s="13" t="s">
        <v>2324</v>
      </c>
      <c r="B140" s="13" t="s">
        <v>2345</v>
      </c>
      <c r="C140" s="10" t="s">
        <v>25</v>
      </c>
      <c r="D140" s="59">
        <v>46054</v>
      </c>
      <c r="E140" s="6">
        <v>0</v>
      </c>
      <c r="F140" s="21">
        <v>139</v>
      </c>
    </row>
    <row r="141" spans="1:6" x14ac:dyDescent="0.4">
      <c r="A141" s="13" t="s">
        <v>2324</v>
      </c>
      <c r="B141" s="13" t="s">
        <v>2345</v>
      </c>
      <c r="C141" s="10" t="s">
        <v>44</v>
      </c>
      <c r="D141" s="59">
        <v>46054</v>
      </c>
      <c r="E141" s="6">
        <v>291465</v>
      </c>
      <c r="F141" s="21">
        <v>140</v>
      </c>
    </row>
    <row r="142" spans="1:6" x14ac:dyDescent="0.4">
      <c r="A142" s="13" t="s">
        <v>2324</v>
      </c>
      <c r="B142" s="13" t="s">
        <v>2345</v>
      </c>
      <c r="C142" s="10" t="s">
        <v>1944</v>
      </c>
      <c r="D142" s="59">
        <v>46054</v>
      </c>
      <c r="E142" s="6">
        <v>114635</v>
      </c>
      <c r="F142" s="21">
        <v>141</v>
      </c>
    </row>
    <row r="143" spans="1:6" x14ac:dyDescent="0.4">
      <c r="A143" s="13" t="s">
        <v>2324</v>
      </c>
      <c r="B143" s="13" t="s">
        <v>2345</v>
      </c>
      <c r="C143" s="10" t="s">
        <v>70</v>
      </c>
      <c r="D143" s="59">
        <v>46054</v>
      </c>
      <c r="E143" s="6">
        <v>0</v>
      </c>
      <c r="F143" s="21">
        <v>142</v>
      </c>
    </row>
    <row r="144" spans="1:6" x14ac:dyDescent="0.4">
      <c r="A144" s="13" t="s">
        <v>2324</v>
      </c>
      <c r="B144" s="13" t="s">
        <v>2345</v>
      </c>
      <c r="C144" s="10" t="s">
        <v>50</v>
      </c>
      <c r="D144" s="59">
        <v>46054</v>
      </c>
      <c r="E144" s="6">
        <v>8573</v>
      </c>
      <c r="F144" s="21">
        <v>143</v>
      </c>
    </row>
    <row r="145" spans="1:6" x14ac:dyDescent="0.4">
      <c r="A145" s="13" t="s">
        <v>2324</v>
      </c>
      <c r="B145" s="13" t="s">
        <v>2345</v>
      </c>
      <c r="C145" s="10" t="s">
        <v>5133</v>
      </c>
      <c r="D145" s="59">
        <v>46054</v>
      </c>
      <c r="E145" s="6">
        <v>12737</v>
      </c>
      <c r="F145" s="21">
        <v>144</v>
      </c>
    </row>
    <row r="146" spans="1:6" x14ac:dyDescent="0.4">
      <c r="A146" s="13" t="s">
        <v>2324</v>
      </c>
      <c r="B146" s="13" t="s">
        <v>2345</v>
      </c>
      <c r="C146" s="10" t="s">
        <v>25</v>
      </c>
      <c r="D146" s="59">
        <v>46082</v>
      </c>
      <c r="E146" s="6">
        <v>0</v>
      </c>
      <c r="F146" s="21">
        <v>145</v>
      </c>
    </row>
    <row r="147" spans="1:6" x14ac:dyDescent="0.4">
      <c r="A147" s="13" t="s">
        <v>2324</v>
      </c>
      <c r="B147" s="13" t="s">
        <v>2345</v>
      </c>
      <c r="C147" s="10" t="s">
        <v>44</v>
      </c>
      <c r="D147" s="59">
        <v>46082</v>
      </c>
      <c r="E147" s="6">
        <v>248603</v>
      </c>
      <c r="F147" s="21">
        <v>146</v>
      </c>
    </row>
    <row r="148" spans="1:6" x14ac:dyDescent="0.4">
      <c r="A148" s="13" t="s">
        <v>2324</v>
      </c>
      <c r="B148" s="13" t="s">
        <v>2345</v>
      </c>
      <c r="C148" s="10" t="s">
        <v>1944</v>
      </c>
      <c r="D148" s="59">
        <v>46082</v>
      </c>
      <c r="E148" s="6">
        <v>157093</v>
      </c>
      <c r="F148" s="21">
        <v>147</v>
      </c>
    </row>
    <row r="149" spans="1:6" x14ac:dyDescent="0.4">
      <c r="A149" s="13" t="s">
        <v>2324</v>
      </c>
      <c r="B149" s="13" t="s">
        <v>2345</v>
      </c>
      <c r="C149" s="10" t="s">
        <v>70</v>
      </c>
      <c r="D149" s="59">
        <v>46082</v>
      </c>
      <c r="E149" s="6">
        <v>0</v>
      </c>
      <c r="F149" s="21">
        <v>148</v>
      </c>
    </row>
    <row r="150" spans="1:6" x14ac:dyDescent="0.4">
      <c r="A150" s="13" t="s">
        <v>2324</v>
      </c>
      <c r="B150" s="13" t="s">
        <v>2345</v>
      </c>
      <c r="C150" s="10" t="s">
        <v>50</v>
      </c>
      <c r="D150" s="59">
        <v>46082</v>
      </c>
      <c r="E150" s="6">
        <v>8573</v>
      </c>
      <c r="F150" s="21">
        <v>149</v>
      </c>
    </row>
    <row r="151" spans="1:6" x14ac:dyDescent="0.4">
      <c r="A151" s="13" t="s">
        <v>2324</v>
      </c>
      <c r="B151" s="13" t="s">
        <v>2345</v>
      </c>
      <c r="C151" s="10" t="s">
        <v>5133</v>
      </c>
      <c r="D151" s="59">
        <v>46082</v>
      </c>
      <c r="E151" s="6">
        <v>12737</v>
      </c>
      <c r="F151" s="21">
        <v>150</v>
      </c>
    </row>
    <row r="152" spans="1:6" x14ac:dyDescent="0.4">
      <c r="A152" s="13" t="s">
        <v>2324</v>
      </c>
      <c r="B152" s="13" t="s">
        <v>2345</v>
      </c>
      <c r="C152" s="10" t="s">
        <v>25</v>
      </c>
      <c r="D152" s="59">
        <v>46113</v>
      </c>
      <c r="E152" s="6">
        <v>0</v>
      </c>
      <c r="F152" s="21">
        <v>151</v>
      </c>
    </row>
    <row r="153" spans="1:6" x14ac:dyDescent="0.4">
      <c r="A153" s="13" t="s">
        <v>2324</v>
      </c>
      <c r="B153" s="13" t="s">
        <v>2345</v>
      </c>
      <c r="C153" s="10" t="s">
        <v>44</v>
      </c>
      <c r="D153" s="59">
        <v>46113</v>
      </c>
      <c r="E153" s="6">
        <v>8573</v>
      </c>
      <c r="F153" s="21">
        <v>152</v>
      </c>
    </row>
    <row r="154" spans="1:6" x14ac:dyDescent="0.4">
      <c r="A154" s="13" t="s">
        <v>2324</v>
      </c>
      <c r="B154" s="13" t="s">
        <v>2345</v>
      </c>
      <c r="C154" s="10" t="s">
        <v>1944</v>
      </c>
      <c r="D154" s="59">
        <v>46113</v>
      </c>
      <c r="E154" s="6">
        <v>157093</v>
      </c>
      <c r="F154" s="21">
        <v>153</v>
      </c>
    </row>
    <row r="155" spans="1:6" x14ac:dyDescent="0.4">
      <c r="A155" s="13" t="s">
        <v>2324</v>
      </c>
      <c r="B155" s="13" t="s">
        <v>2345</v>
      </c>
      <c r="C155" s="10" t="s">
        <v>70</v>
      </c>
      <c r="D155" s="59">
        <v>46113</v>
      </c>
      <c r="E155" s="6">
        <v>0</v>
      </c>
      <c r="F155" s="21">
        <v>154</v>
      </c>
    </row>
    <row r="156" spans="1:6" x14ac:dyDescent="0.4">
      <c r="A156" s="13" t="s">
        <v>2324</v>
      </c>
      <c r="B156" s="13" t="s">
        <v>2345</v>
      </c>
      <c r="C156" s="10" t="s">
        <v>50</v>
      </c>
      <c r="D156" s="59">
        <v>46113</v>
      </c>
      <c r="E156" s="6">
        <v>0</v>
      </c>
      <c r="F156" s="21">
        <v>155</v>
      </c>
    </row>
    <row r="157" spans="1:6" x14ac:dyDescent="0.4">
      <c r="A157" s="13" t="s">
        <v>2324</v>
      </c>
      <c r="B157" s="13" t="s">
        <v>2345</v>
      </c>
      <c r="C157" s="10" t="s">
        <v>5133</v>
      </c>
      <c r="D157" s="59">
        <v>46113</v>
      </c>
      <c r="E157" s="6">
        <v>12737</v>
      </c>
      <c r="F157" s="21">
        <v>156</v>
      </c>
    </row>
    <row r="158" spans="1:6" x14ac:dyDescent="0.4">
      <c r="A158" s="13" t="s">
        <v>2324</v>
      </c>
      <c r="B158" s="13" t="s">
        <v>2345</v>
      </c>
      <c r="C158" s="10" t="s">
        <v>25</v>
      </c>
      <c r="D158" s="59">
        <v>46143</v>
      </c>
      <c r="E158" s="6">
        <v>0</v>
      </c>
      <c r="F158" s="21">
        <v>157</v>
      </c>
    </row>
    <row r="159" spans="1:6" x14ac:dyDescent="0.4">
      <c r="A159" s="13" t="s">
        <v>2324</v>
      </c>
      <c r="B159" s="13" t="s">
        <v>2345</v>
      </c>
      <c r="C159" s="10" t="s">
        <v>44</v>
      </c>
      <c r="D159" s="59">
        <v>46143</v>
      </c>
      <c r="E159" s="6">
        <v>0</v>
      </c>
      <c r="F159" s="21">
        <v>158</v>
      </c>
    </row>
    <row r="160" spans="1:6" x14ac:dyDescent="0.4">
      <c r="A160" s="13" t="s">
        <v>2324</v>
      </c>
      <c r="B160" s="13" t="s">
        <v>2345</v>
      </c>
      <c r="C160" s="10" t="s">
        <v>1944</v>
      </c>
      <c r="D160" s="59">
        <v>46143</v>
      </c>
      <c r="E160" s="6">
        <v>131618</v>
      </c>
      <c r="F160" s="21">
        <v>159</v>
      </c>
    </row>
    <row r="161" spans="1:6" x14ac:dyDescent="0.4">
      <c r="A161" s="13" t="s">
        <v>2324</v>
      </c>
      <c r="B161" s="13" t="s">
        <v>2345</v>
      </c>
      <c r="C161" s="10" t="s">
        <v>70</v>
      </c>
      <c r="D161" s="59">
        <v>46143</v>
      </c>
      <c r="E161" s="6">
        <v>0</v>
      </c>
      <c r="F161" s="21">
        <v>160</v>
      </c>
    </row>
    <row r="162" spans="1:6" x14ac:dyDescent="0.4">
      <c r="A162" s="13" t="s">
        <v>2324</v>
      </c>
      <c r="B162" s="13" t="s">
        <v>2345</v>
      </c>
      <c r="C162" s="10" t="s">
        <v>50</v>
      </c>
      <c r="D162" s="59">
        <v>46143</v>
      </c>
      <c r="E162" s="6">
        <v>0</v>
      </c>
      <c r="F162" s="21">
        <v>161</v>
      </c>
    </row>
    <row r="163" spans="1:6" x14ac:dyDescent="0.4">
      <c r="A163" s="13" t="s">
        <v>2324</v>
      </c>
      <c r="B163" s="13" t="s">
        <v>2345</v>
      </c>
      <c r="C163" s="10" t="s">
        <v>5133</v>
      </c>
      <c r="D163" s="59">
        <v>46143</v>
      </c>
      <c r="E163" s="6">
        <v>12737</v>
      </c>
      <c r="F163" s="21">
        <v>162</v>
      </c>
    </row>
    <row r="164" spans="1:6" x14ac:dyDescent="0.4">
      <c r="A164" s="13" t="s">
        <v>2324</v>
      </c>
      <c r="B164" s="13" t="s">
        <v>2345</v>
      </c>
      <c r="C164" s="10" t="s">
        <v>25</v>
      </c>
      <c r="D164" s="59">
        <v>46174</v>
      </c>
      <c r="E164" s="6">
        <v>0</v>
      </c>
      <c r="F164" s="21">
        <v>163</v>
      </c>
    </row>
    <row r="165" spans="1:6" x14ac:dyDescent="0.4">
      <c r="A165" s="13" t="s">
        <v>2324</v>
      </c>
      <c r="B165" s="13" t="s">
        <v>2345</v>
      </c>
      <c r="C165" s="10" t="s">
        <v>44</v>
      </c>
      <c r="D165" s="59">
        <v>46174</v>
      </c>
      <c r="E165" s="6">
        <v>0</v>
      </c>
      <c r="F165" s="21">
        <v>164</v>
      </c>
    </row>
    <row r="166" spans="1:6" x14ac:dyDescent="0.4">
      <c r="A166" s="13" t="s">
        <v>2324</v>
      </c>
      <c r="B166" s="13" t="s">
        <v>2345</v>
      </c>
      <c r="C166" s="10" t="s">
        <v>1944</v>
      </c>
      <c r="D166" s="59">
        <v>46174</v>
      </c>
      <c r="E166" s="6">
        <v>118881</v>
      </c>
      <c r="F166" s="21">
        <v>165</v>
      </c>
    </row>
    <row r="167" spans="1:6" x14ac:dyDescent="0.4">
      <c r="A167" s="13" t="s">
        <v>2324</v>
      </c>
      <c r="B167" s="13" t="s">
        <v>2345</v>
      </c>
      <c r="C167" s="10" t="s">
        <v>70</v>
      </c>
      <c r="D167" s="59">
        <v>46174</v>
      </c>
      <c r="E167" s="6">
        <v>0</v>
      </c>
      <c r="F167" s="21">
        <v>166</v>
      </c>
    </row>
    <row r="168" spans="1:6" x14ac:dyDescent="0.4">
      <c r="A168" s="13" t="s">
        <v>2324</v>
      </c>
      <c r="B168" s="13" t="s">
        <v>2345</v>
      </c>
      <c r="C168" s="10" t="s">
        <v>50</v>
      </c>
      <c r="D168" s="59">
        <v>46174</v>
      </c>
      <c r="E168" s="6">
        <v>0</v>
      </c>
      <c r="F168" s="21">
        <v>167</v>
      </c>
    </row>
    <row r="169" spans="1:6" x14ac:dyDescent="0.4">
      <c r="A169" s="13" t="s">
        <v>2324</v>
      </c>
      <c r="B169" s="13" t="s">
        <v>2345</v>
      </c>
      <c r="C169" s="10" t="s">
        <v>5133</v>
      </c>
      <c r="D169" s="59">
        <v>46174</v>
      </c>
      <c r="E169" s="6">
        <v>12737</v>
      </c>
      <c r="F169" s="21">
        <v>168</v>
      </c>
    </row>
  </sheetData>
  <autoFilter ref="A1:F169" xr:uid="{E0AE0719-C1D4-4D5A-8C01-3DB7196BCB01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49F1-FB3B-478F-A60C-2A3B7FFE1CBB}">
  <sheetPr>
    <tabColor rgb="FFFF0000"/>
  </sheetPr>
  <dimension ref="A1:F85"/>
  <sheetViews>
    <sheetView zoomScale="70" zoomScaleNormal="70" workbookViewId="0">
      <selection activeCell="G21" sqref="G21"/>
    </sheetView>
  </sheetViews>
  <sheetFormatPr defaultRowHeight="18.75" x14ac:dyDescent="0.4"/>
  <cols>
    <col min="1" max="1" width="11.5" bestFit="1" customWidth="1"/>
    <col min="2" max="2" width="9.5" bestFit="1" customWidth="1"/>
    <col min="3" max="3" width="39.25" bestFit="1" customWidth="1"/>
    <col min="4" max="4" width="13.75" bestFit="1" customWidth="1"/>
    <col min="5" max="5" width="9.5" bestFit="1" customWidth="1"/>
    <col min="6" max="6" width="29" bestFit="1" customWidth="1"/>
    <col min="7" max="7" width="11.875" bestFit="1" customWidth="1"/>
    <col min="9" max="9" width="37" bestFit="1" customWidth="1"/>
    <col min="10" max="12" width="11" customWidth="1"/>
    <col min="13" max="13" width="12.75" customWidth="1"/>
    <col min="14" max="15" width="10.625" bestFit="1" customWidth="1"/>
    <col min="16" max="19" width="9.125" bestFit="1" customWidth="1"/>
    <col min="20" max="20" width="11.75" bestFit="1" customWidth="1"/>
  </cols>
  <sheetData>
    <row r="1" spans="1:6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13" t="s">
        <v>2323</v>
      </c>
    </row>
    <row r="2" spans="1:6" x14ac:dyDescent="0.4">
      <c r="A2" s="13" t="s">
        <v>2324</v>
      </c>
      <c r="B2" s="55" t="s">
        <v>2325</v>
      </c>
      <c r="C2" s="13" t="s">
        <v>44</v>
      </c>
      <c r="D2" s="58" t="s">
        <v>2348</v>
      </c>
      <c r="E2" s="6">
        <v>38100</v>
      </c>
      <c r="F2" s="21"/>
    </row>
    <row r="3" spans="1:6" x14ac:dyDescent="0.4">
      <c r="A3" s="13" t="s">
        <v>2324</v>
      </c>
      <c r="B3" s="13" t="s">
        <v>2345</v>
      </c>
      <c r="C3" s="13" t="s">
        <v>44</v>
      </c>
      <c r="D3" s="58" t="s">
        <v>2348</v>
      </c>
      <c r="E3" s="6">
        <v>17145</v>
      </c>
      <c r="F3" s="21"/>
    </row>
    <row r="4" spans="1:6" x14ac:dyDescent="0.4">
      <c r="A4" s="13" t="s">
        <v>2324</v>
      </c>
      <c r="B4" s="55" t="s">
        <v>2325</v>
      </c>
      <c r="C4" s="10" t="s">
        <v>25</v>
      </c>
      <c r="D4" s="58" t="s">
        <v>5279</v>
      </c>
      <c r="E4" s="6">
        <v>1544400</v>
      </c>
      <c r="F4" s="21"/>
    </row>
    <row r="5" spans="1:6" x14ac:dyDescent="0.4">
      <c r="A5" s="13" t="s">
        <v>2324</v>
      </c>
      <c r="B5" s="55" t="s">
        <v>2325</v>
      </c>
      <c r="C5" s="13" t="s">
        <v>44</v>
      </c>
      <c r="D5" s="58" t="s">
        <v>2349</v>
      </c>
      <c r="E5" s="6">
        <v>533400</v>
      </c>
      <c r="F5" s="21"/>
    </row>
    <row r="6" spans="1:6" x14ac:dyDescent="0.4">
      <c r="A6" s="13" t="s">
        <v>2324</v>
      </c>
      <c r="B6" s="55" t="s">
        <v>2325</v>
      </c>
      <c r="C6" s="13" t="s">
        <v>70</v>
      </c>
      <c r="D6" s="58" t="s">
        <v>2349</v>
      </c>
      <c r="E6" s="6">
        <v>178200</v>
      </c>
      <c r="F6" s="21"/>
    </row>
    <row r="7" spans="1:6" x14ac:dyDescent="0.4">
      <c r="A7" s="13" t="s">
        <v>2324</v>
      </c>
      <c r="B7" s="13" t="s">
        <v>2345</v>
      </c>
      <c r="C7" s="10" t="s">
        <v>25</v>
      </c>
      <c r="D7" s="58" t="s">
        <v>2349</v>
      </c>
      <c r="E7" s="6">
        <v>694980</v>
      </c>
      <c r="F7" s="21"/>
    </row>
    <row r="8" spans="1:6" x14ac:dyDescent="0.4">
      <c r="A8" s="13" t="s">
        <v>2324</v>
      </c>
      <c r="B8" s="13" t="s">
        <v>2345</v>
      </c>
      <c r="C8" s="13" t="s">
        <v>44</v>
      </c>
      <c r="D8" s="58" t="s">
        <v>2349</v>
      </c>
      <c r="E8" s="6">
        <v>240030</v>
      </c>
      <c r="F8" s="21"/>
    </row>
    <row r="9" spans="1:6" x14ac:dyDescent="0.4">
      <c r="A9" s="13" t="s">
        <v>2324</v>
      </c>
      <c r="B9" s="13" t="s">
        <v>2345</v>
      </c>
      <c r="C9" s="13" t="s">
        <v>70</v>
      </c>
      <c r="D9" s="58" t="s">
        <v>2349</v>
      </c>
      <c r="E9" s="6">
        <v>80190</v>
      </c>
      <c r="F9" s="21"/>
    </row>
    <row r="10" spans="1:6" x14ac:dyDescent="0.4">
      <c r="A10" s="13" t="s">
        <v>2324</v>
      </c>
      <c r="B10" s="55" t="s">
        <v>2325</v>
      </c>
      <c r="C10" s="10" t="s">
        <v>25</v>
      </c>
      <c r="D10" s="58" t="s">
        <v>5280</v>
      </c>
      <c r="E10" s="6">
        <v>2019600</v>
      </c>
      <c r="F10" s="21"/>
    </row>
    <row r="11" spans="1:6" x14ac:dyDescent="0.4">
      <c r="A11" s="13" t="s">
        <v>2324</v>
      </c>
      <c r="B11" s="55" t="s">
        <v>2325</v>
      </c>
      <c r="C11" s="13" t="s">
        <v>44</v>
      </c>
      <c r="D11" s="58" t="s">
        <v>2350</v>
      </c>
      <c r="E11" s="6">
        <v>2990850</v>
      </c>
      <c r="F11" s="21"/>
    </row>
    <row r="12" spans="1:6" x14ac:dyDescent="0.4">
      <c r="A12" s="13" t="s">
        <v>2324</v>
      </c>
      <c r="B12" s="55" t="s">
        <v>2325</v>
      </c>
      <c r="C12" s="10" t="s">
        <v>1944</v>
      </c>
      <c r="D12" s="58" t="s">
        <v>2350</v>
      </c>
      <c r="E12" s="6">
        <v>56610</v>
      </c>
      <c r="F12" s="21"/>
    </row>
    <row r="13" spans="1:6" x14ac:dyDescent="0.4">
      <c r="A13" s="13" t="s">
        <v>2324</v>
      </c>
      <c r="B13" s="55" t="s">
        <v>2325</v>
      </c>
      <c r="C13" s="13" t="s">
        <v>70</v>
      </c>
      <c r="D13" s="58" t="s">
        <v>2350</v>
      </c>
      <c r="E13" s="6">
        <v>198000</v>
      </c>
      <c r="F13" s="21"/>
    </row>
    <row r="14" spans="1:6" x14ac:dyDescent="0.4">
      <c r="A14" s="13" t="s">
        <v>2324</v>
      </c>
      <c r="B14" s="55" t="s">
        <v>2325</v>
      </c>
      <c r="C14" s="13" t="s">
        <v>50</v>
      </c>
      <c r="D14" s="58" t="s">
        <v>2350</v>
      </c>
      <c r="E14" s="6">
        <v>76200</v>
      </c>
      <c r="F14" s="21"/>
    </row>
    <row r="15" spans="1:6" x14ac:dyDescent="0.4">
      <c r="A15" s="13" t="s">
        <v>2324</v>
      </c>
      <c r="B15" s="13" t="s">
        <v>2345</v>
      </c>
      <c r="C15" s="10" t="s">
        <v>25</v>
      </c>
      <c r="D15" s="58" t="s">
        <v>2350</v>
      </c>
      <c r="E15" s="6">
        <v>908820</v>
      </c>
      <c r="F15" s="21"/>
    </row>
    <row r="16" spans="1:6" x14ac:dyDescent="0.4">
      <c r="A16" s="13" t="s">
        <v>2324</v>
      </c>
      <c r="B16" s="13" t="s">
        <v>2345</v>
      </c>
      <c r="C16" s="13" t="s">
        <v>44</v>
      </c>
      <c r="D16" s="58" t="s">
        <v>2350</v>
      </c>
      <c r="E16" s="6">
        <v>1345882</v>
      </c>
      <c r="F16" s="21"/>
    </row>
    <row r="17" spans="1:6" x14ac:dyDescent="0.4">
      <c r="A17" s="13" t="s">
        <v>2324</v>
      </c>
      <c r="B17" s="13" t="s">
        <v>2345</v>
      </c>
      <c r="C17" s="10" t="s">
        <v>1944</v>
      </c>
      <c r="D17" s="58" t="s">
        <v>2350</v>
      </c>
      <c r="E17" s="6">
        <v>25474</v>
      </c>
      <c r="F17" s="21"/>
    </row>
    <row r="18" spans="1:6" x14ac:dyDescent="0.4">
      <c r="A18" s="13" t="s">
        <v>2324</v>
      </c>
      <c r="B18" s="13" t="s">
        <v>2345</v>
      </c>
      <c r="C18" s="13" t="s">
        <v>70</v>
      </c>
      <c r="D18" s="58" t="s">
        <v>2350</v>
      </c>
      <c r="E18" s="6">
        <v>89100</v>
      </c>
      <c r="F18" s="21"/>
    </row>
    <row r="19" spans="1:6" x14ac:dyDescent="0.4">
      <c r="A19" s="13" t="s">
        <v>2324</v>
      </c>
      <c r="B19" s="13" t="s">
        <v>2345</v>
      </c>
      <c r="C19" s="13" t="s">
        <v>50</v>
      </c>
      <c r="D19" s="58" t="s">
        <v>2350</v>
      </c>
      <c r="E19" s="6">
        <v>34290</v>
      </c>
      <c r="F19" s="21"/>
    </row>
    <row r="20" spans="1:6" x14ac:dyDescent="0.4">
      <c r="A20" s="13" t="s">
        <v>2324</v>
      </c>
      <c r="B20" s="55" t="s">
        <v>2325</v>
      </c>
      <c r="C20" s="10" t="s">
        <v>25</v>
      </c>
      <c r="D20" s="58" t="s">
        <v>2351</v>
      </c>
      <c r="E20" s="6">
        <v>2059200</v>
      </c>
      <c r="F20" s="21"/>
    </row>
    <row r="21" spans="1:6" x14ac:dyDescent="0.4">
      <c r="A21" s="13" t="s">
        <v>2324</v>
      </c>
      <c r="B21" s="55" t="s">
        <v>2325</v>
      </c>
      <c r="C21" s="13" t="s">
        <v>44</v>
      </c>
      <c r="D21" s="58" t="s">
        <v>2351</v>
      </c>
      <c r="E21" s="6">
        <v>3162300</v>
      </c>
      <c r="F21" s="21"/>
    </row>
    <row r="22" spans="1:6" x14ac:dyDescent="0.4">
      <c r="A22" s="13" t="s">
        <v>2324</v>
      </c>
      <c r="B22" s="55" t="s">
        <v>2325</v>
      </c>
      <c r="C22" s="10" t="s">
        <v>1944</v>
      </c>
      <c r="D22" s="58" t="s">
        <v>2351</v>
      </c>
      <c r="E22" s="6">
        <v>84915</v>
      </c>
      <c r="F22" s="21"/>
    </row>
    <row r="23" spans="1:6" x14ac:dyDescent="0.4">
      <c r="A23" s="13" t="s">
        <v>2324</v>
      </c>
      <c r="B23" s="55" t="s">
        <v>2325</v>
      </c>
      <c r="C23" s="13" t="s">
        <v>70</v>
      </c>
      <c r="D23" s="58" t="s">
        <v>2351</v>
      </c>
      <c r="E23" s="6">
        <v>198000</v>
      </c>
      <c r="F23" s="21"/>
    </row>
    <row r="24" spans="1:6" x14ac:dyDescent="0.4">
      <c r="A24" s="13" t="s">
        <v>2324</v>
      </c>
      <c r="B24" s="55" t="s">
        <v>2325</v>
      </c>
      <c r="C24" s="13" t="s">
        <v>50</v>
      </c>
      <c r="D24" s="58" t="s">
        <v>2351</v>
      </c>
      <c r="E24" s="6">
        <v>76200</v>
      </c>
      <c r="F24" s="21"/>
    </row>
    <row r="25" spans="1:6" x14ac:dyDescent="0.4">
      <c r="A25" s="13" t="s">
        <v>2324</v>
      </c>
      <c r="B25" s="13" t="s">
        <v>2345</v>
      </c>
      <c r="C25" s="10" t="s">
        <v>25</v>
      </c>
      <c r="D25" s="58" t="s">
        <v>2351</v>
      </c>
      <c r="E25" s="6">
        <v>926640</v>
      </c>
      <c r="F25" s="21"/>
    </row>
    <row r="26" spans="1:6" x14ac:dyDescent="0.4">
      <c r="A26" s="13" t="s">
        <v>2324</v>
      </c>
      <c r="B26" s="13" t="s">
        <v>2345</v>
      </c>
      <c r="C26" s="13" t="s">
        <v>44</v>
      </c>
      <c r="D26" s="58" t="s">
        <v>2351</v>
      </c>
      <c r="E26" s="6">
        <v>1423035</v>
      </c>
      <c r="F26" s="21"/>
    </row>
    <row r="27" spans="1:6" x14ac:dyDescent="0.4">
      <c r="A27" s="13" t="s">
        <v>2324</v>
      </c>
      <c r="B27" s="13" t="s">
        <v>2345</v>
      </c>
      <c r="C27" s="10" t="s">
        <v>1944</v>
      </c>
      <c r="D27" s="58" t="s">
        <v>2351</v>
      </c>
      <c r="E27" s="6">
        <v>38211</v>
      </c>
      <c r="F27" s="21"/>
    </row>
    <row r="28" spans="1:6" x14ac:dyDescent="0.4">
      <c r="A28" s="13" t="s">
        <v>2324</v>
      </c>
      <c r="B28" s="13" t="s">
        <v>2345</v>
      </c>
      <c r="C28" s="13" t="s">
        <v>70</v>
      </c>
      <c r="D28" s="58" t="s">
        <v>2351</v>
      </c>
      <c r="E28" s="6">
        <v>89100</v>
      </c>
      <c r="F28" s="21"/>
    </row>
    <row r="29" spans="1:6" x14ac:dyDescent="0.4">
      <c r="A29" s="13" t="s">
        <v>2324</v>
      </c>
      <c r="B29" s="13" t="s">
        <v>2345</v>
      </c>
      <c r="C29" s="13" t="s">
        <v>50</v>
      </c>
      <c r="D29" s="58" t="s">
        <v>2351</v>
      </c>
      <c r="E29" s="6">
        <v>34290</v>
      </c>
      <c r="F29" s="21"/>
    </row>
    <row r="30" spans="1:6" x14ac:dyDescent="0.4">
      <c r="A30" s="13" t="s">
        <v>2324</v>
      </c>
      <c r="B30" s="55" t="s">
        <v>2325</v>
      </c>
      <c r="C30" s="10" t="s">
        <v>25</v>
      </c>
      <c r="D30" s="58" t="s">
        <v>2352</v>
      </c>
      <c r="E30" s="6">
        <v>514800</v>
      </c>
      <c r="F30" s="21"/>
    </row>
    <row r="31" spans="1:6" x14ac:dyDescent="0.4">
      <c r="A31" s="13" t="s">
        <v>2324</v>
      </c>
      <c r="B31" s="55" t="s">
        <v>2325</v>
      </c>
      <c r="C31" s="13" t="s">
        <v>44</v>
      </c>
      <c r="D31" s="58" t="s">
        <v>2352</v>
      </c>
      <c r="E31" s="6">
        <v>9315450</v>
      </c>
      <c r="F31" s="21"/>
    </row>
    <row r="32" spans="1:6" x14ac:dyDescent="0.4">
      <c r="A32" s="13" t="s">
        <v>2324</v>
      </c>
      <c r="B32" s="55" t="s">
        <v>2325</v>
      </c>
      <c r="C32" s="10" t="s">
        <v>1944</v>
      </c>
      <c r="D32" s="58" t="s">
        <v>2352</v>
      </c>
      <c r="E32" s="6">
        <v>84915</v>
      </c>
      <c r="F32" s="21"/>
    </row>
    <row r="33" spans="1:6" x14ac:dyDescent="0.4">
      <c r="A33" s="13" t="s">
        <v>2324</v>
      </c>
      <c r="B33" s="55" t="s">
        <v>2325</v>
      </c>
      <c r="C33" s="13" t="s">
        <v>70</v>
      </c>
      <c r="D33" s="58" t="s">
        <v>2352</v>
      </c>
      <c r="E33" s="6">
        <v>19800</v>
      </c>
      <c r="F33" s="21"/>
    </row>
    <row r="34" spans="1:6" x14ac:dyDescent="0.4">
      <c r="A34" s="13" t="s">
        <v>2324</v>
      </c>
      <c r="B34" s="55" t="s">
        <v>2325</v>
      </c>
      <c r="C34" s="13" t="s">
        <v>50</v>
      </c>
      <c r="D34" s="58" t="s">
        <v>2352</v>
      </c>
      <c r="E34" s="6">
        <v>495300</v>
      </c>
      <c r="F34" s="21"/>
    </row>
    <row r="35" spans="1:6" x14ac:dyDescent="0.4">
      <c r="A35" s="13" t="s">
        <v>2324</v>
      </c>
      <c r="B35" s="13" t="s">
        <v>2345</v>
      </c>
      <c r="C35" s="10" t="s">
        <v>25</v>
      </c>
      <c r="D35" s="58" t="s">
        <v>2352</v>
      </c>
      <c r="E35" s="6">
        <v>231660</v>
      </c>
      <c r="F35" s="21"/>
    </row>
    <row r="36" spans="1:6" x14ac:dyDescent="0.4">
      <c r="A36" s="13" t="s">
        <v>2324</v>
      </c>
      <c r="B36" s="13" t="s">
        <v>2345</v>
      </c>
      <c r="C36" s="13" t="s">
        <v>44</v>
      </c>
      <c r="D36" s="58" t="s">
        <v>2352</v>
      </c>
      <c r="E36" s="6">
        <v>4191952</v>
      </c>
      <c r="F36" s="21"/>
    </row>
    <row r="37" spans="1:6" x14ac:dyDescent="0.4">
      <c r="A37" s="13" t="s">
        <v>2324</v>
      </c>
      <c r="B37" s="13" t="s">
        <v>2345</v>
      </c>
      <c r="C37" s="10" t="s">
        <v>1944</v>
      </c>
      <c r="D37" s="58" t="s">
        <v>2352</v>
      </c>
      <c r="E37" s="6">
        <v>38211</v>
      </c>
      <c r="F37" s="21"/>
    </row>
    <row r="38" spans="1:6" x14ac:dyDescent="0.4">
      <c r="A38" s="13" t="s">
        <v>2324</v>
      </c>
      <c r="B38" s="13" t="s">
        <v>2345</v>
      </c>
      <c r="C38" s="13" t="s">
        <v>70</v>
      </c>
      <c r="D38" s="58" t="s">
        <v>2352</v>
      </c>
      <c r="E38" s="6">
        <v>8910</v>
      </c>
      <c r="F38" s="21"/>
    </row>
    <row r="39" spans="1:6" x14ac:dyDescent="0.4">
      <c r="A39" s="13" t="s">
        <v>2324</v>
      </c>
      <c r="B39" s="13" t="s">
        <v>2345</v>
      </c>
      <c r="C39" s="13" t="s">
        <v>50</v>
      </c>
      <c r="D39" s="58" t="s">
        <v>2352</v>
      </c>
      <c r="E39" s="6">
        <v>222885</v>
      </c>
      <c r="F39" s="21"/>
    </row>
    <row r="40" spans="1:6" x14ac:dyDescent="0.4">
      <c r="A40" s="13" t="s">
        <v>2324</v>
      </c>
      <c r="B40" s="55" t="s">
        <v>2325</v>
      </c>
      <c r="C40" s="10" t="s">
        <v>25</v>
      </c>
      <c r="D40" s="58" t="s">
        <v>2353</v>
      </c>
      <c r="E40" s="6">
        <v>39600</v>
      </c>
      <c r="F40" s="21"/>
    </row>
    <row r="41" spans="1:6" x14ac:dyDescent="0.4">
      <c r="A41" s="13" t="s">
        <v>2324</v>
      </c>
      <c r="B41" s="55" t="s">
        <v>2325</v>
      </c>
      <c r="C41" s="13" t="s">
        <v>44</v>
      </c>
      <c r="D41" s="58" t="s">
        <v>2353</v>
      </c>
      <c r="E41" s="6">
        <v>9429750</v>
      </c>
      <c r="F41" s="21"/>
    </row>
    <row r="42" spans="1:6" x14ac:dyDescent="0.4">
      <c r="A42" s="13" t="s">
        <v>2324</v>
      </c>
      <c r="B42" s="55" t="s">
        <v>2325</v>
      </c>
      <c r="C42" s="10" t="s">
        <v>1944</v>
      </c>
      <c r="D42" s="58" t="s">
        <v>2353</v>
      </c>
      <c r="E42" s="6">
        <v>94350</v>
      </c>
      <c r="F42" s="21"/>
    </row>
    <row r="43" spans="1:6" x14ac:dyDescent="0.4">
      <c r="A43" s="13" t="s">
        <v>2324</v>
      </c>
      <c r="B43" s="55" t="s">
        <v>2325</v>
      </c>
      <c r="C43" s="13" t="s">
        <v>50</v>
      </c>
      <c r="D43" s="58" t="s">
        <v>2353</v>
      </c>
      <c r="E43" s="6">
        <v>495300</v>
      </c>
      <c r="F43" s="21"/>
    </row>
    <row r="44" spans="1:6" x14ac:dyDescent="0.4">
      <c r="A44" s="13" t="s">
        <v>2324</v>
      </c>
      <c r="B44" s="13" t="s">
        <v>2345</v>
      </c>
      <c r="C44" s="10" t="s">
        <v>25</v>
      </c>
      <c r="D44" s="58" t="s">
        <v>2353</v>
      </c>
      <c r="E44" s="6">
        <v>17820</v>
      </c>
      <c r="F44" s="21"/>
    </row>
    <row r="45" spans="1:6" x14ac:dyDescent="0.4">
      <c r="A45" s="13" t="s">
        <v>2324</v>
      </c>
      <c r="B45" s="13" t="s">
        <v>2345</v>
      </c>
      <c r="C45" s="13" t="s">
        <v>44</v>
      </c>
      <c r="D45" s="58" t="s">
        <v>2353</v>
      </c>
      <c r="E45" s="6">
        <v>4243387</v>
      </c>
      <c r="F45" s="21"/>
    </row>
    <row r="46" spans="1:6" x14ac:dyDescent="0.4">
      <c r="A46" s="13" t="s">
        <v>2324</v>
      </c>
      <c r="B46" s="13" t="s">
        <v>2345</v>
      </c>
      <c r="C46" s="10" t="s">
        <v>1944</v>
      </c>
      <c r="D46" s="58" t="s">
        <v>2353</v>
      </c>
      <c r="E46" s="6">
        <v>42457</v>
      </c>
      <c r="F46" s="21"/>
    </row>
    <row r="47" spans="1:6" x14ac:dyDescent="0.4">
      <c r="A47" s="13" t="s">
        <v>2324</v>
      </c>
      <c r="B47" s="13" t="s">
        <v>2345</v>
      </c>
      <c r="C47" s="13" t="s">
        <v>50</v>
      </c>
      <c r="D47" s="58" t="s">
        <v>2353</v>
      </c>
      <c r="E47" s="6">
        <v>222885</v>
      </c>
      <c r="F47" s="21"/>
    </row>
    <row r="48" spans="1:6" x14ac:dyDescent="0.4">
      <c r="A48" s="13" t="s">
        <v>2324</v>
      </c>
      <c r="B48" s="55" t="s">
        <v>2325</v>
      </c>
      <c r="C48" s="13" t="s">
        <v>44</v>
      </c>
      <c r="D48" s="58" t="s">
        <v>2354</v>
      </c>
      <c r="E48" s="6">
        <v>9486900</v>
      </c>
      <c r="F48" s="21"/>
    </row>
    <row r="49" spans="1:6" x14ac:dyDescent="0.4">
      <c r="A49" s="13" t="s">
        <v>2324</v>
      </c>
      <c r="B49" s="55" t="s">
        <v>2325</v>
      </c>
      <c r="C49" s="10" t="s">
        <v>1944</v>
      </c>
      <c r="D49" s="58" t="s">
        <v>2354</v>
      </c>
      <c r="E49" s="6">
        <v>245310</v>
      </c>
      <c r="F49" s="21"/>
    </row>
    <row r="50" spans="1:6" x14ac:dyDescent="0.4">
      <c r="A50" s="13" t="s">
        <v>2324</v>
      </c>
      <c r="B50" s="55" t="s">
        <v>2325</v>
      </c>
      <c r="C50" s="13" t="s">
        <v>50</v>
      </c>
      <c r="D50" s="58" t="s">
        <v>2354</v>
      </c>
      <c r="E50" s="6">
        <v>495300</v>
      </c>
      <c r="F50" s="21"/>
    </row>
    <row r="51" spans="1:6" x14ac:dyDescent="0.4">
      <c r="A51" s="13" t="s">
        <v>2324</v>
      </c>
      <c r="B51" s="55" t="s">
        <v>2325</v>
      </c>
      <c r="C51" s="13" t="s">
        <v>5133</v>
      </c>
      <c r="D51" s="58" t="s">
        <v>2354</v>
      </c>
      <c r="E51" s="6">
        <v>28305</v>
      </c>
      <c r="F51" s="21"/>
    </row>
    <row r="52" spans="1:6" x14ac:dyDescent="0.4">
      <c r="A52" s="13" t="s">
        <v>2324</v>
      </c>
      <c r="B52" s="13" t="s">
        <v>2345</v>
      </c>
      <c r="C52" s="13" t="s">
        <v>44</v>
      </c>
      <c r="D52" s="58" t="s">
        <v>2354</v>
      </c>
      <c r="E52" s="6">
        <v>4269105</v>
      </c>
      <c r="F52" s="21"/>
    </row>
    <row r="53" spans="1:6" x14ac:dyDescent="0.4">
      <c r="A53" s="13" t="s">
        <v>2324</v>
      </c>
      <c r="B53" s="13" t="s">
        <v>2345</v>
      </c>
      <c r="C53" s="10" t="s">
        <v>1944</v>
      </c>
      <c r="D53" s="58" t="s">
        <v>2354</v>
      </c>
      <c r="E53" s="6">
        <v>110389</v>
      </c>
      <c r="F53" s="21"/>
    </row>
    <row r="54" spans="1:6" x14ac:dyDescent="0.4">
      <c r="A54" s="13" t="s">
        <v>2324</v>
      </c>
      <c r="B54" s="13" t="s">
        <v>2345</v>
      </c>
      <c r="C54" s="13" t="s">
        <v>50</v>
      </c>
      <c r="D54" s="58" t="s">
        <v>2354</v>
      </c>
      <c r="E54" s="6">
        <v>222885</v>
      </c>
      <c r="F54" s="21"/>
    </row>
    <row r="55" spans="1:6" x14ac:dyDescent="0.4">
      <c r="A55" s="13" t="s">
        <v>2324</v>
      </c>
      <c r="B55" s="13" t="s">
        <v>2345</v>
      </c>
      <c r="C55" s="13" t="s">
        <v>5133</v>
      </c>
      <c r="D55" s="58" t="s">
        <v>2354</v>
      </c>
      <c r="E55" s="6">
        <v>12737</v>
      </c>
      <c r="F55" s="21"/>
    </row>
    <row r="56" spans="1:6" x14ac:dyDescent="0.4">
      <c r="A56" s="13" t="s">
        <v>2324</v>
      </c>
      <c r="B56" s="55" t="s">
        <v>2325</v>
      </c>
      <c r="C56" s="13" t="s">
        <v>44</v>
      </c>
      <c r="D56" s="58" t="s">
        <v>2242</v>
      </c>
      <c r="E56" s="6">
        <v>9010650</v>
      </c>
      <c r="F56" s="21"/>
    </row>
    <row r="57" spans="1:6" x14ac:dyDescent="0.4">
      <c r="A57" s="13" t="s">
        <v>2324</v>
      </c>
      <c r="B57" s="55" t="s">
        <v>2325</v>
      </c>
      <c r="C57" s="10" t="s">
        <v>1944</v>
      </c>
      <c r="D57" s="58" t="s">
        <v>2242</v>
      </c>
      <c r="E57" s="6">
        <v>245310</v>
      </c>
      <c r="F57" s="21"/>
    </row>
    <row r="58" spans="1:6" x14ac:dyDescent="0.4">
      <c r="A58" s="13" t="s">
        <v>2324</v>
      </c>
      <c r="B58" s="55" t="s">
        <v>2325</v>
      </c>
      <c r="C58" s="13" t="s">
        <v>50</v>
      </c>
      <c r="D58" s="58" t="s">
        <v>2242</v>
      </c>
      <c r="E58" s="6">
        <v>495300</v>
      </c>
      <c r="F58" s="21"/>
    </row>
    <row r="59" spans="1:6" x14ac:dyDescent="0.4">
      <c r="A59" s="13" t="s">
        <v>2324</v>
      </c>
      <c r="B59" s="55" t="s">
        <v>2325</v>
      </c>
      <c r="C59" s="13" t="s">
        <v>5133</v>
      </c>
      <c r="D59" s="58" t="s">
        <v>2242</v>
      </c>
      <c r="E59" s="6">
        <v>28305</v>
      </c>
      <c r="F59" s="21"/>
    </row>
    <row r="60" spans="1:6" x14ac:dyDescent="0.4">
      <c r="A60" s="13" t="s">
        <v>2324</v>
      </c>
      <c r="B60" s="13" t="s">
        <v>2345</v>
      </c>
      <c r="C60" s="13" t="s">
        <v>44</v>
      </c>
      <c r="D60" s="58" t="s">
        <v>2242</v>
      </c>
      <c r="E60" s="6">
        <v>4054792</v>
      </c>
      <c r="F60" s="21"/>
    </row>
    <row r="61" spans="1:6" x14ac:dyDescent="0.4">
      <c r="A61" s="13" t="s">
        <v>2324</v>
      </c>
      <c r="B61" s="13" t="s">
        <v>2345</v>
      </c>
      <c r="C61" s="10" t="s">
        <v>1944</v>
      </c>
      <c r="D61" s="58" t="s">
        <v>2242</v>
      </c>
      <c r="E61" s="6">
        <v>110389</v>
      </c>
      <c r="F61" s="21"/>
    </row>
    <row r="62" spans="1:6" x14ac:dyDescent="0.4">
      <c r="A62" s="13" t="s">
        <v>2324</v>
      </c>
      <c r="B62" s="13" t="s">
        <v>2345</v>
      </c>
      <c r="C62" s="13" t="s">
        <v>50</v>
      </c>
      <c r="D62" s="58" t="s">
        <v>2242</v>
      </c>
      <c r="E62" s="6">
        <v>222885</v>
      </c>
      <c r="F62" s="21"/>
    </row>
    <row r="63" spans="1:6" x14ac:dyDescent="0.4">
      <c r="A63" s="13" t="s">
        <v>2324</v>
      </c>
      <c r="B63" s="13" t="s">
        <v>2345</v>
      </c>
      <c r="C63" s="13" t="s">
        <v>5133</v>
      </c>
      <c r="D63" s="58" t="s">
        <v>2242</v>
      </c>
      <c r="E63" s="6">
        <v>12737</v>
      </c>
      <c r="F63" s="21"/>
    </row>
    <row r="64" spans="1:6" x14ac:dyDescent="0.4">
      <c r="A64" s="13" t="s">
        <v>2324</v>
      </c>
      <c r="B64" s="55" t="s">
        <v>2325</v>
      </c>
      <c r="C64" s="13" t="s">
        <v>44</v>
      </c>
      <c r="D64" s="58" t="s">
        <v>2243</v>
      </c>
      <c r="E64" s="6">
        <v>6553200</v>
      </c>
      <c r="F64" s="21"/>
    </row>
    <row r="65" spans="1:6" x14ac:dyDescent="0.4">
      <c r="A65" s="13" t="s">
        <v>2324</v>
      </c>
      <c r="B65" s="55" t="s">
        <v>2325</v>
      </c>
      <c r="C65" s="10" t="s">
        <v>1944</v>
      </c>
      <c r="D65" s="58" t="s">
        <v>2243</v>
      </c>
      <c r="E65" s="6">
        <v>245310</v>
      </c>
      <c r="F65" s="21"/>
    </row>
    <row r="66" spans="1:6" x14ac:dyDescent="0.4">
      <c r="A66" s="13" t="s">
        <v>2324</v>
      </c>
      <c r="B66" s="55" t="s">
        <v>2325</v>
      </c>
      <c r="C66" s="13" t="s">
        <v>50</v>
      </c>
      <c r="D66" s="58" t="s">
        <v>2243</v>
      </c>
      <c r="E66" s="6">
        <v>419100</v>
      </c>
      <c r="F66" s="21"/>
    </row>
    <row r="67" spans="1:6" x14ac:dyDescent="0.4">
      <c r="A67" s="13" t="s">
        <v>2324</v>
      </c>
      <c r="B67" s="55" t="s">
        <v>2325</v>
      </c>
      <c r="C67" s="13" t="s">
        <v>5133</v>
      </c>
      <c r="D67" s="58" t="s">
        <v>2243</v>
      </c>
      <c r="E67" s="6">
        <v>28305</v>
      </c>
      <c r="F67" s="21"/>
    </row>
    <row r="68" spans="1:6" x14ac:dyDescent="0.4">
      <c r="A68" s="13" t="s">
        <v>2324</v>
      </c>
      <c r="B68" s="13" t="s">
        <v>2345</v>
      </c>
      <c r="C68" s="13" t="s">
        <v>44</v>
      </c>
      <c r="D68" s="58" t="s">
        <v>2243</v>
      </c>
      <c r="E68" s="6">
        <v>2948940</v>
      </c>
      <c r="F68" s="21"/>
    </row>
    <row r="69" spans="1:6" x14ac:dyDescent="0.4">
      <c r="A69" s="13" t="s">
        <v>2324</v>
      </c>
      <c r="B69" s="13" t="s">
        <v>2345</v>
      </c>
      <c r="C69" s="10" t="s">
        <v>1944</v>
      </c>
      <c r="D69" s="58" t="s">
        <v>2243</v>
      </c>
      <c r="E69" s="6">
        <v>110389</v>
      </c>
      <c r="F69" s="21"/>
    </row>
    <row r="70" spans="1:6" x14ac:dyDescent="0.4">
      <c r="A70" s="13" t="s">
        <v>2324</v>
      </c>
      <c r="B70" s="13" t="s">
        <v>2345</v>
      </c>
      <c r="C70" s="13" t="s">
        <v>50</v>
      </c>
      <c r="D70" s="58" t="s">
        <v>2243</v>
      </c>
      <c r="E70" s="6">
        <v>188595</v>
      </c>
      <c r="F70" s="21"/>
    </row>
    <row r="71" spans="1:6" x14ac:dyDescent="0.4">
      <c r="A71" s="13" t="s">
        <v>2324</v>
      </c>
      <c r="B71" s="13" t="s">
        <v>2345</v>
      </c>
      <c r="C71" s="13" t="s">
        <v>5133</v>
      </c>
      <c r="D71" s="58" t="s">
        <v>2243</v>
      </c>
      <c r="E71" s="6">
        <v>12737</v>
      </c>
      <c r="F71" s="21"/>
    </row>
    <row r="72" spans="1:6" x14ac:dyDescent="0.4">
      <c r="A72" s="13" t="s">
        <v>2324</v>
      </c>
      <c r="B72" s="55" t="s">
        <v>2325</v>
      </c>
      <c r="C72" s="13" t="s">
        <v>44</v>
      </c>
      <c r="D72" s="58" t="s">
        <v>2244</v>
      </c>
      <c r="E72" s="6">
        <v>6381750</v>
      </c>
      <c r="F72" s="21"/>
    </row>
    <row r="73" spans="1:6" x14ac:dyDescent="0.4">
      <c r="A73" s="13" t="s">
        <v>2324</v>
      </c>
      <c r="B73" s="55" t="s">
        <v>2325</v>
      </c>
      <c r="C73" s="10" t="s">
        <v>1944</v>
      </c>
      <c r="D73" s="58" t="s">
        <v>2244</v>
      </c>
      <c r="E73" s="6">
        <v>254745</v>
      </c>
      <c r="F73" s="21"/>
    </row>
    <row r="74" spans="1:6" x14ac:dyDescent="0.4">
      <c r="A74" s="13" t="s">
        <v>2324</v>
      </c>
      <c r="B74" s="55" t="s">
        <v>2325</v>
      </c>
      <c r="C74" s="13" t="s">
        <v>50</v>
      </c>
      <c r="D74" s="58" t="s">
        <v>2244</v>
      </c>
      <c r="E74" s="6">
        <v>419100</v>
      </c>
      <c r="F74" s="21"/>
    </row>
    <row r="75" spans="1:6" x14ac:dyDescent="0.4">
      <c r="A75" s="13" t="s">
        <v>2324</v>
      </c>
      <c r="B75" s="55" t="s">
        <v>2325</v>
      </c>
      <c r="C75" s="13" t="s">
        <v>5133</v>
      </c>
      <c r="D75" s="58" t="s">
        <v>2244</v>
      </c>
      <c r="E75" s="6">
        <v>28305</v>
      </c>
      <c r="F75" s="21"/>
    </row>
    <row r="76" spans="1:6" x14ac:dyDescent="0.4">
      <c r="A76" s="13" t="s">
        <v>2324</v>
      </c>
      <c r="B76" s="13" t="s">
        <v>2345</v>
      </c>
      <c r="C76" s="13" t="s">
        <v>44</v>
      </c>
      <c r="D76" s="58" t="s">
        <v>2244</v>
      </c>
      <c r="E76" s="6">
        <v>2871787</v>
      </c>
      <c r="F76" s="21"/>
    </row>
    <row r="77" spans="1:6" x14ac:dyDescent="0.4">
      <c r="A77" s="13" t="s">
        <v>2324</v>
      </c>
      <c r="B77" s="13" t="s">
        <v>2345</v>
      </c>
      <c r="C77" s="10" t="s">
        <v>1944</v>
      </c>
      <c r="D77" s="58" t="s">
        <v>2244</v>
      </c>
      <c r="E77" s="6">
        <v>114635</v>
      </c>
      <c r="F77" s="21"/>
    </row>
    <row r="78" spans="1:6" x14ac:dyDescent="0.4">
      <c r="A78" s="13" t="s">
        <v>2324</v>
      </c>
      <c r="B78" s="13" t="s">
        <v>2345</v>
      </c>
      <c r="C78" s="13" t="s">
        <v>50</v>
      </c>
      <c r="D78" s="58" t="s">
        <v>2244</v>
      </c>
      <c r="E78" s="6">
        <v>188595</v>
      </c>
      <c r="F78" s="21"/>
    </row>
    <row r="79" spans="1:6" x14ac:dyDescent="0.4">
      <c r="A79" s="13" t="s">
        <v>2324</v>
      </c>
      <c r="B79" s="13" t="s">
        <v>2345</v>
      </c>
      <c r="C79" s="13" t="s">
        <v>5133</v>
      </c>
      <c r="D79" s="58" t="s">
        <v>2244</v>
      </c>
      <c r="E79" s="6">
        <v>12737</v>
      </c>
      <c r="F79" s="21"/>
    </row>
    <row r="80" spans="1:6" x14ac:dyDescent="0.4">
      <c r="A80" s="13" t="s">
        <v>2324</v>
      </c>
      <c r="B80" s="55" t="s">
        <v>2325</v>
      </c>
      <c r="C80" s="13" t="s">
        <v>44</v>
      </c>
      <c r="D80" s="58" t="s">
        <v>2355</v>
      </c>
      <c r="E80" s="6">
        <v>228600</v>
      </c>
      <c r="F80" s="21"/>
    </row>
    <row r="81" spans="1:6" x14ac:dyDescent="0.4">
      <c r="A81" s="13" t="s">
        <v>2324</v>
      </c>
      <c r="B81" s="55" t="s">
        <v>2325</v>
      </c>
      <c r="C81" s="10" t="s">
        <v>1944</v>
      </c>
      <c r="D81" s="58" t="s">
        <v>2355</v>
      </c>
      <c r="E81" s="6">
        <v>254745</v>
      </c>
      <c r="F81" s="21"/>
    </row>
    <row r="82" spans="1:6" x14ac:dyDescent="0.4">
      <c r="A82" s="13" t="s">
        <v>2324</v>
      </c>
      <c r="B82" s="55" t="s">
        <v>2325</v>
      </c>
      <c r="C82" s="13" t="s">
        <v>5133</v>
      </c>
      <c r="D82" s="58" t="s">
        <v>2355</v>
      </c>
      <c r="E82" s="6">
        <v>28305</v>
      </c>
      <c r="F82" s="21"/>
    </row>
    <row r="83" spans="1:6" x14ac:dyDescent="0.4">
      <c r="A83" s="13" t="s">
        <v>2324</v>
      </c>
      <c r="B83" s="13" t="s">
        <v>2345</v>
      </c>
      <c r="C83" s="13" t="s">
        <v>44</v>
      </c>
      <c r="D83" s="58" t="s">
        <v>2355</v>
      </c>
      <c r="E83" s="6">
        <v>102870</v>
      </c>
      <c r="F83" s="21"/>
    </row>
    <row r="84" spans="1:6" x14ac:dyDescent="0.4">
      <c r="A84" s="13" t="s">
        <v>2324</v>
      </c>
      <c r="B84" s="13" t="s">
        <v>2345</v>
      </c>
      <c r="C84" s="10" t="s">
        <v>1944</v>
      </c>
      <c r="D84" s="58" t="s">
        <v>2355</v>
      </c>
      <c r="E84" s="6">
        <v>114635</v>
      </c>
      <c r="F84" s="21"/>
    </row>
    <row r="85" spans="1:6" x14ac:dyDescent="0.4">
      <c r="A85" s="13" t="s">
        <v>2324</v>
      </c>
      <c r="B85" s="13" t="s">
        <v>2345</v>
      </c>
      <c r="C85" s="13" t="s">
        <v>5133</v>
      </c>
      <c r="D85" s="58" t="s">
        <v>2355</v>
      </c>
      <c r="E85" s="6">
        <v>12737</v>
      </c>
      <c r="F85" s="21"/>
    </row>
  </sheetData>
  <autoFilter ref="A1:E85" xr:uid="{A17749F1-FB3B-478F-A60C-2A3B7FFE1CBB}">
    <sortState xmlns:xlrd2="http://schemas.microsoft.com/office/spreadsheetml/2017/richdata2" ref="A2:E85">
      <sortCondition ref="D1:D85"/>
    </sortState>
  </autoFilter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670B-EE8D-4C8B-B229-6E4696CB62DE}">
  <sheetPr>
    <tabColor rgb="FFFF0000"/>
  </sheetPr>
  <dimension ref="A1:U129"/>
  <sheetViews>
    <sheetView zoomScale="70" zoomScaleNormal="70" workbookViewId="0">
      <selection activeCell="F41" sqref="F41"/>
    </sheetView>
  </sheetViews>
  <sheetFormatPr defaultRowHeight="18.75" x14ac:dyDescent="0.4"/>
  <cols>
    <col min="1" max="1" width="11.5" bestFit="1" customWidth="1"/>
    <col min="2" max="2" width="9.5" bestFit="1" customWidth="1"/>
    <col min="3" max="3" width="39.25" bestFit="1" customWidth="1"/>
    <col min="4" max="4" width="13.75" bestFit="1" customWidth="1"/>
    <col min="5" max="5" width="9.5" bestFit="1" customWidth="1"/>
    <col min="6" max="6" width="29" bestFit="1" customWidth="1"/>
    <col min="7" max="7" width="11.875" bestFit="1" customWidth="1"/>
    <col min="9" max="9" width="37" bestFit="1" customWidth="1"/>
    <col min="10" max="12" width="11" customWidth="1"/>
    <col min="13" max="13" width="12.75" customWidth="1"/>
    <col min="14" max="15" width="10.625" bestFit="1" customWidth="1"/>
    <col min="16" max="19" width="9.125" bestFit="1" customWidth="1"/>
    <col min="20" max="20" width="11.75" bestFit="1" customWidth="1"/>
  </cols>
  <sheetData>
    <row r="1" spans="1:21" x14ac:dyDescent="0.4">
      <c r="A1" s="13" t="s">
        <v>2268</v>
      </c>
      <c r="B1" s="13" t="s">
        <v>2269</v>
      </c>
      <c r="C1" s="56" t="s">
        <v>2316</v>
      </c>
      <c r="D1" s="13" t="s">
        <v>2261</v>
      </c>
      <c r="E1" s="13" t="s">
        <v>2323</v>
      </c>
    </row>
    <row r="2" spans="1:21" x14ac:dyDescent="0.4">
      <c r="A2" s="13" t="s">
        <v>2324</v>
      </c>
      <c r="B2" s="55" t="s">
        <v>2325</v>
      </c>
      <c r="C2" s="13" t="s">
        <v>44</v>
      </c>
      <c r="D2" s="58" t="s">
        <v>2348</v>
      </c>
      <c r="E2" s="6">
        <v>38100</v>
      </c>
      <c r="F2" s="21"/>
      <c r="N2" t="s">
        <v>25</v>
      </c>
      <c r="O2" t="s">
        <v>44</v>
      </c>
      <c r="P2" t="s">
        <v>1944</v>
      </c>
      <c r="Q2" t="s">
        <v>70</v>
      </c>
      <c r="R2" t="s">
        <v>50</v>
      </c>
      <c r="S2" t="s">
        <v>5133</v>
      </c>
      <c r="T2" t="s">
        <v>2233</v>
      </c>
      <c r="U2">
        <v>0.45</v>
      </c>
    </row>
    <row r="3" spans="1:21" x14ac:dyDescent="0.4">
      <c r="A3" s="13" t="s">
        <v>2324</v>
      </c>
      <c r="B3" s="13" t="s">
        <v>2345</v>
      </c>
      <c r="C3" s="13" t="s">
        <v>44</v>
      </c>
      <c r="D3" s="58" t="s">
        <v>2348</v>
      </c>
      <c r="E3" s="6">
        <v>17145</v>
      </c>
      <c r="F3" s="21"/>
      <c r="M3" t="s">
        <v>2260</v>
      </c>
      <c r="N3" s="20"/>
      <c r="O3" s="20">
        <v>38100</v>
      </c>
      <c r="P3" s="20"/>
      <c r="Q3" s="20"/>
      <c r="R3" s="20"/>
      <c r="S3" s="20"/>
      <c r="T3" s="20">
        <v>38100</v>
      </c>
    </row>
    <row r="4" spans="1:21" x14ac:dyDescent="0.4">
      <c r="A4" s="13" t="s">
        <v>2324</v>
      </c>
      <c r="B4" s="55" t="s">
        <v>2325</v>
      </c>
      <c r="C4" s="10" t="s">
        <v>25</v>
      </c>
      <c r="D4" s="58" t="s">
        <v>5279</v>
      </c>
      <c r="E4" s="6">
        <v>1544400</v>
      </c>
      <c r="F4" s="21"/>
      <c r="M4" t="s">
        <v>2236</v>
      </c>
      <c r="N4" s="20">
        <v>1544400</v>
      </c>
      <c r="O4" s="20">
        <v>533400</v>
      </c>
      <c r="P4" s="20"/>
      <c r="Q4" s="20">
        <v>178200</v>
      </c>
      <c r="R4" s="20"/>
      <c r="S4" s="20"/>
      <c r="T4" s="20">
        <v>2256000</v>
      </c>
    </row>
    <row r="5" spans="1:21" x14ac:dyDescent="0.4">
      <c r="A5" s="13" t="s">
        <v>2324</v>
      </c>
      <c r="B5" s="55" t="s">
        <v>2325</v>
      </c>
      <c r="C5" s="13" t="s">
        <v>44</v>
      </c>
      <c r="D5" s="58" t="s">
        <v>2349</v>
      </c>
      <c r="E5" s="6">
        <v>533400</v>
      </c>
      <c r="F5" s="21"/>
      <c r="I5" s="57"/>
      <c r="M5" t="s">
        <v>2237</v>
      </c>
      <c r="N5" s="20">
        <v>2019600</v>
      </c>
      <c r="O5" s="20">
        <v>2990850</v>
      </c>
      <c r="P5" s="20">
        <v>56610</v>
      </c>
      <c r="Q5" s="20">
        <v>198000</v>
      </c>
      <c r="R5" s="20">
        <v>76200</v>
      </c>
      <c r="S5" s="20"/>
      <c r="T5" s="20">
        <v>5341260</v>
      </c>
    </row>
    <row r="6" spans="1:21" x14ac:dyDescent="0.4">
      <c r="A6" s="13" t="s">
        <v>2324</v>
      </c>
      <c r="B6" s="55" t="s">
        <v>2325</v>
      </c>
      <c r="C6" s="13" t="s">
        <v>70</v>
      </c>
      <c r="D6" s="58" t="s">
        <v>2349</v>
      </c>
      <c r="E6" s="6">
        <v>178200</v>
      </c>
      <c r="F6" s="21"/>
      <c r="M6" t="s">
        <v>2238</v>
      </c>
      <c r="N6" s="20">
        <v>2059200</v>
      </c>
      <c r="O6" s="20">
        <v>3162300</v>
      </c>
      <c r="P6" s="20">
        <v>84915</v>
      </c>
      <c r="Q6" s="20">
        <v>198000</v>
      </c>
      <c r="R6" s="20">
        <v>76200</v>
      </c>
      <c r="S6" s="20"/>
      <c r="T6" s="20">
        <v>5580615</v>
      </c>
    </row>
    <row r="7" spans="1:21" x14ac:dyDescent="0.4">
      <c r="A7" s="13" t="s">
        <v>2324</v>
      </c>
      <c r="B7" s="13" t="s">
        <v>2345</v>
      </c>
      <c r="C7" s="10" t="s">
        <v>25</v>
      </c>
      <c r="D7" s="58" t="s">
        <v>2349</v>
      </c>
      <c r="E7" s="6">
        <v>694980</v>
      </c>
      <c r="F7" s="21"/>
      <c r="M7" t="s">
        <v>2239</v>
      </c>
      <c r="N7" s="20">
        <v>514800</v>
      </c>
      <c r="O7" s="20">
        <v>9315450</v>
      </c>
      <c r="P7" s="20">
        <v>84915</v>
      </c>
      <c r="Q7" s="20">
        <v>19800</v>
      </c>
      <c r="R7" s="20">
        <v>495300</v>
      </c>
      <c r="S7" s="20"/>
      <c r="T7" s="20">
        <v>10430265</v>
      </c>
    </row>
    <row r="8" spans="1:21" x14ac:dyDescent="0.4">
      <c r="A8" s="13" t="s">
        <v>2324</v>
      </c>
      <c r="B8" s="13" t="s">
        <v>2345</v>
      </c>
      <c r="C8" s="13" t="s">
        <v>44</v>
      </c>
      <c r="D8" s="58" t="s">
        <v>2349</v>
      </c>
      <c r="E8" s="6">
        <v>240030</v>
      </c>
      <c r="F8" s="21"/>
      <c r="M8" t="s">
        <v>2240</v>
      </c>
      <c r="N8" s="20">
        <v>39600</v>
      </c>
      <c r="O8" s="20">
        <v>9429750</v>
      </c>
      <c r="P8" s="20">
        <v>94350</v>
      </c>
      <c r="Q8" s="20"/>
      <c r="R8" s="20">
        <v>495300</v>
      </c>
      <c r="S8" s="20"/>
      <c r="T8" s="20">
        <v>10059000</v>
      </c>
    </row>
    <row r="9" spans="1:21" x14ac:dyDescent="0.4">
      <c r="A9" s="13" t="s">
        <v>2324</v>
      </c>
      <c r="B9" s="13" t="s">
        <v>2345</v>
      </c>
      <c r="C9" s="13" t="s">
        <v>70</v>
      </c>
      <c r="D9" s="58" t="s">
        <v>2349</v>
      </c>
      <c r="E9" s="6">
        <v>80190</v>
      </c>
      <c r="F9" s="21"/>
      <c r="M9" t="s">
        <v>2241</v>
      </c>
      <c r="N9" s="20"/>
      <c r="O9" s="20">
        <v>9486900</v>
      </c>
      <c r="P9" s="20">
        <v>245310</v>
      </c>
      <c r="Q9" s="20"/>
      <c r="R9" s="20">
        <v>495300</v>
      </c>
      <c r="S9" s="20">
        <v>28305</v>
      </c>
      <c r="T9" s="20">
        <v>10255815</v>
      </c>
    </row>
    <row r="10" spans="1:21" x14ac:dyDescent="0.4">
      <c r="A10" s="13" t="s">
        <v>2324</v>
      </c>
      <c r="B10" s="55" t="s">
        <v>2325</v>
      </c>
      <c r="C10" s="10" t="s">
        <v>25</v>
      </c>
      <c r="D10" s="58" t="s">
        <v>5280</v>
      </c>
      <c r="E10" s="6">
        <v>2019600</v>
      </c>
      <c r="F10" s="21"/>
      <c r="M10" t="s">
        <v>2242</v>
      </c>
      <c r="N10" s="20"/>
      <c r="O10" s="20">
        <v>9010650</v>
      </c>
      <c r="P10" s="20">
        <v>245310</v>
      </c>
      <c r="Q10" s="20"/>
      <c r="R10" s="20">
        <v>495300</v>
      </c>
      <c r="S10" s="20">
        <v>28305</v>
      </c>
      <c r="T10" s="20">
        <v>9779565</v>
      </c>
    </row>
    <row r="11" spans="1:21" x14ac:dyDescent="0.4">
      <c r="A11" s="13" t="s">
        <v>2324</v>
      </c>
      <c r="B11" s="55" t="s">
        <v>2325</v>
      </c>
      <c r="C11" s="13" t="s">
        <v>44</v>
      </c>
      <c r="D11" s="58" t="s">
        <v>2350</v>
      </c>
      <c r="E11" s="6">
        <v>2990850</v>
      </c>
      <c r="F11" s="21"/>
      <c r="M11" t="s">
        <v>2243</v>
      </c>
      <c r="N11" s="20"/>
      <c r="O11" s="20">
        <v>6553200</v>
      </c>
      <c r="P11" s="20">
        <v>245310</v>
      </c>
      <c r="Q11" s="20"/>
      <c r="R11" s="20">
        <v>419100</v>
      </c>
      <c r="S11" s="20">
        <v>28305</v>
      </c>
      <c r="T11" s="20">
        <v>7245915</v>
      </c>
    </row>
    <row r="12" spans="1:21" x14ac:dyDescent="0.4">
      <c r="A12" s="13" t="s">
        <v>2324</v>
      </c>
      <c r="B12" s="55" t="s">
        <v>2325</v>
      </c>
      <c r="C12" s="10" t="s">
        <v>1944</v>
      </c>
      <c r="D12" s="58" t="s">
        <v>2350</v>
      </c>
      <c r="E12" s="6">
        <v>56610</v>
      </c>
      <c r="F12" s="21"/>
      <c r="M12" t="s">
        <v>2244</v>
      </c>
      <c r="N12" s="20"/>
      <c r="O12" s="20">
        <v>6381750</v>
      </c>
      <c r="P12" s="20">
        <v>254745</v>
      </c>
      <c r="Q12" s="20"/>
      <c r="R12" s="20">
        <v>419100</v>
      </c>
      <c r="S12" s="20">
        <v>28305</v>
      </c>
      <c r="T12" s="20">
        <v>7083900</v>
      </c>
    </row>
    <row r="13" spans="1:21" x14ac:dyDescent="0.4">
      <c r="A13" s="13" t="s">
        <v>2324</v>
      </c>
      <c r="B13" s="55" t="s">
        <v>2325</v>
      </c>
      <c r="C13" s="13" t="s">
        <v>70</v>
      </c>
      <c r="D13" s="58" t="s">
        <v>2350</v>
      </c>
      <c r="E13" s="6">
        <v>198000</v>
      </c>
      <c r="F13" s="21"/>
      <c r="M13" t="s">
        <v>5276</v>
      </c>
      <c r="N13" s="20"/>
      <c r="O13" s="20">
        <v>228600</v>
      </c>
      <c r="P13" s="20">
        <v>254745</v>
      </c>
      <c r="Q13" s="20"/>
      <c r="R13" s="20"/>
      <c r="S13" s="20">
        <v>28305</v>
      </c>
      <c r="T13" s="20">
        <v>511650</v>
      </c>
    </row>
    <row r="14" spans="1:21" x14ac:dyDescent="0.4">
      <c r="A14" s="13" t="s">
        <v>2324</v>
      </c>
      <c r="B14" s="55" t="s">
        <v>2325</v>
      </c>
      <c r="C14" s="13" t="s">
        <v>50</v>
      </c>
      <c r="D14" s="58" t="s">
        <v>2350</v>
      </c>
      <c r="E14" s="6">
        <v>76200</v>
      </c>
      <c r="F14" s="21"/>
      <c r="M14" t="s">
        <v>5277</v>
      </c>
      <c r="N14" s="20"/>
      <c r="O14" s="20">
        <v>114300</v>
      </c>
      <c r="P14" s="20">
        <v>254745</v>
      </c>
      <c r="Q14" s="20"/>
      <c r="R14" s="20"/>
      <c r="S14" s="20">
        <v>28305</v>
      </c>
      <c r="T14" s="20">
        <v>397350</v>
      </c>
    </row>
    <row r="15" spans="1:21" x14ac:dyDescent="0.4">
      <c r="A15" s="13" t="s">
        <v>2324</v>
      </c>
      <c r="B15" s="13" t="s">
        <v>2345</v>
      </c>
      <c r="C15" s="10" t="s">
        <v>25</v>
      </c>
      <c r="D15" s="58" t="s">
        <v>2350</v>
      </c>
      <c r="E15" s="6">
        <v>908820</v>
      </c>
      <c r="F15" s="21"/>
      <c r="M15" t="s">
        <v>2384</v>
      </c>
      <c r="N15" s="20"/>
      <c r="O15" s="20">
        <v>19050</v>
      </c>
      <c r="P15" s="20">
        <v>349095</v>
      </c>
      <c r="Q15" s="20"/>
      <c r="R15" s="20"/>
      <c r="S15" s="20">
        <v>28305</v>
      </c>
      <c r="T15" s="20">
        <v>396450</v>
      </c>
    </row>
    <row r="16" spans="1:21" x14ac:dyDescent="0.4">
      <c r="A16" s="13" t="s">
        <v>2324</v>
      </c>
      <c r="B16" s="13" t="s">
        <v>2345</v>
      </c>
      <c r="C16" s="13" t="s">
        <v>44</v>
      </c>
      <c r="D16" s="58" t="s">
        <v>2350</v>
      </c>
      <c r="E16" s="6">
        <v>1345882</v>
      </c>
      <c r="F16" s="21"/>
      <c r="M16" t="s">
        <v>2385</v>
      </c>
      <c r="N16" s="20"/>
      <c r="O16" s="20"/>
      <c r="P16" s="20">
        <v>349095</v>
      </c>
      <c r="Q16" s="20"/>
      <c r="R16" s="20"/>
      <c r="S16" s="20">
        <v>28305</v>
      </c>
      <c r="T16" s="20">
        <v>377400</v>
      </c>
    </row>
    <row r="17" spans="1:20" x14ac:dyDescent="0.4">
      <c r="A17" s="13" t="s">
        <v>2324</v>
      </c>
      <c r="B17" s="13" t="s">
        <v>2345</v>
      </c>
      <c r="C17" s="10" t="s">
        <v>1944</v>
      </c>
      <c r="D17" s="58" t="s">
        <v>2350</v>
      </c>
      <c r="E17" s="6">
        <v>25474</v>
      </c>
      <c r="F17" s="21"/>
      <c r="M17" t="s">
        <v>2386</v>
      </c>
      <c r="N17" s="20"/>
      <c r="O17" s="20"/>
      <c r="P17" s="20">
        <v>292485</v>
      </c>
      <c r="Q17" s="20"/>
      <c r="R17" s="20"/>
      <c r="S17" s="20">
        <v>28305</v>
      </c>
      <c r="T17" s="20">
        <v>320790</v>
      </c>
    </row>
    <row r="18" spans="1:20" x14ac:dyDescent="0.4">
      <c r="A18" s="13" t="s">
        <v>2324</v>
      </c>
      <c r="B18" s="13" t="s">
        <v>2345</v>
      </c>
      <c r="C18" s="13" t="s">
        <v>70</v>
      </c>
      <c r="D18" s="58" t="s">
        <v>2350</v>
      </c>
      <c r="E18" s="6">
        <v>89100</v>
      </c>
      <c r="F18" s="21"/>
      <c r="M18" t="s">
        <v>2387</v>
      </c>
      <c r="N18" s="20"/>
      <c r="O18" s="20"/>
      <c r="P18" s="20">
        <v>264180</v>
      </c>
      <c r="Q18" s="20"/>
      <c r="R18" s="20"/>
      <c r="S18" s="20">
        <v>28305</v>
      </c>
      <c r="T18" s="20">
        <v>292485</v>
      </c>
    </row>
    <row r="19" spans="1:20" x14ac:dyDescent="0.4">
      <c r="A19" s="13" t="s">
        <v>2324</v>
      </c>
      <c r="B19" s="13" t="s">
        <v>2345</v>
      </c>
      <c r="C19" s="13" t="s">
        <v>50</v>
      </c>
      <c r="D19" s="58" t="s">
        <v>2350</v>
      </c>
      <c r="E19" s="6">
        <v>34290</v>
      </c>
      <c r="F19" s="21"/>
      <c r="M19" t="s">
        <v>2388</v>
      </c>
      <c r="N19" s="20"/>
      <c r="O19" s="20"/>
      <c r="P19" s="20">
        <v>264180</v>
      </c>
      <c r="Q19" s="20"/>
      <c r="R19" s="20"/>
      <c r="S19" s="20">
        <v>28305</v>
      </c>
      <c r="T19" s="20">
        <v>292485</v>
      </c>
    </row>
    <row r="20" spans="1:20" x14ac:dyDescent="0.4">
      <c r="A20" s="13" t="s">
        <v>2324</v>
      </c>
      <c r="B20" s="55" t="s">
        <v>2325</v>
      </c>
      <c r="C20" s="10" t="s">
        <v>25</v>
      </c>
      <c r="D20" s="58" t="s">
        <v>2351</v>
      </c>
      <c r="E20" s="6">
        <v>2059200</v>
      </c>
      <c r="F20" s="21"/>
      <c r="M20" t="s">
        <v>2279</v>
      </c>
      <c r="N20" s="20"/>
      <c r="O20" s="20"/>
      <c r="P20" s="20">
        <v>254745</v>
      </c>
      <c r="Q20" s="20"/>
      <c r="R20" s="20"/>
      <c r="S20" s="20">
        <v>28305</v>
      </c>
      <c r="T20" s="20">
        <v>283050</v>
      </c>
    </row>
    <row r="21" spans="1:20" x14ac:dyDescent="0.4">
      <c r="A21" s="13" t="s">
        <v>2324</v>
      </c>
      <c r="B21" s="55" t="s">
        <v>2325</v>
      </c>
      <c r="C21" s="13" t="s">
        <v>44</v>
      </c>
      <c r="D21" s="58" t="s">
        <v>2351</v>
      </c>
      <c r="E21" s="6">
        <v>3162300</v>
      </c>
      <c r="F21" s="21"/>
      <c r="M21" t="s">
        <v>2280</v>
      </c>
      <c r="N21" s="20"/>
      <c r="O21" s="20"/>
      <c r="P21" s="20">
        <v>103785</v>
      </c>
      <c r="Q21" s="20"/>
      <c r="R21" s="20"/>
      <c r="S21" s="20"/>
      <c r="T21" s="20">
        <v>103785</v>
      </c>
    </row>
    <row r="22" spans="1:20" x14ac:dyDescent="0.4">
      <c r="A22" s="13" t="s">
        <v>2324</v>
      </c>
      <c r="B22" s="55" t="s">
        <v>2325</v>
      </c>
      <c r="C22" s="10" t="s">
        <v>1944</v>
      </c>
      <c r="D22" s="58" t="s">
        <v>2351</v>
      </c>
      <c r="E22" s="6">
        <v>84915</v>
      </c>
      <c r="F22" s="21"/>
      <c r="M22" t="s">
        <v>2281</v>
      </c>
      <c r="N22" s="20"/>
      <c r="O22" s="20"/>
      <c r="P22" s="20">
        <v>103785</v>
      </c>
      <c r="Q22" s="20"/>
      <c r="R22" s="20"/>
      <c r="S22" s="20"/>
      <c r="T22" s="20">
        <v>103785</v>
      </c>
    </row>
    <row r="23" spans="1:20" x14ac:dyDescent="0.4">
      <c r="A23" s="13" t="s">
        <v>2324</v>
      </c>
      <c r="B23" s="55" t="s">
        <v>2325</v>
      </c>
      <c r="C23" s="13" t="s">
        <v>70</v>
      </c>
      <c r="D23" s="58" t="s">
        <v>2351</v>
      </c>
      <c r="E23" s="6">
        <v>198000</v>
      </c>
      <c r="F23" s="21"/>
      <c r="M23" t="s">
        <v>2282</v>
      </c>
      <c r="N23" s="20"/>
      <c r="O23" s="20"/>
      <c r="P23" s="20">
        <v>103785</v>
      </c>
      <c r="Q23" s="20"/>
      <c r="R23" s="20"/>
      <c r="S23" s="20"/>
      <c r="T23" s="20">
        <v>103785</v>
      </c>
    </row>
    <row r="24" spans="1:20" x14ac:dyDescent="0.4">
      <c r="A24" s="13" t="s">
        <v>2324</v>
      </c>
      <c r="B24" s="55" t="s">
        <v>2325</v>
      </c>
      <c r="C24" s="13" t="s">
        <v>50</v>
      </c>
      <c r="D24" s="58" t="s">
        <v>2351</v>
      </c>
      <c r="E24" s="6">
        <v>76200</v>
      </c>
      <c r="F24" s="21"/>
      <c r="M24" t="s">
        <v>2283</v>
      </c>
      <c r="N24" s="20"/>
      <c r="O24" s="20"/>
      <c r="P24" s="20">
        <v>94350</v>
      </c>
      <c r="Q24" s="20"/>
      <c r="R24" s="20"/>
      <c r="S24" s="20"/>
      <c r="T24" s="20">
        <v>94350</v>
      </c>
    </row>
    <row r="25" spans="1:20" x14ac:dyDescent="0.4">
      <c r="A25" s="13" t="s">
        <v>2324</v>
      </c>
      <c r="B25" s="13" t="s">
        <v>2345</v>
      </c>
      <c r="C25" s="10" t="s">
        <v>25</v>
      </c>
      <c r="D25" s="58" t="s">
        <v>2351</v>
      </c>
      <c r="E25" s="6">
        <v>926640</v>
      </c>
      <c r="F25" s="21"/>
      <c r="M25" t="s">
        <v>5278</v>
      </c>
      <c r="N25" s="20"/>
      <c r="O25" s="20"/>
      <c r="P25" s="20">
        <v>94350</v>
      </c>
      <c r="Q25" s="20"/>
      <c r="R25" s="20"/>
      <c r="S25" s="20"/>
      <c r="T25" s="20">
        <v>94350</v>
      </c>
    </row>
    <row r="26" spans="1:20" x14ac:dyDescent="0.4">
      <c r="A26" s="13" t="s">
        <v>2324</v>
      </c>
      <c r="B26" s="13" t="s">
        <v>2345</v>
      </c>
      <c r="C26" s="13" t="s">
        <v>44</v>
      </c>
      <c r="D26" s="58" t="s">
        <v>2351</v>
      </c>
      <c r="E26" s="6">
        <v>1423035</v>
      </c>
      <c r="F26" s="21"/>
      <c r="M26" t="s">
        <v>2389</v>
      </c>
      <c r="N26" s="20"/>
      <c r="O26" s="20"/>
      <c r="P26" s="20">
        <v>94350</v>
      </c>
      <c r="Q26" s="20"/>
      <c r="R26" s="20"/>
      <c r="S26" s="20"/>
      <c r="T26" s="20">
        <v>94350</v>
      </c>
    </row>
    <row r="27" spans="1:20" x14ac:dyDescent="0.4">
      <c r="A27" s="13" t="s">
        <v>2324</v>
      </c>
      <c r="B27" s="13" t="s">
        <v>2345</v>
      </c>
      <c r="C27" s="10" t="s">
        <v>1944</v>
      </c>
      <c r="D27" s="58" t="s">
        <v>2351</v>
      </c>
      <c r="E27" s="6">
        <v>38211</v>
      </c>
      <c r="F27" s="21"/>
      <c r="M27" t="s">
        <v>2390</v>
      </c>
      <c r="N27" s="20"/>
      <c r="O27" s="20"/>
      <c r="P27" s="20"/>
      <c r="Q27" s="20"/>
      <c r="R27" s="20"/>
      <c r="S27" s="20"/>
      <c r="T27" s="20"/>
    </row>
    <row r="28" spans="1:20" x14ac:dyDescent="0.4">
      <c r="A28" s="13" t="s">
        <v>2324</v>
      </c>
      <c r="B28" s="13" t="s">
        <v>2345</v>
      </c>
      <c r="C28" s="13" t="s">
        <v>70</v>
      </c>
      <c r="D28" s="58" t="s">
        <v>2351</v>
      </c>
      <c r="E28" s="6">
        <v>89100</v>
      </c>
      <c r="F28" s="21"/>
    </row>
    <row r="29" spans="1:20" x14ac:dyDescent="0.4">
      <c r="A29" s="13" t="s">
        <v>2324</v>
      </c>
      <c r="B29" s="13" t="s">
        <v>2345</v>
      </c>
      <c r="C29" s="13" t="s">
        <v>50</v>
      </c>
      <c r="D29" s="58" t="s">
        <v>2351</v>
      </c>
      <c r="E29" s="6">
        <v>34290</v>
      </c>
      <c r="F29" s="21"/>
    </row>
    <row r="30" spans="1:20" x14ac:dyDescent="0.4">
      <c r="A30" s="13" t="s">
        <v>2324</v>
      </c>
      <c r="B30" s="55" t="s">
        <v>2325</v>
      </c>
      <c r="C30" s="10" t="s">
        <v>25</v>
      </c>
      <c r="D30" s="58" t="s">
        <v>2352</v>
      </c>
      <c r="E30" s="6">
        <v>514800</v>
      </c>
      <c r="F30" s="21"/>
    </row>
    <row r="31" spans="1:20" x14ac:dyDescent="0.4">
      <c r="A31" s="13" t="s">
        <v>2324</v>
      </c>
      <c r="B31" s="55" t="s">
        <v>2325</v>
      </c>
      <c r="C31" s="13" t="s">
        <v>44</v>
      </c>
      <c r="D31" s="58" t="s">
        <v>2352</v>
      </c>
      <c r="E31" s="6">
        <v>9315450</v>
      </c>
      <c r="F31" s="21"/>
    </row>
    <row r="32" spans="1:20" x14ac:dyDescent="0.4">
      <c r="A32" s="13" t="s">
        <v>2324</v>
      </c>
      <c r="B32" s="55" t="s">
        <v>2325</v>
      </c>
      <c r="C32" s="10" t="s">
        <v>1944</v>
      </c>
      <c r="D32" s="58" t="s">
        <v>2352</v>
      </c>
      <c r="E32" s="6">
        <v>84915</v>
      </c>
      <c r="F32" s="21"/>
    </row>
    <row r="33" spans="1:6" x14ac:dyDescent="0.4">
      <c r="A33" s="13" t="s">
        <v>2324</v>
      </c>
      <c r="B33" s="55" t="s">
        <v>2325</v>
      </c>
      <c r="C33" s="13" t="s">
        <v>70</v>
      </c>
      <c r="D33" s="58" t="s">
        <v>2352</v>
      </c>
      <c r="E33" s="6">
        <v>19800</v>
      </c>
      <c r="F33" s="21"/>
    </row>
    <row r="34" spans="1:6" x14ac:dyDescent="0.4">
      <c r="A34" s="13" t="s">
        <v>2324</v>
      </c>
      <c r="B34" s="55" t="s">
        <v>2325</v>
      </c>
      <c r="C34" s="13" t="s">
        <v>50</v>
      </c>
      <c r="D34" s="58" t="s">
        <v>2352</v>
      </c>
      <c r="E34" s="6">
        <v>495300</v>
      </c>
      <c r="F34" s="21"/>
    </row>
    <row r="35" spans="1:6" x14ac:dyDescent="0.4">
      <c r="A35" s="13" t="s">
        <v>2324</v>
      </c>
      <c r="B35" s="13" t="s">
        <v>2345</v>
      </c>
      <c r="C35" s="10" t="s">
        <v>25</v>
      </c>
      <c r="D35" s="58" t="s">
        <v>2352</v>
      </c>
      <c r="E35" s="6">
        <v>231660</v>
      </c>
      <c r="F35" s="21"/>
    </row>
    <row r="36" spans="1:6" x14ac:dyDescent="0.4">
      <c r="A36" s="13" t="s">
        <v>2324</v>
      </c>
      <c r="B36" s="13" t="s">
        <v>2345</v>
      </c>
      <c r="C36" s="13" t="s">
        <v>44</v>
      </c>
      <c r="D36" s="58" t="s">
        <v>2352</v>
      </c>
      <c r="E36" s="6">
        <v>4191952</v>
      </c>
      <c r="F36" s="21"/>
    </row>
    <row r="37" spans="1:6" x14ac:dyDescent="0.4">
      <c r="A37" s="13" t="s">
        <v>2324</v>
      </c>
      <c r="B37" s="13" t="s">
        <v>2345</v>
      </c>
      <c r="C37" s="10" t="s">
        <v>1944</v>
      </c>
      <c r="D37" s="58" t="s">
        <v>2352</v>
      </c>
      <c r="E37" s="6">
        <v>38211</v>
      </c>
      <c r="F37" s="21"/>
    </row>
    <row r="38" spans="1:6" x14ac:dyDescent="0.4">
      <c r="A38" s="13" t="s">
        <v>2324</v>
      </c>
      <c r="B38" s="13" t="s">
        <v>2345</v>
      </c>
      <c r="C38" s="13" t="s">
        <v>70</v>
      </c>
      <c r="D38" s="58" t="s">
        <v>2352</v>
      </c>
      <c r="E38" s="6">
        <v>8910</v>
      </c>
      <c r="F38" s="21"/>
    </row>
    <row r="39" spans="1:6" x14ac:dyDescent="0.4">
      <c r="A39" s="13" t="s">
        <v>2324</v>
      </c>
      <c r="B39" s="13" t="s">
        <v>2345</v>
      </c>
      <c r="C39" s="13" t="s">
        <v>50</v>
      </c>
      <c r="D39" s="58" t="s">
        <v>2352</v>
      </c>
      <c r="E39" s="6">
        <v>222885</v>
      </c>
      <c r="F39" s="21"/>
    </row>
    <row r="40" spans="1:6" x14ac:dyDescent="0.4">
      <c r="A40" s="13" t="s">
        <v>2324</v>
      </c>
      <c r="B40" s="55" t="s">
        <v>2325</v>
      </c>
      <c r="C40" s="10" t="s">
        <v>25</v>
      </c>
      <c r="D40" s="58" t="s">
        <v>2353</v>
      </c>
      <c r="E40" s="6">
        <v>39600</v>
      </c>
      <c r="F40" s="21"/>
    </row>
    <row r="41" spans="1:6" x14ac:dyDescent="0.4">
      <c r="A41" s="13" t="s">
        <v>2324</v>
      </c>
      <c r="B41" s="55" t="s">
        <v>2325</v>
      </c>
      <c r="C41" s="13" t="s">
        <v>44</v>
      </c>
      <c r="D41" s="58" t="s">
        <v>2353</v>
      </c>
      <c r="E41" s="6">
        <v>9429750</v>
      </c>
      <c r="F41" s="21"/>
    </row>
    <row r="42" spans="1:6" x14ac:dyDescent="0.4">
      <c r="A42" s="13" t="s">
        <v>2324</v>
      </c>
      <c r="B42" s="55" t="s">
        <v>2325</v>
      </c>
      <c r="C42" s="10" t="s">
        <v>1944</v>
      </c>
      <c r="D42" s="58" t="s">
        <v>2353</v>
      </c>
      <c r="E42" s="6">
        <v>94350</v>
      </c>
      <c r="F42" s="21"/>
    </row>
    <row r="43" spans="1:6" x14ac:dyDescent="0.4">
      <c r="A43" s="13" t="s">
        <v>2324</v>
      </c>
      <c r="B43" s="55" t="s">
        <v>2325</v>
      </c>
      <c r="C43" s="13" t="s">
        <v>50</v>
      </c>
      <c r="D43" s="58" t="s">
        <v>2353</v>
      </c>
      <c r="E43" s="6">
        <v>495300</v>
      </c>
      <c r="F43" s="21"/>
    </row>
    <row r="44" spans="1:6" x14ac:dyDescent="0.4">
      <c r="A44" s="13" t="s">
        <v>2324</v>
      </c>
      <c r="B44" s="13" t="s">
        <v>2345</v>
      </c>
      <c r="C44" s="10" t="s">
        <v>25</v>
      </c>
      <c r="D44" s="58" t="s">
        <v>2353</v>
      </c>
      <c r="E44" s="6">
        <v>17820</v>
      </c>
      <c r="F44" s="21"/>
    </row>
    <row r="45" spans="1:6" x14ac:dyDescent="0.4">
      <c r="A45" s="13" t="s">
        <v>2324</v>
      </c>
      <c r="B45" s="13" t="s">
        <v>2345</v>
      </c>
      <c r="C45" s="13" t="s">
        <v>44</v>
      </c>
      <c r="D45" s="58" t="s">
        <v>2353</v>
      </c>
      <c r="E45" s="6">
        <v>4243387</v>
      </c>
      <c r="F45" s="21"/>
    </row>
    <row r="46" spans="1:6" x14ac:dyDescent="0.4">
      <c r="A46" s="13" t="s">
        <v>2324</v>
      </c>
      <c r="B46" s="13" t="s">
        <v>2345</v>
      </c>
      <c r="C46" s="10" t="s">
        <v>1944</v>
      </c>
      <c r="D46" s="58" t="s">
        <v>2353</v>
      </c>
      <c r="E46" s="6">
        <v>42457</v>
      </c>
      <c r="F46" s="21"/>
    </row>
    <row r="47" spans="1:6" x14ac:dyDescent="0.4">
      <c r="A47" s="13" t="s">
        <v>2324</v>
      </c>
      <c r="B47" s="13" t="s">
        <v>2345</v>
      </c>
      <c r="C47" s="13" t="s">
        <v>50</v>
      </c>
      <c r="D47" s="58" t="s">
        <v>2353</v>
      </c>
      <c r="E47" s="6">
        <v>222885</v>
      </c>
      <c r="F47" s="21"/>
    </row>
    <row r="48" spans="1:6" x14ac:dyDescent="0.4">
      <c r="A48" s="13" t="s">
        <v>2324</v>
      </c>
      <c r="B48" s="55" t="s">
        <v>2325</v>
      </c>
      <c r="C48" s="13" t="s">
        <v>44</v>
      </c>
      <c r="D48" s="58" t="s">
        <v>2354</v>
      </c>
      <c r="E48" s="6">
        <v>9486900</v>
      </c>
      <c r="F48" s="21"/>
    </row>
    <row r="49" spans="1:6" x14ac:dyDescent="0.4">
      <c r="A49" s="13" t="s">
        <v>2324</v>
      </c>
      <c r="B49" s="55" t="s">
        <v>2325</v>
      </c>
      <c r="C49" s="10" t="s">
        <v>1944</v>
      </c>
      <c r="D49" s="58" t="s">
        <v>2354</v>
      </c>
      <c r="E49" s="6">
        <v>245310</v>
      </c>
      <c r="F49" s="21"/>
    </row>
    <row r="50" spans="1:6" x14ac:dyDescent="0.4">
      <c r="A50" s="13" t="s">
        <v>2324</v>
      </c>
      <c r="B50" s="55" t="s">
        <v>2325</v>
      </c>
      <c r="C50" s="13" t="s">
        <v>50</v>
      </c>
      <c r="D50" s="58" t="s">
        <v>2354</v>
      </c>
      <c r="E50" s="6">
        <v>495300</v>
      </c>
      <c r="F50" s="21"/>
    </row>
    <row r="51" spans="1:6" x14ac:dyDescent="0.4">
      <c r="A51" s="13" t="s">
        <v>2324</v>
      </c>
      <c r="B51" s="55" t="s">
        <v>2325</v>
      </c>
      <c r="C51" s="13" t="s">
        <v>5133</v>
      </c>
      <c r="D51" s="58" t="s">
        <v>2354</v>
      </c>
      <c r="E51" s="6">
        <v>28305</v>
      </c>
      <c r="F51" s="21"/>
    </row>
    <row r="52" spans="1:6" x14ac:dyDescent="0.4">
      <c r="A52" s="13" t="s">
        <v>2324</v>
      </c>
      <c r="B52" s="13" t="s">
        <v>2345</v>
      </c>
      <c r="C52" s="13" t="s">
        <v>44</v>
      </c>
      <c r="D52" s="58" t="s">
        <v>2354</v>
      </c>
      <c r="E52" s="6">
        <v>4269105</v>
      </c>
      <c r="F52" s="21"/>
    </row>
    <row r="53" spans="1:6" x14ac:dyDescent="0.4">
      <c r="A53" s="13" t="s">
        <v>2324</v>
      </c>
      <c r="B53" s="13" t="s">
        <v>2345</v>
      </c>
      <c r="C53" s="10" t="s">
        <v>1944</v>
      </c>
      <c r="D53" s="58" t="s">
        <v>2354</v>
      </c>
      <c r="E53" s="6">
        <v>110389</v>
      </c>
      <c r="F53" s="21"/>
    </row>
    <row r="54" spans="1:6" x14ac:dyDescent="0.4">
      <c r="A54" s="13" t="s">
        <v>2324</v>
      </c>
      <c r="B54" s="13" t="s">
        <v>2345</v>
      </c>
      <c r="C54" s="13" t="s">
        <v>50</v>
      </c>
      <c r="D54" s="58" t="s">
        <v>2354</v>
      </c>
      <c r="E54" s="6">
        <v>222885</v>
      </c>
      <c r="F54" s="21"/>
    </row>
    <row r="55" spans="1:6" x14ac:dyDescent="0.4">
      <c r="A55" s="13" t="s">
        <v>2324</v>
      </c>
      <c r="B55" s="13" t="s">
        <v>2345</v>
      </c>
      <c r="C55" s="13" t="s">
        <v>5133</v>
      </c>
      <c r="D55" s="58" t="s">
        <v>2354</v>
      </c>
      <c r="E55" s="6">
        <v>12737</v>
      </c>
      <c r="F55" s="21"/>
    </row>
    <row r="56" spans="1:6" x14ac:dyDescent="0.4">
      <c r="A56" s="13" t="s">
        <v>2324</v>
      </c>
      <c r="B56" s="55" t="s">
        <v>2325</v>
      </c>
      <c r="C56" s="13" t="s">
        <v>44</v>
      </c>
      <c r="D56" s="58" t="s">
        <v>2242</v>
      </c>
      <c r="E56" s="6">
        <v>9010650</v>
      </c>
      <c r="F56" s="21"/>
    </row>
    <row r="57" spans="1:6" x14ac:dyDescent="0.4">
      <c r="A57" s="13" t="s">
        <v>2324</v>
      </c>
      <c r="B57" s="55" t="s">
        <v>2325</v>
      </c>
      <c r="C57" s="10" t="s">
        <v>1944</v>
      </c>
      <c r="D57" s="58" t="s">
        <v>2242</v>
      </c>
      <c r="E57" s="6">
        <v>245310</v>
      </c>
      <c r="F57" s="21"/>
    </row>
    <row r="58" spans="1:6" x14ac:dyDescent="0.4">
      <c r="A58" s="13" t="s">
        <v>2324</v>
      </c>
      <c r="B58" s="55" t="s">
        <v>2325</v>
      </c>
      <c r="C58" s="13" t="s">
        <v>50</v>
      </c>
      <c r="D58" s="58" t="s">
        <v>2242</v>
      </c>
      <c r="E58" s="6">
        <v>495300</v>
      </c>
      <c r="F58" s="21"/>
    </row>
    <row r="59" spans="1:6" x14ac:dyDescent="0.4">
      <c r="A59" s="13" t="s">
        <v>2324</v>
      </c>
      <c r="B59" s="55" t="s">
        <v>2325</v>
      </c>
      <c r="C59" s="13" t="s">
        <v>5133</v>
      </c>
      <c r="D59" s="58" t="s">
        <v>2242</v>
      </c>
      <c r="E59" s="6">
        <v>28305</v>
      </c>
      <c r="F59" s="21"/>
    </row>
    <row r="60" spans="1:6" x14ac:dyDescent="0.4">
      <c r="A60" s="13" t="s">
        <v>2324</v>
      </c>
      <c r="B60" s="13" t="s">
        <v>2345</v>
      </c>
      <c r="C60" s="13" t="s">
        <v>44</v>
      </c>
      <c r="D60" s="58" t="s">
        <v>2242</v>
      </c>
      <c r="E60" s="6">
        <v>4054792</v>
      </c>
      <c r="F60" s="21"/>
    </row>
    <row r="61" spans="1:6" x14ac:dyDescent="0.4">
      <c r="A61" s="13" t="s">
        <v>2324</v>
      </c>
      <c r="B61" s="13" t="s">
        <v>2345</v>
      </c>
      <c r="C61" s="10" t="s">
        <v>1944</v>
      </c>
      <c r="D61" s="58" t="s">
        <v>2242</v>
      </c>
      <c r="E61" s="6">
        <v>110389</v>
      </c>
      <c r="F61" s="21"/>
    </row>
    <row r="62" spans="1:6" x14ac:dyDescent="0.4">
      <c r="A62" s="13" t="s">
        <v>2324</v>
      </c>
      <c r="B62" s="13" t="s">
        <v>2345</v>
      </c>
      <c r="C62" s="13" t="s">
        <v>50</v>
      </c>
      <c r="D62" s="58" t="s">
        <v>2242</v>
      </c>
      <c r="E62" s="6">
        <v>222885</v>
      </c>
      <c r="F62" s="21"/>
    </row>
    <row r="63" spans="1:6" x14ac:dyDescent="0.4">
      <c r="A63" s="13" t="s">
        <v>2324</v>
      </c>
      <c r="B63" s="13" t="s">
        <v>2345</v>
      </c>
      <c r="C63" s="13" t="s">
        <v>5133</v>
      </c>
      <c r="D63" s="58" t="s">
        <v>2242</v>
      </c>
      <c r="E63" s="6">
        <v>12737</v>
      </c>
      <c r="F63" s="21"/>
    </row>
    <row r="64" spans="1:6" x14ac:dyDescent="0.4">
      <c r="A64" s="13" t="s">
        <v>2324</v>
      </c>
      <c r="B64" s="55" t="s">
        <v>2325</v>
      </c>
      <c r="C64" s="13" t="s">
        <v>44</v>
      </c>
      <c r="D64" s="58" t="s">
        <v>2243</v>
      </c>
      <c r="E64" s="6">
        <v>6553200</v>
      </c>
      <c r="F64" s="21"/>
    </row>
    <row r="65" spans="1:6" x14ac:dyDescent="0.4">
      <c r="A65" s="13" t="s">
        <v>2324</v>
      </c>
      <c r="B65" s="55" t="s">
        <v>2325</v>
      </c>
      <c r="C65" s="10" t="s">
        <v>1944</v>
      </c>
      <c r="D65" s="58" t="s">
        <v>2243</v>
      </c>
      <c r="E65" s="6">
        <v>245310</v>
      </c>
      <c r="F65" s="21"/>
    </row>
    <row r="66" spans="1:6" x14ac:dyDescent="0.4">
      <c r="A66" s="13" t="s">
        <v>2324</v>
      </c>
      <c r="B66" s="55" t="s">
        <v>2325</v>
      </c>
      <c r="C66" s="13" t="s">
        <v>50</v>
      </c>
      <c r="D66" s="58" t="s">
        <v>2243</v>
      </c>
      <c r="E66" s="6">
        <v>419100</v>
      </c>
      <c r="F66" s="21"/>
    </row>
    <row r="67" spans="1:6" x14ac:dyDescent="0.4">
      <c r="A67" s="13" t="s">
        <v>2324</v>
      </c>
      <c r="B67" s="55" t="s">
        <v>2325</v>
      </c>
      <c r="C67" s="13" t="s">
        <v>5133</v>
      </c>
      <c r="D67" s="58" t="s">
        <v>2243</v>
      </c>
      <c r="E67" s="6">
        <v>28305</v>
      </c>
      <c r="F67" s="21"/>
    </row>
    <row r="68" spans="1:6" x14ac:dyDescent="0.4">
      <c r="A68" s="13" t="s">
        <v>2324</v>
      </c>
      <c r="B68" s="13" t="s">
        <v>2345</v>
      </c>
      <c r="C68" s="13" t="s">
        <v>44</v>
      </c>
      <c r="D68" s="58" t="s">
        <v>2243</v>
      </c>
      <c r="E68" s="6">
        <v>2948940</v>
      </c>
      <c r="F68" s="21"/>
    </row>
    <row r="69" spans="1:6" x14ac:dyDescent="0.4">
      <c r="A69" s="13" t="s">
        <v>2324</v>
      </c>
      <c r="B69" s="13" t="s">
        <v>2345</v>
      </c>
      <c r="C69" s="10" t="s">
        <v>1944</v>
      </c>
      <c r="D69" s="58" t="s">
        <v>2243</v>
      </c>
      <c r="E69" s="6">
        <v>110389</v>
      </c>
      <c r="F69" s="21"/>
    </row>
    <row r="70" spans="1:6" x14ac:dyDescent="0.4">
      <c r="A70" s="13" t="s">
        <v>2324</v>
      </c>
      <c r="B70" s="13" t="s">
        <v>2345</v>
      </c>
      <c r="C70" s="13" t="s">
        <v>50</v>
      </c>
      <c r="D70" s="58" t="s">
        <v>2243</v>
      </c>
      <c r="E70" s="6">
        <v>188595</v>
      </c>
      <c r="F70" s="21"/>
    </row>
    <row r="71" spans="1:6" x14ac:dyDescent="0.4">
      <c r="A71" s="13" t="s">
        <v>2324</v>
      </c>
      <c r="B71" s="13" t="s">
        <v>2345</v>
      </c>
      <c r="C71" s="13" t="s">
        <v>5133</v>
      </c>
      <c r="D71" s="58" t="s">
        <v>2243</v>
      </c>
      <c r="E71" s="6">
        <v>12737</v>
      </c>
      <c r="F71" s="21"/>
    </row>
    <row r="72" spans="1:6" x14ac:dyDescent="0.4">
      <c r="A72" s="13" t="s">
        <v>2324</v>
      </c>
      <c r="B72" s="55" t="s">
        <v>2325</v>
      </c>
      <c r="C72" s="13" t="s">
        <v>44</v>
      </c>
      <c r="D72" s="58" t="s">
        <v>2244</v>
      </c>
      <c r="E72" s="6">
        <v>6381750</v>
      </c>
      <c r="F72" s="21"/>
    </row>
    <row r="73" spans="1:6" x14ac:dyDescent="0.4">
      <c r="A73" s="13" t="s">
        <v>2324</v>
      </c>
      <c r="B73" s="55" t="s">
        <v>2325</v>
      </c>
      <c r="C73" s="10" t="s">
        <v>1944</v>
      </c>
      <c r="D73" s="58" t="s">
        <v>2244</v>
      </c>
      <c r="E73" s="6">
        <v>254745</v>
      </c>
      <c r="F73" s="21"/>
    </row>
    <row r="74" spans="1:6" x14ac:dyDescent="0.4">
      <c r="A74" s="13" t="s">
        <v>2324</v>
      </c>
      <c r="B74" s="55" t="s">
        <v>2325</v>
      </c>
      <c r="C74" s="13" t="s">
        <v>50</v>
      </c>
      <c r="D74" s="58" t="s">
        <v>2244</v>
      </c>
      <c r="E74" s="6">
        <v>419100</v>
      </c>
      <c r="F74" s="21"/>
    </row>
    <row r="75" spans="1:6" x14ac:dyDescent="0.4">
      <c r="A75" s="13" t="s">
        <v>2324</v>
      </c>
      <c r="B75" s="55" t="s">
        <v>2325</v>
      </c>
      <c r="C75" s="13" t="s">
        <v>5133</v>
      </c>
      <c r="D75" s="58" t="s">
        <v>2244</v>
      </c>
      <c r="E75" s="6">
        <v>28305</v>
      </c>
      <c r="F75" s="21"/>
    </row>
    <row r="76" spans="1:6" x14ac:dyDescent="0.4">
      <c r="A76" s="13" t="s">
        <v>2324</v>
      </c>
      <c r="B76" s="13" t="s">
        <v>2345</v>
      </c>
      <c r="C76" s="13" t="s">
        <v>44</v>
      </c>
      <c r="D76" s="58" t="s">
        <v>2244</v>
      </c>
      <c r="E76" s="6">
        <v>2871787</v>
      </c>
      <c r="F76" s="21"/>
    </row>
    <row r="77" spans="1:6" x14ac:dyDescent="0.4">
      <c r="A77" s="13" t="s">
        <v>2324</v>
      </c>
      <c r="B77" s="13" t="s">
        <v>2345</v>
      </c>
      <c r="C77" s="10" t="s">
        <v>1944</v>
      </c>
      <c r="D77" s="58" t="s">
        <v>2244</v>
      </c>
      <c r="E77" s="6">
        <v>114635</v>
      </c>
      <c r="F77" s="21"/>
    </row>
    <row r="78" spans="1:6" x14ac:dyDescent="0.4">
      <c r="A78" s="13" t="s">
        <v>2324</v>
      </c>
      <c r="B78" s="13" t="s">
        <v>2345</v>
      </c>
      <c r="C78" s="13" t="s">
        <v>50</v>
      </c>
      <c r="D78" s="58" t="s">
        <v>2244</v>
      </c>
      <c r="E78" s="6">
        <v>188595</v>
      </c>
      <c r="F78" s="21"/>
    </row>
    <row r="79" spans="1:6" x14ac:dyDescent="0.4">
      <c r="A79" s="13" t="s">
        <v>2324</v>
      </c>
      <c r="B79" s="13" t="s">
        <v>2345</v>
      </c>
      <c r="C79" s="13" t="s">
        <v>5133</v>
      </c>
      <c r="D79" s="58" t="s">
        <v>2244</v>
      </c>
      <c r="E79" s="6">
        <v>12737</v>
      </c>
      <c r="F79" s="21"/>
    </row>
    <row r="80" spans="1:6" x14ac:dyDescent="0.4">
      <c r="A80" s="13" t="s">
        <v>2324</v>
      </c>
      <c r="B80" s="55" t="s">
        <v>2325</v>
      </c>
      <c r="C80" s="13" t="s">
        <v>44</v>
      </c>
      <c r="D80" s="58" t="s">
        <v>2355</v>
      </c>
      <c r="E80" s="6">
        <v>228600</v>
      </c>
      <c r="F80" s="21"/>
    </row>
    <row r="81" spans="1:6" x14ac:dyDescent="0.4">
      <c r="A81" s="13" t="s">
        <v>2324</v>
      </c>
      <c r="B81" s="55" t="s">
        <v>2325</v>
      </c>
      <c r="C81" s="10" t="s">
        <v>1944</v>
      </c>
      <c r="D81" s="58" t="s">
        <v>2355</v>
      </c>
      <c r="E81" s="6">
        <v>254745</v>
      </c>
      <c r="F81" s="21"/>
    </row>
    <row r="82" spans="1:6" x14ac:dyDescent="0.4">
      <c r="A82" s="13" t="s">
        <v>2324</v>
      </c>
      <c r="B82" s="55" t="s">
        <v>2325</v>
      </c>
      <c r="C82" s="13" t="s">
        <v>5133</v>
      </c>
      <c r="D82" s="58" t="s">
        <v>2355</v>
      </c>
      <c r="E82" s="6">
        <v>28305</v>
      </c>
      <c r="F82" s="21"/>
    </row>
    <row r="83" spans="1:6" x14ac:dyDescent="0.4">
      <c r="A83" s="13" t="s">
        <v>2324</v>
      </c>
      <c r="B83" s="13" t="s">
        <v>2345</v>
      </c>
      <c r="C83" s="13" t="s">
        <v>44</v>
      </c>
      <c r="D83" s="58" t="s">
        <v>2355</v>
      </c>
      <c r="E83" s="6">
        <v>102870</v>
      </c>
      <c r="F83" s="21"/>
    </row>
    <row r="84" spans="1:6" x14ac:dyDescent="0.4">
      <c r="A84" s="13" t="s">
        <v>2324</v>
      </c>
      <c r="B84" s="13" t="s">
        <v>2345</v>
      </c>
      <c r="C84" s="10" t="s">
        <v>1944</v>
      </c>
      <c r="D84" s="58" t="s">
        <v>2355</v>
      </c>
      <c r="E84" s="6">
        <v>114635</v>
      </c>
      <c r="F84" s="21"/>
    </row>
    <row r="85" spans="1:6" x14ac:dyDescent="0.4">
      <c r="A85" s="13" t="s">
        <v>2324</v>
      </c>
      <c r="B85" s="13" t="s">
        <v>2345</v>
      </c>
      <c r="C85" s="13" t="s">
        <v>5133</v>
      </c>
      <c r="D85" s="58" t="s">
        <v>2355</v>
      </c>
      <c r="E85" s="6">
        <v>12737</v>
      </c>
      <c r="F85" s="21"/>
    </row>
    <row r="86" spans="1:6" x14ac:dyDescent="0.4">
      <c r="A86" s="13" t="s">
        <v>2324</v>
      </c>
      <c r="B86" s="55" t="s">
        <v>2325</v>
      </c>
      <c r="C86" s="13" t="s">
        <v>44</v>
      </c>
      <c r="D86" s="58" t="s">
        <v>2356</v>
      </c>
      <c r="E86" s="6">
        <v>114300</v>
      </c>
      <c r="F86" s="21"/>
    </row>
    <row r="87" spans="1:6" x14ac:dyDescent="0.4">
      <c r="A87" s="13" t="s">
        <v>2324</v>
      </c>
      <c r="B87" s="55" t="s">
        <v>2325</v>
      </c>
      <c r="C87" s="10" t="s">
        <v>1944</v>
      </c>
      <c r="D87" s="58" t="s">
        <v>2356</v>
      </c>
      <c r="E87" s="6">
        <v>254745</v>
      </c>
      <c r="F87" s="21"/>
    </row>
    <row r="88" spans="1:6" x14ac:dyDescent="0.4">
      <c r="A88" s="13" t="s">
        <v>2324</v>
      </c>
      <c r="B88" s="55" t="s">
        <v>2325</v>
      </c>
      <c r="C88" s="13" t="s">
        <v>5133</v>
      </c>
      <c r="D88" s="58" t="s">
        <v>2356</v>
      </c>
      <c r="E88" s="6">
        <v>28305</v>
      </c>
      <c r="F88" s="21"/>
    </row>
    <row r="89" spans="1:6" x14ac:dyDescent="0.4">
      <c r="A89" s="13" t="s">
        <v>2324</v>
      </c>
      <c r="B89" s="13" t="s">
        <v>2345</v>
      </c>
      <c r="C89" s="13" t="s">
        <v>44</v>
      </c>
      <c r="D89" s="58" t="s">
        <v>2356</v>
      </c>
      <c r="E89" s="6">
        <v>51435</v>
      </c>
      <c r="F89" s="21"/>
    </row>
    <row r="90" spans="1:6" x14ac:dyDescent="0.4">
      <c r="A90" s="13" t="s">
        <v>2324</v>
      </c>
      <c r="B90" s="13" t="s">
        <v>2345</v>
      </c>
      <c r="C90" s="10" t="s">
        <v>1944</v>
      </c>
      <c r="D90" s="58" t="s">
        <v>2356</v>
      </c>
      <c r="E90" s="6">
        <v>114635</v>
      </c>
      <c r="F90" s="21"/>
    </row>
    <row r="91" spans="1:6" x14ac:dyDescent="0.4">
      <c r="A91" s="13" t="s">
        <v>2324</v>
      </c>
      <c r="B91" s="13" t="s">
        <v>2345</v>
      </c>
      <c r="C91" s="13" t="s">
        <v>5133</v>
      </c>
      <c r="D91" s="58" t="s">
        <v>2356</v>
      </c>
      <c r="E91" s="6">
        <v>12737</v>
      </c>
      <c r="F91" s="21"/>
    </row>
    <row r="92" spans="1:6" x14ac:dyDescent="0.4">
      <c r="A92" s="13" t="s">
        <v>2324</v>
      </c>
      <c r="B92" s="55" t="s">
        <v>2325</v>
      </c>
      <c r="C92" s="10" t="s">
        <v>1944</v>
      </c>
      <c r="D92" s="58" t="s">
        <v>2281</v>
      </c>
      <c r="E92" s="6">
        <v>103785</v>
      </c>
      <c r="F92" s="21"/>
    </row>
    <row r="93" spans="1:6" x14ac:dyDescent="0.4">
      <c r="A93" s="13" t="s">
        <v>2324</v>
      </c>
      <c r="B93" s="13" t="s">
        <v>2345</v>
      </c>
      <c r="C93" s="10" t="s">
        <v>1944</v>
      </c>
      <c r="D93" s="58" t="s">
        <v>2281</v>
      </c>
      <c r="E93" s="6">
        <v>46703</v>
      </c>
      <c r="F93" s="21"/>
    </row>
    <row r="94" spans="1:6" x14ac:dyDescent="0.4">
      <c r="A94" s="13" t="s">
        <v>2324</v>
      </c>
      <c r="B94" s="55" t="s">
        <v>2325</v>
      </c>
      <c r="C94" s="10" t="s">
        <v>1944</v>
      </c>
      <c r="D94" s="58" t="s">
        <v>2282</v>
      </c>
      <c r="E94" s="6">
        <v>103785</v>
      </c>
      <c r="F94" s="21"/>
    </row>
    <row r="95" spans="1:6" x14ac:dyDescent="0.4">
      <c r="A95" s="13" t="s">
        <v>2324</v>
      </c>
      <c r="B95" s="13" t="s">
        <v>2345</v>
      </c>
      <c r="C95" s="10" t="s">
        <v>1944</v>
      </c>
      <c r="D95" s="58" t="s">
        <v>2282</v>
      </c>
      <c r="E95" s="6">
        <v>46703</v>
      </c>
      <c r="F95" s="21"/>
    </row>
    <row r="96" spans="1:6" x14ac:dyDescent="0.4">
      <c r="A96" s="13" t="s">
        <v>2324</v>
      </c>
      <c r="B96" s="55" t="s">
        <v>2325</v>
      </c>
      <c r="C96" s="10" t="s">
        <v>1944</v>
      </c>
      <c r="D96" s="58" t="s">
        <v>2283</v>
      </c>
      <c r="E96" s="6">
        <v>94350</v>
      </c>
      <c r="F96" s="21"/>
    </row>
    <row r="97" spans="1:6" x14ac:dyDescent="0.4">
      <c r="A97" s="13" t="s">
        <v>2324</v>
      </c>
      <c r="B97" s="13" t="s">
        <v>2345</v>
      </c>
      <c r="C97" s="10" t="s">
        <v>1944</v>
      </c>
      <c r="D97" s="58" t="s">
        <v>2283</v>
      </c>
      <c r="E97" s="6">
        <v>42457</v>
      </c>
      <c r="F97" s="21"/>
    </row>
    <row r="98" spans="1:6" x14ac:dyDescent="0.4">
      <c r="A98" s="13" t="s">
        <v>2324</v>
      </c>
      <c r="B98" s="55" t="s">
        <v>2325</v>
      </c>
      <c r="C98" s="10" t="s">
        <v>1944</v>
      </c>
      <c r="D98" s="58" t="s">
        <v>2364</v>
      </c>
      <c r="E98" s="6">
        <v>94350</v>
      </c>
      <c r="F98" s="21"/>
    </row>
    <row r="99" spans="1:6" x14ac:dyDescent="0.4">
      <c r="A99" s="13" t="s">
        <v>2324</v>
      </c>
      <c r="B99" s="13" t="s">
        <v>2345</v>
      </c>
      <c r="C99" s="10" t="s">
        <v>1944</v>
      </c>
      <c r="D99" s="58" t="s">
        <v>2364</v>
      </c>
      <c r="E99" s="6">
        <v>42457</v>
      </c>
      <c r="F99" s="21"/>
    </row>
    <row r="100" spans="1:6" x14ac:dyDescent="0.4">
      <c r="A100" s="13" t="s">
        <v>2324</v>
      </c>
      <c r="B100" s="55" t="s">
        <v>2325</v>
      </c>
      <c r="C100" s="10" t="s">
        <v>1944</v>
      </c>
      <c r="D100" s="58" t="s">
        <v>5281</v>
      </c>
      <c r="E100" s="6">
        <v>94350</v>
      </c>
      <c r="F100" s="21"/>
    </row>
    <row r="101" spans="1:6" x14ac:dyDescent="0.4">
      <c r="A101" s="13" t="s">
        <v>2324</v>
      </c>
      <c r="B101" s="13" t="s">
        <v>2345</v>
      </c>
      <c r="C101" s="10" t="s">
        <v>1944</v>
      </c>
      <c r="D101" s="58" t="s">
        <v>5281</v>
      </c>
      <c r="E101" s="6">
        <v>42457</v>
      </c>
      <c r="F101" s="21"/>
    </row>
    <row r="102" spans="1:6" x14ac:dyDescent="0.4">
      <c r="A102" s="13" t="s">
        <v>2324</v>
      </c>
      <c r="B102" s="55" t="s">
        <v>2325</v>
      </c>
      <c r="C102" s="13" t="s">
        <v>44</v>
      </c>
      <c r="D102" s="58" t="s">
        <v>5288</v>
      </c>
      <c r="E102" s="6">
        <v>19050</v>
      </c>
      <c r="F102" s="21"/>
    </row>
    <row r="103" spans="1:6" x14ac:dyDescent="0.4">
      <c r="A103" s="13" t="s">
        <v>2324</v>
      </c>
      <c r="B103" s="55" t="s">
        <v>2325</v>
      </c>
      <c r="C103" s="10" t="s">
        <v>1944</v>
      </c>
      <c r="D103" s="58" t="s">
        <v>5288</v>
      </c>
      <c r="E103" s="6">
        <v>349095</v>
      </c>
      <c r="F103" s="21"/>
    </row>
    <row r="104" spans="1:6" x14ac:dyDescent="0.4">
      <c r="A104" s="13" t="s">
        <v>2324</v>
      </c>
      <c r="B104" s="55" t="s">
        <v>2325</v>
      </c>
      <c r="C104" s="13" t="s">
        <v>5133</v>
      </c>
      <c r="D104" s="58" t="s">
        <v>5288</v>
      </c>
      <c r="E104" s="6">
        <v>28305</v>
      </c>
      <c r="F104" s="21"/>
    </row>
    <row r="105" spans="1:6" x14ac:dyDescent="0.4">
      <c r="A105" s="13" t="s">
        <v>2324</v>
      </c>
      <c r="B105" s="13" t="s">
        <v>2345</v>
      </c>
      <c r="C105" s="13" t="s">
        <v>44</v>
      </c>
      <c r="D105" s="58" t="s">
        <v>5288</v>
      </c>
      <c r="E105" s="6">
        <v>8572</v>
      </c>
      <c r="F105" s="21"/>
    </row>
    <row r="106" spans="1:6" x14ac:dyDescent="0.4">
      <c r="A106" s="13" t="s">
        <v>2324</v>
      </c>
      <c r="B106" s="13" t="s">
        <v>2345</v>
      </c>
      <c r="C106" s="10" t="s">
        <v>1944</v>
      </c>
      <c r="D106" s="58" t="s">
        <v>5288</v>
      </c>
      <c r="E106" s="6">
        <v>157092</v>
      </c>
      <c r="F106" s="21"/>
    </row>
    <row r="107" spans="1:6" x14ac:dyDescent="0.4">
      <c r="A107" s="13" t="s">
        <v>2324</v>
      </c>
      <c r="B107" s="13" t="s">
        <v>2345</v>
      </c>
      <c r="C107" s="13" t="s">
        <v>5133</v>
      </c>
      <c r="D107" s="58" t="s">
        <v>5288</v>
      </c>
      <c r="E107" s="6">
        <v>12737</v>
      </c>
      <c r="F107" s="21"/>
    </row>
    <row r="108" spans="1:6" x14ac:dyDescent="0.4">
      <c r="A108" s="13" t="s">
        <v>2324</v>
      </c>
      <c r="B108" s="55" t="s">
        <v>2325</v>
      </c>
      <c r="C108" s="10" t="s">
        <v>1944</v>
      </c>
      <c r="D108" s="58" t="s">
        <v>5282</v>
      </c>
      <c r="E108" s="6">
        <v>349095</v>
      </c>
      <c r="F108" s="21"/>
    </row>
    <row r="109" spans="1:6" x14ac:dyDescent="0.4">
      <c r="A109" s="13" t="s">
        <v>2324</v>
      </c>
      <c r="B109" s="55" t="s">
        <v>2325</v>
      </c>
      <c r="C109" s="13" t="s">
        <v>5133</v>
      </c>
      <c r="D109" s="58" t="s">
        <v>5282</v>
      </c>
      <c r="E109" s="6">
        <v>28305</v>
      </c>
      <c r="F109" s="21"/>
    </row>
    <row r="110" spans="1:6" x14ac:dyDescent="0.4">
      <c r="A110" s="13" t="s">
        <v>2324</v>
      </c>
      <c r="B110" s="13" t="s">
        <v>2345</v>
      </c>
      <c r="C110" s="10" t="s">
        <v>1944</v>
      </c>
      <c r="D110" s="58" t="s">
        <v>5282</v>
      </c>
      <c r="E110" s="6">
        <v>157092</v>
      </c>
      <c r="F110" s="21"/>
    </row>
    <row r="111" spans="1:6" x14ac:dyDescent="0.4">
      <c r="A111" s="13" t="s">
        <v>2324</v>
      </c>
      <c r="B111" s="13" t="s">
        <v>2345</v>
      </c>
      <c r="C111" s="13" t="s">
        <v>5133</v>
      </c>
      <c r="D111" s="58" t="s">
        <v>5282</v>
      </c>
      <c r="E111" s="6">
        <v>12737</v>
      </c>
      <c r="F111" s="21"/>
    </row>
    <row r="112" spans="1:6" x14ac:dyDescent="0.4">
      <c r="A112" s="13" t="s">
        <v>2324</v>
      </c>
      <c r="B112" s="55" t="s">
        <v>2325</v>
      </c>
      <c r="C112" s="10" t="s">
        <v>1944</v>
      </c>
      <c r="D112" s="58" t="s">
        <v>5283</v>
      </c>
      <c r="E112" s="6">
        <v>292485</v>
      </c>
      <c r="F112" s="21"/>
    </row>
    <row r="113" spans="1:6" x14ac:dyDescent="0.4">
      <c r="A113" s="13" t="s">
        <v>2324</v>
      </c>
      <c r="B113" s="55" t="s">
        <v>2325</v>
      </c>
      <c r="C113" s="13" t="s">
        <v>5133</v>
      </c>
      <c r="D113" s="58" t="s">
        <v>5283</v>
      </c>
      <c r="E113" s="6">
        <v>28305</v>
      </c>
      <c r="F113" s="21"/>
    </row>
    <row r="114" spans="1:6" x14ac:dyDescent="0.4">
      <c r="A114" s="13" t="s">
        <v>2324</v>
      </c>
      <c r="B114" s="13" t="s">
        <v>2345</v>
      </c>
      <c r="C114" s="10" t="s">
        <v>1944</v>
      </c>
      <c r="D114" s="58" t="s">
        <v>5283</v>
      </c>
      <c r="E114" s="6">
        <v>131618</v>
      </c>
      <c r="F114" s="21"/>
    </row>
    <row r="115" spans="1:6" x14ac:dyDescent="0.4">
      <c r="A115" s="13" t="s">
        <v>2324</v>
      </c>
      <c r="B115" s="13" t="s">
        <v>2345</v>
      </c>
      <c r="C115" s="13" t="s">
        <v>5133</v>
      </c>
      <c r="D115" s="58" t="s">
        <v>5283</v>
      </c>
      <c r="E115" s="6">
        <v>12737</v>
      </c>
      <c r="F115" s="21"/>
    </row>
    <row r="116" spans="1:6" x14ac:dyDescent="0.4">
      <c r="A116" s="13" t="s">
        <v>2324</v>
      </c>
      <c r="B116" s="55" t="s">
        <v>2325</v>
      </c>
      <c r="C116" s="10" t="s">
        <v>1944</v>
      </c>
      <c r="D116" s="58" t="s">
        <v>5284</v>
      </c>
      <c r="E116" s="6">
        <v>264180</v>
      </c>
      <c r="F116" s="21"/>
    </row>
    <row r="117" spans="1:6" x14ac:dyDescent="0.4">
      <c r="A117" s="13" t="s">
        <v>2324</v>
      </c>
      <c r="B117" s="55" t="s">
        <v>2325</v>
      </c>
      <c r="C117" s="13" t="s">
        <v>5133</v>
      </c>
      <c r="D117" s="58" t="s">
        <v>5284</v>
      </c>
      <c r="E117" s="6">
        <v>28305</v>
      </c>
      <c r="F117" s="21"/>
    </row>
    <row r="118" spans="1:6" x14ac:dyDescent="0.4">
      <c r="A118" s="13" t="s">
        <v>2324</v>
      </c>
      <c r="B118" s="13" t="s">
        <v>2345</v>
      </c>
      <c r="C118" s="10" t="s">
        <v>1944</v>
      </c>
      <c r="D118" s="58" t="s">
        <v>5284</v>
      </c>
      <c r="E118" s="6">
        <v>118881</v>
      </c>
      <c r="F118" s="21"/>
    </row>
    <row r="119" spans="1:6" x14ac:dyDescent="0.4">
      <c r="A119" s="13" t="s">
        <v>2324</v>
      </c>
      <c r="B119" s="13" t="s">
        <v>2345</v>
      </c>
      <c r="C119" s="13" t="s">
        <v>5133</v>
      </c>
      <c r="D119" s="58" t="s">
        <v>5284</v>
      </c>
      <c r="E119" s="6">
        <v>12737</v>
      </c>
      <c r="F119" s="21"/>
    </row>
    <row r="120" spans="1:6" x14ac:dyDescent="0.4">
      <c r="A120" s="13" t="s">
        <v>2324</v>
      </c>
      <c r="B120" s="55" t="s">
        <v>2325</v>
      </c>
      <c r="C120" s="10" t="s">
        <v>1944</v>
      </c>
      <c r="D120" s="58" t="s">
        <v>5285</v>
      </c>
      <c r="E120" s="6">
        <v>264180</v>
      </c>
      <c r="F120" s="21"/>
    </row>
    <row r="121" spans="1:6" x14ac:dyDescent="0.4">
      <c r="A121" s="13" t="s">
        <v>2324</v>
      </c>
      <c r="B121" s="55" t="s">
        <v>2325</v>
      </c>
      <c r="C121" s="13" t="s">
        <v>5133</v>
      </c>
      <c r="D121" s="58" t="s">
        <v>5285</v>
      </c>
      <c r="E121" s="6">
        <v>28305</v>
      </c>
      <c r="F121" s="21"/>
    </row>
    <row r="122" spans="1:6" x14ac:dyDescent="0.4">
      <c r="A122" s="13" t="s">
        <v>2324</v>
      </c>
      <c r="B122" s="13" t="s">
        <v>2345</v>
      </c>
      <c r="C122" s="10" t="s">
        <v>1944</v>
      </c>
      <c r="D122" s="58" t="s">
        <v>5285</v>
      </c>
      <c r="E122" s="6">
        <v>118881</v>
      </c>
      <c r="F122" s="21"/>
    </row>
    <row r="123" spans="1:6" x14ac:dyDescent="0.4">
      <c r="A123" s="13" t="s">
        <v>2324</v>
      </c>
      <c r="B123" s="13" t="s">
        <v>2345</v>
      </c>
      <c r="C123" s="13" t="s">
        <v>5133</v>
      </c>
      <c r="D123" s="58" t="s">
        <v>5285</v>
      </c>
      <c r="E123" s="6">
        <v>12737</v>
      </c>
      <c r="F123" s="21"/>
    </row>
    <row r="124" spans="1:6" x14ac:dyDescent="0.4">
      <c r="A124" s="13" t="s">
        <v>2324</v>
      </c>
      <c r="B124" s="55" t="s">
        <v>2325</v>
      </c>
      <c r="C124" s="10" t="s">
        <v>1944</v>
      </c>
      <c r="D124" s="58" t="s">
        <v>5286</v>
      </c>
      <c r="E124" s="6">
        <v>254745</v>
      </c>
      <c r="F124" s="21"/>
    </row>
    <row r="125" spans="1:6" x14ac:dyDescent="0.4">
      <c r="A125" s="13" t="s">
        <v>2324</v>
      </c>
      <c r="B125" s="55" t="s">
        <v>2325</v>
      </c>
      <c r="C125" s="13" t="s">
        <v>5133</v>
      </c>
      <c r="D125" s="58" t="s">
        <v>5286</v>
      </c>
      <c r="E125" s="6">
        <v>28305</v>
      </c>
      <c r="F125" s="21"/>
    </row>
    <row r="126" spans="1:6" x14ac:dyDescent="0.4">
      <c r="A126" s="13" t="s">
        <v>2324</v>
      </c>
      <c r="B126" s="13" t="s">
        <v>2345</v>
      </c>
      <c r="C126" s="10" t="s">
        <v>1944</v>
      </c>
      <c r="D126" s="58" t="s">
        <v>5286</v>
      </c>
      <c r="E126" s="6">
        <v>114635</v>
      </c>
      <c r="F126" s="21"/>
    </row>
    <row r="127" spans="1:6" x14ac:dyDescent="0.4">
      <c r="A127" s="13" t="s">
        <v>2324</v>
      </c>
      <c r="B127" s="13" t="s">
        <v>2345</v>
      </c>
      <c r="C127" s="13" t="s">
        <v>5133</v>
      </c>
      <c r="D127" s="58" t="s">
        <v>5286</v>
      </c>
      <c r="E127" s="6">
        <v>12737</v>
      </c>
      <c r="F127" s="21"/>
    </row>
    <row r="128" spans="1:6" x14ac:dyDescent="0.4">
      <c r="A128" s="13" t="s">
        <v>2324</v>
      </c>
      <c r="B128" s="55" t="s">
        <v>2325</v>
      </c>
      <c r="C128" s="10" t="s">
        <v>1944</v>
      </c>
      <c r="D128" s="58" t="s">
        <v>5287</v>
      </c>
      <c r="E128" s="6">
        <v>103785</v>
      </c>
      <c r="F128" s="21"/>
    </row>
    <row r="129" spans="1:6" x14ac:dyDescent="0.4">
      <c r="A129" s="13" t="s">
        <v>2324</v>
      </c>
      <c r="B129" s="13" t="s">
        <v>2345</v>
      </c>
      <c r="C129" s="10" t="s">
        <v>1944</v>
      </c>
      <c r="D129" s="58" t="s">
        <v>5287</v>
      </c>
      <c r="E129" s="6">
        <v>46703</v>
      </c>
      <c r="F129" s="21"/>
    </row>
  </sheetData>
  <autoFilter ref="A1:E129" xr:uid="{A17749F1-FB3B-478F-A60C-2A3B7FFE1CBB}">
    <sortState xmlns:xlrd2="http://schemas.microsoft.com/office/spreadsheetml/2017/richdata2" ref="A2:E129">
      <sortCondition ref="D1:D129"/>
    </sortState>
  </autoFilter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A6D9-3CEB-49C5-B206-77A2AC5D7BF3}">
  <sheetPr>
    <tabColor rgb="FFFF0000"/>
  </sheetPr>
  <dimension ref="A1:E107"/>
  <sheetViews>
    <sheetView zoomScale="55" zoomScaleNormal="55" workbookViewId="0">
      <selection activeCell="E37" sqref="E37"/>
    </sheetView>
  </sheetViews>
  <sheetFormatPr defaultRowHeight="18.75" x14ac:dyDescent="0.4"/>
  <cols>
    <col min="1" max="1" width="11.5" bestFit="1" customWidth="1"/>
    <col min="2" max="2" width="9.5" bestFit="1" customWidth="1"/>
    <col min="3" max="3" width="39.25" bestFit="1" customWidth="1"/>
    <col min="4" max="4" width="13.75" bestFit="1" customWidth="1"/>
    <col min="5" max="5" width="9.5" bestFit="1" customWidth="1"/>
    <col min="6" max="6" width="29" bestFit="1" customWidth="1"/>
    <col min="7" max="7" width="11.875" bestFit="1" customWidth="1"/>
    <col min="10" max="10" width="12.5" bestFit="1" customWidth="1"/>
    <col min="15" max="15" width="11.5" bestFit="1" customWidth="1"/>
  </cols>
  <sheetData>
    <row r="1" spans="1:5" x14ac:dyDescent="0.4">
      <c r="A1" s="13" t="s">
        <v>2268</v>
      </c>
      <c r="B1" s="13" t="s">
        <v>2269</v>
      </c>
      <c r="C1" s="13" t="s">
        <v>2316</v>
      </c>
      <c r="D1" s="13" t="s">
        <v>2261</v>
      </c>
      <c r="E1" s="13" t="s">
        <v>2323</v>
      </c>
    </row>
    <row r="2" spans="1:5" x14ac:dyDescent="0.4">
      <c r="A2" s="13" t="s">
        <v>2324</v>
      </c>
      <c r="B2" s="13" t="s">
        <v>2325</v>
      </c>
      <c r="C2" s="10" t="s">
        <v>25</v>
      </c>
      <c r="D2" s="27" t="s">
        <v>2326</v>
      </c>
      <c r="E2" s="6">
        <v>19800</v>
      </c>
    </row>
    <row r="3" spans="1:5" x14ac:dyDescent="0.4">
      <c r="A3" s="13" t="s">
        <v>2324</v>
      </c>
      <c r="B3" s="13" t="s">
        <v>2325</v>
      </c>
      <c r="C3" s="10" t="s">
        <v>44</v>
      </c>
      <c r="D3" s="27" t="s">
        <v>2326</v>
      </c>
      <c r="E3" s="6">
        <v>38100</v>
      </c>
    </row>
    <row r="4" spans="1:5" x14ac:dyDescent="0.4">
      <c r="A4" s="13" t="s">
        <v>2324</v>
      </c>
      <c r="B4" s="13" t="s">
        <v>2325</v>
      </c>
      <c r="C4" s="10" t="s">
        <v>70</v>
      </c>
      <c r="D4" s="27" t="s">
        <v>2326</v>
      </c>
      <c r="E4" s="6">
        <v>0</v>
      </c>
    </row>
    <row r="5" spans="1:5" x14ac:dyDescent="0.4">
      <c r="A5" s="13" t="s">
        <v>2324</v>
      </c>
      <c r="B5" s="13" t="s">
        <v>2345</v>
      </c>
      <c r="C5" s="10" t="s">
        <v>25</v>
      </c>
      <c r="D5" s="27" t="s">
        <v>2326</v>
      </c>
      <c r="E5" s="6">
        <v>8910</v>
      </c>
    </row>
    <row r="6" spans="1:5" x14ac:dyDescent="0.4">
      <c r="A6" s="13" t="s">
        <v>2324</v>
      </c>
      <c r="B6" s="13" t="s">
        <v>2345</v>
      </c>
      <c r="C6" s="10" t="s">
        <v>44</v>
      </c>
      <c r="D6" s="27" t="s">
        <v>2326</v>
      </c>
      <c r="E6" s="6">
        <v>17145</v>
      </c>
    </row>
    <row r="7" spans="1:5" x14ac:dyDescent="0.4">
      <c r="A7" s="13" t="s">
        <v>2324</v>
      </c>
      <c r="B7" s="13" t="s">
        <v>2345</v>
      </c>
      <c r="C7" s="10" t="s">
        <v>70</v>
      </c>
      <c r="D7" s="27" t="s">
        <v>2326</v>
      </c>
      <c r="E7" s="6">
        <v>0</v>
      </c>
    </row>
    <row r="8" spans="1:5" x14ac:dyDescent="0.4">
      <c r="A8" s="13" t="s">
        <v>2324</v>
      </c>
      <c r="B8" s="13" t="s">
        <v>2325</v>
      </c>
      <c r="C8" s="10" t="s">
        <v>25</v>
      </c>
      <c r="D8" s="27" t="s">
        <v>2327</v>
      </c>
      <c r="E8" s="6">
        <v>1821600</v>
      </c>
    </row>
    <row r="9" spans="1:5" x14ac:dyDescent="0.4">
      <c r="A9" s="13" t="s">
        <v>2324</v>
      </c>
      <c r="B9" s="13" t="s">
        <v>2325</v>
      </c>
      <c r="C9" s="10" t="s">
        <v>44</v>
      </c>
      <c r="D9" s="27" t="s">
        <v>2327</v>
      </c>
      <c r="E9" s="6">
        <v>533400</v>
      </c>
    </row>
    <row r="10" spans="1:5" x14ac:dyDescent="0.4">
      <c r="A10" s="13" t="s">
        <v>2324</v>
      </c>
      <c r="B10" s="13" t="s">
        <v>2325</v>
      </c>
      <c r="C10" s="10" t="s">
        <v>70</v>
      </c>
      <c r="D10" s="27" t="s">
        <v>2327</v>
      </c>
      <c r="E10" s="6">
        <v>178200</v>
      </c>
    </row>
    <row r="11" spans="1:5" x14ac:dyDescent="0.4">
      <c r="A11" s="13" t="s">
        <v>2324</v>
      </c>
      <c r="B11" s="13" t="s">
        <v>2345</v>
      </c>
      <c r="C11" s="10" t="s">
        <v>25</v>
      </c>
      <c r="D11" s="27" t="s">
        <v>2327</v>
      </c>
      <c r="E11" s="6">
        <v>819720</v>
      </c>
    </row>
    <row r="12" spans="1:5" x14ac:dyDescent="0.4">
      <c r="A12" s="13" t="s">
        <v>2324</v>
      </c>
      <c r="B12" s="13" t="s">
        <v>2345</v>
      </c>
      <c r="C12" s="10" t="s">
        <v>44</v>
      </c>
      <c r="D12" s="27" t="s">
        <v>2327</v>
      </c>
      <c r="E12" s="6">
        <v>240030</v>
      </c>
    </row>
    <row r="13" spans="1:5" x14ac:dyDescent="0.4">
      <c r="A13" s="13" t="s">
        <v>2324</v>
      </c>
      <c r="B13" s="13" t="s">
        <v>2345</v>
      </c>
      <c r="C13" s="10" t="s">
        <v>70</v>
      </c>
      <c r="D13" s="27" t="s">
        <v>2327</v>
      </c>
      <c r="E13" s="6">
        <v>80190</v>
      </c>
    </row>
    <row r="14" spans="1:5" x14ac:dyDescent="0.4">
      <c r="A14" s="13" t="s">
        <v>2324</v>
      </c>
      <c r="B14" s="13" t="s">
        <v>2325</v>
      </c>
      <c r="C14" s="10" t="s">
        <v>25</v>
      </c>
      <c r="D14" s="27" t="s">
        <v>2328</v>
      </c>
      <c r="E14" s="6">
        <v>2296800</v>
      </c>
    </row>
    <row r="15" spans="1:5" x14ac:dyDescent="0.4">
      <c r="A15" s="13" t="s">
        <v>2324</v>
      </c>
      <c r="B15" s="13" t="s">
        <v>2325</v>
      </c>
      <c r="C15" s="10" t="s">
        <v>44</v>
      </c>
      <c r="D15" s="27" t="s">
        <v>2328</v>
      </c>
      <c r="E15" s="6">
        <v>3009900</v>
      </c>
    </row>
    <row r="16" spans="1:5" x14ac:dyDescent="0.4">
      <c r="A16" s="13" t="s">
        <v>2324</v>
      </c>
      <c r="B16" s="13" t="s">
        <v>2325</v>
      </c>
      <c r="C16" s="10" t="s">
        <v>1944</v>
      </c>
      <c r="D16" s="27" t="s">
        <v>2328</v>
      </c>
      <c r="E16" s="6">
        <v>56610</v>
      </c>
    </row>
    <row r="17" spans="1:5" x14ac:dyDescent="0.4">
      <c r="A17" s="13" t="s">
        <v>2324</v>
      </c>
      <c r="B17" s="13" t="s">
        <v>2325</v>
      </c>
      <c r="C17" s="10" t="s">
        <v>70</v>
      </c>
      <c r="D17" s="27" t="s">
        <v>2328</v>
      </c>
      <c r="E17" s="6">
        <v>198000</v>
      </c>
    </row>
    <row r="18" spans="1:5" x14ac:dyDescent="0.4">
      <c r="A18" s="13" t="s">
        <v>2324</v>
      </c>
      <c r="B18" s="13" t="s">
        <v>2325</v>
      </c>
      <c r="C18" s="10" t="s">
        <v>50</v>
      </c>
      <c r="D18" s="27" t="s">
        <v>2328</v>
      </c>
      <c r="E18" s="6">
        <v>76200</v>
      </c>
    </row>
    <row r="19" spans="1:5" x14ac:dyDescent="0.4">
      <c r="A19" s="13" t="s">
        <v>2324</v>
      </c>
      <c r="B19" s="13" t="s">
        <v>2345</v>
      </c>
      <c r="C19" s="10" t="s">
        <v>25</v>
      </c>
      <c r="D19" s="27" t="s">
        <v>2328</v>
      </c>
      <c r="E19" s="6">
        <v>1033560</v>
      </c>
    </row>
    <row r="20" spans="1:5" x14ac:dyDescent="0.4">
      <c r="A20" s="13" t="s">
        <v>2324</v>
      </c>
      <c r="B20" s="13" t="s">
        <v>2345</v>
      </c>
      <c r="C20" s="10" t="s">
        <v>44</v>
      </c>
      <c r="D20" s="27" t="s">
        <v>2328</v>
      </c>
      <c r="E20" s="6">
        <v>1354455</v>
      </c>
    </row>
    <row r="21" spans="1:5" x14ac:dyDescent="0.4">
      <c r="A21" s="13" t="s">
        <v>2324</v>
      </c>
      <c r="B21" s="13" t="s">
        <v>2345</v>
      </c>
      <c r="C21" s="10" t="s">
        <v>1944</v>
      </c>
      <c r="D21" s="27" t="s">
        <v>2328</v>
      </c>
      <c r="E21" s="6">
        <v>25474</v>
      </c>
    </row>
    <row r="22" spans="1:5" x14ac:dyDescent="0.4">
      <c r="A22" s="13" t="s">
        <v>2324</v>
      </c>
      <c r="B22" s="13" t="s">
        <v>2345</v>
      </c>
      <c r="C22" s="10" t="s">
        <v>70</v>
      </c>
      <c r="D22" s="27" t="s">
        <v>2328</v>
      </c>
      <c r="E22" s="6">
        <v>89100</v>
      </c>
    </row>
    <row r="23" spans="1:5" x14ac:dyDescent="0.4">
      <c r="A23" s="13" t="s">
        <v>2324</v>
      </c>
      <c r="B23" s="13" t="s">
        <v>2345</v>
      </c>
      <c r="C23" s="10" t="s">
        <v>50</v>
      </c>
      <c r="D23" s="27" t="s">
        <v>2328</v>
      </c>
      <c r="E23" s="6">
        <v>34290</v>
      </c>
    </row>
    <row r="24" spans="1:5" x14ac:dyDescent="0.4">
      <c r="A24" s="13" t="s">
        <v>2324</v>
      </c>
      <c r="B24" s="13" t="s">
        <v>2325</v>
      </c>
      <c r="C24" s="10" t="s">
        <v>25</v>
      </c>
      <c r="D24" s="27" t="s">
        <v>2329</v>
      </c>
      <c r="E24" s="6">
        <v>2296800</v>
      </c>
    </row>
    <row r="25" spans="1:5" x14ac:dyDescent="0.4">
      <c r="A25" s="13" t="s">
        <v>2324</v>
      </c>
      <c r="B25" s="13" t="s">
        <v>2325</v>
      </c>
      <c r="C25" s="10" t="s">
        <v>44</v>
      </c>
      <c r="D25" s="27" t="s">
        <v>2329</v>
      </c>
      <c r="E25" s="6">
        <v>3181350</v>
      </c>
    </row>
    <row r="26" spans="1:5" x14ac:dyDescent="0.4">
      <c r="A26" s="13" t="s">
        <v>2324</v>
      </c>
      <c r="B26" s="13" t="s">
        <v>2325</v>
      </c>
      <c r="C26" s="10" t="s">
        <v>1944</v>
      </c>
      <c r="D26" s="27" t="s">
        <v>2329</v>
      </c>
      <c r="E26" s="6">
        <v>84915</v>
      </c>
    </row>
    <row r="27" spans="1:5" x14ac:dyDescent="0.4">
      <c r="A27" s="13" t="s">
        <v>2324</v>
      </c>
      <c r="B27" s="13" t="s">
        <v>2325</v>
      </c>
      <c r="C27" s="10" t="s">
        <v>70</v>
      </c>
      <c r="D27" s="27" t="s">
        <v>2329</v>
      </c>
      <c r="E27" s="6">
        <v>198000</v>
      </c>
    </row>
    <row r="28" spans="1:5" x14ac:dyDescent="0.4">
      <c r="A28" s="13" t="s">
        <v>2324</v>
      </c>
      <c r="B28" s="13" t="s">
        <v>2325</v>
      </c>
      <c r="C28" s="10" t="s">
        <v>50</v>
      </c>
      <c r="D28" s="27" t="s">
        <v>2329</v>
      </c>
      <c r="E28" s="6">
        <v>76200</v>
      </c>
    </row>
    <row r="29" spans="1:5" x14ac:dyDescent="0.4">
      <c r="A29" s="13" t="s">
        <v>2324</v>
      </c>
      <c r="B29" s="13" t="s">
        <v>2345</v>
      </c>
      <c r="C29" s="10" t="s">
        <v>25</v>
      </c>
      <c r="D29" s="27" t="s">
        <v>2329</v>
      </c>
      <c r="E29" s="6">
        <v>1033560</v>
      </c>
    </row>
    <row r="30" spans="1:5" x14ac:dyDescent="0.4">
      <c r="A30" s="13" t="s">
        <v>2324</v>
      </c>
      <c r="B30" s="13" t="s">
        <v>2345</v>
      </c>
      <c r="C30" s="10" t="s">
        <v>44</v>
      </c>
      <c r="D30" s="27" t="s">
        <v>2329</v>
      </c>
      <c r="E30" s="6">
        <v>1431607</v>
      </c>
    </row>
    <row r="31" spans="1:5" x14ac:dyDescent="0.4">
      <c r="A31" s="13" t="s">
        <v>2324</v>
      </c>
      <c r="B31" s="13" t="s">
        <v>2345</v>
      </c>
      <c r="C31" s="10" t="s">
        <v>1944</v>
      </c>
      <c r="D31" s="27" t="s">
        <v>2329</v>
      </c>
      <c r="E31" s="6">
        <v>38211</v>
      </c>
    </row>
    <row r="32" spans="1:5" x14ac:dyDescent="0.4">
      <c r="A32" s="13" t="s">
        <v>2324</v>
      </c>
      <c r="B32" s="13" t="s">
        <v>2345</v>
      </c>
      <c r="C32" s="10" t="s">
        <v>70</v>
      </c>
      <c r="D32" s="27" t="s">
        <v>2329</v>
      </c>
      <c r="E32" s="6">
        <v>89100</v>
      </c>
    </row>
    <row r="33" spans="1:5" x14ac:dyDescent="0.4">
      <c r="A33" s="13" t="s">
        <v>2324</v>
      </c>
      <c r="B33" s="13" t="s">
        <v>2345</v>
      </c>
      <c r="C33" s="10" t="s">
        <v>50</v>
      </c>
      <c r="D33" s="27" t="s">
        <v>2329</v>
      </c>
      <c r="E33" s="6">
        <v>34290</v>
      </c>
    </row>
    <row r="34" spans="1:5" x14ac:dyDescent="0.4">
      <c r="A34" s="13" t="s">
        <v>2324</v>
      </c>
      <c r="B34" s="13" t="s">
        <v>2325</v>
      </c>
      <c r="C34" s="10" t="s">
        <v>25</v>
      </c>
      <c r="D34" s="27" t="s">
        <v>2330</v>
      </c>
      <c r="E34" s="6">
        <v>495000</v>
      </c>
    </row>
    <row r="35" spans="1:5" x14ac:dyDescent="0.4">
      <c r="A35" s="13" t="s">
        <v>2324</v>
      </c>
      <c r="B35" s="13" t="s">
        <v>2325</v>
      </c>
      <c r="C35" s="10" t="s">
        <v>44</v>
      </c>
      <c r="D35" s="27" t="s">
        <v>2330</v>
      </c>
      <c r="E35" s="6">
        <v>9353550</v>
      </c>
    </row>
    <row r="36" spans="1:5" x14ac:dyDescent="0.4">
      <c r="A36" s="13" t="s">
        <v>2324</v>
      </c>
      <c r="B36" s="13" t="s">
        <v>2325</v>
      </c>
      <c r="C36" s="10" t="s">
        <v>1944</v>
      </c>
      <c r="D36" s="27" t="s">
        <v>2330</v>
      </c>
      <c r="E36" s="6">
        <v>84915</v>
      </c>
    </row>
    <row r="37" spans="1:5" x14ac:dyDescent="0.4">
      <c r="A37" s="13" t="s">
        <v>2324</v>
      </c>
      <c r="B37" s="13" t="s">
        <v>2325</v>
      </c>
      <c r="C37" s="10" t="s">
        <v>70</v>
      </c>
      <c r="D37" s="27" t="s">
        <v>2330</v>
      </c>
      <c r="E37" s="6">
        <v>19800</v>
      </c>
    </row>
    <row r="38" spans="1:5" x14ac:dyDescent="0.4">
      <c r="A38" s="13" t="s">
        <v>2324</v>
      </c>
      <c r="B38" s="13" t="s">
        <v>2325</v>
      </c>
      <c r="C38" s="10" t="s">
        <v>50</v>
      </c>
      <c r="D38" s="27" t="s">
        <v>2330</v>
      </c>
      <c r="E38" s="6">
        <v>495300</v>
      </c>
    </row>
    <row r="39" spans="1:5" x14ac:dyDescent="0.4">
      <c r="A39" s="13" t="s">
        <v>2324</v>
      </c>
      <c r="B39" s="13" t="s">
        <v>2345</v>
      </c>
      <c r="C39" s="10" t="s">
        <v>25</v>
      </c>
      <c r="D39" s="27" t="s">
        <v>2330</v>
      </c>
      <c r="E39" s="6">
        <v>222750</v>
      </c>
    </row>
    <row r="40" spans="1:5" x14ac:dyDescent="0.4">
      <c r="A40" s="13" t="s">
        <v>2324</v>
      </c>
      <c r="B40" s="13" t="s">
        <v>2345</v>
      </c>
      <c r="C40" s="10" t="s">
        <v>44</v>
      </c>
      <c r="D40" s="27" t="s">
        <v>2330</v>
      </c>
      <c r="E40" s="6">
        <v>4209097</v>
      </c>
    </row>
    <row r="41" spans="1:5" x14ac:dyDescent="0.4">
      <c r="A41" s="13" t="s">
        <v>2324</v>
      </c>
      <c r="B41" s="13" t="s">
        <v>2345</v>
      </c>
      <c r="C41" s="10" t="s">
        <v>1944</v>
      </c>
      <c r="D41" s="27" t="s">
        <v>2330</v>
      </c>
      <c r="E41" s="6">
        <v>38211</v>
      </c>
    </row>
    <row r="42" spans="1:5" x14ac:dyDescent="0.4">
      <c r="A42" s="13" t="s">
        <v>2324</v>
      </c>
      <c r="B42" s="13" t="s">
        <v>2345</v>
      </c>
      <c r="C42" s="10" t="s">
        <v>70</v>
      </c>
      <c r="D42" s="27" t="s">
        <v>2330</v>
      </c>
      <c r="E42" s="6">
        <v>8910</v>
      </c>
    </row>
    <row r="43" spans="1:5" x14ac:dyDescent="0.4">
      <c r="A43" s="13" t="s">
        <v>2324</v>
      </c>
      <c r="B43" s="13" t="s">
        <v>2345</v>
      </c>
      <c r="C43" s="10" t="s">
        <v>50</v>
      </c>
      <c r="D43" s="27" t="s">
        <v>2330</v>
      </c>
      <c r="E43" s="6">
        <v>222885</v>
      </c>
    </row>
    <row r="44" spans="1:5" x14ac:dyDescent="0.4">
      <c r="A44" s="13" t="s">
        <v>2324</v>
      </c>
      <c r="B44" s="13" t="s">
        <v>2325</v>
      </c>
      <c r="C44" s="10" t="s">
        <v>25</v>
      </c>
      <c r="D44" s="27" t="s">
        <v>2331</v>
      </c>
      <c r="E44" s="6">
        <v>19800</v>
      </c>
    </row>
    <row r="45" spans="1:5" x14ac:dyDescent="0.4">
      <c r="A45" s="13" t="s">
        <v>2324</v>
      </c>
      <c r="B45" s="13" t="s">
        <v>2345</v>
      </c>
      <c r="C45" s="10" t="s">
        <v>25</v>
      </c>
      <c r="D45" s="27" t="s">
        <v>2331</v>
      </c>
      <c r="E45" s="6">
        <v>8910</v>
      </c>
    </row>
    <row r="46" spans="1:5" x14ac:dyDescent="0.4">
      <c r="A46" s="13" t="s">
        <v>2324</v>
      </c>
      <c r="B46" s="13" t="s">
        <v>2325</v>
      </c>
      <c r="C46" s="10" t="s">
        <v>44</v>
      </c>
      <c r="D46" s="27" t="s">
        <v>2333</v>
      </c>
      <c r="E46" s="6">
        <v>9448800</v>
      </c>
    </row>
    <row r="47" spans="1:5" x14ac:dyDescent="0.4">
      <c r="A47" s="13" t="s">
        <v>2324</v>
      </c>
      <c r="B47" s="13" t="s">
        <v>2325</v>
      </c>
      <c r="C47" s="10" t="s">
        <v>1944</v>
      </c>
      <c r="D47" s="27" t="s">
        <v>2333</v>
      </c>
      <c r="E47" s="6">
        <v>245310</v>
      </c>
    </row>
    <row r="48" spans="1:5" x14ac:dyDescent="0.4">
      <c r="A48" s="13" t="s">
        <v>2324</v>
      </c>
      <c r="B48" s="13" t="s">
        <v>2325</v>
      </c>
      <c r="C48" s="10" t="s">
        <v>50</v>
      </c>
      <c r="D48" s="27" t="s">
        <v>2333</v>
      </c>
      <c r="E48" s="6">
        <v>495300</v>
      </c>
    </row>
    <row r="49" spans="1:5" x14ac:dyDescent="0.4">
      <c r="A49" s="13" t="s">
        <v>2324</v>
      </c>
      <c r="B49" s="13" t="s">
        <v>2345</v>
      </c>
      <c r="C49" s="10" t="s">
        <v>44</v>
      </c>
      <c r="D49" s="27" t="s">
        <v>2333</v>
      </c>
      <c r="E49" s="6">
        <v>4251960</v>
      </c>
    </row>
    <row r="50" spans="1:5" x14ac:dyDescent="0.4">
      <c r="A50" s="13" t="s">
        <v>2324</v>
      </c>
      <c r="B50" s="13" t="s">
        <v>2345</v>
      </c>
      <c r="C50" s="10" t="s">
        <v>1944</v>
      </c>
      <c r="D50" s="27" t="s">
        <v>2333</v>
      </c>
      <c r="E50" s="6">
        <v>110389</v>
      </c>
    </row>
    <row r="51" spans="1:5" x14ac:dyDescent="0.4">
      <c r="A51" s="13" t="s">
        <v>2324</v>
      </c>
      <c r="B51" s="13" t="s">
        <v>2345</v>
      </c>
      <c r="C51" s="10" t="s">
        <v>50</v>
      </c>
      <c r="D51" s="27" t="s">
        <v>2333</v>
      </c>
      <c r="E51" s="6">
        <v>222885</v>
      </c>
    </row>
    <row r="52" spans="1:5" x14ac:dyDescent="0.4">
      <c r="A52" s="13" t="s">
        <v>2324</v>
      </c>
      <c r="B52" s="13" t="s">
        <v>2325</v>
      </c>
      <c r="C52" s="10" t="s">
        <v>44</v>
      </c>
      <c r="D52" s="27" t="s">
        <v>2334</v>
      </c>
      <c r="E52" s="6">
        <v>8953500</v>
      </c>
    </row>
    <row r="53" spans="1:5" x14ac:dyDescent="0.4">
      <c r="A53" s="13" t="s">
        <v>2324</v>
      </c>
      <c r="B53" s="13" t="s">
        <v>2325</v>
      </c>
      <c r="C53" s="10" t="s">
        <v>1944</v>
      </c>
      <c r="D53" s="27" t="s">
        <v>2334</v>
      </c>
      <c r="E53" s="6">
        <v>245310</v>
      </c>
    </row>
    <row r="54" spans="1:5" x14ac:dyDescent="0.4">
      <c r="A54" s="13" t="s">
        <v>2324</v>
      </c>
      <c r="B54" s="13" t="s">
        <v>2325</v>
      </c>
      <c r="C54" s="10" t="s">
        <v>50</v>
      </c>
      <c r="D54" s="27" t="s">
        <v>2334</v>
      </c>
      <c r="E54" s="6">
        <v>495300</v>
      </c>
    </row>
    <row r="55" spans="1:5" x14ac:dyDescent="0.4">
      <c r="A55" s="13" t="s">
        <v>2324</v>
      </c>
      <c r="B55" s="13" t="s">
        <v>2345</v>
      </c>
      <c r="C55" s="10" t="s">
        <v>44</v>
      </c>
      <c r="D55" s="27" t="s">
        <v>2334</v>
      </c>
      <c r="E55" s="6">
        <v>4029075</v>
      </c>
    </row>
    <row r="56" spans="1:5" x14ac:dyDescent="0.4">
      <c r="A56" s="13" t="s">
        <v>2324</v>
      </c>
      <c r="B56" s="13" t="s">
        <v>2345</v>
      </c>
      <c r="C56" s="10" t="s">
        <v>1944</v>
      </c>
      <c r="D56" s="27" t="s">
        <v>2334</v>
      </c>
      <c r="E56" s="6">
        <v>110389</v>
      </c>
    </row>
    <row r="57" spans="1:5" x14ac:dyDescent="0.4">
      <c r="A57" s="13" t="s">
        <v>2324</v>
      </c>
      <c r="B57" s="13" t="s">
        <v>2345</v>
      </c>
      <c r="C57" s="10" t="s">
        <v>50</v>
      </c>
      <c r="D57" s="27" t="s">
        <v>2334</v>
      </c>
      <c r="E57" s="6">
        <v>222885</v>
      </c>
    </row>
    <row r="58" spans="1:5" x14ac:dyDescent="0.4">
      <c r="A58" s="13" t="s">
        <v>2324</v>
      </c>
      <c r="B58" s="13" t="s">
        <v>2325</v>
      </c>
      <c r="C58" s="10" t="s">
        <v>44</v>
      </c>
      <c r="D58" s="27" t="s">
        <v>2317</v>
      </c>
      <c r="E58" s="6">
        <v>6477000</v>
      </c>
    </row>
    <row r="59" spans="1:5" x14ac:dyDescent="0.4">
      <c r="A59" s="13" t="s">
        <v>2324</v>
      </c>
      <c r="B59" s="13" t="s">
        <v>2325</v>
      </c>
      <c r="C59" s="10" t="s">
        <v>1944</v>
      </c>
      <c r="D59" s="27" t="s">
        <v>2317</v>
      </c>
      <c r="E59" s="6">
        <v>245310</v>
      </c>
    </row>
    <row r="60" spans="1:5" x14ac:dyDescent="0.4">
      <c r="A60" s="13" t="s">
        <v>2324</v>
      </c>
      <c r="B60" s="13" t="s">
        <v>2325</v>
      </c>
      <c r="C60" s="10" t="s">
        <v>50</v>
      </c>
      <c r="D60" s="27" t="s">
        <v>2317</v>
      </c>
      <c r="E60" s="6">
        <v>419100</v>
      </c>
    </row>
    <row r="61" spans="1:5" x14ac:dyDescent="0.4">
      <c r="A61" s="13" t="s">
        <v>2324</v>
      </c>
      <c r="B61" s="13" t="s">
        <v>2345</v>
      </c>
      <c r="C61" s="10" t="s">
        <v>44</v>
      </c>
      <c r="D61" s="27" t="s">
        <v>2317</v>
      </c>
      <c r="E61" s="6">
        <v>2914650</v>
      </c>
    </row>
    <row r="62" spans="1:5" x14ac:dyDescent="0.4">
      <c r="A62" s="13" t="s">
        <v>2324</v>
      </c>
      <c r="B62" s="13" t="s">
        <v>2345</v>
      </c>
      <c r="C62" s="10" t="s">
        <v>1944</v>
      </c>
      <c r="D62" s="27" t="s">
        <v>2317</v>
      </c>
      <c r="E62" s="6">
        <v>110389</v>
      </c>
    </row>
    <row r="63" spans="1:5" x14ac:dyDescent="0.4">
      <c r="A63" s="13" t="s">
        <v>2324</v>
      </c>
      <c r="B63" s="13" t="s">
        <v>2345</v>
      </c>
      <c r="C63" s="10" t="s">
        <v>50</v>
      </c>
      <c r="D63" s="27" t="s">
        <v>2317</v>
      </c>
      <c r="E63" s="6">
        <v>188595</v>
      </c>
    </row>
    <row r="64" spans="1:5" x14ac:dyDescent="0.4">
      <c r="A64" s="13" t="s">
        <v>2324</v>
      </c>
      <c r="B64" s="13" t="s">
        <v>2325</v>
      </c>
      <c r="C64" s="10" t="s">
        <v>44</v>
      </c>
      <c r="D64" s="27" t="s">
        <v>2318</v>
      </c>
      <c r="E64" s="6">
        <v>6305550</v>
      </c>
    </row>
    <row r="65" spans="1:5" x14ac:dyDescent="0.4">
      <c r="A65" s="13" t="s">
        <v>2324</v>
      </c>
      <c r="B65" s="13" t="s">
        <v>2325</v>
      </c>
      <c r="C65" s="10" t="s">
        <v>1944</v>
      </c>
      <c r="D65" s="27" t="s">
        <v>2318</v>
      </c>
      <c r="E65" s="6">
        <v>245310</v>
      </c>
    </row>
    <row r="66" spans="1:5" x14ac:dyDescent="0.4">
      <c r="A66" s="13" t="s">
        <v>2324</v>
      </c>
      <c r="B66" s="13" t="s">
        <v>2325</v>
      </c>
      <c r="C66" s="10" t="s">
        <v>50</v>
      </c>
      <c r="D66" s="27" t="s">
        <v>2318</v>
      </c>
      <c r="E66" s="6">
        <v>419100</v>
      </c>
    </row>
    <row r="67" spans="1:5" x14ac:dyDescent="0.4">
      <c r="A67" s="13" t="s">
        <v>2324</v>
      </c>
      <c r="B67" s="13" t="s">
        <v>2345</v>
      </c>
      <c r="C67" s="10" t="s">
        <v>44</v>
      </c>
      <c r="D67" s="27" t="s">
        <v>2318</v>
      </c>
      <c r="E67" s="6">
        <v>2837497</v>
      </c>
    </row>
    <row r="68" spans="1:5" x14ac:dyDescent="0.4">
      <c r="A68" s="13" t="s">
        <v>2324</v>
      </c>
      <c r="B68" s="13" t="s">
        <v>2345</v>
      </c>
      <c r="C68" s="10" t="s">
        <v>1944</v>
      </c>
      <c r="D68" s="27" t="s">
        <v>2318</v>
      </c>
      <c r="E68" s="6">
        <v>110389</v>
      </c>
    </row>
    <row r="69" spans="1:5" x14ac:dyDescent="0.4">
      <c r="A69" s="13" t="s">
        <v>2324</v>
      </c>
      <c r="B69" s="13" t="s">
        <v>2345</v>
      </c>
      <c r="C69" s="10" t="s">
        <v>50</v>
      </c>
      <c r="D69" s="27" t="s">
        <v>2318</v>
      </c>
      <c r="E69" s="6">
        <v>188595</v>
      </c>
    </row>
    <row r="70" spans="1:5" x14ac:dyDescent="0.4">
      <c r="A70" s="13" t="s">
        <v>2324</v>
      </c>
      <c r="B70" s="13" t="s">
        <v>2325</v>
      </c>
      <c r="C70" s="10" t="s">
        <v>44</v>
      </c>
      <c r="D70" s="27" t="s">
        <v>2319</v>
      </c>
      <c r="E70" s="6">
        <v>133350</v>
      </c>
    </row>
    <row r="71" spans="1:5" x14ac:dyDescent="0.4">
      <c r="A71" s="13" t="s">
        <v>2324</v>
      </c>
      <c r="B71" s="13" t="s">
        <v>2325</v>
      </c>
      <c r="C71" s="10" t="s">
        <v>1944</v>
      </c>
      <c r="D71" s="27" t="s">
        <v>2319</v>
      </c>
      <c r="E71" s="6">
        <v>254745</v>
      </c>
    </row>
    <row r="72" spans="1:5" x14ac:dyDescent="0.4">
      <c r="A72" s="13" t="s">
        <v>2324</v>
      </c>
      <c r="B72" s="13" t="s">
        <v>2345</v>
      </c>
      <c r="C72" s="10" t="s">
        <v>44</v>
      </c>
      <c r="D72" s="27" t="s">
        <v>2319</v>
      </c>
      <c r="E72" s="6">
        <v>60007</v>
      </c>
    </row>
    <row r="73" spans="1:5" x14ac:dyDescent="0.4">
      <c r="A73" s="13" t="s">
        <v>2324</v>
      </c>
      <c r="B73" s="13" t="s">
        <v>2345</v>
      </c>
      <c r="C73" s="10" t="s">
        <v>1944</v>
      </c>
      <c r="D73" s="27" t="s">
        <v>2319</v>
      </c>
      <c r="E73" s="6">
        <v>114635</v>
      </c>
    </row>
    <row r="74" spans="1:5" x14ac:dyDescent="0.4">
      <c r="A74" s="13" t="s">
        <v>2324</v>
      </c>
      <c r="B74" s="13" t="s">
        <v>2325</v>
      </c>
      <c r="C74" s="10" t="s">
        <v>44</v>
      </c>
      <c r="D74" s="27" t="s">
        <v>2332</v>
      </c>
      <c r="E74" s="6">
        <v>9467850</v>
      </c>
    </row>
    <row r="75" spans="1:5" x14ac:dyDescent="0.4">
      <c r="A75" s="13" t="s">
        <v>2324</v>
      </c>
      <c r="B75" s="13" t="s">
        <v>2325</v>
      </c>
      <c r="C75" s="10" t="s">
        <v>1944</v>
      </c>
      <c r="D75" s="27" t="s">
        <v>2332</v>
      </c>
      <c r="E75" s="6">
        <v>94350</v>
      </c>
    </row>
    <row r="76" spans="1:5" x14ac:dyDescent="0.4">
      <c r="A76" s="13" t="s">
        <v>2324</v>
      </c>
      <c r="B76" s="13" t="s">
        <v>2325</v>
      </c>
      <c r="C76" s="10" t="s">
        <v>50</v>
      </c>
      <c r="D76" s="27" t="s">
        <v>2332</v>
      </c>
      <c r="E76" s="6">
        <v>495300</v>
      </c>
    </row>
    <row r="77" spans="1:5" x14ac:dyDescent="0.4">
      <c r="A77" s="13" t="s">
        <v>2324</v>
      </c>
      <c r="B77" s="13" t="s">
        <v>2345</v>
      </c>
      <c r="C77" s="10" t="s">
        <v>44</v>
      </c>
      <c r="D77" s="27" t="s">
        <v>2332</v>
      </c>
      <c r="E77" s="6">
        <v>4260532</v>
      </c>
    </row>
    <row r="78" spans="1:5" x14ac:dyDescent="0.4">
      <c r="A78" s="13" t="s">
        <v>2324</v>
      </c>
      <c r="B78" s="13" t="s">
        <v>2345</v>
      </c>
      <c r="C78" s="10" t="s">
        <v>1944</v>
      </c>
      <c r="D78" s="27" t="s">
        <v>2332</v>
      </c>
      <c r="E78" s="6">
        <v>42457</v>
      </c>
    </row>
    <row r="79" spans="1:5" x14ac:dyDescent="0.4">
      <c r="A79" s="13" t="s">
        <v>2324</v>
      </c>
      <c r="B79" s="13" t="s">
        <v>2345</v>
      </c>
      <c r="C79" s="10" t="s">
        <v>50</v>
      </c>
      <c r="D79" s="27" t="s">
        <v>2332</v>
      </c>
      <c r="E79" s="6">
        <v>222885</v>
      </c>
    </row>
    <row r="80" spans="1:5" x14ac:dyDescent="0.4">
      <c r="A80" s="13" t="s">
        <v>2324</v>
      </c>
      <c r="B80" s="13" t="s">
        <v>2325</v>
      </c>
      <c r="C80" s="10" t="s">
        <v>44</v>
      </c>
      <c r="D80" s="27" t="s">
        <v>2336</v>
      </c>
      <c r="E80" s="6">
        <v>19050</v>
      </c>
    </row>
    <row r="81" spans="1:5" x14ac:dyDescent="0.4">
      <c r="A81" s="13" t="s">
        <v>2324</v>
      </c>
      <c r="B81" s="13" t="s">
        <v>2325</v>
      </c>
      <c r="C81" s="10" t="s">
        <v>1944</v>
      </c>
      <c r="D81" s="27" t="s">
        <v>2336</v>
      </c>
      <c r="E81" s="6">
        <v>254745</v>
      </c>
    </row>
    <row r="82" spans="1:5" x14ac:dyDescent="0.4">
      <c r="A82" s="13" t="s">
        <v>2324</v>
      </c>
      <c r="B82" s="13" t="s">
        <v>2345</v>
      </c>
      <c r="C82" s="10" t="s">
        <v>44</v>
      </c>
      <c r="D82" s="27" t="s">
        <v>2336</v>
      </c>
      <c r="E82" s="6">
        <v>8572</v>
      </c>
    </row>
    <row r="83" spans="1:5" x14ac:dyDescent="0.4">
      <c r="A83" s="13" t="s">
        <v>2324</v>
      </c>
      <c r="B83" s="13" t="s">
        <v>2345</v>
      </c>
      <c r="C83" s="10" t="s">
        <v>1944</v>
      </c>
      <c r="D83" s="27" t="s">
        <v>2336</v>
      </c>
      <c r="E83" s="6">
        <v>114635</v>
      </c>
    </row>
    <row r="84" spans="1:5" x14ac:dyDescent="0.4">
      <c r="A84" s="13" t="s">
        <v>2324</v>
      </c>
      <c r="B84" s="13" t="s">
        <v>2325</v>
      </c>
      <c r="C84" s="10" t="s">
        <v>1944</v>
      </c>
      <c r="D84" s="27" t="s">
        <v>2335</v>
      </c>
      <c r="E84" s="6">
        <v>349095</v>
      </c>
    </row>
    <row r="85" spans="1:5" x14ac:dyDescent="0.4">
      <c r="A85" s="13" t="s">
        <v>2324</v>
      </c>
      <c r="B85" s="13" t="s">
        <v>2345</v>
      </c>
      <c r="C85" s="10" t="s">
        <v>1944</v>
      </c>
      <c r="D85" s="27" t="s">
        <v>2335</v>
      </c>
      <c r="E85" s="6">
        <v>157092</v>
      </c>
    </row>
    <row r="86" spans="1:5" x14ac:dyDescent="0.4">
      <c r="A86" s="13" t="s">
        <v>2324</v>
      </c>
      <c r="B86" s="13" t="s">
        <v>2325</v>
      </c>
      <c r="C86" s="10" t="s">
        <v>1944</v>
      </c>
      <c r="D86" s="27" t="s">
        <v>2337</v>
      </c>
      <c r="E86" s="6">
        <v>349095</v>
      </c>
    </row>
    <row r="87" spans="1:5" x14ac:dyDescent="0.4">
      <c r="A87" s="13" t="s">
        <v>2324</v>
      </c>
      <c r="B87" s="13" t="s">
        <v>2345</v>
      </c>
      <c r="C87" s="10" t="s">
        <v>1944</v>
      </c>
      <c r="D87" s="27" t="s">
        <v>2337</v>
      </c>
      <c r="E87" s="6">
        <v>157092</v>
      </c>
    </row>
    <row r="88" spans="1:5" x14ac:dyDescent="0.4">
      <c r="A88" s="13" t="s">
        <v>2324</v>
      </c>
      <c r="B88" s="13" t="s">
        <v>2325</v>
      </c>
      <c r="C88" s="10" t="s">
        <v>1944</v>
      </c>
      <c r="D88" s="27" t="s">
        <v>2338</v>
      </c>
      <c r="E88" s="6">
        <v>292485</v>
      </c>
    </row>
    <row r="89" spans="1:5" x14ac:dyDescent="0.4">
      <c r="A89" s="13" t="s">
        <v>2324</v>
      </c>
      <c r="B89" s="13" t="s">
        <v>2345</v>
      </c>
      <c r="C89" s="10" t="s">
        <v>1944</v>
      </c>
      <c r="D89" s="27" t="s">
        <v>2338</v>
      </c>
      <c r="E89" s="6">
        <v>131618</v>
      </c>
    </row>
    <row r="90" spans="1:5" x14ac:dyDescent="0.4">
      <c r="A90" s="13" t="s">
        <v>2324</v>
      </c>
      <c r="B90" s="13" t="s">
        <v>2325</v>
      </c>
      <c r="C90" s="10" t="s">
        <v>1944</v>
      </c>
      <c r="D90" s="27" t="s">
        <v>2339</v>
      </c>
      <c r="E90" s="6">
        <v>264180</v>
      </c>
    </row>
    <row r="91" spans="1:5" x14ac:dyDescent="0.4">
      <c r="A91" s="13" t="s">
        <v>2324</v>
      </c>
      <c r="B91" s="13" t="s">
        <v>2345</v>
      </c>
      <c r="C91" s="10" t="s">
        <v>1944</v>
      </c>
      <c r="D91" s="27" t="s">
        <v>2339</v>
      </c>
      <c r="E91" s="6">
        <v>118881</v>
      </c>
    </row>
    <row r="92" spans="1:5" x14ac:dyDescent="0.4">
      <c r="A92" s="13" t="s">
        <v>2324</v>
      </c>
      <c r="B92" s="13" t="s">
        <v>2325</v>
      </c>
      <c r="C92" s="10" t="s">
        <v>1944</v>
      </c>
      <c r="D92" s="27" t="s">
        <v>2340</v>
      </c>
      <c r="E92" s="6">
        <v>264180</v>
      </c>
    </row>
    <row r="93" spans="1:5" x14ac:dyDescent="0.4">
      <c r="A93" s="13" t="s">
        <v>2324</v>
      </c>
      <c r="B93" s="13" t="s">
        <v>2345</v>
      </c>
      <c r="C93" s="10" t="s">
        <v>1944</v>
      </c>
      <c r="D93" s="27" t="s">
        <v>2340</v>
      </c>
      <c r="E93" s="6">
        <v>118881</v>
      </c>
    </row>
    <row r="94" spans="1:5" x14ac:dyDescent="0.4">
      <c r="A94" s="13" t="s">
        <v>2324</v>
      </c>
      <c r="B94" s="13" t="s">
        <v>2325</v>
      </c>
      <c r="C94" s="10" t="s">
        <v>1944</v>
      </c>
      <c r="D94" s="27" t="s">
        <v>2341</v>
      </c>
      <c r="E94" s="6">
        <v>254745</v>
      </c>
    </row>
    <row r="95" spans="1:5" x14ac:dyDescent="0.4">
      <c r="A95" s="13" t="s">
        <v>2324</v>
      </c>
      <c r="B95" s="13" t="s">
        <v>2345</v>
      </c>
      <c r="C95" s="10" t="s">
        <v>1944</v>
      </c>
      <c r="D95" s="27" t="s">
        <v>2341</v>
      </c>
      <c r="E95" s="6">
        <v>114635</v>
      </c>
    </row>
    <row r="96" spans="1:5" x14ac:dyDescent="0.4">
      <c r="A96" s="13" t="s">
        <v>2324</v>
      </c>
      <c r="B96" s="13" t="s">
        <v>2325</v>
      </c>
      <c r="C96" s="10" t="s">
        <v>1944</v>
      </c>
      <c r="D96" s="27" t="s">
        <v>2342</v>
      </c>
      <c r="E96" s="6">
        <v>103785</v>
      </c>
    </row>
    <row r="97" spans="1:5" x14ac:dyDescent="0.4">
      <c r="A97" s="13" t="s">
        <v>2324</v>
      </c>
      <c r="B97" s="13" t="s">
        <v>2345</v>
      </c>
      <c r="C97" s="10" t="s">
        <v>1944</v>
      </c>
      <c r="D97" s="27" t="s">
        <v>2342</v>
      </c>
      <c r="E97" s="6">
        <v>46703</v>
      </c>
    </row>
    <row r="98" spans="1:5" x14ac:dyDescent="0.4">
      <c r="A98" s="13" t="s">
        <v>2324</v>
      </c>
      <c r="B98" s="13" t="s">
        <v>2325</v>
      </c>
      <c r="C98" s="10" t="s">
        <v>1944</v>
      </c>
      <c r="D98" s="27" t="s">
        <v>2343</v>
      </c>
      <c r="E98" s="6">
        <v>103785</v>
      </c>
    </row>
    <row r="99" spans="1:5" x14ac:dyDescent="0.4">
      <c r="A99" s="13" t="s">
        <v>2324</v>
      </c>
      <c r="B99" s="13" t="s">
        <v>2345</v>
      </c>
      <c r="C99" s="10" t="s">
        <v>1944</v>
      </c>
      <c r="D99" s="27" t="s">
        <v>2343</v>
      </c>
      <c r="E99" s="6">
        <v>46703</v>
      </c>
    </row>
    <row r="100" spans="1:5" x14ac:dyDescent="0.4">
      <c r="A100" s="13" t="s">
        <v>2324</v>
      </c>
      <c r="B100" s="13" t="s">
        <v>2325</v>
      </c>
      <c r="C100" s="10" t="s">
        <v>1944</v>
      </c>
      <c r="D100" s="27" t="s">
        <v>2320</v>
      </c>
      <c r="E100" s="6">
        <v>103785</v>
      </c>
    </row>
    <row r="101" spans="1:5" x14ac:dyDescent="0.4">
      <c r="A101" s="13" t="s">
        <v>2324</v>
      </c>
      <c r="B101" s="13" t="s">
        <v>2345</v>
      </c>
      <c r="C101" s="10" t="s">
        <v>1944</v>
      </c>
      <c r="D101" s="27" t="s">
        <v>2320</v>
      </c>
      <c r="E101" s="6">
        <v>46703</v>
      </c>
    </row>
    <row r="102" spans="1:5" x14ac:dyDescent="0.4">
      <c r="A102" s="13" t="s">
        <v>2324</v>
      </c>
      <c r="B102" s="13" t="s">
        <v>2325</v>
      </c>
      <c r="C102" s="10" t="s">
        <v>1944</v>
      </c>
      <c r="D102" s="27" t="s">
        <v>2321</v>
      </c>
      <c r="E102" s="6">
        <v>103785</v>
      </c>
    </row>
    <row r="103" spans="1:5" x14ac:dyDescent="0.4">
      <c r="A103" s="13" t="s">
        <v>2324</v>
      </c>
      <c r="B103" s="13" t="s">
        <v>2345</v>
      </c>
      <c r="C103" s="10" t="s">
        <v>1944</v>
      </c>
      <c r="D103" s="27" t="s">
        <v>2321</v>
      </c>
      <c r="E103" s="6">
        <v>46703</v>
      </c>
    </row>
    <row r="104" spans="1:5" x14ac:dyDescent="0.4">
      <c r="A104" s="13" t="s">
        <v>2324</v>
      </c>
      <c r="B104" s="13" t="s">
        <v>2325</v>
      </c>
      <c r="C104" s="10" t="s">
        <v>1944</v>
      </c>
      <c r="D104" s="27" t="s">
        <v>2322</v>
      </c>
      <c r="E104" s="6">
        <v>94350</v>
      </c>
    </row>
    <row r="105" spans="1:5" x14ac:dyDescent="0.4">
      <c r="A105" s="13" t="s">
        <v>2324</v>
      </c>
      <c r="B105" s="13" t="s">
        <v>2345</v>
      </c>
      <c r="C105" s="10" t="s">
        <v>1944</v>
      </c>
      <c r="D105" s="27" t="s">
        <v>2322</v>
      </c>
      <c r="E105" s="6">
        <v>42457</v>
      </c>
    </row>
    <row r="106" spans="1:5" x14ac:dyDescent="0.4">
      <c r="A106" s="13" t="s">
        <v>2324</v>
      </c>
      <c r="B106" s="13" t="s">
        <v>2325</v>
      </c>
      <c r="C106" s="10" t="s">
        <v>1944</v>
      </c>
      <c r="D106" s="27" t="s">
        <v>2344</v>
      </c>
      <c r="E106" s="6">
        <v>94350</v>
      </c>
    </row>
    <row r="107" spans="1:5" x14ac:dyDescent="0.4">
      <c r="A107" s="13" t="s">
        <v>2324</v>
      </c>
      <c r="B107" s="13" t="s">
        <v>2345</v>
      </c>
      <c r="C107" s="10" t="s">
        <v>1944</v>
      </c>
      <c r="D107" s="27" t="s">
        <v>2344</v>
      </c>
      <c r="E107" s="6">
        <v>42457</v>
      </c>
    </row>
  </sheetData>
  <autoFilter ref="A1:E107" xr:uid="{C177A6D9-3CEB-49C5-B206-77A2AC5D7BF3}">
    <sortState xmlns:xlrd2="http://schemas.microsoft.com/office/spreadsheetml/2017/richdata2" ref="A2:E107">
      <sortCondition ref="D1:D107"/>
    </sortState>
  </autoFilter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B2DD-906A-4637-A728-24AF8511207F}">
  <sheetPr>
    <tabColor rgb="FFFFC000"/>
  </sheetPr>
  <dimension ref="A1:CT720"/>
  <sheetViews>
    <sheetView zoomScale="55" zoomScaleNormal="55" workbookViewId="0">
      <selection activeCell="L40" sqref="L40"/>
    </sheetView>
  </sheetViews>
  <sheetFormatPr defaultRowHeight="18.75" x14ac:dyDescent="0.4"/>
  <cols>
    <col min="18" max="18" width="16.25" bestFit="1" customWidth="1"/>
    <col min="19" max="19" width="37" bestFit="1" customWidth="1"/>
    <col min="20" max="20" width="26.5" bestFit="1" customWidth="1"/>
    <col min="21" max="21" width="20.375" customWidth="1"/>
    <col min="22" max="30" width="11.75" customWidth="1"/>
    <col min="31" max="34" width="13.625" customWidth="1"/>
    <col min="35" max="43" width="11.75" customWidth="1"/>
    <col min="44" max="47" width="13.625" customWidth="1"/>
    <col min="48" max="55" width="11.75" customWidth="1"/>
    <col min="56" max="59" width="13.625" customWidth="1"/>
    <col min="66" max="66" width="13.375" customWidth="1"/>
    <col min="68" max="68" width="34.625" customWidth="1"/>
    <col min="69" max="69" width="14.625" customWidth="1"/>
  </cols>
  <sheetData>
    <row r="1" spans="1:98" x14ac:dyDescent="0.4">
      <c r="A1" t="s">
        <v>0</v>
      </c>
      <c r="B1" t="s">
        <v>2368</v>
      </c>
      <c r="C1" t="s">
        <v>2369</v>
      </c>
      <c r="D1" t="s">
        <v>2370</v>
      </c>
      <c r="E1" t="s">
        <v>2371</v>
      </c>
      <c r="F1" t="s">
        <v>1</v>
      </c>
      <c r="G1" t="s">
        <v>2372</v>
      </c>
      <c r="H1" t="s">
        <v>2373</v>
      </c>
      <c r="I1" t="s">
        <v>2</v>
      </c>
      <c r="J1" t="s">
        <v>2374</v>
      </c>
      <c r="K1" t="s">
        <v>2375</v>
      </c>
      <c r="L1" t="s">
        <v>2376</v>
      </c>
      <c r="M1" t="s">
        <v>2377</v>
      </c>
      <c r="N1" t="s">
        <v>2378</v>
      </c>
      <c r="O1" t="s">
        <v>2379</v>
      </c>
      <c r="P1" t="s">
        <v>2380</v>
      </c>
      <c r="Q1" t="s">
        <v>2381</v>
      </c>
      <c r="R1" t="s">
        <v>2382</v>
      </c>
      <c r="S1" t="s">
        <v>3</v>
      </c>
      <c r="T1" t="s">
        <v>5</v>
      </c>
      <c r="U1" t="s">
        <v>7</v>
      </c>
      <c r="V1" s="28" t="s">
        <v>2235</v>
      </c>
      <c r="W1" s="28" t="s">
        <v>2383</v>
      </c>
      <c r="X1" s="28" t="s">
        <v>2237</v>
      </c>
      <c r="Y1" s="28" t="s">
        <v>2238</v>
      </c>
      <c r="Z1" s="28" t="s">
        <v>2239</v>
      </c>
      <c r="AA1" s="28" t="s">
        <v>2240</v>
      </c>
      <c r="AB1" s="28" t="s">
        <v>2241</v>
      </c>
      <c r="AC1" s="28" t="s">
        <v>2242</v>
      </c>
      <c r="AD1" s="28" t="s">
        <v>2243</v>
      </c>
      <c r="AE1" s="28" t="s">
        <v>2244</v>
      </c>
      <c r="AF1" s="28" t="s">
        <v>2245</v>
      </c>
      <c r="AG1" s="28" t="s">
        <v>2246</v>
      </c>
      <c r="AH1" s="28" t="s">
        <v>2274</v>
      </c>
      <c r="AI1" s="29" t="s">
        <v>2235</v>
      </c>
      <c r="AJ1" s="29" t="s">
        <v>2383</v>
      </c>
      <c r="AK1" s="29" t="s">
        <v>2237</v>
      </c>
      <c r="AL1" s="29" t="s">
        <v>2238</v>
      </c>
      <c r="AM1" s="29" t="s">
        <v>2239</v>
      </c>
      <c r="AN1" s="29" t="s">
        <v>2240</v>
      </c>
      <c r="AO1" s="29" t="s">
        <v>2241</v>
      </c>
      <c r="AP1" s="29" t="s">
        <v>2242</v>
      </c>
      <c r="AQ1" s="29" t="s">
        <v>2243</v>
      </c>
      <c r="AR1" s="29" t="s">
        <v>2244</v>
      </c>
      <c r="AS1" s="29" t="s">
        <v>2245</v>
      </c>
      <c r="AT1" s="29" t="s">
        <v>2246</v>
      </c>
      <c r="AU1" s="29" t="s">
        <v>2384</v>
      </c>
      <c r="AV1" s="29" t="s">
        <v>2385</v>
      </c>
      <c r="AW1" s="29" t="s">
        <v>2386</v>
      </c>
      <c r="AX1" s="29" t="s">
        <v>2387</v>
      </c>
      <c r="AY1" s="29" t="s">
        <v>2388</v>
      </c>
      <c r="AZ1" s="29" t="s">
        <v>2279</v>
      </c>
      <c r="BA1" s="29" t="s">
        <v>2280</v>
      </c>
      <c r="BB1" s="29" t="s">
        <v>2281</v>
      </c>
      <c r="BC1" s="29" t="s">
        <v>2282</v>
      </c>
      <c r="BD1" s="29" t="s">
        <v>2283</v>
      </c>
      <c r="BE1" s="29" t="s">
        <v>2284</v>
      </c>
      <c r="BF1" s="29" t="s">
        <v>2389</v>
      </c>
      <c r="BG1" s="29" t="s">
        <v>2390</v>
      </c>
      <c r="BH1" t="s">
        <v>2391</v>
      </c>
      <c r="BI1" t="s">
        <v>2392</v>
      </c>
      <c r="BJ1" t="s">
        <v>2393</v>
      </c>
      <c r="BK1" t="s">
        <v>2394</v>
      </c>
      <c r="BL1" t="s">
        <v>2395</v>
      </c>
      <c r="BM1" t="s">
        <v>2396</v>
      </c>
      <c r="BN1" t="s">
        <v>2397</v>
      </c>
      <c r="BO1" t="s">
        <v>2398</v>
      </c>
      <c r="BP1" t="s">
        <v>2399</v>
      </c>
      <c r="BQ1" t="s">
        <v>2400</v>
      </c>
      <c r="BR1" t="s">
        <v>2401</v>
      </c>
      <c r="BS1" t="s">
        <v>2402</v>
      </c>
      <c r="BT1" t="s">
        <v>2403</v>
      </c>
      <c r="BU1" t="s">
        <v>2404</v>
      </c>
      <c r="BV1" t="s">
        <v>2405</v>
      </c>
      <c r="BW1" t="s">
        <v>2406</v>
      </c>
      <c r="BX1" t="s">
        <v>2407</v>
      </c>
      <c r="BY1" t="s">
        <v>2408</v>
      </c>
      <c r="BZ1" t="s">
        <v>2409</v>
      </c>
      <c r="CA1" t="s">
        <v>2410</v>
      </c>
      <c r="CB1" t="s">
        <v>2411</v>
      </c>
      <c r="CC1" t="s">
        <v>2412</v>
      </c>
      <c r="CD1" t="s">
        <v>2413</v>
      </c>
      <c r="CE1" t="s">
        <v>2414</v>
      </c>
      <c r="CF1" t="s">
        <v>2415</v>
      </c>
      <c r="CG1" t="s">
        <v>2416</v>
      </c>
      <c r="CH1" t="s">
        <v>2417</v>
      </c>
      <c r="CI1" t="s">
        <v>2418</v>
      </c>
      <c r="CJ1" t="s">
        <v>2419</v>
      </c>
      <c r="CK1" t="s">
        <v>2420</v>
      </c>
      <c r="CM1" t="s">
        <v>2421</v>
      </c>
      <c r="CN1" t="s">
        <v>2422</v>
      </c>
      <c r="CO1" t="s">
        <v>2423</v>
      </c>
      <c r="CP1" t="s">
        <v>2424</v>
      </c>
      <c r="CQ1" t="s">
        <v>2425</v>
      </c>
      <c r="CR1" t="s">
        <v>2426</v>
      </c>
      <c r="CS1" t="s">
        <v>2427</v>
      </c>
      <c r="CT1" t="s">
        <v>2428</v>
      </c>
    </row>
    <row r="2" spans="1:98" x14ac:dyDescent="0.4">
      <c r="A2" t="s">
        <v>2429</v>
      </c>
      <c r="D2" t="s">
        <v>2370</v>
      </c>
      <c r="E2" t="s">
        <v>2371</v>
      </c>
      <c r="F2" t="s">
        <v>2430</v>
      </c>
      <c r="G2" t="s">
        <v>2431</v>
      </c>
      <c r="H2">
        <v>8037680607</v>
      </c>
      <c r="I2" t="s">
        <v>2432</v>
      </c>
      <c r="J2" t="s">
        <v>2433</v>
      </c>
      <c r="L2" t="s">
        <v>2434</v>
      </c>
      <c r="M2" t="s">
        <v>2435</v>
      </c>
      <c r="N2" t="s">
        <v>2436</v>
      </c>
      <c r="O2" t="s">
        <v>2437</v>
      </c>
      <c r="Q2" t="s">
        <v>2438</v>
      </c>
      <c r="R2" s="30">
        <v>45591</v>
      </c>
      <c r="S2" t="s">
        <v>44</v>
      </c>
      <c r="T2" s="30">
        <v>45889</v>
      </c>
      <c r="U2" s="20">
        <v>114300</v>
      </c>
      <c r="V2" s="31"/>
      <c r="W2" s="31"/>
      <c r="X2" s="31"/>
      <c r="Y2" s="31"/>
      <c r="Z2" s="31"/>
      <c r="AA2" s="31"/>
      <c r="AB2" s="31">
        <f>+U2</f>
        <v>114300</v>
      </c>
      <c r="AC2" s="31"/>
      <c r="AD2" s="31"/>
      <c r="AE2" s="31"/>
      <c r="AF2" s="31"/>
      <c r="AG2" s="31"/>
      <c r="AH2" s="31"/>
      <c r="AI2" s="32"/>
      <c r="AJ2" s="32"/>
      <c r="AK2" s="32"/>
      <c r="AL2" s="32"/>
      <c r="AM2" s="32"/>
      <c r="AN2" s="32"/>
      <c r="AO2" s="32">
        <v>19050</v>
      </c>
      <c r="AP2" s="32">
        <v>19050</v>
      </c>
      <c r="AQ2" s="32">
        <v>19050</v>
      </c>
      <c r="AR2" s="32">
        <v>19050</v>
      </c>
      <c r="AS2" s="32">
        <v>19050</v>
      </c>
      <c r="AT2" s="32">
        <v>19050</v>
      </c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CR2">
        <v>546600</v>
      </c>
      <c r="CS2">
        <v>2</v>
      </c>
    </row>
    <row r="3" spans="1:98" x14ac:dyDescent="0.4">
      <c r="A3" t="s">
        <v>2439</v>
      </c>
      <c r="D3" t="s">
        <v>2370</v>
      </c>
      <c r="E3" t="s">
        <v>2371</v>
      </c>
      <c r="F3" t="s">
        <v>2440</v>
      </c>
      <c r="G3" t="s">
        <v>2441</v>
      </c>
      <c r="H3">
        <v>9044161980</v>
      </c>
      <c r="I3" t="s">
        <v>2442</v>
      </c>
      <c r="J3" t="s">
        <v>2433</v>
      </c>
      <c r="L3" t="s">
        <v>2443</v>
      </c>
      <c r="M3" t="s">
        <v>2444</v>
      </c>
      <c r="N3" t="s">
        <v>2445</v>
      </c>
      <c r="O3" t="s">
        <v>2446</v>
      </c>
      <c r="Q3" t="s">
        <v>2447</v>
      </c>
      <c r="R3" s="30">
        <v>45538</v>
      </c>
      <c r="S3" t="s">
        <v>44</v>
      </c>
      <c r="T3" s="30">
        <v>45920</v>
      </c>
      <c r="U3" s="20">
        <v>114300</v>
      </c>
      <c r="V3" s="31"/>
      <c r="W3" s="31"/>
      <c r="X3" s="31"/>
      <c r="Y3" s="31"/>
      <c r="Z3" s="31"/>
      <c r="AA3" s="31"/>
      <c r="AB3" s="31"/>
      <c r="AC3" s="31">
        <f>+U3</f>
        <v>114300</v>
      </c>
      <c r="AD3" s="31"/>
      <c r="AE3" s="31"/>
      <c r="AF3" s="31"/>
      <c r="AG3" s="31"/>
      <c r="AH3" s="31"/>
      <c r="AI3" s="32"/>
      <c r="AJ3" s="32"/>
      <c r="AK3" s="32"/>
      <c r="AL3" s="32"/>
      <c r="AM3" s="32"/>
      <c r="AN3" s="32"/>
      <c r="AO3" s="32"/>
      <c r="AP3" s="32">
        <v>19050</v>
      </c>
      <c r="AQ3" s="32">
        <v>19050</v>
      </c>
      <c r="AR3" s="32">
        <v>19050</v>
      </c>
      <c r="AS3" s="32">
        <v>19050</v>
      </c>
      <c r="AT3" s="32">
        <v>19050</v>
      </c>
      <c r="AU3" s="32">
        <v>19050</v>
      </c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CR3">
        <v>551490</v>
      </c>
      <c r="CS3">
        <v>3</v>
      </c>
    </row>
    <row r="4" spans="1:98" x14ac:dyDescent="0.4">
      <c r="A4" t="s">
        <v>22</v>
      </c>
      <c r="C4" t="s">
        <v>2448</v>
      </c>
      <c r="D4" t="s">
        <v>2370</v>
      </c>
      <c r="E4" t="s">
        <v>2371</v>
      </c>
      <c r="F4" t="s">
        <v>23</v>
      </c>
      <c r="G4" t="s">
        <v>2449</v>
      </c>
      <c r="H4">
        <v>9089580958</v>
      </c>
      <c r="I4" t="s">
        <v>24</v>
      </c>
      <c r="J4" t="s">
        <v>2433</v>
      </c>
      <c r="L4" t="s">
        <v>2450</v>
      </c>
      <c r="M4" t="s">
        <v>2451</v>
      </c>
      <c r="N4" t="s">
        <v>2452</v>
      </c>
      <c r="O4" s="33">
        <v>45859</v>
      </c>
      <c r="Q4" t="s">
        <v>2438</v>
      </c>
      <c r="R4" s="30">
        <v>45444</v>
      </c>
      <c r="S4" t="s">
        <v>25</v>
      </c>
      <c r="T4" s="30">
        <v>45767</v>
      </c>
      <c r="U4">
        <v>59400</v>
      </c>
      <c r="V4" s="34"/>
      <c r="W4" s="34"/>
      <c r="X4" s="34">
        <f>+U4</f>
        <v>59400</v>
      </c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5"/>
      <c r="AJ4" s="35"/>
      <c r="AK4" s="32">
        <v>19800</v>
      </c>
      <c r="AL4" s="32">
        <v>19800</v>
      </c>
      <c r="AM4" s="32">
        <v>19800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CR4">
        <v>59400</v>
      </c>
      <c r="CS4">
        <v>1</v>
      </c>
    </row>
    <row r="5" spans="1:98" x14ac:dyDescent="0.4">
      <c r="A5" t="s">
        <v>29</v>
      </c>
      <c r="D5" t="s">
        <v>2370</v>
      </c>
      <c r="E5" t="s">
        <v>2371</v>
      </c>
      <c r="F5" t="s">
        <v>30</v>
      </c>
      <c r="G5" t="s">
        <v>2453</v>
      </c>
      <c r="H5">
        <v>8018828811</v>
      </c>
      <c r="I5" t="s">
        <v>31</v>
      </c>
      <c r="J5" t="s">
        <v>2433</v>
      </c>
      <c r="L5" t="s">
        <v>2454</v>
      </c>
      <c r="M5" t="s">
        <v>2455</v>
      </c>
      <c r="N5" t="s">
        <v>2456</v>
      </c>
      <c r="O5" t="s">
        <v>2457</v>
      </c>
      <c r="Q5" t="s">
        <v>2438</v>
      </c>
      <c r="R5" s="30">
        <v>45447</v>
      </c>
      <c r="S5" t="s">
        <v>25</v>
      </c>
      <c r="T5" s="30">
        <v>45736</v>
      </c>
      <c r="U5">
        <v>59400</v>
      </c>
      <c r="V5" s="34"/>
      <c r="W5" s="34">
        <f>+U5</f>
        <v>59400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  <c r="AJ5" s="32">
        <v>19800</v>
      </c>
      <c r="AK5" s="32">
        <v>19800</v>
      </c>
      <c r="AL5" s="32">
        <v>19800</v>
      </c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CR5">
        <v>491700</v>
      </c>
      <c r="CS5">
        <v>7</v>
      </c>
    </row>
    <row r="6" spans="1:98" x14ac:dyDescent="0.4">
      <c r="A6" t="s">
        <v>34</v>
      </c>
      <c r="D6" t="s">
        <v>2370</v>
      </c>
      <c r="E6" t="s">
        <v>2371</v>
      </c>
      <c r="F6" t="s">
        <v>35</v>
      </c>
      <c r="G6" t="s">
        <v>2458</v>
      </c>
      <c r="H6">
        <v>9069630121</v>
      </c>
      <c r="I6" t="s">
        <v>36</v>
      </c>
      <c r="J6" t="s">
        <v>2433</v>
      </c>
      <c r="L6" t="s">
        <v>2459</v>
      </c>
      <c r="M6" t="s">
        <v>2460</v>
      </c>
      <c r="N6" t="s">
        <v>2461</v>
      </c>
      <c r="O6" t="s">
        <v>2462</v>
      </c>
      <c r="Q6" t="s">
        <v>2438</v>
      </c>
      <c r="R6" s="30">
        <v>45447</v>
      </c>
      <c r="S6" t="s">
        <v>25</v>
      </c>
      <c r="T6" s="30">
        <v>45736</v>
      </c>
      <c r="U6">
        <v>59400</v>
      </c>
      <c r="V6" s="34"/>
      <c r="W6" s="34">
        <f t="shared" ref="W6:W7" si="0">+U6</f>
        <v>59400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/>
      <c r="AJ6" s="32">
        <v>19800</v>
      </c>
      <c r="AK6" s="32">
        <v>19800</v>
      </c>
      <c r="AL6" s="32">
        <v>19800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CR6">
        <v>491700</v>
      </c>
      <c r="CS6">
        <v>2</v>
      </c>
    </row>
    <row r="7" spans="1:98" x14ac:dyDescent="0.4">
      <c r="A7" t="s">
        <v>38</v>
      </c>
      <c r="D7" t="s">
        <v>2370</v>
      </c>
      <c r="E7" t="s">
        <v>2371</v>
      </c>
      <c r="F7" t="s">
        <v>39</v>
      </c>
      <c r="G7" t="s">
        <v>2463</v>
      </c>
      <c r="H7">
        <v>8012788103</v>
      </c>
      <c r="I7" t="s">
        <v>40</v>
      </c>
      <c r="J7" t="s">
        <v>2433</v>
      </c>
      <c r="L7" t="s">
        <v>2464</v>
      </c>
      <c r="M7" t="s">
        <v>2465</v>
      </c>
      <c r="N7" t="s">
        <v>2466</v>
      </c>
      <c r="O7" t="s">
        <v>2467</v>
      </c>
      <c r="Q7" t="s">
        <v>2468</v>
      </c>
      <c r="R7" s="30">
        <v>45447</v>
      </c>
      <c r="S7" t="s">
        <v>25</v>
      </c>
      <c r="T7" s="30">
        <v>45736</v>
      </c>
      <c r="U7">
        <v>59400</v>
      </c>
      <c r="V7" s="34"/>
      <c r="W7" s="34">
        <f t="shared" si="0"/>
        <v>59400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/>
      <c r="AJ7" s="32">
        <v>19800</v>
      </c>
      <c r="AK7" s="32">
        <v>19800</v>
      </c>
      <c r="AL7" s="32">
        <v>19800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CR7">
        <v>491700</v>
      </c>
      <c r="CS7">
        <v>7</v>
      </c>
    </row>
    <row r="8" spans="1:98" x14ac:dyDescent="0.4">
      <c r="A8" t="s">
        <v>41</v>
      </c>
      <c r="D8" t="s">
        <v>2370</v>
      </c>
      <c r="E8" t="s">
        <v>2371</v>
      </c>
      <c r="F8" t="s">
        <v>42</v>
      </c>
      <c r="G8" t="s">
        <v>2469</v>
      </c>
      <c r="H8">
        <v>9070642282</v>
      </c>
      <c r="I8" t="s">
        <v>43</v>
      </c>
      <c r="J8" t="s">
        <v>2433</v>
      </c>
      <c r="L8" t="s">
        <v>2470</v>
      </c>
      <c r="M8" t="s">
        <v>2471</v>
      </c>
      <c r="N8" t="s">
        <v>2472</v>
      </c>
      <c r="O8" t="s">
        <v>2473</v>
      </c>
      <c r="Q8" t="s">
        <v>2438</v>
      </c>
      <c r="R8" s="30">
        <v>45447</v>
      </c>
      <c r="S8" t="s">
        <v>44</v>
      </c>
      <c r="T8" s="30">
        <v>45828</v>
      </c>
      <c r="U8" s="20">
        <v>114300</v>
      </c>
      <c r="V8" s="31"/>
      <c r="W8" s="31"/>
      <c r="X8" s="31"/>
      <c r="Y8" s="31"/>
      <c r="Z8" s="31">
        <f>+U8</f>
        <v>114300</v>
      </c>
      <c r="AA8" s="31"/>
      <c r="AB8" s="31"/>
      <c r="AC8" s="31"/>
      <c r="AD8" s="31"/>
      <c r="AE8" s="31"/>
      <c r="AF8" s="31"/>
      <c r="AG8" s="31"/>
      <c r="AH8" s="31"/>
      <c r="AI8" s="32"/>
      <c r="AJ8" s="32"/>
      <c r="AK8" s="32"/>
      <c r="AL8" s="32"/>
      <c r="AM8" s="32">
        <v>19050</v>
      </c>
      <c r="AN8" s="32">
        <v>19050</v>
      </c>
      <c r="AO8" s="32">
        <v>19050</v>
      </c>
      <c r="AP8" s="32">
        <v>19050</v>
      </c>
      <c r="AQ8" s="32">
        <v>19050</v>
      </c>
      <c r="AR8" s="32">
        <v>19050</v>
      </c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CR8">
        <v>546600</v>
      </c>
      <c r="CS8">
        <v>2</v>
      </c>
    </row>
    <row r="9" spans="1:98" x14ac:dyDescent="0.4">
      <c r="A9" t="s">
        <v>47</v>
      </c>
      <c r="D9" t="s">
        <v>2370</v>
      </c>
      <c r="E9" t="s">
        <v>2371</v>
      </c>
      <c r="F9" t="s">
        <v>48</v>
      </c>
      <c r="G9" t="s">
        <v>2474</v>
      </c>
      <c r="H9">
        <v>9091911429</v>
      </c>
      <c r="I9" t="s">
        <v>49</v>
      </c>
      <c r="J9" t="s">
        <v>2433</v>
      </c>
      <c r="L9" t="s">
        <v>2475</v>
      </c>
      <c r="M9" t="s">
        <v>2465</v>
      </c>
      <c r="N9" t="s">
        <v>2476</v>
      </c>
      <c r="O9" s="33">
        <v>45659</v>
      </c>
      <c r="Q9" t="s">
        <v>2438</v>
      </c>
      <c r="R9" s="30">
        <v>45447</v>
      </c>
      <c r="S9" t="s">
        <v>50</v>
      </c>
      <c r="T9" s="30">
        <v>45828</v>
      </c>
      <c r="U9" s="20">
        <v>114300</v>
      </c>
      <c r="V9" s="31"/>
      <c r="W9" s="31"/>
      <c r="X9" s="31"/>
      <c r="Y9" s="31"/>
      <c r="Z9" s="31">
        <f t="shared" ref="Z9:Z13" si="1">+U9</f>
        <v>114300</v>
      </c>
      <c r="AA9" s="31"/>
      <c r="AB9" s="31"/>
      <c r="AC9" s="31"/>
      <c r="AD9" s="31"/>
      <c r="AE9" s="31"/>
      <c r="AF9" s="31"/>
      <c r="AG9" s="31"/>
      <c r="AH9" s="31"/>
      <c r="AI9" s="32"/>
      <c r="AJ9" s="32"/>
      <c r="AK9" s="32"/>
      <c r="AL9" s="32"/>
      <c r="AM9" s="32">
        <v>19050</v>
      </c>
      <c r="AN9" s="32">
        <v>19050</v>
      </c>
      <c r="AO9" s="32">
        <v>19050</v>
      </c>
      <c r="AP9" s="32">
        <v>19050</v>
      </c>
      <c r="AQ9" s="32">
        <v>19050</v>
      </c>
      <c r="AR9" s="32">
        <v>19050</v>
      </c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CR9">
        <v>432300</v>
      </c>
      <c r="CS9">
        <v>1</v>
      </c>
    </row>
    <row r="10" spans="1:98" x14ac:dyDescent="0.4">
      <c r="A10" t="s">
        <v>53</v>
      </c>
      <c r="D10" t="s">
        <v>2370</v>
      </c>
      <c r="E10" t="s">
        <v>2371</v>
      </c>
      <c r="F10" t="s">
        <v>54</v>
      </c>
      <c r="G10" t="s">
        <v>2477</v>
      </c>
      <c r="H10">
        <v>9054692739</v>
      </c>
      <c r="I10" t="s">
        <v>55</v>
      </c>
      <c r="J10" t="s">
        <v>2433</v>
      </c>
      <c r="L10" t="s">
        <v>2478</v>
      </c>
      <c r="M10" t="s">
        <v>2479</v>
      </c>
      <c r="N10" t="s">
        <v>2480</v>
      </c>
      <c r="O10">
        <v>1532</v>
      </c>
      <c r="Q10" t="s">
        <v>2438</v>
      </c>
      <c r="R10" s="30">
        <v>45447</v>
      </c>
      <c r="S10" t="s">
        <v>44</v>
      </c>
      <c r="T10" s="30">
        <v>45828</v>
      </c>
      <c r="U10" s="20">
        <v>114300</v>
      </c>
      <c r="V10" s="31"/>
      <c r="W10" s="31"/>
      <c r="X10" s="31"/>
      <c r="Y10" s="31"/>
      <c r="Z10" s="31">
        <f t="shared" si="1"/>
        <v>114300</v>
      </c>
      <c r="AA10" s="31"/>
      <c r="AB10" s="31"/>
      <c r="AC10" s="31"/>
      <c r="AD10" s="31"/>
      <c r="AE10" s="31"/>
      <c r="AF10" s="31"/>
      <c r="AG10" s="31"/>
      <c r="AH10" s="31"/>
      <c r="AI10" s="32"/>
      <c r="AJ10" s="32"/>
      <c r="AK10" s="32"/>
      <c r="AL10" s="32"/>
      <c r="AM10" s="32">
        <v>19050</v>
      </c>
      <c r="AN10" s="32">
        <v>19050</v>
      </c>
      <c r="AO10" s="32">
        <v>19050</v>
      </c>
      <c r="AP10" s="32">
        <v>19050</v>
      </c>
      <c r="AQ10" s="32">
        <v>19050</v>
      </c>
      <c r="AR10" s="32">
        <v>19050</v>
      </c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CR10">
        <v>546600</v>
      </c>
      <c r="CS10">
        <v>3</v>
      </c>
    </row>
    <row r="11" spans="1:98" x14ac:dyDescent="0.4">
      <c r="A11" t="s">
        <v>57</v>
      </c>
      <c r="D11" t="s">
        <v>2370</v>
      </c>
      <c r="E11" t="s">
        <v>2371</v>
      </c>
      <c r="F11" t="s">
        <v>58</v>
      </c>
      <c r="G11" t="s">
        <v>2481</v>
      </c>
      <c r="H11">
        <v>9044761520</v>
      </c>
      <c r="I11" t="s">
        <v>59</v>
      </c>
      <c r="J11" t="s">
        <v>2433</v>
      </c>
      <c r="L11" t="s">
        <v>2482</v>
      </c>
      <c r="M11" t="s">
        <v>2483</v>
      </c>
      <c r="N11" t="s">
        <v>2484</v>
      </c>
      <c r="O11" t="s">
        <v>2485</v>
      </c>
      <c r="Q11" t="s">
        <v>2438</v>
      </c>
      <c r="R11" s="30">
        <v>45447</v>
      </c>
      <c r="S11" t="s">
        <v>44</v>
      </c>
      <c r="T11" s="30">
        <v>45828</v>
      </c>
      <c r="U11" s="20">
        <v>114300</v>
      </c>
      <c r="V11" s="31"/>
      <c r="W11" s="31"/>
      <c r="X11" s="31"/>
      <c r="Y11" s="31"/>
      <c r="Z11" s="31">
        <f t="shared" si="1"/>
        <v>114300</v>
      </c>
      <c r="AA11" s="31"/>
      <c r="AB11" s="31"/>
      <c r="AC11" s="31"/>
      <c r="AD11" s="31"/>
      <c r="AE11" s="31"/>
      <c r="AF11" s="31"/>
      <c r="AG11" s="31"/>
      <c r="AH11" s="31"/>
      <c r="AI11" s="32"/>
      <c r="AJ11" s="32"/>
      <c r="AK11" s="32"/>
      <c r="AL11" s="32"/>
      <c r="AM11" s="32">
        <v>19050</v>
      </c>
      <c r="AN11" s="32">
        <v>19050</v>
      </c>
      <c r="AO11" s="32">
        <v>19050</v>
      </c>
      <c r="AP11" s="32">
        <v>19050</v>
      </c>
      <c r="AQ11" s="32">
        <v>19050</v>
      </c>
      <c r="AR11" s="32">
        <v>19050</v>
      </c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CR11">
        <v>546600</v>
      </c>
      <c r="CS11">
        <v>3</v>
      </c>
    </row>
    <row r="12" spans="1:98" x14ac:dyDescent="0.4">
      <c r="A12" t="s">
        <v>60</v>
      </c>
      <c r="D12" t="s">
        <v>2370</v>
      </c>
      <c r="E12" t="s">
        <v>2371</v>
      </c>
      <c r="F12" t="s">
        <v>61</v>
      </c>
      <c r="G12" t="s">
        <v>2486</v>
      </c>
      <c r="H12">
        <v>9043850274</v>
      </c>
      <c r="I12" t="s">
        <v>62</v>
      </c>
      <c r="J12" t="s">
        <v>2433</v>
      </c>
      <c r="L12" t="s">
        <v>2487</v>
      </c>
      <c r="M12" t="s">
        <v>2444</v>
      </c>
      <c r="N12" t="s">
        <v>2488</v>
      </c>
      <c r="O12" t="s">
        <v>2489</v>
      </c>
      <c r="Q12" t="s">
        <v>2438</v>
      </c>
      <c r="R12" s="30">
        <v>45447</v>
      </c>
      <c r="S12" t="s">
        <v>44</v>
      </c>
      <c r="T12" s="30">
        <v>45828</v>
      </c>
      <c r="U12" s="20">
        <v>114300</v>
      </c>
      <c r="V12" s="31"/>
      <c r="W12" s="31"/>
      <c r="X12" s="31"/>
      <c r="Y12" s="31"/>
      <c r="Z12" s="31">
        <f t="shared" si="1"/>
        <v>114300</v>
      </c>
      <c r="AA12" s="31"/>
      <c r="AB12" s="31"/>
      <c r="AC12" s="31"/>
      <c r="AD12" s="31"/>
      <c r="AE12" s="31"/>
      <c r="AF12" s="31"/>
      <c r="AG12" s="31"/>
      <c r="AH12" s="31"/>
      <c r="AI12" s="32"/>
      <c r="AJ12" s="32"/>
      <c r="AK12" s="32"/>
      <c r="AL12" s="32"/>
      <c r="AM12" s="32">
        <v>19050</v>
      </c>
      <c r="AN12" s="32">
        <v>19050</v>
      </c>
      <c r="AO12" s="32">
        <v>19050</v>
      </c>
      <c r="AP12" s="32">
        <v>19050</v>
      </c>
      <c r="AQ12" s="32">
        <v>19050</v>
      </c>
      <c r="AR12" s="32">
        <v>19050</v>
      </c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CR12">
        <v>546600</v>
      </c>
      <c r="CS12">
        <v>2</v>
      </c>
    </row>
    <row r="13" spans="1:98" x14ac:dyDescent="0.4">
      <c r="A13" t="s">
        <v>64</v>
      </c>
      <c r="D13" t="s">
        <v>2370</v>
      </c>
      <c r="E13" t="s">
        <v>2371</v>
      </c>
      <c r="F13" t="s">
        <v>65</v>
      </c>
      <c r="G13" t="s">
        <v>2490</v>
      </c>
      <c r="H13">
        <v>9014964243</v>
      </c>
      <c r="I13" t="s">
        <v>66</v>
      </c>
      <c r="J13" t="s">
        <v>2433</v>
      </c>
      <c r="L13" t="s">
        <v>2491</v>
      </c>
      <c r="M13" t="s">
        <v>2492</v>
      </c>
      <c r="N13" t="s">
        <v>2493</v>
      </c>
      <c r="O13" t="s">
        <v>2494</v>
      </c>
      <c r="Q13" t="s">
        <v>2438</v>
      </c>
      <c r="R13" s="30">
        <v>45447</v>
      </c>
      <c r="S13" t="s">
        <v>44</v>
      </c>
      <c r="T13" s="30">
        <v>45828</v>
      </c>
      <c r="U13" s="20">
        <v>114300</v>
      </c>
      <c r="V13" s="31"/>
      <c r="W13" s="31"/>
      <c r="X13" s="31"/>
      <c r="Y13" s="31"/>
      <c r="Z13" s="31">
        <f t="shared" si="1"/>
        <v>114300</v>
      </c>
      <c r="AA13" s="31"/>
      <c r="AB13" s="31"/>
      <c r="AC13" s="31"/>
      <c r="AD13" s="31"/>
      <c r="AE13" s="31"/>
      <c r="AF13" s="31"/>
      <c r="AG13" s="31"/>
      <c r="AH13" s="31"/>
      <c r="AI13" s="32"/>
      <c r="AJ13" s="32"/>
      <c r="AK13" s="32"/>
      <c r="AL13" s="32"/>
      <c r="AM13" s="32">
        <v>19050</v>
      </c>
      <c r="AN13" s="32">
        <v>19050</v>
      </c>
      <c r="AO13" s="32">
        <v>19050</v>
      </c>
      <c r="AP13" s="32">
        <v>19050</v>
      </c>
      <c r="AQ13" s="32">
        <v>19050</v>
      </c>
      <c r="AR13" s="32">
        <v>19050</v>
      </c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CR13">
        <v>546600</v>
      </c>
      <c r="CS13">
        <v>2</v>
      </c>
    </row>
    <row r="14" spans="1:98" s="36" customFormat="1" x14ac:dyDescent="0.4">
      <c r="A14" s="36" t="s">
        <v>2495</v>
      </c>
      <c r="D14" s="36" t="s">
        <v>2370</v>
      </c>
      <c r="E14" s="36" t="s">
        <v>2371</v>
      </c>
      <c r="F14" s="36" t="s">
        <v>2496</v>
      </c>
      <c r="G14" s="36" t="s">
        <v>2497</v>
      </c>
      <c r="H14" s="36">
        <v>9091991825</v>
      </c>
      <c r="I14" s="36" t="s">
        <v>2498</v>
      </c>
      <c r="J14" s="36" t="s">
        <v>2433</v>
      </c>
      <c r="L14" s="36" t="s">
        <v>2499</v>
      </c>
      <c r="M14" s="36" t="s">
        <v>2500</v>
      </c>
      <c r="N14" s="36" t="s">
        <v>2501</v>
      </c>
      <c r="O14" s="36" t="s">
        <v>2502</v>
      </c>
      <c r="Q14" s="36" t="s">
        <v>2438</v>
      </c>
      <c r="R14" s="37">
        <v>45447</v>
      </c>
      <c r="S14" s="36" t="s">
        <v>2503</v>
      </c>
      <c r="T14" s="37">
        <v>45706</v>
      </c>
      <c r="U14" s="37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CR14" s="36">
        <v>453270</v>
      </c>
      <c r="CS14" s="36">
        <v>7</v>
      </c>
    </row>
    <row r="15" spans="1:98" x14ac:dyDescent="0.4">
      <c r="A15" t="s">
        <v>67</v>
      </c>
      <c r="D15" t="s">
        <v>2370</v>
      </c>
      <c r="E15" t="s">
        <v>2371</v>
      </c>
      <c r="F15" t="s">
        <v>68</v>
      </c>
      <c r="G15" t="s">
        <v>2504</v>
      </c>
      <c r="H15">
        <v>9095010677</v>
      </c>
      <c r="I15" t="s">
        <v>69</v>
      </c>
      <c r="J15" t="s">
        <v>2433</v>
      </c>
      <c r="L15" t="s">
        <v>2505</v>
      </c>
      <c r="M15" t="s">
        <v>2506</v>
      </c>
      <c r="N15" t="s">
        <v>2507</v>
      </c>
      <c r="O15" t="s">
        <v>2508</v>
      </c>
      <c r="Q15" t="s">
        <v>2438</v>
      </c>
      <c r="R15" s="30">
        <v>45447</v>
      </c>
      <c r="S15" t="s">
        <v>70</v>
      </c>
      <c r="T15" s="30">
        <v>45736</v>
      </c>
      <c r="U15">
        <v>59400</v>
      </c>
      <c r="V15" s="34"/>
      <c r="W15" s="34">
        <f>+U15</f>
        <v>59400</v>
      </c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5"/>
      <c r="AJ15" s="32">
        <v>19800</v>
      </c>
      <c r="AK15" s="32">
        <v>19800</v>
      </c>
      <c r="AL15" s="32">
        <v>19800</v>
      </c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CR15">
        <v>491700</v>
      </c>
      <c r="CS15">
        <v>2</v>
      </c>
    </row>
    <row r="16" spans="1:98" x14ac:dyDescent="0.4">
      <c r="A16" t="s">
        <v>71</v>
      </c>
      <c r="D16" t="s">
        <v>2370</v>
      </c>
      <c r="E16" t="s">
        <v>2371</v>
      </c>
      <c r="F16" t="s">
        <v>72</v>
      </c>
      <c r="G16" t="s">
        <v>2509</v>
      </c>
      <c r="H16">
        <v>9040250328</v>
      </c>
      <c r="I16" t="s">
        <v>73</v>
      </c>
      <c r="J16" t="s">
        <v>2433</v>
      </c>
      <c r="L16" t="s">
        <v>2510</v>
      </c>
      <c r="M16" t="s">
        <v>2435</v>
      </c>
      <c r="N16" t="s">
        <v>2511</v>
      </c>
      <c r="O16" t="s">
        <v>2512</v>
      </c>
      <c r="Q16" t="s">
        <v>2438</v>
      </c>
      <c r="R16" s="30">
        <v>45447</v>
      </c>
      <c r="S16" t="s">
        <v>44</v>
      </c>
      <c r="T16" s="30">
        <v>45858</v>
      </c>
      <c r="U16" s="20">
        <v>114300</v>
      </c>
      <c r="V16" s="31"/>
      <c r="W16" s="31"/>
      <c r="X16" s="31"/>
      <c r="Y16" s="31"/>
      <c r="Z16" s="31"/>
      <c r="AA16" s="31">
        <f>+U16</f>
        <v>114300</v>
      </c>
      <c r="AB16" s="31"/>
      <c r="AC16" s="31"/>
      <c r="AD16" s="31"/>
      <c r="AE16" s="31"/>
      <c r="AF16" s="31"/>
      <c r="AG16" s="31"/>
      <c r="AH16" s="31"/>
      <c r="AI16" s="32"/>
      <c r="AJ16" s="32"/>
      <c r="AK16" s="32"/>
      <c r="AL16" s="32"/>
      <c r="AM16" s="32"/>
      <c r="AN16" s="32">
        <v>19050</v>
      </c>
      <c r="AO16" s="32">
        <v>19050</v>
      </c>
      <c r="AP16" s="32">
        <v>19050</v>
      </c>
      <c r="AQ16" s="32">
        <v>19050</v>
      </c>
      <c r="AR16" s="32">
        <v>19050</v>
      </c>
      <c r="AS16" s="32">
        <v>19050</v>
      </c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CR16">
        <v>567570</v>
      </c>
      <c r="CS16">
        <v>3</v>
      </c>
    </row>
    <row r="17" spans="1:97" x14ac:dyDescent="0.4">
      <c r="A17" t="s">
        <v>2513</v>
      </c>
      <c r="D17" t="s">
        <v>2370</v>
      </c>
      <c r="E17" t="s">
        <v>2371</v>
      </c>
      <c r="F17" t="s">
        <v>2514</v>
      </c>
      <c r="G17" t="s">
        <v>2515</v>
      </c>
      <c r="H17">
        <v>8047165868</v>
      </c>
      <c r="I17" t="s">
        <v>2516</v>
      </c>
      <c r="J17" t="s">
        <v>2433</v>
      </c>
      <c r="L17" t="s">
        <v>2517</v>
      </c>
      <c r="M17" t="s">
        <v>2518</v>
      </c>
      <c r="N17" t="s">
        <v>2519</v>
      </c>
      <c r="O17" t="s">
        <v>2520</v>
      </c>
      <c r="Q17" t="s">
        <v>2438</v>
      </c>
      <c r="R17" s="30">
        <v>45447</v>
      </c>
      <c r="S17" t="s">
        <v>44</v>
      </c>
      <c r="T17" s="30">
        <v>45889</v>
      </c>
      <c r="U17" s="20">
        <v>114300</v>
      </c>
      <c r="V17" s="31"/>
      <c r="W17" s="31"/>
      <c r="X17" s="31"/>
      <c r="Y17" s="31"/>
      <c r="Z17" s="31"/>
      <c r="AA17" s="31"/>
      <c r="AB17" s="31">
        <f>+U17</f>
        <v>114300</v>
      </c>
      <c r="AC17" s="31"/>
      <c r="AD17" s="31"/>
      <c r="AE17" s="31"/>
      <c r="AF17" s="31"/>
      <c r="AG17" s="31"/>
      <c r="AH17" s="31"/>
      <c r="AI17" s="32"/>
      <c r="AJ17" s="32"/>
      <c r="AK17" s="32"/>
      <c r="AL17" s="32"/>
      <c r="AM17" s="32"/>
      <c r="AN17" s="32"/>
      <c r="AO17" s="32">
        <v>19050</v>
      </c>
      <c r="AP17" s="32">
        <v>19050</v>
      </c>
      <c r="AQ17" s="32">
        <v>19050</v>
      </c>
      <c r="AR17" s="32">
        <v>19050</v>
      </c>
      <c r="AS17" s="32">
        <v>19050</v>
      </c>
      <c r="AT17" s="32">
        <v>19050</v>
      </c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CR17">
        <v>546600</v>
      </c>
      <c r="CS17">
        <v>2</v>
      </c>
    </row>
    <row r="18" spans="1:97" x14ac:dyDescent="0.4">
      <c r="A18" t="s">
        <v>76</v>
      </c>
      <c r="D18" t="s">
        <v>2370</v>
      </c>
      <c r="E18" t="s">
        <v>2371</v>
      </c>
      <c r="F18" t="s">
        <v>77</v>
      </c>
      <c r="G18" t="s">
        <v>2521</v>
      </c>
      <c r="H18">
        <v>8089539757</v>
      </c>
      <c r="I18" t="s">
        <v>78</v>
      </c>
      <c r="J18" t="s">
        <v>2433</v>
      </c>
      <c r="L18">
        <v>96701</v>
      </c>
      <c r="M18" t="s">
        <v>2444</v>
      </c>
      <c r="N18" t="s">
        <v>2522</v>
      </c>
      <c r="O18" t="s">
        <v>2523</v>
      </c>
      <c r="Q18" t="s">
        <v>2438</v>
      </c>
      <c r="R18" s="30">
        <v>45447</v>
      </c>
      <c r="S18" t="s">
        <v>25</v>
      </c>
      <c r="T18" s="30">
        <v>45736</v>
      </c>
      <c r="U18">
        <v>59400</v>
      </c>
      <c r="V18" s="34"/>
      <c r="W18" s="34">
        <f>+U18</f>
        <v>59400</v>
      </c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5"/>
      <c r="AJ18" s="32">
        <v>19800</v>
      </c>
      <c r="AK18" s="32">
        <v>19800</v>
      </c>
      <c r="AL18" s="32">
        <v>19800</v>
      </c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CR18">
        <v>491700</v>
      </c>
      <c r="CS18">
        <v>2</v>
      </c>
    </row>
    <row r="19" spans="1:97" x14ac:dyDescent="0.4">
      <c r="A19" t="s">
        <v>79</v>
      </c>
      <c r="D19" t="s">
        <v>2370</v>
      </c>
      <c r="E19" t="s">
        <v>2371</v>
      </c>
      <c r="F19" t="s">
        <v>80</v>
      </c>
      <c r="G19" t="s">
        <v>2524</v>
      </c>
      <c r="H19">
        <v>8064027748</v>
      </c>
      <c r="I19" t="s">
        <v>81</v>
      </c>
      <c r="J19" t="s">
        <v>2433</v>
      </c>
      <c r="L19" t="s">
        <v>2525</v>
      </c>
      <c r="M19" t="s">
        <v>2518</v>
      </c>
      <c r="N19" t="s">
        <v>2526</v>
      </c>
      <c r="O19" t="s">
        <v>2527</v>
      </c>
      <c r="Q19" t="s">
        <v>2438</v>
      </c>
      <c r="R19" s="30">
        <v>45447</v>
      </c>
      <c r="S19" t="s">
        <v>44</v>
      </c>
      <c r="T19" s="30">
        <v>45828</v>
      </c>
      <c r="U19" s="20">
        <v>114300</v>
      </c>
      <c r="V19" s="31"/>
      <c r="W19" s="31"/>
      <c r="X19" s="31"/>
      <c r="Y19" s="31"/>
      <c r="Z19" s="31">
        <f t="shared" ref="Z19:Z21" si="2">+U19</f>
        <v>114300</v>
      </c>
      <c r="AA19" s="31"/>
      <c r="AB19" s="31"/>
      <c r="AC19" s="31"/>
      <c r="AD19" s="31"/>
      <c r="AE19" s="31"/>
      <c r="AF19" s="31"/>
      <c r="AG19" s="31"/>
      <c r="AH19" s="31"/>
      <c r="AI19" s="32"/>
      <c r="AJ19" s="32"/>
      <c r="AK19" s="32"/>
      <c r="AL19" s="32"/>
      <c r="AM19" s="32">
        <v>19050</v>
      </c>
      <c r="AN19" s="32">
        <v>19050</v>
      </c>
      <c r="AO19" s="32">
        <v>19050</v>
      </c>
      <c r="AP19" s="32">
        <v>19050</v>
      </c>
      <c r="AQ19" s="32">
        <v>19050</v>
      </c>
      <c r="AR19" s="32">
        <v>19050</v>
      </c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CR19">
        <v>546600</v>
      </c>
      <c r="CS19">
        <v>4</v>
      </c>
    </row>
    <row r="20" spans="1:97" x14ac:dyDescent="0.4">
      <c r="A20" t="s">
        <v>83</v>
      </c>
      <c r="D20" t="s">
        <v>2370</v>
      </c>
      <c r="E20" t="s">
        <v>2371</v>
      </c>
      <c r="F20" t="s">
        <v>84</v>
      </c>
      <c r="G20" t="s">
        <v>2528</v>
      </c>
      <c r="H20">
        <v>9066084616</v>
      </c>
      <c r="I20" t="s">
        <v>85</v>
      </c>
      <c r="J20" t="s">
        <v>2433</v>
      </c>
      <c r="L20" t="s">
        <v>2529</v>
      </c>
      <c r="M20" t="s">
        <v>2435</v>
      </c>
      <c r="N20" t="s">
        <v>2530</v>
      </c>
      <c r="O20" t="s">
        <v>2531</v>
      </c>
      <c r="Q20" t="s">
        <v>2438</v>
      </c>
      <c r="R20" s="30">
        <v>45447</v>
      </c>
      <c r="S20" t="s">
        <v>44</v>
      </c>
      <c r="T20" s="30">
        <v>45828</v>
      </c>
      <c r="U20" s="20">
        <v>114300</v>
      </c>
      <c r="V20" s="31"/>
      <c r="W20" s="31"/>
      <c r="X20" s="31"/>
      <c r="Y20" s="31"/>
      <c r="Z20" s="31">
        <f t="shared" si="2"/>
        <v>114300</v>
      </c>
      <c r="AA20" s="31"/>
      <c r="AB20" s="31"/>
      <c r="AC20" s="31"/>
      <c r="AD20" s="31"/>
      <c r="AE20" s="31"/>
      <c r="AF20" s="31"/>
      <c r="AG20" s="31"/>
      <c r="AH20" s="31"/>
      <c r="AI20" s="32"/>
      <c r="AJ20" s="32"/>
      <c r="AK20" s="32"/>
      <c r="AL20" s="32"/>
      <c r="AM20" s="32">
        <v>19050</v>
      </c>
      <c r="AN20" s="32">
        <v>19050</v>
      </c>
      <c r="AO20" s="32">
        <v>19050</v>
      </c>
      <c r="AP20" s="32">
        <v>19050</v>
      </c>
      <c r="AQ20" s="32">
        <v>19050</v>
      </c>
      <c r="AR20" s="32">
        <v>19050</v>
      </c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CR20">
        <v>546600</v>
      </c>
      <c r="CS20">
        <v>7</v>
      </c>
    </row>
    <row r="21" spans="1:97" x14ac:dyDescent="0.4">
      <c r="A21" t="s">
        <v>87</v>
      </c>
      <c r="D21" t="s">
        <v>2370</v>
      </c>
      <c r="E21" t="s">
        <v>2371</v>
      </c>
      <c r="F21" t="s">
        <v>88</v>
      </c>
      <c r="G21" t="s">
        <v>2532</v>
      </c>
      <c r="H21">
        <v>9095406258</v>
      </c>
      <c r="I21" t="s">
        <v>89</v>
      </c>
      <c r="J21" t="s">
        <v>2433</v>
      </c>
      <c r="L21" t="s">
        <v>2533</v>
      </c>
      <c r="M21" t="s">
        <v>2506</v>
      </c>
      <c r="N21" t="s">
        <v>2534</v>
      </c>
      <c r="O21">
        <v>60</v>
      </c>
      <c r="Q21" t="s">
        <v>2438</v>
      </c>
      <c r="R21" s="30">
        <v>45447</v>
      </c>
      <c r="S21" t="s">
        <v>44</v>
      </c>
      <c r="T21" s="30">
        <v>45828</v>
      </c>
      <c r="U21" s="20">
        <v>114300</v>
      </c>
      <c r="V21" s="31"/>
      <c r="W21" s="31"/>
      <c r="X21" s="31"/>
      <c r="Y21" s="31"/>
      <c r="Z21" s="31">
        <f t="shared" si="2"/>
        <v>114300</v>
      </c>
      <c r="AA21" s="31"/>
      <c r="AB21" s="31"/>
      <c r="AC21" s="31"/>
      <c r="AD21" s="31"/>
      <c r="AE21" s="31"/>
      <c r="AF21" s="31"/>
      <c r="AG21" s="31"/>
      <c r="AH21" s="31"/>
      <c r="AI21" s="32"/>
      <c r="AJ21" s="32"/>
      <c r="AK21" s="32"/>
      <c r="AL21" s="32"/>
      <c r="AM21" s="32">
        <v>19050</v>
      </c>
      <c r="AN21" s="32">
        <v>19050</v>
      </c>
      <c r="AO21" s="32">
        <v>19050</v>
      </c>
      <c r="AP21" s="32">
        <v>19050</v>
      </c>
      <c r="AQ21" s="32">
        <v>19050</v>
      </c>
      <c r="AR21" s="32">
        <v>19050</v>
      </c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CR21">
        <v>432300</v>
      </c>
      <c r="CS21">
        <v>6</v>
      </c>
    </row>
    <row r="22" spans="1:97" x14ac:dyDescent="0.4">
      <c r="A22" t="s">
        <v>91</v>
      </c>
      <c r="D22" t="s">
        <v>2370</v>
      </c>
      <c r="E22" t="s">
        <v>2371</v>
      </c>
      <c r="F22" t="s">
        <v>92</v>
      </c>
      <c r="G22" t="s">
        <v>2535</v>
      </c>
      <c r="H22">
        <v>8014999421</v>
      </c>
      <c r="I22" t="s">
        <v>93</v>
      </c>
      <c r="J22" t="s">
        <v>2433</v>
      </c>
      <c r="L22" t="s">
        <v>2536</v>
      </c>
      <c r="M22" t="s">
        <v>2506</v>
      </c>
      <c r="N22" t="s">
        <v>2537</v>
      </c>
      <c r="O22" t="s">
        <v>2538</v>
      </c>
      <c r="Q22" t="s">
        <v>2438</v>
      </c>
      <c r="R22" s="30">
        <v>45447</v>
      </c>
      <c r="S22" t="s">
        <v>25</v>
      </c>
      <c r="T22" s="30">
        <v>45736</v>
      </c>
      <c r="U22">
        <v>59400</v>
      </c>
      <c r="V22" s="34"/>
      <c r="W22" s="34">
        <f>+U22</f>
        <v>59400</v>
      </c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5"/>
      <c r="AJ22" s="32">
        <v>19800</v>
      </c>
      <c r="AK22" s="32">
        <v>19800</v>
      </c>
      <c r="AL22" s="32">
        <v>19800</v>
      </c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CR22">
        <v>491700</v>
      </c>
      <c r="CS22">
        <v>3</v>
      </c>
    </row>
    <row r="23" spans="1:97" x14ac:dyDescent="0.4">
      <c r="A23" t="s">
        <v>94</v>
      </c>
      <c r="D23" t="s">
        <v>2370</v>
      </c>
      <c r="E23" t="s">
        <v>2371</v>
      </c>
      <c r="F23" t="s">
        <v>95</v>
      </c>
      <c r="G23" t="s">
        <v>2539</v>
      </c>
      <c r="H23">
        <v>9087020938</v>
      </c>
      <c r="I23" t="s">
        <v>96</v>
      </c>
      <c r="J23" t="s">
        <v>2433</v>
      </c>
      <c r="L23" t="s">
        <v>2540</v>
      </c>
      <c r="M23" t="s">
        <v>2541</v>
      </c>
      <c r="N23" t="s">
        <v>2542</v>
      </c>
      <c r="O23" t="s">
        <v>2543</v>
      </c>
      <c r="Q23" t="s">
        <v>2438</v>
      </c>
      <c r="R23" s="30">
        <v>45447</v>
      </c>
      <c r="S23" t="s">
        <v>50</v>
      </c>
      <c r="T23" s="30">
        <v>45828</v>
      </c>
      <c r="U23" s="20">
        <v>114300</v>
      </c>
      <c r="V23" s="31"/>
      <c r="W23" s="31"/>
      <c r="X23" s="31"/>
      <c r="Y23" s="31"/>
      <c r="Z23" s="31">
        <f>+U23</f>
        <v>114300</v>
      </c>
      <c r="AA23" s="31"/>
      <c r="AB23" s="31"/>
      <c r="AC23" s="31"/>
      <c r="AD23" s="31"/>
      <c r="AE23" s="31"/>
      <c r="AF23" s="31"/>
      <c r="AG23" s="31"/>
      <c r="AH23" s="31"/>
      <c r="AI23" s="32"/>
      <c r="AJ23" s="32"/>
      <c r="AK23" s="32"/>
      <c r="AL23" s="32"/>
      <c r="AM23" s="32">
        <v>19050</v>
      </c>
      <c r="AN23" s="32">
        <v>19050</v>
      </c>
      <c r="AO23" s="32">
        <v>19050</v>
      </c>
      <c r="AP23" s="32">
        <v>19050</v>
      </c>
      <c r="AQ23" s="32">
        <v>19050</v>
      </c>
      <c r="AR23" s="32">
        <v>19050</v>
      </c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CR23">
        <v>546600</v>
      </c>
      <c r="CS23">
        <v>2</v>
      </c>
    </row>
    <row r="24" spans="1:97" x14ac:dyDescent="0.4">
      <c r="A24" t="s">
        <v>98</v>
      </c>
      <c r="D24" t="s">
        <v>2370</v>
      </c>
      <c r="E24" t="s">
        <v>2371</v>
      </c>
      <c r="F24" t="s">
        <v>99</v>
      </c>
      <c r="G24" t="s">
        <v>2544</v>
      </c>
      <c r="H24">
        <v>9040904687</v>
      </c>
      <c r="I24" t="s">
        <v>100</v>
      </c>
      <c r="J24" t="s">
        <v>2433</v>
      </c>
      <c r="L24" t="s">
        <v>2545</v>
      </c>
      <c r="M24" t="s">
        <v>2465</v>
      </c>
      <c r="N24" t="s">
        <v>2546</v>
      </c>
      <c r="O24" t="s">
        <v>2547</v>
      </c>
      <c r="Q24" t="s">
        <v>2438</v>
      </c>
      <c r="R24" s="30">
        <v>45447</v>
      </c>
      <c r="S24" t="s">
        <v>70</v>
      </c>
      <c r="T24" s="30">
        <v>45736</v>
      </c>
      <c r="U24">
        <v>59400</v>
      </c>
      <c r="V24" s="34"/>
      <c r="W24" s="34">
        <f t="shared" ref="W24:W25" si="3">+U24</f>
        <v>59400</v>
      </c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5"/>
      <c r="AJ24" s="32">
        <v>19800</v>
      </c>
      <c r="AK24" s="32">
        <v>19800</v>
      </c>
      <c r="AL24" s="32">
        <v>19800</v>
      </c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CR24">
        <v>491700</v>
      </c>
      <c r="CS24">
        <v>2</v>
      </c>
    </row>
    <row r="25" spans="1:97" x14ac:dyDescent="0.4">
      <c r="A25" t="s">
        <v>102</v>
      </c>
      <c r="D25" t="s">
        <v>2370</v>
      </c>
      <c r="E25" t="s">
        <v>2371</v>
      </c>
      <c r="F25" t="s">
        <v>103</v>
      </c>
      <c r="G25" t="s">
        <v>2548</v>
      </c>
      <c r="H25">
        <v>9093940688</v>
      </c>
      <c r="I25" t="s">
        <v>104</v>
      </c>
      <c r="J25" t="s">
        <v>2433</v>
      </c>
      <c r="L25" t="s">
        <v>2549</v>
      </c>
      <c r="M25" t="s">
        <v>2518</v>
      </c>
      <c r="N25" t="s">
        <v>2550</v>
      </c>
      <c r="O25" t="s">
        <v>2551</v>
      </c>
      <c r="Q25" t="s">
        <v>2438</v>
      </c>
      <c r="R25" s="30">
        <v>45447</v>
      </c>
      <c r="S25" t="s">
        <v>25</v>
      </c>
      <c r="T25" s="30">
        <v>45736</v>
      </c>
      <c r="U25">
        <v>59400</v>
      </c>
      <c r="V25" s="34"/>
      <c r="W25" s="34">
        <f t="shared" si="3"/>
        <v>59400</v>
      </c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5"/>
      <c r="AJ25" s="32">
        <v>19800</v>
      </c>
      <c r="AK25" s="32">
        <v>19800</v>
      </c>
      <c r="AL25" s="32">
        <v>19800</v>
      </c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CR25">
        <v>491700</v>
      </c>
      <c r="CS25">
        <v>7</v>
      </c>
    </row>
    <row r="26" spans="1:97" s="36" customFormat="1" x14ac:dyDescent="0.4">
      <c r="A26" s="36" t="s">
        <v>2552</v>
      </c>
      <c r="D26" s="36" t="s">
        <v>2370</v>
      </c>
      <c r="E26" s="36" t="s">
        <v>2371</v>
      </c>
      <c r="F26" s="36" t="s">
        <v>2553</v>
      </c>
      <c r="G26" s="36" t="s">
        <v>2554</v>
      </c>
      <c r="H26" s="36">
        <v>9073082308</v>
      </c>
      <c r="I26" s="36" t="s">
        <v>2555</v>
      </c>
      <c r="J26" s="36" t="s">
        <v>2433</v>
      </c>
      <c r="L26" s="36" t="s">
        <v>2556</v>
      </c>
      <c r="M26" s="36" t="s">
        <v>2500</v>
      </c>
      <c r="N26" s="36" t="s">
        <v>2557</v>
      </c>
      <c r="O26" s="36" t="s">
        <v>2558</v>
      </c>
      <c r="Q26" s="36" t="s">
        <v>2438</v>
      </c>
      <c r="R26" s="37">
        <v>45447</v>
      </c>
      <c r="S26" s="36" t="s">
        <v>2503</v>
      </c>
      <c r="T26" s="37">
        <v>45706</v>
      </c>
      <c r="U26" s="37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CR26" s="36">
        <v>474240</v>
      </c>
      <c r="CS26" s="36">
        <v>8</v>
      </c>
    </row>
    <row r="27" spans="1:97" x14ac:dyDescent="0.4">
      <c r="A27" t="s">
        <v>106</v>
      </c>
      <c r="D27" t="s">
        <v>2370</v>
      </c>
      <c r="E27" t="s">
        <v>2371</v>
      </c>
      <c r="F27" t="s">
        <v>107</v>
      </c>
      <c r="G27" t="s">
        <v>2559</v>
      </c>
      <c r="H27">
        <v>8018011746</v>
      </c>
      <c r="I27" t="s">
        <v>108</v>
      </c>
      <c r="J27" t="s">
        <v>2433</v>
      </c>
      <c r="L27" t="s">
        <v>2560</v>
      </c>
      <c r="M27" t="s">
        <v>2561</v>
      </c>
      <c r="N27" t="s">
        <v>2562</v>
      </c>
      <c r="O27" s="33">
        <v>45752</v>
      </c>
      <c r="Q27" t="s">
        <v>2438</v>
      </c>
      <c r="R27" s="30">
        <v>45447</v>
      </c>
      <c r="S27" t="s">
        <v>44</v>
      </c>
      <c r="T27" s="30">
        <v>45828</v>
      </c>
      <c r="U27" s="20">
        <v>114300</v>
      </c>
      <c r="V27" s="31"/>
      <c r="W27" s="31"/>
      <c r="X27" s="31"/>
      <c r="Y27" s="31"/>
      <c r="Z27" s="31">
        <f t="shared" ref="Z27:Z28" si="4">+U27</f>
        <v>114300</v>
      </c>
      <c r="AA27" s="31"/>
      <c r="AB27" s="31"/>
      <c r="AC27" s="31"/>
      <c r="AD27" s="31"/>
      <c r="AE27" s="31"/>
      <c r="AF27" s="31"/>
      <c r="AG27" s="31"/>
      <c r="AH27" s="31"/>
      <c r="AI27" s="32"/>
      <c r="AJ27" s="32"/>
      <c r="AK27" s="32"/>
      <c r="AL27" s="32"/>
      <c r="AM27" s="32">
        <v>19050</v>
      </c>
      <c r="AN27" s="32">
        <v>19050</v>
      </c>
      <c r="AO27" s="32">
        <v>19050</v>
      </c>
      <c r="AP27" s="32">
        <v>19050</v>
      </c>
      <c r="AQ27" s="32">
        <v>19050</v>
      </c>
      <c r="AR27" s="32">
        <v>19050</v>
      </c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CR27">
        <v>432300</v>
      </c>
      <c r="CS27">
        <v>6</v>
      </c>
    </row>
    <row r="28" spans="1:97" x14ac:dyDescent="0.4">
      <c r="A28" t="s">
        <v>109</v>
      </c>
      <c r="D28" t="s">
        <v>2370</v>
      </c>
      <c r="E28" t="s">
        <v>2371</v>
      </c>
      <c r="F28" t="s">
        <v>110</v>
      </c>
      <c r="G28" t="s">
        <v>2563</v>
      </c>
      <c r="H28">
        <v>9094220703</v>
      </c>
      <c r="I28" t="s">
        <v>111</v>
      </c>
      <c r="J28" t="s">
        <v>2433</v>
      </c>
      <c r="L28" t="s">
        <v>2564</v>
      </c>
      <c r="M28" t="s">
        <v>2565</v>
      </c>
      <c r="N28" t="s">
        <v>2566</v>
      </c>
      <c r="O28" s="40">
        <v>21186</v>
      </c>
      <c r="Q28" t="s">
        <v>2438</v>
      </c>
      <c r="R28" s="30">
        <v>45447</v>
      </c>
      <c r="S28" t="s">
        <v>44</v>
      </c>
      <c r="T28" s="30">
        <v>45828</v>
      </c>
      <c r="U28" s="20">
        <v>114300</v>
      </c>
      <c r="V28" s="31"/>
      <c r="W28" s="31"/>
      <c r="X28" s="31"/>
      <c r="Y28" s="31"/>
      <c r="Z28" s="31">
        <f t="shared" si="4"/>
        <v>114300</v>
      </c>
      <c r="AA28" s="31"/>
      <c r="AB28" s="31"/>
      <c r="AC28" s="31"/>
      <c r="AD28" s="31"/>
      <c r="AE28" s="31"/>
      <c r="AF28" s="31"/>
      <c r="AG28" s="31"/>
      <c r="AH28" s="31"/>
      <c r="AI28" s="32"/>
      <c r="AJ28" s="32"/>
      <c r="AK28" s="32"/>
      <c r="AL28" s="32"/>
      <c r="AM28" s="32">
        <v>19050</v>
      </c>
      <c r="AN28" s="32">
        <v>19050</v>
      </c>
      <c r="AO28" s="32">
        <v>19050</v>
      </c>
      <c r="AP28" s="32">
        <v>19050</v>
      </c>
      <c r="AQ28" s="32">
        <v>19050</v>
      </c>
      <c r="AR28" s="32">
        <v>19050</v>
      </c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CR28">
        <v>546600</v>
      </c>
      <c r="CS28">
        <v>2</v>
      </c>
    </row>
    <row r="29" spans="1:97" x14ac:dyDescent="0.4">
      <c r="A29" t="s">
        <v>113</v>
      </c>
      <c r="D29" t="s">
        <v>2370</v>
      </c>
      <c r="E29" t="s">
        <v>2371</v>
      </c>
      <c r="F29" t="s">
        <v>114</v>
      </c>
      <c r="G29" t="s">
        <v>2567</v>
      </c>
      <c r="H29">
        <v>9071260021</v>
      </c>
      <c r="I29" t="s">
        <v>115</v>
      </c>
      <c r="J29" t="s">
        <v>2433</v>
      </c>
      <c r="L29" t="s">
        <v>2568</v>
      </c>
      <c r="M29" t="s">
        <v>2569</v>
      </c>
      <c r="N29" t="s">
        <v>2570</v>
      </c>
      <c r="O29" t="s">
        <v>2571</v>
      </c>
      <c r="Q29" t="s">
        <v>2438</v>
      </c>
      <c r="R29" s="30">
        <v>45447</v>
      </c>
      <c r="S29" t="s">
        <v>25</v>
      </c>
      <c r="T29" s="30">
        <v>45736</v>
      </c>
      <c r="U29">
        <v>59400</v>
      </c>
      <c r="V29" s="34"/>
      <c r="W29" s="34">
        <f>+U29</f>
        <v>59400</v>
      </c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5"/>
      <c r="AJ29" s="32">
        <v>19800</v>
      </c>
      <c r="AK29" s="32">
        <v>19800</v>
      </c>
      <c r="AL29" s="32">
        <v>19800</v>
      </c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CR29">
        <v>432300</v>
      </c>
      <c r="CS29">
        <v>1</v>
      </c>
    </row>
    <row r="30" spans="1:97" s="36" customFormat="1" x14ac:dyDescent="0.4">
      <c r="A30" s="36" t="s">
        <v>2572</v>
      </c>
      <c r="D30" s="36" t="s">
        <v>2370</v>
      </c>
      <c r="E30" s="36" t="s">
        <v>2371</v>
      </c>
      <c r="F30" s="36" t="s">
        <v>2573</v>
      </c>
      <c r="G30" s="36" t="s">
        <v>2574</v>
      </c>
      <c r="H30" s="36">
        <v>9056243606</v>
      </c>
      <c r="I30" s="36" t="s">
        <v>2575</v>
      </c>
      <c r="J30" s="36" t="s">
        <v>2433</v>
      </c>
      <c r="L30" s="36" t="s">
        <v>2576</v>
      </c>
      <c r="M30" s="36" t="s">
        <v>2500</v>
      </c>
      <c r="N30" s="36" t="s">
        <v>2577</v>
      </c>
      <c r="O30" s="36" t="s">
        <v>2578</v>
      </c>
      <c r="Q30" s="36" t="s">
        <v>2438</v>
      </c>
      <c r="R30" s="37">
        <v>45447</v>
      </c>
      <c r="S30" s="36" t="s">
        <v>2503</v>
      </c>
      <c r="T30" s="37">
        <v>45705</v>
      </c>
      <c r="U30" s="37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CR30" s="36">
        <v>474240</v>
      </c>
      <c r="CS30" s="36">
        <v>8</v>
      </c>
    </row>
    <row r="31" spans="1:97" x14ac:dyDescent="0.4">
      <c r="A31" t="s">
        <v>116</v>
      </c>
      <c r="D31" t="s">
        <v>2370</v>
      </c>
      <c r="E31" t="s">
        <v>2371</v>
      </c>
      <c r="F31" t="s">
        <v>117</v>
      </c>
      <c r="G31" t="s">
        <v>2579</v>
      </c>
      <c r="H31">
        <v>8053842109</v>
      </c>
      <c r="I31" t="s">
        <v>118</v>
      </c>
      <c r="J31" t="s">
        <v>2433</v>
      </c>
      <c r="L31" t="s">
        <v>2580</v>
      </c>
      <c r="M31" t="s">
        <v>2518</v>
      </c>
      <c r="N31" t="s">
        <v>2581</v>
      </c>
      <c r="O31" t="s">
        <v>2582</v>
      </c>
      <c r="Q31" t="s">
        <v>2438</v>
      </c>
      <c r="R31" s="30">
        <v>45447</v>
      </c>
      <c r="S31" t="s">
        <v>44</v>
      </c>
      <c r="T31" s="30">
        <v>45828</v>
      </c>
      <c r="U31" s="20">
        <v>114300</v>
      </c>
      <c r="V31" s="31"/>
      <c r="W31" s="31"/>
      <c r="X31" s="31"/>
      <c r="Y31" s="31"/>
      <c r="Z31" s="31">
        <f t="shared" ref="Z31:Z48" si="5">+U31</f>
        <v>114300</v>
      </c>
      <c r="AA31" s="31"/>
      <c r="AB31" s="31"/>
      <c r="AC31" s="31"/>
      <c r="AD31" s="31"/>
      <c r="AE31" s="31"/>
      <c r="AF31" s="31"/>
      <c r="AG31" s="31"/>
      <c r="AH31" s="31"/>
      <c r="AI31" s="32"/>
      <c r="AJ31" s="32"/>
      <c r="AK31" s="32"/>
      <c r="AL31" s="32"/>
      <c r="AM31" s="32">
        <v>19050</v>
      </c>
      <c r="AN31" s="32">
        <v>19050</v>
      </c>
      <c r="AO31" s="32">
        <v>19050</v>
      </c>
      <c r="AP31" s="32">
        <v>19050</v>
      </c>
      <c r="AQ31" s="32">
        <v>19050</v>
      </c>
      <c r="AR31" s="32">
        <v>19050</v>
      </c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CR31">
        <v>546600</v>
      </c>
      <c r="CS31">
        <v>7</v>
      </c>
    </row>
    <row r="32" spans="1:97" x14ac:dyDescent="0.4">
      <c r="A32" t="s">
        <v>119</v>
      </c>
      <c r="D32" t="s">
        <v>2370</v>
      </c>
      <c r="E32" t="s">
        <v>2371</v>
      </c>
      <c r="F32" t="s">
        <v>120</v>
      </c>
      <c r="G32" t="s">
        <v>2583</v>
      </c>
      <c r="H32">
        <v>9042906316</v>
      </c>
      <c r="I32" t="s">
        <v>121</v>
      </c>
      <c r="J32" t="s">
        <v>2433</v>
      </c>
      <c r="L32" t="s">
        <v>2584</v>
      </c>
      <c r="M32" t="s">
        <v>2435</v>
      </c>
      <c r="N32" t="s">
        <v>2585</v>
      </c>
      <c r="O32" s="33">
        <v>45782</v>
      </c>
      <c r="Q32" t="s">
        <v>2438</v>
      </c>
      <c r="R32" s="30">
        <v>45447</v>
      </c>
      <c r="S32" t="s">
        <v>50</v>
      </c>
      <c r="T32" s="30">
        <v>45828</v>
      </c>
      <c r="U32" s="20">
        <v>114300</v>
      </c>
      <c r="V32" s="31"/>
      <c r="W32" s="31"/>
      <c r="X32" s="31"/>
      <c r="Y32" s="31"/>
      <c r="Z32" s="31">
        <f t="shared" si="5"/>
        <v>114300</v>
      </c>
      <c r="AA32" s="31"/>
      <c r="AB32" s="31"/>
      <c r="AC32" s="31"/>
      <c r="AD32" s="31"/>
      <c r="AE32" s="31"/>
      <c r="AF32" s="31"/>
      <c r="AG32" s="31"/>
      <c r="AH32" s="31"/>
      <c r="AI32" s="32"/>
      <c r="AJ32" s="32"/>
      <c r="AK32" s="32"/>
      <c r="AL32" s="32"/>
      <c r="AM32" s="32">
        <v>19050</v>
      </c>
      <c r="AN32" s="32">
        <v>19050</v>
      </c>
      <c r="AO32" s="32">
        <v>19050</v>
      </c>
      <c r="AP32" s="32">
        <v>19050</v>
      </c>
      <c r="AQ32" s="32">
        <v>19050</v>
      </c>
      <c r="AR32" s="32">
        <v>19050</v>
      </c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CR32">
        <v>546600</v>
      </c>
      <c r="CS32">
        <v>2</v>
      </c>
    </row>
    <row r="33" spans="1:97" x14ac:dyDescent="0.4">
      <c r="A33" t="s">
        <v>122</v>
      </c>
      <c r="D33" t="s">
        <v>2370</v>
      </c>
      <c r="E33" t="s">
        <v>2371</v>
      </c>
      <c r="F33" t="s">
        <v>123</v>
      </c>
      <c r="G33" t="s">
        <v>2586</v>
      </c>
      <c r="H33">
        <v>8075088042</v>
      </c>
      <c r="I33" t="s">
        <v>124</v>
      </c>
      <c r="J33" t="s">
        <v>2433</v>
      </c>
      <c r="L33" t="s">
        <v>2587</v>
      </c>
      <c r="M33" t="s">
        <v>2455</v>
      </c>
      <c r="N33" t="s">
        <v>2588</v>
      </c>
      <c r="O33" s="41">
        <v>37989</v>
      </c>
      <c r="Q33" t="s">
        <v>2438</v>
      </c>
      <c r="R33" s="30">
        <v>45447</v>
      </c>
      <c r="S33" t="s">
        <v>44</v>
      </c>
      <c r="T33" s="30">
        <v>45828</v>
      </c>
      <c r="U33" s="20">
        <v>114300</v>
      </c>
      <c r="V33" s="31"/>
      <c r="W33" s="31"/>
      <c r="X33" s="31"/>
      <c r="Y33" s="31"/>
      <c r="Z33" s="31">
        <f t="shared" si="5"/>
        <v>114300</v>
      </c>
      <c r="AA33" s="31"/>
      <c r="AB33" s="31"/>
      <c r="AC33" s="31"/>
      <c r="AD33" s="31"/>
      <c r="AE33" s="31"/>
      <c r="AF33" s="31"/>
      <c r="AG33" s="31"/>
      <c r="AH33" s="31"/>
      <c r="AI33" s="32"/>
      <c r="AJ33" s="32"/>
      <c r="AK33" s="32"/>
      <c r="AL33" s="32"/>
      <c r="AM33" s="32">
        <v>19050</v>
      </c>
      <c r="AN33" s="32">
        <v>19050</v>
      </c>
      <c r="AO33" s="32">
        <v>19050</v>
      </c>
      <c r="AP33" s="32">
        <v>19050</v>
      </c>
      <c r="AQ33" s="32">
        <v>19050</v>
      </c>
      <c r="AR33" s="32">
        <v>19050</v>
      </c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CR33">
        <v>546600</v>
      </c>
      <c r="CS33">
        <v>7</v>
      </c>
    </row>
    <row r="34" spans="1:97" x14ac:dyDescent="0.4">
      <c r="A34" t="s">
        <v>125</v>
      </c>
      <c r="D34" t="s">
        <v>2370</v>
      </c>
      <c r="E34" t="s">
        <v>2371</v>
      </c>
      <c r="F34" t="s">
        <v>126</v>
      </c>
      <c r="G34" t="s">
        <v>2589</v>
      </c>
      <c r="H34">
        <v>9054587245</v>
      </c>
      <c r="I34" t="s">
        <v>127</v>
      </c>
      <c r="J34" t="s">
        <v>2433</v>
      </c>
      <c r="L34" t="s">
        <v>2590</v>
      </c>
      <c r="M34" t="s">
        <v>2451</v>
      </c>
      <c r="N34" t="s">
        <v>2591</v>
      </c>
      <c r="O34" s="33">
        <v>45876</v>
      </c>
      <c r="Q34" t="s">
        <v>2438</v>
      </c>
      <c r="R34" s="30">
        <v>45447</v>
      </c>
      <c r="S34" t="s">
        <v>44</v>
      </c>
      <c r="T34" s="30">
        <v>45828</v>
      </c>
      <c r="U34" s="20">
        <v>114300</v>
      </c>
      <c r="V34" s="31"/>
      <c r="W34" s="31"/>
      <c r="X34" s="31"/>
      <c r="Y34" s="31"/>
      <c r="Z34" s="31">
        <f t="shared" si="5"/>
        <v>114300</v>
      </c>
      <c r="AA34" s="31"/>
      <c r="AB34" s="31"/>
      <c r="AC34" s="31"/>
      <c r="AD34" s="31"/>
      <c r="AE34" s="31"/>
      <c r="AF34" s="31"/>
      <c r="AG34" s="31"/>
      <c r="AH34" s="31"/>
      <c r="AI34" s="32"/>
      <c r="AJ34" s="32"/>
      <c r="AK34" s="32"/>
      <c r="AL34" s="32"/>
      <c r="AM34" s="32">
        <v>19050</v>
      </c>
      <c r="AN34" s="32">
        <v>19050</v>
      </c>
      <c r="AO34" s="32">
        <v>19050</v>
      </c>
      <c r="AP34" s="32">
        <v>19050</v>
      </c>
      <c r="AQ34" s="32">
        <v>19050</v>
      </c>
      <c r="AR34" s="32">
        <v>19050</v>
      </c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CR34">
        <v>664300</v>
      </c>
      <c r="CS34">
        <v>2</v>
      </c>
    </row>
    <row r="35" spans="1:97" x14ac:dyDescent="0.4">
      <c r="A35" t="s">
        <v>128</v>
      </c>
      <c r="D35" t="s">
        <v>2370</v>
      </c>
      <c r="E35" t="s">
        <v>2371</v>
      </c>
      <c r="F35" t="s">
        <v>129</v>
      </c>
      <c r="G35" t="s">
        <v>2592</v>
      </c>
      <c r="H35">
        <v>9079925252</v>
      </c>
      <c r="I35" t="s">
        <v>130</v>
      </c>
      <c r="J35" t="s">
        <v>2433</v>
      </c>
      <c r="L35" t="s">
        <v>2593</v>
      </c>
      <c r="M35" t="s">
        <v>2435</v>
      </c>
      <c r="N35" t="s">
        <v>2594</v>
      </c>
      <c r="O35" t="s">
        <v>2595</v>
      </c>
      <c r="Q35" t="s">
        <v>2438</v>
      </c>
      <c r="R35" s="30">
        <v>45447</v>
      </c>
      <c r="S35" t="s">
        <v>44</v>
      </c>
      <c r="T35" s="30">
        <v>45828</v>
      </c>
      <c r="U35" s="20">
        <v>114300</v>
      </c>
      <c r="V35" s="31"/>
      <c r="W35" s="31"/>
      <c r="X35" s="31"/>
      <c r="Y35" s="31"/>
      <c r="Z35" s="31">
        <f t="shared" si="5"/>
        <v>114300</v>
      </c>
      <c r="AA35" s="31"/>
      <c r="AB35" s="31"/>
      <c r="AC35" s="31"/>
      <c r="AD35" s="31"/>
      <c r="AE35" s="31"/>
      <c r="AF35" s="31"/>
      <c r="AG35" s="31"/>
      <c r="AH35" s="31"/>
      <c r="AI35" s="32"/>
      <c r="AJ35" s="32"/>
      <c r="AK35" s="32"/>
      <c r="AL35" s="32"/>
      <c r="AM35" s="32">
        <v>19050</v>
      </c>
      <c r="AN35" s="32">
        <v>19050</v>
      </c>
      <c r="AO35" s="32">
        <v>19050</v>
      </c>
      <c r="AP35" s="32">
        <v>19050</v>
      </c>
      <c r="AQ35" s="32">
        <v>19050</v>
      </c>
      <c r="AR35" s="32">
        <v>19050</v>
      </c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CR35">
        <v>664300</v>
      </c>
      <c r="CS35">
        <v>2</v>
      </c>
    </row>
    <row r="36" spans="1:97" x14ac:dyDescent="0.4">
      <c r="A36" t="s">
        <v>131</v>
      </c>
      <c r="D36" t="s">
        <v>2370</v>
      </c>
      <c r="E36" t="s">
        <v>2371</v>
      </c>
      <c r="F36" t="s">
        <v>132</v>
      </c>
      <c r="G36" t="s">
        <v>2596</v>
      </c>
      <c r="H36">
        <v>8050868922</v>
      </c>
      <c r="I36" t="s">
        <v>133</v>
      </c>
      <c r="J36" t="s">
        <v>2433</v>
      </c>
      <c r="L36" t="s">
        <v>2597</v>
      </c>
      <c r="M36" t="s">
        <v>2598</v>
      </c>
      <c r="N36" t="s">
        <v>2599</v>
      </c>
      <c r="O36" s="33">
        <v>45870</v>
      </c>
      <c r="Q36" t="s">
        <v>2438</v>
      </c>
      <c r="R36" s="30">
        <v>45447</v>
      </c>
      <c r="S36" t="s">
        <v>44</v>
      </c>
      <c r="T36" s="30">
        <v>45828</v>
      </c>
      <c r="U36" s="20">
        <v>114300</v>
      </c>
      <c r="V36" s="31"/>
      <c r="W36" s="31"/>
      <c r="X36" s="31"/>
      <c r="Y36" s="31"/>
      <c r="Z36" s="31">
        <f t="shared" si="5"/>
        <v>114300</v>
      </c>
      <c r="AA36" s="31"/>
      <c r="AB36" s="31"/>
      <c r="AC36" s="31"/>
      <c r="AD36" s="31"/>
      <c r="AE36" s="31"/>
      <c r="AF36" s="31"/>
      <c r="AG36" s="31"/>
      <c r="AH36" s="31"/>
      <c r="AI36" s="32"/>
      <c r="AJ36" s="32"/>
      <c r="AK36" s="32"/>
      <c r="AL36" s="32"/>
      <c r="AM36" s="32">
        <v>19050</v>
      </c>
      <c r="AN36" s="32">
        <v>19050</v>
      </c>
      <c r="AO36" s="32">
        <v>19050</v>
      </c>
      <c r="AP36" s="32">
        <v>19050</v>
      </c>
      <c r="AQ36" s="32">
        <v>19050</v>
      </c>
      <c r="AR36" s="32">
        <v>19050</v>
      </c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CR36">
        <v>546600</v>
      </c>
      <c r="CS36">
        <v>2</v>
      </c>
    </row>
    <row r="37" spans="1:97" x14ac:dyDescent="0.4">
      <c r="A37" t="s">
        <v>134</v>
      </c>
      <c r="D37" t="s">
        <v>2370</v>
      </c>
      <c r="E37" t="s">
        <v>2371</v>
      </c>
      <c r="F37" t="s">
        <v>135</v>
      </c>
      <c r="G37" t="s">
        <v>2600</v>
      </c>
      <c r="H37">
        <v>9014767965</v>
      </c>
      <c r="I37" t="s">
        <v>136</v>
      </c>
      <c r="J37" t="s">
        <v>2433</v>
      </c>
      <c r="L37" t="s">
        <v>2601</v>
      </c>
      <c r="M37" t="s">
        <v>2569</v>
      </c>
      <c r="N37" t="s">
        <v>2602</v>
      </c>
      <c r="O37" s="41">
        <v>37388</v>
      </c>
      <c r="Q37" t="s">
        <v>2438</v>
      </c>
      <c r="R37" s="30">
        <v>45447</v>
      </c>
      <c r="S37" t="s">
        <v>44</v>
      </c>
      <c r="T37" s="30">
        <v>45828</v>
      </c>
      <c r="U37" s="20">
        <v>114300</v>
      </c>
      <c r="V37" s="31"/>
      <c r="W37" s="31"/>
      <c r="X37" s="31"/>
      <c r="Y37" s="31"/>
      <c r="Z37" s="31">
        <f t="shared" si="5"/>
        <v>114300</v>
      </c>
      <c r="AA37" s="31"/>
      <c r="AB37" s="31"/>
      <c r="AC37" s="31"/>
      <c r="AD37" s="31"/>
      <c r="AE37" s="31"/>
      <c r="AF37" s="31"/>
      <c r="AG37" s="31"/>
      <c r="AH37" s="31"/>
      <c r="AI37" s="32"/>
      <c r="AJ37" s="32"/>
      <c r="AK37" s="32"/>
      <c r="AL37" s="32"/>
      <c r="AM37" s="32">
        <v>19050</v>
      </c>
      <c r="AN37" s="32">
        <v>19050</v>
      </c>
      <c r="AO37" s="32">
        <v>19050</v>
      </c>
      <c r="AP37" s="32">
        <v>19050</v>
      </c>
      <c r="AQ37" s="32">
        <v>19050</v>
      </c>
      <c r="AR37" s="32">
        <v>19050</v>
      </c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CR37">
        <v>664300</v>
      </c>
      <c r="CS37">
        <v>2</v>
      </c>
    </row>
    <row r="38" spans="1:97" x14ac:dyDescent="0.4">
      <c r="A38" t="s">
        <v>137</v>
      </c>
      <c r="D38" t="s">
        <v>2370</v>
      </c>
      <c r="E38" t="s">
        <v>2371</v>
      </c>
      <c r="F38" t="s">
        <v>138</v>
      </c>
      <c r="G38" t="s">
        <v>2603</v>
      </c>
      <c r="H38">
        <v>9074217982</v>
      </c>
      <c r="I38" t="s">
        <v>139</v>
      </c>
      <c r="J38" t="s">
        <v>2433</v>
      </c>
      <c r="L38" t="s">
        <v>2604</v>
      </c>
      <c r="M38" t="s">
        <v>2492</v>
      </c>
      <c r="N38" t="s">
        <v>2605</v>
      </c>
      <c r="O38" t="s">
        <v>2606</v>
      </c>
      <c r="Q38" t="s">
        <v>2438</v>
      </c>
      <c r="R38" s="30">
        <v>45446</v>
      </c>
      <c r="S38" t="s">
        <v>44</v>
      </c>
      <c r="T38" s="30">
        <v>45828</v>
      </c>
      <c r="U38" s="20">
        <v>114300</v>
      </c>
      <c r="V38" s="31"/>
      <c r="W38" s="31"/>
      <c r="X38" s="31"/>
      <c r="Y38" s="31"/>
      <c r="Z38" s="31">
        <f t="shared" si="5"/>
        <v>114300</v>
      </c>
      <c r="AA38" s="31"/>
      <c r="AB38" s="31"/>
      <c r="AC38" s="31"/>
      <c r="AD38" s="31"/>
      <c r="AE38" s="31"/>
      <c r="AF38" s="31"/>
      <c r="AG38" s="31"/>
      <c r="AH38" s="31"/>
      <c r="AI38" s="32"/>
      <c r="AJ38" s="32"/>
      <c r="AK38" s="32"/>
      <c r="AL38" s="32"/>
      <c r="AM38" s="32">
        <v>19050</v>
      </c>
      <c r="AN38" s="32">
        <v>19050</v>
      </c>
      <c r="AO38" s="32">
        <v>19050</v>
      </c>
      <c r="AP38" s="32">
        <v>19050</v>
      </c>
      <c r="AQ38" s="32">
        <v>19050</v>
      </c>
      <c r="AR38" s="32">
        <v>19050</v>
      </c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CR38">
        <v>546600</v>
      </c>
      <c r="CS38">
        <v>7</v>
      </c>
    </row>
    <row r="39" spans="1:97" x14ac:dyDescent="0.4">
      <c r="A39" t="s">
        <v>141</v>
      </c>
      <c r="D39" t="s">
        <v>2370</v>
      </c>
      <c r="E39" t="s">
        <v>2371</v>
      </c>
      <c r="F39" t="s">
        <v>142</v>
      </c>
      <c r="G39" t="s">
        <v>2607</v>
      </c>
      <c r="H39">
        <v>7084048033</v>
      </c>
      <c r="I39" t="s">
        <v>143</v>
      </c>
      <c r="J39" t="s">
        <v>2433</v>
      </c>
      <c r="L39" t="s">
        <v>2608</v>
      </c>
      <c r="M39" t="s">
        <v>2479</v>
      </c>
      <c r="N39" t="s">
        <v>2609</v>
      </c>
      <c r="O39" t="s">
        <v>2610</v>
      </c>
      <c r="Q39" t="s">
        <v>2438</v>
      </c>
      <c r="R39" s="30">
        <v>45446</v>
      </c>
      <c r="S39" t="s">
        <v>44</v>
      </c>
      <c r="T39" s="30">
        <v>45828</v>
      </c>
      <c r="U39" s="20">
        <v>114300</v>
      </c>
      <c r="V39" s="31"/>
      <c r="W39" s="31"/>
      <c r="X39" s="31"/>
      <c r="Y39" s="31"/>
      <c r="Z39" s="31">
        <f t="shared" si="5"/>
        <v>114300</v>
      </c>
      <c r="AA39" s="31"/>
      <c r="AB39" s="31"/>
      <c r="AC39" s="31"/>
      <c r="AD39" s="31"/>
      <c r="AE39" s="31"/>
      <c r="AF39" s="31"/>
      <c r="AG39" s="31"/>
      <c r="AH39" s="31"/>
      <c r="AI39" s="32"/>
      <c r="AJ39" s="32"/>
      <c r="AK39" s="32"/>
      <c r="AL39" s="32"/>
      <c r="AM39" s="32">
        <v>19050</v>
      </c>
      <c r="AN39" s="32">
        <v>19050</v>
      </c>
      <c r="AO39" s="32">
        <v>19050</v>
      </c>
      <c r="AP39" s="32">
        <v>19050</v>
      </c>
      <c r="AQ39" s="32">
        <v>19050</v>
      </c>
      <c r="AR39" s="32">
        <v>19050</v>
      </c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CR39">
        <v>546600</v>
      </c>
      <c r="CS39">
        <v>2</v>
      </c>
    </row>
    <row r="40" spans="1:97" x14ac:dyDescent="0.4">
      <c r="A40" t="s">
        <v>144</v>
      </c>
      <c r="D40" t="s">
        <v>2370</v>
      </c>
      <c r="E40" t="s">
        <v>2371</v>
      </c>
      <c r="F40" t="s">
        <v>145</v>
      </c>
      <c r="G40" t="s">
        <v>2611</v>
      </c>
      <c r="H40">
        <v>8034559878</v>
      </c>
      <c r="I40" t="s">
        <v>146</v>
      </c>
      <c r="J40" t="s">
        <v>2433</v>
      </c>
      <c r="L40" t="s">
        <v>2612</v>
      </c>
      <c r="M40" t="s">
        <v>2465</v>
      </c>
      <c r="N40" t="s">
        <v>2613</v>
      </c>
      <c r="O40" s="41">
        <v>38852</v>
      </c>
      <c r="Q40" t="s">
        <v>2438</v>
      </c>
      <c r="R40" s="30">
        <v>45446</v>
      </c>
      <c r="S40" t="s">
        <v>44</v>
      </c>
      <c r="T40" s="30">
        <v>45828</v>
      </c>
      <c r="U40" s="20">
        <v>114300</v>
      </c>
      <c r="V40" s="31"/>
      <c r="W40" s="31"/>
      <c r="X40" s="31"/>
      <c r="Y40" s="31"/>
      <c r="Z40" s="31">
        <f t="shared" si="5"/>
        <v>114300</v>
      </c>
      <c r="AA40" s="31"/>
      <c r="AB40" s="31"/>
      <c r="AC40" s="31"/>
      <c r="AD40" s="31"/>
      <c r="AE40" s="31"/>
      <c r="AF40" s="31"/>
      <c r="AG40" s="31"/>
      <c r="AH40" s="31"/>
      <c r="AI40" s="32"/>
      <c r="AJ40" s="32"/>
      <c r="AK40" s="32"/>
      <c r="AL40" s="32"/>
      <c r="AM40" s="32">
        <v>19050</v>
      </c>
      <c r="AN40" s="32">
        <v>19050</v>
      </c>
      <c r="AO40" s="32">
        <v>19050</v>
      </c>
      <c r="AP40" s="32">
        <v>19050</v>
      </c>
      <c r="AQ40" s="32">
        <v>19050</v>
      </c>
      <c r="AR40" s="32">
        <v>19050</v>
      </c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CR40">
        <v>546600</v>
      </c>
      <c r="CS40">
        <v>2</v>
      </c>
    </row>
    <row r="41" spans="1:97" x14ac:dyDescent="0.4">
      <c r="A41" t="s">
        <v>147</v>
      </c>
      <c r="D41" t="s">
        <v>2370</v>
      </c>
      <c r="E41" t="s">
        <v>2371</v>
      </c>
      <c r="F41" t="s">
        <v>148</v>
      </c>
      <c r="G41" t="s">
        <v>2614</v>
      </c>
      <c r="H41">
        <v>9062460768</v>
      </c>
      <c r="I41" t="s">
        <v>149</v>
      </c>
      <c r="J41" t="s">
        <v>2433</v>
      </c>
      <c r="L41" t="s">
        <v>2615</v>
      </c>
      <c r="M41" t="s">
        <v>2435</v>
      </c>
      <c r="N41" t="s">
        <v>2616</v>
      </c>
      <c r="O41" s="33">
        <v>45955</v>
      </c>
      <c r="Q41" t="s">
        <v>2438</v>
      </c>
      <c r="R41" s="30">
        <v>45446</v>
      </c>
      <c r="S41" t="s">
        <v>44</v>
      </c>
      <c r="T41" s="30">
        <v>45828</v>
      </c>
      <c r="U41" s="20">
        <v>114300</v>
      </c>
      <c r="V41" s="31"/>
      <c r="W41" s="31"/>
      <c r="X41" s="31"/>
      <c r="Y41" s="31"/>
      <c r="Z41" s="31">
        <f t="shared" si="5"/>
        <v>114300</v>
      </c>
      <c r="AA41" s="31"/>
      <c r="AB41" s="31"/>
      <c r="AC41" s="31"/>
      <c r="AD41" s="31"/>
      <c r="AE41" s="31"/>
      <c r="AF41" s="31"/>
      <c r="AG41" s="31"/>
      <c r="AH41" s="31"/>
      <c r="AI41" s="32"/>
      <c r="AJ41" s="32"/>
      <c r="AK41" s="32"/>
      <c r="AL41" s="32"/>
      <c r="AM41" s="32">
        <v>19050</v>
      </c>
      <c r="AN41" s="32">
        <v>19050</v>
      </c>
      <c r="AO41" s="32">
        <v>19050</v>
      </c>
      <c r="AP41" s="32">
        <v>19050</v>
      </c>
      <c r="AQ41" s="32">
        <v>19050</v>
      </c>
      <c r="AR41" s="32">
        <v>19050</v>
      </c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CR41">
        <v>546600</v>
      </c>
      <c r="CS41">
        <v>2</v>
      </c>
    </row>
    <row r="42" spans="1:97" x14ac:dyDescent="0.4">
      <c r="A42" t="s">
        <v>151</v>
      </c>
      <c r="D42" t="s">
        <v>2370</v>
      </c>
      <c r="E42" t="s">
        <v>2371</v>
      </c>
      <c r="F42" t="s">
        <v>152</v>
      </c>
      <c r="G42" t="s">
        <v>2617</v>
      </c>
      <c r="H42">
        <v>9068266658</v>
      </c>
      <c r="I42" t="s">
        <v>153</v>
      </c>
      <c r="J42" t="s">
        <v>2433</v>
      </c>
      <c r="L42" t="s">
        <v>2618</v>
      </c>
      <c r="M42" t="s">
        <v>2435</v>
      </c>
      <c r="N42" t="s">
        <v>2619</v>
      </c>
      <c r="O42" t="s">
        <v>2620</v>
      </c>
      <c r="Q42" t="s">
        <v>2438</v>
      </c>
      <c r="R42" s="30">
        <v>45446</v>
      </c>
      <c r="S42" t="s">
        <v>44</v>
      </c>
      <c r="T42" s="30">
        <v>45828</v>
      </c>
      <c r="U42" s="20">
        <v>114300</v>
      </c>
      <c r="V42" s="31"/>
      <c r="W42" s="31"/>
      <c r="X42" s="31"/>
      <c r="Y42" s="31"/>
      <c r="Z42" s="31">
        <f t="shared" si="5"/>
        <v>114300</v>
      </c>
      <c r="AA42" s="31"/>
      <c r="AB42" s="31"/>
      <c r="AC42" s="31"/>
      <c r="AD42" s="31"/>
      <c r="AE42" s="31"/>
      <c r="AF42" s="31"/>
      <c r="AG42" s="31"/>
      <c r="AH42" s="31"/>
      <c r="AI42" s="32"/>
      <c r="AJ42" s="32"/>
      <c r="AK42" s="32"/>
      <c r="AL42" s="32"/>
      <c r="AM42" s="32">
        <v>19050</v>
      </c>
      <c r="AN42" s="32">
        <v>19050</v>
      </c>
      <c r="AO42" s="32">
        <v>19050</v>
      </c>
      <c r="AP42" s="32">
        <v>19050</v>
      </c>
      <c r="AQ42" s="32">
        <v>19050</v>
      </c>
      <c r="AR42" s="32">
        <v>19050</v>
      </c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CR42">
        <v>546600</v>
      </c>
      <c r="CS42">
        <v>4</v>
      </c>
    </row>
    <row r="43" spans="1:97" x14ac:dyDescent="0.4">
      <c r="A43" t="s">
        <v>154</v>
      </c>
      <c r="D43" t="s">
        <v>2370</v>
      </c>
      <c r="E43" t="s">
        <v>2371</v>
      </c>
      <c r="F43" t="s">
        <v>155</v>
      </c>
      <c r="G43" t="s">
        <v>2621</v>
      </c>
      <c r="H43">
        <v>9014831925</v>
      </c>
      <c r="I43" t="s">
        <v>156</v>
      </c>
      <c r="J43" t="s">
        <v>2433</v>
      </c>
      <c r="L43">
        <v>635</v>
      </c>
      <c r="M43" t="s">
        <v>2622</v>
      </c>
      <c r="N43" t="s">
        <v>2623</v>
      </c>
      <c r="O43" t="s">
        <v>2624</v>
      </c>
      <c r="Q43" t="s">
        <v>2438</v>
      </c>
      <c r="R43" s="30">
        <v>45446</v>
      </c>
      <c r="S43" t="s">
        <v>44</v>
      </c>
      <c r="T43" s="30">
        <v>45828</v>
      </c>
      <c r="U43" s="20">
        <v>114300</v>
      </c>
      <c r="V43" s="31"/>
      <c r="W43" s="31"/>
      <c r="X43" s="31"/>
      <c r="Y43" s="31"/>
      <c r="Z43" s="31">
        <f t="shared" si="5"/>
        <v>114300</v>
      </c>
      <c r="AA43" s="31"/>
      <c r="AB43" s="31"/>
      <c r="AC43" s="31"/>
      <c r="AD43" s="31"/>
      <c r="AE43" s="31"/>
      <c r="AF43" s="31"/>
      <c r="AG43" s="31"/>
      <c r="AH43" s="31"/>
      <c r="AI43" s="32"/>
      <c r="AJ43" s="32"/>
      <c r="AK43" s="32"/>
      <c r="AL43" s="32"/>
      <c r="AM43" s="32">
        <v>19050</v>
      </c>
      <c r="AN43" s="32">
        <v>19050</v>
      </c>
      <c r="AO43" s="32">
        <v>19050</v>
      </c>
      <c r="AP43" s="32">
        <v>19050</v>
      </c>
      <c r="AQ43" s="32">
        <v>19050</v>
      </c>
      <c r="AR43" s="32">
        <v>19050</v>
      </c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CR43">
        <v>546600</v>
      </c>
      <c r="CS43">
        <v>2</v>
      </c>
    </row>
    <row r="44" spans="1:97" x14ac:dyDescent="0.4">
      <c r="A44" t="s">
        <v>157</v>
      </c>
      <c r="D44" t="s">
        <v>2370</v>
      </c>
      <c r="E44" t="s">
        <v>2371</v>
      </c>
      <c r="F44" t="s">
        <v>158</v>
      </c>
      <c r="G44" t="s">
        <v>2625</v>
      </c>
      <c r="H44">
        <v>8069210951</v>
      </c>
      <c r="I44" t="s">
        <v>159</v>
      </c>
      <c r="J44" t="s">
        <v>2433</v>
      </c>
      <c r="L44" t="s">
        <v>2626</v>
      </c>
      <c r="M44" t="s">
        <v>2451</v>
      </c>
      <c r="N44" t="s">
        <v>2627</v>
      </c>
      <c r="O44">
        <v>1819</v>
      </c>
      <c r="Q44" t="s">
        <v>2438</v>
      </c>
      <c r="R44" s="30">
        <v>45446</v>
      </c>
      <c r="S44" t="s">
        <v>44</v>
      </c>
      <c r="T44" s="30">
        <v>45828</v>
      </c>
      <c r="U44" s="20">
        <v>114300</v>
      </c>
      <c r="V44" s="31"/>
      <c r="W44" s="31"/>
      <c r="X44" s="31"/>
      <c r="Y44" s="31"/>
      <c r="Z44" s="31">
        <f t="shared" si="5"/>
        <v>114300</v>
      </c>
      <c r="AA44" s="31"/>
      <c r="AB44" s="31"/>
      <c r="AC44" s="31"/>
      <c r="AD44" s="31"/>
      <c r="AE44" s="31"/>
      <c r="AF44" s="31"/>
      <c r="AG44" s="31"/>
      <c r="AH44" s="31"/>
      <c r="AI44" s="32"/>
      <c r="AJ44" s="32"/>
      <c r="AK44" s="32"/>
      <c r="AL44" s="32"/>
      <c r="AM44" s="32">
        <v>19050</v>
      </c>
      <c r="AN44" s="32">
        <v>19050</v>
      </c>
      <c r="AO44" s="32">
        <v>19050</v>
      </c>
      <c r="AP44" s="32">
        <v>19050</v>
      </c>
      <c r="AQ44" s="32">
        <v>19050</v>
      </c>
      <c r="AR44" s="32">
        <v>19050</v>
      </c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CR44">
        <v>546600</v>
      </c>
      <c r="CS44">
        <v>2</v>
      </c>
    </row>
    <row r="45" spans="1:97" x14ac:dyDescent="0.4">
      <c r="A45" t="s">
        <v>160</v>
      </c>
      <c r="D45" t="s">
        <v>2370</v>
      </c>
      <c r="E45" t="s">
        <v>2371</v>
      </c>
      <c r="F45" t="s">
        <v>161</v>
      </c>
      <c r="G45" t="s">
        <v>2628</v>
      </c>
      <c r="H45">
        <v>9021108147</v>
      </c>
      <c r="I45" t="s">
        <v>162</v>
      </c>
      <c r="J45" t="s">
        <v>2433</v>
      </c>
      <c r="L45" t="s">
        <v>2629</v>
      </c>
      <c r="M45" t="s">
        <v>2630</v>
      </c>
      <c r="N45" t="s">
        <v>2631</v>
      </c>
      <c r="O45" t="s">
        <v>2632</v>
      </c>
      <c r="Q45" t="s">
        <v>2438</v>
      </c>
      <c r="R45" s="30">
        <v>45446</v>
      </c>
      <c r="S45" t="s">
        <v>44</v>
      </c>
      <c r="T45" s="30">
        <v>45828</v>
      </c>
      <c r="U45" s="20">
        <v>114300</v>
      </c>
      <c r="V45" s="31"/>
      <c r="W45" s="31"/>
      <c r="X45" s="31"/>
      <c r="Y45" s="31"/>
      <c r="Z45" s="31">
        <f t="shared" si="5"/>
        <v>114300</v>
      </c>
      <c r="AA45" s="31"/>
      <c r="AB45" s="31"/>
      <c r="AC45" s="31"/>
      <c r="AD45" s="31"/>
      <c r="AE45" s="31"/>
      <c r="AF45" s="31"/>
      <c r="AG45" s="31"/>
      <c r="AH45" s="31"/>
      <c r="AI45" s="32"/>
      <c r="AJ45" s="32"/>
      <c r="AK45" s="32"/>
      <c r="AL45" s="32"/>
      <c r="AM45" s="32">
        <v>19050</v>
      </c>
      <c r="AN45" s="32">
        <v>19050</v>
      </c>
      <c r="AO45" s="32">
        <v>19050</v>
      </c>
      <c r="AP45" s="32">
        <v>19050</v>
      </c>
      <c r="AQ45" s="32">
        <v>19050</v>
      </c>
      <c r="AR45" s="32">
        <v>19050</v>
      </c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CR45">
        <v>546600</v>
      </c>
      <c r="CS45">
        <v>2</v>
      </c>
    </row>
    <row r="46" spans="1:97" x14ac:dyDescent="0.4">
      <c r="A46" t="s">
        <v>163</v>
      </c>
      <c r="D46" t="s">
        <v>2370</v>
      </c>
      <c r="E46" t="s">
        <v>2371</v>
      </c>
      <c r="F46" t="s">
        <v>164</v>
      </c>
      <c r="G46" t="s">
        <v>2633</v>
      </c>
      <c r="H46">
        <v>9093205336</v>
      </c>
      <c r="I46" t="s">
        <v>165</v>
      </c>
      <c r="J46" t="s">
        <v>2433</v>
      </c>
      <c r="L46" t="s">
        <v>2634</v>
      </c>
      <c r="M46" t="s">
        <v>2465</v>
      </c>
      <c r="N46" t="s">
        <v>2635</v>
      </c>
      <c r="O46" t="s">
        <v>2636</v>
      </c>
      <c r="Q46" t="s">
        <v>2637</v>
      </c>
      <c r="R46" s="30">
        <v>45446</v>
      </c>
      <c r="S46" t="s">
        <v>44</v>
      </c>
      <c r="T46" s="30">
        <v>45828</v>
      </c>
      <c r="U46" s="20">
        <v>114300</v>
      </c>
      <c r="V46" s="31"/>
      <c r="W46" s="31"/>
      <c r="X46" s="31"/>
      <c r="Y46" s="31"/>
      <c r="Z46" s="31">
        <f t="shared" si="5"/>
        <v>114300</v>
      </c>
      <c r="AA46" s="31"/>
      <c r="AB46" s="31"/>
      <c r="AC46" s="31"/>
      <c r="AD46" s="31"/>
      <c r="AE46" s="31"/>
      <c r="AF46" s="31"/>
      <c r="AG46" s="31"/>
      <c r="AH46" s="31"/>
      <c r="AI46" s="32"/>
      <c r="AJ46" s="32"/>
      <c r="AK46" s="32"/>
      <c r="AL46" s="32"/>
      <c r="AM46" s="32">
        <v>19050</v>
      </c>
      <c r="AN46" s="32">
        <v>19050</v>
      </c>
      <c r="AO46" s="32">
        <v>19050</v>
      </c>
      <c r="AP46" s="32">
        <v>19050</v>
      </c>
      <c r="AQ46" s="32">
        <v>19050</v>
      </c>
      <c r="AR46" s="32">
        <v>19050</v>
      </c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CR46">
        <v>546600</v>
      </c>
      <c r="CS46">
        <v>4</v>
      </c>
    </row>
    <row r="47" spans="1:97" x14ac:dyDescent="0.4">
      <c r="A47" t="s">
        <v>166</v>
      </c>
      <c r="D47" t="s">
        <v>2370</v>
      </c>
      <c r="E47" t="s">
        <v>2371</v>
      </c>
      <c r="F47" t="s">
        <v>167</v>
      </c>
      <c r="G47" t="s">
        <v>2638</v>
      </c>
      <c r="H47">
        <v>9016908348</v>
      </c>
      <c r="I47" t="s">
        <v>168</v>
      </c>
      <c r="J47" t="s">
        <v>2433</v>
      </c>
      <c r="L47" t="s">
        <v>2639</v>
      </c>
      <c r="M47" t="s">
        <v>2640</v>
      </c>
      <c r="N47" t="s">
        <v>2641</v>
      </c>
      <c r="O47">
        <v>1127</v>
      </c>
      <c r="Q47" t="s">
        <v>2438</v>
      </c>
      <c r="R47" s="30">
        <v>45446</v>
      </c>
      <c r="S47" t="s">
        <v>44</v>
      </c>
      <c r="T47" s="30">
        <v>45828</v>
      </c>
      <c r="U47" s="20">
        <v>114300</v>
      </c>
      <c r="V47" s="31"/>
      <c r="W47" s="31"/>
      <c r="X47" s="31"/>
      <c r="Y47" s="31"/>
      <c r="Z47" s="31">
        <f t="shared" si="5"/>
        <v>114300</v>
      </c>
      <c r="AA47" s="31"/>
      <c r="AB47" s="31"/>
      <c r="AC47" s="31"/>
      <c r="AD47" s="31"/>
      <c r="AE47" s="31"/>
      <c r="AF47" s="31"/>
      <c r="AG47" s="31"/>
      <c r="AH47" s="31"/>
      <c r="AI47" s="32"/>
      <c r="AJ47" s="32"/>
      <c r="AK47" s="32"/>
      <c r="AL47" s="32"/>
      <c r="AM47" s="32">
        <v>19050</v>
      </c>
      <c r="AN47" s="32">
        <v>19050</v>
      </c>
      <c r="AO47" s="32">
        <v>19050</v>
      </c>
      <c r="AP47" s="32">
        <v>19050</v>
      </c>
      <c r="AQ47" s="32">
        <v>19050</v>
      </c>
      <c r="AR47" s="32">
        <v>19050</v>
      </c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CR47">
        <v>546600</v>
      </c>
      <c r="CS47">
        <v>2</v>
      </c>
    </row>
    <row r="48" spans="1:97" x14ac:dyDescent="0.4">
      <c r="A48" t="s">
        <v>169</v>
      </c>
      <c r="D48" t="s">
        <v>2370</v>
      </c>
      <c r="E48" t="s">
        <v>2371</v>
      </c>
      <c r="F48" t="s">
        <v>170</v>
      </c>
      <c r="G48" t="s">
        <v>2642</v>
      </c>
      <c r="H48">
        <v>9050441439</v>
      </c>
      <c r="I48" t="s">
        <v>171</v>
      </c>
      <c r="J48" t="s">
        <v>2433</v>
      </c>
      <c r="L48" t="s">
        <v>2643</v>
      </c>
      <c r="M48" t="s">
        <v>2506</v>
      </c>
      <c r="N48" t="s">
        <v>2644</v>
      </c>
      <c r="O48" s="40">
        <v>27211</v>
      </c>
      <c r="Q48" t="s">
        <v>2438</v>
      </c>
      <c r="R48" s="30">
        <v>45446</v>
      </c>
      <c r="S48" t="s">
        <v>44</v>
      </c>
      <c r="T48" s="30">
        <v>45828</v>
      </c>
      <c r="U48" s="20">
        <v>114300</v>
      </c>
      <c r="V48" s="31"/>
      <c r="W48" s="31"/>
      <c r="X48" s="31"/>
      <c r="Y48" s="31"/>
      <c r="Z48" s="31">
        <f t="shared" si="5"/>
        <v>114300</v>
      </c>
      <c r="AA48" s="31"/>
      <c r="AB48" s="31"/>
      <c r="AC48" s="31"/>
      <c r="AD48" s="31"/>
      <c r="AE48" s="31"/>
      <c r="AF48" s="31"/>
      <c r="AG48" s="31"/>
      <c r="AH48" s="31"/>
      <c r="AI48" s="32"/>
      <c r="AJ48" s="32"/>
      <c r="AK48" s="32"/>
      <c r="AL48" s="32"/>
      <c r="AM48" s="32">
        <v>19050</v>
      </c>
      <c r="AN48" s="32">
        <v>19050</v>
      </c>
      <c r="AO48" s="32">
        <v>19050</v>
      </c>
      <c r="AP48" s="32">
        <v>19050</v>
      </c>
      <c r="AQ48" s="32">
        <v>19050</v>
      </c>
      <c r="AR48" s="32">
        <v>19050</v>
      </c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CR48">
        <v>546600</v>
      </c>
      <c r="CS48">
        <v>7</v>
      </c>
    </row>
    <row r="49" spans="1:97" x14ac:dyDescent="0.4">
      <c r="A49" t="s">
        <v>172</v>
      </c>
      <c r="D49" t="s">
        <v>2370</v>
      </c>
      <c r="E49" t="s">
        <v>2371</v>
      </c>
      <c r="F49" t="s">
        <v>173</v>
      </c>
      <c r="G49" t="s">
        <v>2645</v>
      </c>
      <c r="H49">
        <v>7076696865</v>
      </c>
      <c r="I49" t="s">
        <v>174</v>
      </c>
      <c r="J49" t="s">
        <v>2433</v>
      </c>
      <c r="L49" t="s">
        <v>2646</v>
      </c>
      <c r="M49" t="s">
        <v>2444</v>
      </c>
      <c r="N49" t="s">
        <v>2647</v>
      </c>
      <c r="O49" s="41">
        <v>37203</v>
      </c>
      <c r="Q49" t="s">
        <v>2438</v>
      </c>
      <c r="R49" s="30">
        <v>45446</v>
      </c>
      <c r="S49" t="s">
        <v>25</v>
      </c>
      <c r="T49" s="30">
        <v>45736</v>
      </c>
      <c r="U49">
        <v>59400</v>
      </c>
      <c r="V49" s="34"/>
      <c r="W49" s="34">
        <f>+U49</f>
        <v>59400</v>
      </c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5"/>
      <c r="AJ49" s="32">
        <v>19800</v>
      </c>
      <c r="AK49" s="32">
        <v>19800</v>
      </c>
      <c r="AL49" s="32">
        <v>19800</v>
      </c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CR49">
        <v>491700</v>
      </c>
      <c r="CS49">
        <v>2</v>
      </c>
    </row>
    <row r="50" spans="1:97" x14ac:dyDescent="0.4">
      <c r="A50" t="s">
        <v>175</v>
      </c>
      <c r="D50" t="s">
        <v>2370</v>
      </c>
      <c r="E50" t="s">
        <v>2371</v>
      </c>
      <c r="F50" t="s">
        <v>176</v>
      </c>
      <c r="G50" t="s">
        <v>2648</v>
      </c>
      <c r="H50">
        <v>9029206734</v>
      </c>
      <c r="I50" t="s">
        <v>177</v>
      </c>
      <c r="J50" t="s">
        <v>2433</v>
      </c>
      <c r="L50" t="s">
        <v>2649</v>
      </c>
      <c r="M50" t="s">
        <v>2500</v>
      </c>
      <c r="N50" t="s">
        <v>2650</v>
      </c>
      <c r="O50" t="s">
        <v>2651</v>
      </c>
      <c r="Q50" t="s">
        <v>2438</v>
      </c>
      <c r="R50" s="30">
        <v>45446</v>
      </c>
      <c r="S50" t="s">
        <v>44</v>
      </c>
      <c r="T50" s="30">
        <v>45828</v>
      </c>
      <c r="U50" s="20">
        <v>114300</v>
      </c>
      <c r="V50" s="31"/>
      <c r="W50" s="31"/>
      <c r="X50" s="31"/>
      <c r="Y50" s="31"/>
      <c r="Z50" s="31">
        <f t="shared" ref="Z50:Z53" si="6">+U50</f>
        <v>114300</v>
      </c>
      <c r="AA50" s="31"/>
      <c r="AB50" s="31"/>
      <c r="AC50" s="31"/>
      <c r="AD50" s="31"/>
      <c r="AE50" s="31"/>
      <c r="AF50" s="31"/>
      <c r="AG50" s="31"/>
      <c r="AH50" s="31"/>
      <c r="AI50" s="32"/>
      <c r="AJ50" s="32"/>
      <c r="AK50" s="32"/>
      <c r="AL50" s="32"/>
      <c r="AM50" s="32">
        <v>19050</v>
      </c>
      <c r="AN50" s="32">
        <v>19050</v>
      </c>
      <c r="AO50" s="32">
        <v>19050</v>
      </c>
      <c r="AP50" s="32">
        <v>19050</v>
      </c>
      <c r="AQ50" s="32">
        <v>19050</v>
      </c>
      <c r="AR50" s="32">
        <v>19050</v>
      </c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CR50">
        <v>546600</v>
      </c>
      <c r="CS50">
        <v>2</v>
      </c>
    </row>
    <row r="51" spans="1:97" x14ac:dyDescent="0.4">
      <c r="A51" t="s">
        <v>179</v>
      </c>
      <c r="D51" t="s">
        <v>2370</v>
      </c>
      <c r="E51" t="s">
        <v>2371</v>
      </c>
      <c r="F51" t="s">
        <v>180</v>
      </c>
      <c r="G51" t="s">
        <v>2652</v>
      </c>
      <c r="H51">
        <v>9066128410</v>
      </c>
      <c r="I51" t="s">
        <v>181</v>
      </c>
      <c r="J51" t="s">
        <v>2433</v>
      </c>
      <c r="L51" t="s">
        <v>2653</v>
      </c>
      <c r="M51" t="s">
        <v>2451</v>
      </c>
      <c r="N51" t="s">
        <v>2654</v>
      </c>
      <c r="O51" t="s">
        <v>2655</v>
      </c>
      <c r="Q51" t="s">
        <v>2438</v>
      </c>
      <c r="R51" s="30">
        <v>45446</v>
      </c>
      <c r="S51" t="s">
        <v>44</v>
      </c>
      <c r="T51" s="30">
        <v>45828</v>
      </c>
      <c r="U51" s="20">
        <v>114300</v>
      </c>
      <c r="V51" s="31"/>
      <c r="W51" s="31"/>
      <c r="X51" s="31"/>
      <c r="Y51" s="31"/>
      <c r="Z51" s="31">
        <f t="shared" si="6"/>
        <v>114300</v>
      </c>
      <c r="AA51" s="31"/>
      <c r="AB51" s="31"/>
      <c r="AC51" s="31"/>
      <c r="AD51" s="31"/>
      <c r="AE51" s="31"/>
      <c r="AF51" s="31"/>
      <c r="AG51" s="31"/>
      <c r="AH51" s="31"/>
      <c r="AI51" s="32"/>
      <c r="AJ51" s="32"/>
      <c r="AK51" s="32"/>
      <c r="AL51" s="32"/>
      <c r="AM51" s="32">
        <v>19050</v>
      </c>
      <c r="AN51" s="32">
        <v>19050</v>
      </c>
      <c r="AO51" s="32">
        <v>19050</v>
      </c>
      <c r="AP51" s="32">
        <v>19050</v>
      </c>
      <c r="AQ51" s="32">
        <v>19050</v>
      </c>
      <c r="AR51" s="32">
        <v>19050</v>
      </c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CR51">
        <v>546600</v>
      </c>
      <c r="CS51">
        <v>2</v>
      </c>
    </row>
    <row r="52" spans="1:97" x14ac:dyDescent="0.4">
      <c r="A52" t="s">
        <v>182</v>
      </c>
      <c r="D52" t="s">
        <v>2370</v>
      </c>
      <c r="E52" t="s">
        <v>2371</v>
      </c>
      <c r="F52" t="s">
        <v>183</v>
      </c>
      <c r="G52" t="s">
        <v>2656</v>
      </c>
      <c r="H52">
        <v>9017477244</v>
      </c>
      <c r="I52" t="s">
        <v>184</v>
      </c>
      <c r="J52" t="s">
        <v>2433</v>
      </c>
      <c r="L52" t="s">
        <v>2657</v>
      </c>
      <c r="M52" t="s">
        <v>2444</v>
      </c>
      <c r="N52" t="s">
        <v>2658</v>
      </c>
      <c r="O52" t="s">
        <v>2659</v>
      </c>
      <c r="Q52" t="s">
        <v>2438</v>
      </c>
      <c r="R52" s="30">
        <v>45446</v>
      </c>
      <c r="S52" t="s">
        <v>44</v>
      </c>
      <c r="T52" s="30">
        <v>45828</v>
      </c>
      <c r="U52" s="20">
        <v>114300</v>
      </c>
      <c r="V52" s="31"/>
      <c r="W52" s="31"/>
      <c r="X52" s="31"/>
      <c r="Y52" s="31"/>
      <c r="Z52" s="31">
        <f t="shared" si="6"/>
        <v>114300</v>
      </c>
      <c r="AA52" s="31"/>
      <c r="AB52" s="31"/>
      <c r="AC52" s="31"/>
      <c r="AD52" s="31"/>
      <c r="AE52" s="31"/>
      <c r="AF52" s="31"/>
      <c r="AG52" s="31"/>
      <c r="AH52" s="31"/>
      <c r="AI52" s="32"/>
      <c r="AJ52" s="32"/>
      <c r="AK52" s="32"/>
      <c r="AL52" s="32"/>
      <c r="AM52" s="32">
        <v>19050</v>
      </c>
      <c r="AN52" s="32">
        <v>19050</v>
      </c>
      <c r="AO52" s="32">
        <v>19050</v>
      </c>
      <c r="AP52" s="32">
        <v>19050</v>
      </c>
      <c r="AQ52" s="32">
        <v>19050</v>
      </c>
      <c r="AR52" s="32">
        <v>19050</v>
      </c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CR52">
        <v>546600</v>
      </c>
      <c r="CS52">
        <v>2</v>
      </c>
    </row>
    <row r="53" spans="1:97" x14ac:dyDescent="0.4">
      <c r="A53" t="s">
        <v>185</v>
      </c>
      <c r="D53" t="s">
        <v>2370</v>
      </c>
      <c r="E53" t="s">
        <v>2371</v>
      </c>
      <c r="F53" t="s">
        <v>186</v>
      </c>
      <c r="G53" t="s">
        <v>2660</v>
      </c>
      <c r="H53">
        <v>8052952421</v>
      </c>
      <c r="I53" t="s">
        <v>187</v>
      </c>
      <c r="J53" t="s">
        <v>2433</v>
      </c>
      <c r="L53" t="s">
        <v>2661</v>
      </c>
      <c r="M53" t="s">
        <v>2500</v>
      </c>
      <c r="N53" t="s">
        <v>2662</v>
      </c>
      <c r="O53" t="s">
        <v>2663</v>
      </c>
      <c r="Q53" t="s">
        <v>2438</v>
      </c>
      <c r="R53" s="30">
        <v>45446</v>
      </c>
      <c r="S53" t="s">
        <v>44</v>
      </c>
      <c r="T53" s="30">
        <v>45828</v>
      </c>
      <c r="U53" s="20">
        <v>114300</v>
      </c>
      <c r="V53" s="31"/>
      <c r="W53" s="31"/>
      <c r="X53" s="31"/>
      <c r="Y53" s="31"/>
      <c r="Z53" s="31">
        <f t="shared" si="6"/>
        <v>114300</v>
      </c>
      <c r="AA53" s="31"/>
      <c r="AB53" s="31"/>
      <c r="AC53" s="31"/>
      <c r="AD53" s="31"/>
      <c r="AE53" s="31"/>
      <c r="AF53" s="31"/>
      <c r="AG53" s="31"/>
      <c r="AH53" s="31"/>
      <c r="AI53" s="32"/>
      <c r="AJ53" s="32"/>
      <c r="AK53" s="32"/>
      <c r="AL53" s="32"/>
      <c r="AM53" s="32">
        <v>19050</v>
      </c>
      <c r="AN53" s="32">
        <v>19050</v>
      </c>
      <c r="AO53" s="32">
        <v>19050</v>
      </c>
      <c r="AP53" s="32">
        <v>19050</v>
      </c>
      <c r="AQ53" s="32">
        <v>19050</v>
      </c>
      <c r="AR53" s="32">
        <v>19050</v>
      </c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CR53">
        <v>546600</v>
      </c>
      <c r="CS53">
        <v>2</v>
      </c>
    </row>
    <row r="54" spans="1:97" s="36" customFormat="1" x14ac:dyDescent="0.4">
      <c r="A54" s="36" t="s">
        <v>2664</v>
      </c>
      <c r="D54" s="36" t="s">
        <v>2370</v>
      </c>
      <c r="E54" s="36" t="s">
        <v>2371</v>
      </c>
      <c r="F54" s="36" t="s">
        <v>2665</v>
      </c>
      <c r="G54" s="36" t="s">
        <v>2666</v>
      </c>
      <c r="H54" s="36">
        <v>9061019228</v>
      </c>
      <c r="I54" s="36" t="s">
        <v>2667</v>
      </c>
      <c r="J54" s="36" t="s">
        <v>2433</v>
      </c>
      <c r="L54" s="36" t="s">
        <v>2668</v>
      </c>
      <c r="M54" s="36" t="s">
        <v>2444</v>
      </c>
      <c r="N54" s="36" t="s">
        <v>2669</v>
      </c>
      <c r="O54" s="36" t="s">
        <v>2670</v>
      </c>
      <c r="Q54" s="36" t="s">
        <v>2438</v>
      </c>
      <c r="R54" s="37">
        <v>45446</v>
      </c>
      <c r="S54" s="36" t="s">
        <v>2503</v>
      </c>
      <c r="T54" s="37">
        <v>45702</v>
      </c>
      <c r="U54" s="37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CR54" s="36">
        <v>474240</v>
      </c>
      <c r="CS54" s="36">
        <v>3</v>
      </c>
    </row>
    <row r="55" spans="1:97" s="36" customFormat="1" x14ac:dyDescent="0.4">
      <c r="A55" s="36" t="s">
        <v>2671</v>
      </c>
      <c r="D55" s="36" t="s">
        <v>2370</v>
      </c>
      <c r="E55" s="36" t="s">
        <v>2371</v>
      </c>
      <c r="F55" s="36" t="s">
        <v>2672</v>
      </c>
      <c r="G55" s="36" t="s">
        <v>2673</v>
      </c>
      <c r="H55" s="36">
        <v>9061081805</v>
      </c>
      <c r="I55" s="36" t="s">
        <v>2674</v>
      </c>
      <c r="J55" s="36" t="s">
        <v>2433</v>
      </c>
      <c r="L55" s="36" t="s">
        <v>2675</v>
      </c>
      <c r="M55" s="36" t="s">
        <v>2676</v>
      </c>
      <c r="N55" s="36" t="s">
        <v>2677</v>
      </c>
      <c r="O55" s="36" t="s">
        <v>2678</v>
      </c>
      <c r="Q55" s="36" t="s">
        <v>2438</v>
      </c>
      <c r="R55" s="37">
        <v>45446</v>
      </c>
      <c r="S55" s="36" t="s">
        <v>2503</v>
      </c>
      <c r="T55" s="37">
        <v>45726</v>
      </c>
      <c r="U55" s="37"/>
      <c r="V55" s="38"/>
      <c r="W55" s="34">
        <f>+U55</f>
        <v>0</v>
      </c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9"/>
      <c r="AJ55" s="35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5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CR55" s="36">
        <v>613110</v>
      </c>
      <c r="CS55" s="36">
        <v>9</v>
      </c>
    </row>
    <row r="56" spans="1:97" x14ac:dyDescent="0.4">
      <c r="A56" t="s">
        <v>188</v>
      </c>
      <c r="D56" t="s">
        <v>2370</v>
      </c>
      <c r="E56" t="s">
        <v>2371</v>
      </c>
      <c r="F56" t="s">
        <v>189</v>
      </c>
      <c r="G56" t="s">
        <v>2679</v>
      </c>
      <c r="H56">
        <v>9021406422</v>
      </c>
      <c r="I56" t="s">
        <v>190</v>
      </c>
      <c r="J56" t="s">
        <v>2433</v>
      </c>
      <c r="L56" t="s">
        <v>2680</v>
      </c>
      <c r="M56" t="s">
        <v>2465</v>
      </c>
      <c r="N56" t="s">
        <v>2681</v>
      </c>
      <c r="O56" t="s">
        <v>2682</v>
      </c>
      <c r="Q56" t="s">
        <v>2438</v>
      </c>
      <c r="R56" s="30">
        <v>45446</v>
      </c>
      <c r="S56" t="s">
        <v>44</v>
      </c>
      <c r="T56" s="30">
        <v>45828</v>
      </c>
      <c r="U56" s="20">
        <v>114300</v>
      </c>
      <c r="V56" s="31"/>
      <c r="W56" s="31"/>
      <c r="X56" s="31"/>
      <c r="Y56" s="31"/>
      <c r="Z56" s="31">
        <f>+U56</f>
        <v>114300</v>
      </c>
      <c r="AA56" s="31"/>
      <c r="AB56" s="31"/>
      <c r="AC56" s="31"/>
      <c r="AD56" s="31"/>
      <c r="AE56" s="31"/>
      <c r="AF56" s="31"/>
      <c r="AG56" s="31"/>
      <c r="AH56" s="31"/>
      <c r="AI56" s="32"/>
      <c r="AJ56" s="32"/>
      <c r="AK56" s="32"/>
      <c r="AL56" s="32"/>
      <c r="AM56" s="32">
        <v>19050</v>
      </c>
      <c r="AN56" s="32">
        <v>19050</v>
      </c>
      <c r="AO56" s="32">
        <v>19050</v>
      </c>
      <c r="AP56" s="32">
        <v>19050</v>
      </c>
      <c r="AQ56" s="32">
        <v>19050</v>
      </c>
      <c r="AR56" s="32">
        <v>19050</v>
      </c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CR56">
        <v>546600</v>
      </c>
      <c r="CS56">
        <v>2</v>
      </c>
    </row>
    <row r="57" spans="1:97" x14ac:dyDescent="0.4">
      <c r="A57" t="s">
        <v>191</v>
      </c>
      <c r="D57" t="s">
        <v>2370</v>
      </c>
      <c r="E57" t="s">
        <v>2371</v>
      </c>
      <c r="F57" t="s">
        <v>192</v>
      </c>
      <c r="G57" t="s">
        <v>2683</v>
      </c>
      <c r="H57">
        <v>8053732978</v>
      </c>
      <c r="I57" t="s">
        <v>193</v>
      </c>
      <c r="J57" t="s">
        <v>2433</v>
      </c>
      <c r="L57" t="s">
        <v>2684</v>
      </c>
      <c r="M57" t="s">
        <v>2465</v>
      </c>
      <c r="N57" t="s">
        <v>2685</v>
      </c>
      <c r="O57" t="s">
        <v>2686</v>
      </c>
      <c r="Q57" t="s">
        <v>2438</v>
      </c>
      <c r="R57" s="30">
        <v>45446</v>
      </c>
      <c r="S57" t="s">
        <v>25</v>
      </c>
      <c r="T57" s="30">
        <v>45736</v>
      </c>
      <c r="U57">
        <v>59400</v>
      </c>
      <c r="V57" s="34"/>
      <c r="W57" s="34">
        <f t="shared" ref="W57:W58" si="7">+U57</f>
        <v>59400</v>
      </c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5"/>
      <c r="AJ57" s="32">
        <v>19800</v>
      </c>
      <c r="AK57" s="32">
        <v>19800</v>
      </c>
      <c r="AL57" s="32">
        <v>19800</v>
      </c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CR57">
        <v>491700</v>
      </c>
      <c r="CS57">
        <v>7</v>
      </c>
    </row>
    <row r="58" spans="1:97" x14ac:dyDescent="0.4">
      <c r="A58" t="s">
        <v>194</v>
      </c>
      <c r="D58" t="s">
        <v>2370</v>
      </c>
      <c r="E58" t="s">
        <v>2371</v>
      </c>
      <c r="F58" t="s">
        <v>195</v>
      </c>
      <c r="G58" t="s">
        <v>2687</v>
      </c>
      <c r="H58">
        <v>8037230803</v>
      </c>
      <c r="I58" t="s">
        <v>196</v>
      </c>
      <c r="J58" t="s">
        <v>2433</v>
      </c>
      <c r="L58" t="s">
        <v>2688</v>
      </c>
      <c r="M58" t="s">
        <v>2444</v>
      </c>
      <c r="N58" t="s">
        <v>2689</v>
      </c>
      <c r="O58" t="s">
        <v>2690</v>
      </c>
      <c r="Q58" t="s">
        <v>2438</v>
      </c>
      <c r="R58" s="30">
        <v>45446</v>
      </c>
      <c r="S58" t="s">
        <v>25</v>
      </c>
      <c r="T58" s="30">
        <v>45736</v>
      </c>
      <c r="U58">
        <v>59400</v>
      </c>
      <c r="V58" s="34"/>
      <c r="W58" s="34">
        <f t="shared" si="7"/>
        <v>59400</v>
      </c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5"/>
      <c r="AJ58" s="32">
        <v>19800</v>
      </c>
      <c r="AK58" s="32">
        <v>19800</v>
      </c>
      <c r="AL58" s="32">
        <v>19800</v>
      </c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CR58">
        <v>491700</v>
      </c>
      <c r="CS58">
        <v>7</v>
      </c>
    </row>
    <row r="59" spans="1:97" x14ac:dyDescent="0.4">
      <c r="A59" t="s">
        <v>197</v>
      </c>
      <c r="D59" t="s">
        <v>2370</v>
      </c>
      <c r="E59" t="s">
        <v>2371</v>
      </c>
      <c r="F59" t="s">
        <v>198</v>
      </c>
      <c r="G59" t="s">
        <v>2691</v>
      </c>
      <c r="H59">
        <v>9032941988</v>
      </c>
      <c r="I59" t="s">
        <v>199</v>
      </c>
      <c r="J59" t="s">
        <v>2433</v>
      </c>
      <c r="L59" t="s">
        <v>2692</v>
      </c>
      <c r="M59" t="s">
        <v>2693</v>
      </c>
      <c r="N59" t="s">
        <v>2694</v>
      </c>
      <c r="O59" t="s">
        <v>2695</v>
      </c>
      <c r="Q59" t="s">
        <v>2438</v>
      </c>
      <c r="R59" s="30">
        <v>45446</v>
      </c>
      <c r="S59" t="s">
        <v>44</v>
      </c>
      <c r="T59" s="30">
        <v>45828</v>
      </c>
      <c r="U59" s="20">
        <v>114300</v>
      </c>
      <c r="V59" s="31"/>
      <c r="W59" s="31"/>
      <c r="X59" s="31"/>
      <c r="Y59" s="31"/>
      <c r="Z59" s="31">
        <f t="shared" ref="Z59:Z63" si="8">+U59</f>
        <v>114300</v>
      </c>
      <c r="AA59" s="31"/>
      <c r="AB59" s="31"/>
      <c r="AC59" s="31"/>
      <c r="AD59" s="31"/>
      <c r="AE59" s="31"/>
      <c r="AF59" s="31"/>
      <c r="AG59" s="31"/>
      <c r="AH59" s="31"/>
      <c r="AI59" s="32"/>
      <c r="AJ59" s="32"/>
      <c r="AK59" s="32"/>
      <c r="AL59" s="32"/>
      <c r="AM59" s="32">
        <v>19050</v>
      </c>
      <c r="AN59" s="32">
        <v>19050</v>
      </c>
      <c r="AO59" s="32">
        <v>19050</v>
      </c>
      <c r="AP59" s="32">
        <v>19050</v>
      </c>
      <c r="AQ59" s="32">
        <v>19050</v>
      </c>
      <c r="AR59" s="32">
        <v>19050</v>
      </c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CR59">
        <v>546600</v>
      </c>
      <c r="CS59">
        <v>2</v>
      </c>
    </row>
    <row r="60" spans="1:97" x14ac:dyDescent="0.4">
      <c r="A60" t="s">
        <v>200</v>
      </c>
      <c r="D60" t="s">
        <v>2370</v>
      </c>
      <c r="E60" t="s">
        <v>2371</v>
      </c>
      <c r="F60" t="s">
        <v>201</v>
      </c>
      <c r="G60" t="s">
        <v>2696</v>
      </c>
      <c r="H60">
        <v>9034064288</v>
      </c>
      <c r="I60" t="s">
        <v>202</v>
      </c>
      <c r="J60" t="s">
        <v>2433</v>
      </c>
      <c r="L60" t="s">
        <v>2697</v>
      </c>
      <c r="M60" t="s">
        <v>2444</v>
      </c>
      <c r="N60" t="s">
        <v>2698</v>
      </c>
      <c r="O60" s="33">
        <v>45907</v>
      </c>
      <c r="Q60" t="s">
        <v>2438</v>
      </c>
      <c r="R60" s="30">
        <v>45446</v>
      </c>
      <c r="S60" t="s">
        <v>44</v>
      </c>
      <c r="T60" s="30">
        <v>45828</v>
      </c>
      <c r="U60" s="20">
        <v>114300</v>
      </c>
      <c r="V60" s="31"/>
      <c r="W60" s="31"/>
      <c r="X60" s="31"/>
      <c r="Y60" s="31"/>
      <c r="Z60" s="31">
        <f t="shared" si="8"/>
        <v>114300</v>
      </c>
      <c r="AA60" s="31"/>
      <c r="AB60" s="31"/>
      <c r="AC60" s="31"/>
      <c r="AD60" s="31"/>
      <c r="AE60" s="31"/>
      <c r="AF60" s="31"/>
      <c r="AG60" s="31"/>
      <c r="AH60" s="31"/>
      <c r="AI60" s="32"/>
      <c r="AJ60" s="32"/>
      <c r="AK60" s="32"/>
      <c r="AL60" s="32"/>
      <c r="AM60" s="32">
        <v>19050</v>
      </c>
      <c r="AN60" s="32">
        <v>19050</v>
      </c>
      <c r="AO60" s="32">
        <v>19050</v>
      </c>
      <c r="AP60" s="32">
        <v>19050</v>
      </c>
      <c r="AQ60" s="32">
        <v>19050</v>
      </c>
      <c r="AR60" s="32">
        <v>19050</v>
      </c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CR60">
        <v>546600</v>
      </c>
      <c r="CS60">
        <v>2</v>
      </c>
    </row>
    <row r="61" spans="1:97" x14ac:dyDescent="0.4">
      <c r="A61" t="s">
        <v>203</v>
      </c>
      <c r="D61" t="s">
        <v>2370</v>
      </c>
      <c r="E61" t="s">
        <v>2371</v>
      </c>
      <c r="F61" t="s">
        <v>204</v>
      </c>
      <c r="G61" t="s">
        <v>2699</v>
      </c>
      <c r="H61">
        <v>9078732879</v>
      </c>
      <c r="I61" t="s">
        <v>205</v>
      </c>
      <c r="J61" t="s">
        <v>2433</v>
      </c>
      <c r="L61" t="s">
        <v>2700</v>
      </c>
      <c r="M61" t="s">
        <v>2435</v>
      </c>
      <c r="N61" t="s">
        <v>2701</v>
      </c>
      <c r="O61" t="s">
        <v>2702</v>
      </c>
      <c r="Q61" t="s">
        <v>2438</v>
      </c>
      <c r="R61" s="30">
        <v>45445</v>
      </c>
      <c r="S61" t="s">
        <v>44</v>
      </c>
      <c r="T61" s="30">
        <v>45828</v>
      </c>
      <c r="U61" s="20">
        <v>114300</v>
      </c>
      <c r="V61" s="31"/>
      <c r="W61" s="31"/>
      <c r="X61" s="31"/>
      <c r="Y61" s="31"/>
      <c r="Z61" s="31">
        <f t="shared" si="8"/>
        <v>114300</v>
      </c>
      <c r="AA61" s="31"/>
      <c r="AB61" s="31"/>
      <c r="AC61" s="31"/>
      <c r="AD61" s="31"/>
      <c r="AE61" s="31"/>
      <c r="AF61" s="31"/>
      <c r="AG61" s="31"/>
      <c r="AH61" s="31"/>
      <c r="AI61" s="32"/>
      <c r="AJ61" s="32"/>
      <c r="AK61" s="32"/>
      <c r="AL61" s="32"/>
      <c r="AM61" s="32">
        <v>19050</v>
      </c>
      <c r="AN61" s="32">
        <v>19050</v>
      </c>
      <c r="AO61" s="32">
        <v>19050</v>
      </c>
      <c r="AP61" s="32">
        <v>19050</v>
      </c>
      <c r="AQ61" s="32">
        <v>19050</v>
      </c>
      <c r="AR61" s="32">
        <v>19050</v>
      </c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CR61">
        <v>432300</v>
      </c>
      <c r="CS61">
        <v>1</v>
      </c>
    </row>
    <row r="62" spans="1:97" x14ac:dyDescent="0.4">
      <c r="A62" t="s">
        <v>206</v>
      </c>
      <c r="D62" t="s">
        <v>2370</v>
      </c>
      <c r="E62" t="s">
        <v>2371</v>
      </c>
      <c r="F62" t="s">
        <v>207</v>
      </c>
      <c r="G62" t="s">
        <v>2703</v>
      </c>
      <c r="H62">
        <v>9061751684</v>
      </c>
      <c r="I62" t="s">
        <v>208</v>
      </c>
      <c r="J62" t="s">
        <v>2433</v>
      </c>
      <c r="L62" t="s">
        <v>2704</v>
      </c>
      <c r="M62" t="s">
        <v>2465</v>
      </c>
      <c r="N62" t="s">
        <v>2705</v>
      </c>
      <c r="O62" t="s">
        <v>2706</v>
      </c>
      <c r="Q62" t="s">
        <v>2438</v>
      </c>
      <c r="R62" s="30">
        <v>45445</v>
      </c>
      <c r="S62" t="s">
        <v>44</v>
      </c>
      <c r="T62" s="30">
        <v>45828</v>
      </c>
      <c r="U62" s="20">
        <v>114300</v>
      </c>
      <c r="V62" s="31"/>
      <c r="W62" s="31"/>
      <c r="X62" s="31"/>
      <c r="Y62" s="31"/>
      <c r="Z62" s="31">
        <f t="shared" si="8"/>
        <v>114300</v>
      </c>
      <c r="AA62" s="31"/>
      <c r="AB62" s="31"/>
      <c r="AC62" s="31"/>
      <c r="AD62" s="31"/>
      <c r="AE62" s="31"/>
      <c r="AF62" s="31"/>
      <c r="AG62" s="31"/>
      <c r="AH62" s="31"/>
      <c r="AI62" s="32"/>
      <c r="AJ62" s="32"/>
      <c r="AK62" s="32"/>
      <c r="AL62" s="32"/>
      <c r="AM62" s="32">
        <v>19050</v>
      </c>
      <c r="AN62" s="32">
        <v>19050</v>
      </c>
      <c r="AO62" s="32">
        <v>19050</v>
      </c>
      <c r="AP62" s="32">
        <v>19050</v>
      </c>
      <c r="AQ62" s="32">
        <v>19050</v>
      </c>
      <c r="AR62" s="32">
        <v>19050</v>
      </c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CR62">
        <v>546600</v>
      </c>
      <c r="CS62">
        <v>4</v>
      </c>
    </row>
    <row r="63" spans="1:97" x14ac:dyDescent="0.4">
      <c r="A63" t="s">
        <v>209</v>
      </c>
      <c r="D63" t="s">
        <v>2370</v>
      </c>
      <c r="E63" t="s">
        <v>2371</v>
      </c>
      <c r="F63" t="s">
        <v>210</v>
      </c>
      <c r="G63" t="s">
        <v>2707</v>
      </c>
      <c r="H63">
        <v>9014625892</v>
      </c>
      <c r="I63" t="s">
        <v>211</v>
      </c>
      <c r="J63" t="s">
        <v>2433</v>
      </c>
      <c r="L63" t="s">
        <v>2708</v>
      </c>
      <c r="M63" t="s">
        <v>2465</v>
      </c>
      <c r="N63" t="s">
        <v>2709</v>
      </c>
      <c r="O63" s="41">
        <v>45569</v>
      </c>
      <c r="Q63" t="s">
        <v>2438</v>
      </c>
      <c r="R63" s="30">
        <v>45445</v>
      </c>
      <c r="S63" t="s">
        <v>44</v>
      </c>
      <c r="T63" s="30">
        <v>45828</v>
      </c>
      <c r="U63" s="20">
        <v>114300</v>
      </c>
      <c r="V63" s="31"/>
      <c r="W63" s="31"/>
      <c r="X63" s="31"/>
      <c r="Y63" s="31"/>
      <c r="Z63" s="31">
        <f t="shared" si="8"/>
        <v>114300</v>
      </c>
      <c r="AA63" s="31"/>
      <c r="AB63" s="31"/>
      <c r="AC63" s="31"/>
      <c r="AD63" s="31"/>
      <c r="AE63" s="31"/>
      <c r="AF63" s="31"/>
      <c r="AG63" s="31"/>
      <c r="AH63" s="31"/>
      <c r="AI63" s="32"/>
      <c r="AJ63" s="32"/>
      <c r="AK63" s="32"/>
      <c r="AL63" s="32"/>
      <c r="AM63" s="32">
        <v>19050</v>
      </c>
      <c r="AN63" s="32">
        <v>19050</v>
      </c>
      <c r="AO63" s="32">
        <v>19050</v>
      </c>
      <c r="AP63" s="32">
        <v>19050</v>
      </c>
      <c r="AQ63" s="32">
        <v>19050</v>
      </c>
      <c r="AR63" s="32">
        <v>19050</v>
      </c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CR63">
        <v>546600</v>
      </c>
      <c r="CS63">
        <v>2</v>
      </c>
    </row>
    <row r="64" spans="1:97" x14ac:dyDescent="0.4">
      <c r="A64" t="s">
        <v>212</v>
      </c>
      <c r="D64" t="s">
        <v>2370</v>
      </c>
      <c r="E64" t="s">
        <v>2371</v>
      </c>
      <c r="F64" t="s">
        <v>213</v>
      </c>
      <c r="G64" t="s">
        <v>2710</v>
      </c>
      <c r="H64">
        <v>9033418711</v>
      </c>
      <c r="I64" t="s">
        <v>214</v>
      </c>
      <c r="J64" t="s">
        <v>2433</v>
      </c>
      <c r="L64" t="s">
        <v>2711</v>
      </c>
      <c r="M64" t="s">
        <v>2444</v>
      </c>
      <c r="N64" t="s">
        <v>2712</v>
      </c>
      <c r="O64" s="42">
        <v>45739</v>
      </c>
      <c r="Q64" t="s">
        <v>2438</v>
      </c>
      <c r="R64" s="30">
        <v>45445</v>
      </c>
      <c r="S64" t="s">
        <v>25</v>
      </c>
      <c r="T64" s="30">
        <v>45736</v>
      </c>
      <c r="U64">
        <v>59400</v>
      </c>
      <c r="V64" s="34"/>
      <c r="W64" s="34">
        <f t="shared" ref="W64:W65" si="9">+U64</f>
        <v>59400</v>
      </c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5"/>
      <c r="AJ64" s="32">
        <v>19800</v>
      </c>
      <c r="AK64" s="32">
        <v>19800</v>
      </c>
      <c r="AL64" s="32">
        <v>19800</v>
      </c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CR64">
        <v>491700</v>
      </c>
      <c r="CS64">
        <v>2</v>
      </c>
    </row>
    <row r="65" spans="1:97" x14ac:dyDescent="0.4">
      <c r="A65" t="s">
        <v>215</v>
      </c>
      <c r="D65" t="s">
        <v>2370</v>
      </c>
      <c r="E65" t="s">
        <v>2371</v>
      </c>
      <c r="F65" t="s">
        <v>216</v>
      </c>
      <c r="G65" t="s">
        <v>2713</v>
      </c>
      <c r="H65">
        <v>9094355114</v>
      </c>
      <c r="I65" t="s">
        <v>217</v>
      </c>
      <c r="J65" t="s">
        <v>2433</v>
      </c>
      <c r="L65" t="s">
        <v>2714</v>
      </c>
      <c r="M65" t="s">
        <v>2715</v>
      </c>
      <c r="N65" t="s">
        <v>2716</v>
      </c>
      <c r="O65" t="s">
        <v>2717</v>
      </c>
      <c r="Q65" t="s">
        <v>2438</v>
      </c>
      <c r="R65" s="30">
        <v>45445</v>
      </c>
      <c r="S65" t="s">
        <v>25</v>
      </c>
      <c r="T65" s="30">
        <v>45736</v>
      </c>
      <c r="U65">
        <v>59400</v>
      </c>
      <c r="V65" s="34"/>
      <c r="W65" s="34">
        <f t="shared" si="9"/>
        <v>59400</v>
      </c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5"/>
      <c r="AJ65" s="32">
        <v>19800</v>
      </c>
      <c r="AK65" s="32">
        <v>19800</v>
      </c>
      <c r="AL65" s="32">
        <v>19800</v>
      </c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CR65">
        <v>491700</v>
      </c>
      <c r="CS65">
        <v>7</v>
      </c>
    </row>
    <row r="66" spans="1:97" x14ac:dyDescent="0.4">
      <c r="A66" t="s">
        <v>218</v>
      </c>
      <c r="D66" t="s">
        <v>2370</v>
      </c>
      <c r="E66" t="s">
        <v>2371</v>
      </c>
      <c r="F66" t="s">
        <v>219</v>
      </c>
      <c r="G66" t="s">
        <v>2718</v>
      </c>
      <c r="H66">
        <v>9026603597</v>
      </c>
      <c r="I66" t="s">
        <v>220</v>
      </c>
      <c r="J66" t="s">
        <v>2433</v>
      </c>
      <c r="L66" t="s">
        <v>2719</v>
      </c>
      <c r="M66" t="s">
        <v>2455</v>
      </c>
      <c r="N66" t="s">
        <v>2720</v>
      </c>
      <c r="O66" t="s">
        <v>2721</v>
      </c>
      <c r="Q66" t="s">
        <v>2722</v>
      </c>
      <c r="R66" s="30">
        <v>45445</v>
      </c>
      <c r="S66" t="s">
        <v>44</v>
      </c>
      <c r="T66" s="30">
        <v>45828</v>
      </c>
      <c r="U66" s="20">
        <v>114300</v>
      </c>
      <c r="V66" s="31"/>
      <c r="W66" s="31"/>
      <c r="X66" s="31"/>
      <c r="Y66" s="31"/>
      <c r="Z66" s="31">
        <f t="shared" ref="Z66:Z68" si="10">+U66</f>
        <v>114300</v>
      </c>
      <c r="AA66" s="31"/>
      <c r="AB66" s="31"/>
      <c r="AC66" s="31"/>
      <c r="AD66" s="31"/>
      <c r="AE66" s="31"/>
      <c r="AF66" s="31"/>
      <c r="AG66" s="31"/>
      <c r="AH66" s="31"/>
      <c r="AI66" s="32"/>
      <c r="AJ66" s="32"/>
      <c r="AK66" s="32"/>
      <c r="AL66" s="32"/>
      <c r="AM66" s="32">
        <v>19050</v>
      </c>
      <c r="AN66" s="32">
        <v>19050</v>
      </c>
      <c r="AO66" s="32">
        <v>19050</v>
      </c>
      <c r="AP66" s="32">
        <v>19050</v>
      </c>
      <c r="AQ66" s="32">
        <v>19050</v>
      </c>
      <c r="AR66" s="32">
        <v>19050</v>
      </c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CR66">
        <v>546600</v>
      </c>
      <c r="CS66">
        <v>2</v>
      </c>
    </row>
    <row r="67" spans="1:97" x14ac:dyDescent="0.4">
      <c r="A67" t="s">
        <v>221</v>
      </c>
      <c r="D67" t="s">
        <v>2370</v>
      </c>
      <c r="E67" t="s">
        <v>2371</v>
      </c>
      <c r="F67" t="s">
        <v>222</v>
      </c>
      <c r="G67" t="s">
        <v>2723</v>
      </c>
      <c r="H67">
        <v>8033016314</v>
      </c>
      <c r="I67" t="s">
        <v>223</v>
      </c>
      <c r="J67" t="s">
        <v>2433</v>
      </c>
      <c r="L67" t="s">
        <v>2724</v>
      </c>
      <c r="M67" t="s">
        <v>2444</v>
      </c>
      <c r="N67" t="s">
        <v>2725</v>
      </c>
      <c r="O67" t="s">
        <v>2726</v>
      </c>
      <c r="Q67" t="s">
        <v>2438</v>
      </c>
      <c r="R67" s="30">
        <v>45445</v>
      </c>
      <c r="S67" t="s">
        <v>44</v>
      </c>
      <c r="T67" s="30">
        <v>45828</v>
      </c>
      <c r="U67" s="20">
        <v>114300</v>
      </c>
      <c r="V67" s="31"/>
      <c r="W67" s="31"/>
      <c r="X67" s="31"/>
      <c r="Y67" s="31"/>
      <c r="Z67" s="31">
        <f t="shared" si="10"/>
        <v>114300</v>
      </c>
      <c r="AA67" s="31"/>
      <c r="AB67" s="31"/>
      <c r="AC67" s="31"/>
      <c r="AD67" s="31"/>
      <c r="AE67" s="31"/>
      <c r="AF67" s="31"/>
      <c r="AG67" s="31"/>
      <c r="AH67" s="31"/>
      <c r="AI67" s="32"/>
      <c r="AJ67" s="32"/>
      <c r="AK67" s="32"/>
      <c r="AL67" s="32"/>
      <c r="AM67" s="32">
        <v>19050</v>
      </c>
      <c r="AN67" s="32">
        <v>19050</v>
      </c>
      <c r="AO67" s="32">
        <v>19050</v>
      </c>
      <c r="AP67" s="32">
        <v>19050</v>
      </c>
      <c r="AQ67" s="32">
        <v>19050</v>
      </c>
      <c r="AR67" s="32">
        <v>19050</v>
      </c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CR67">
        <v>432300</v>
      </c>
      <c r="CS67">
        <v>1</v>
      </c>
    </row>
    <row r="68" spans="1:97" x14ac:dyDescent="0.4">
      <c r="A68" t="s">
        <v>224</v>
      </c>
      <c r="D68" t="s">
        <v>2370</v>
      </c>
      <c r="E68" t="s">
        <v>2371</v>
      </c>
      <c r="F68" t="s">
        <v>225</v>
      </c>
      <c r="G68" t="s">
        <v>2727</v>
      </c>
      <c r="H68">
        <v>8012173683</v>
      </c>
      <c r="I68" t="s">
        <v>226</v>
      </c>
      <c r="J68" t="s">
        <v>2433</v>
      </c>
      <c r="L68" t="s">
        <v>2728</v>
      </c>
      <c r="M68" t="s">
        <v>2444</v>
      </c>
      <c r="N68" t="s">
        <v>2729</v>
      </c>
      <c r="O68" s="40">
        <v>16011</v>
      </c>
      <c r="Q68" t="s">
        <v>2438</v>
      </c>
      <c r="R68" s="30">
        <v>45445</v>
      </c>
      <c r="S68" t="s">
        <v>44</v>
      </c>
      <c r="T68" s="30">
        <v>45828</v>
      </c>
      <c r="U68" s="20">
        <v>114300</v>
      </c>
      <c r="V68" s="31"/>
      <c r="W68" s="31"/>
      <c r="X68" s="31"/>
      <c r="Y68" s="31"/>
      <c r="Z68" s="31">
        <f t="shared" si="10"/>
        <v>114300</v>
      </c>
      <c r="AA68" s="31"/>
      <c r="AB68" s="31"/>
      <c r="AC68" s="31"/>
      <c r="AD68" s="31"/>
      <c r="AE68" s="31"/>
      <c r="AF68" s="31"/>
      <c r="AG68" s="31"/>
      <c r="AH68" s="31"/>
      <c r="AI68" s="32"/>
      <c r="AJ68" s="32"/>
      <c r="AK68" s="32"/>
      <c r="AL68" s="32"/>
      <c r="AM68" s="32">
        <v>19050</v>
      </c>
      <c r="AN68" s="32">
        <v>19050</v>
      </c>
      <c r="AO68" s="32">
        <v>19050</v>
      </c>
      <c r="AP68" s="32">
        <v>19050</v>
      </c>
      <c r="AQ68" s="32">
        <v>19050</v>
      </c>
      <c r="AR68" s="32">
        <v>19050</v>
      </c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CR68">
        <v>546600</v>
      </c>
      <c r="CS68">
        <v>2</v>
      </c>
    </row>
    <row r="69" spans="1:97" x14ac:dyDescent="0.4">
      <c r="A69" t="s">
        <v>228</v>
      </c>
      <c r="D69" t="s">
        <v>2370</v>
      </c>
      <c r="E69" t="s">
        <v>2371</v>
      </c>
      <c r="F69" t="s">
        <v>229</v>
      </c>
      <c r="G69" t="s">
        <v>2730</v>
      </c>
      <c r="H69">
        <v>9097300508</v>
      </c>
      <c r="I69" t="s">
        <v>230</v>
      </c>
      <c r="J69" t="s">
        <v>2433</v>
      </c>
      <c r="L69" t="s">
        <v>2731</v>
      </c>
      <c r="M69" t="s">
        <v>2732</v>
      </c>
      <c r="N69" t="s">
        <v>2733</v>
      </c>
      <c r="O69" t="s">
        <v>2734</v>
      </c>
      <c r="Q69" t="s">
        <v>2438</v>
      </c>
      <c r="R69" s="30">
        <v>45445</v>
      </c>
      <c r="S69" t="s">
        <v>25</v>
      </c>
      <c r="T69" s="30">
        <v>45736</v>
      </c>
      <c r="U69">
        <v>59400</v>
      </c>
      <c r="V69" s="34"/>
      <c r="W69" s="34">
        <f t="shared" ref="W69:W72" si="11">+U69</f>
        <v>59400</v>
      </c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5"/>
      <c r="AJ69" s="32">
        <v>19800</v>
      </c>
      <c r="AK69" s="32">
        <v>19800</v>
      </c>
      <c r="AL69" s="32">
        <v>19800</v>
      </c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CR69">
        <v>491700</v>
      </c>
      <c r="CS69">
        <v>4</v>
      </c>
    </row>
    <row r="70" spans="1:97" x14ac:dyDescent="0.4">
      <c r="A70" t="s">
        <v>231</v>
      </c>
      <c r="D70" t="s">
        <v>2370</v>
      </c>
      <c r="E70" t="s">
        <v>2371</v>
      </c>
      <c r="F70" t="s">
        <v>232</v>
      </c>
      <c r="G70" t="s">
        <v>2735</v>
      </c>
      <c r="H70">
        <v>8031134750</v>
      </c>
      <c r="I70" t="s">
        <v>233</v>
      </c>
      <c r="J70" t="s">
        <v>2433</v>
      </c>
      <c r="L70" t="s">
        <v>2736</v>
      </c>
      <c r="M70" t="s">
        <v>2451</v>
      </c>
      <c r="N70" t="s">
        <v>2737</v>
      </c>
      <c r="O70" t="s">
        <v>2738</v>
      </c>
      <c r="Q70" t="s">
        <v>2438</v>
      </c>
      <c r="R70" s="30">
        <v>45445</v>
      </c>
      <c r="S70" t="s">
        <v>25</v>
      </c>
      <c r="T70" s="30">
        <v>45736</v>
      </c>
      <c r="U70">
        <v>59400</v>
      </c>
      <c r="V70" s="34"/>
      <c r="W70" s="34">
        <f t="shared" si="11"/>
        <v>59400</v>
      </c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5"/>
      <c r="AJ70" s="32">
        <v>19800</v>
      </c>
      <c r="AK70" s="32">
        <v>19800</v>
      </c>
      <c r="AL70" s="32">
        <v>19800</v>
      </c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CR70">
        <v>491700</v>
      </c>
      <c r="CS70">
        <v>7</v>
      </c>
    </row>
    <row r="71" spans="1:97" x14ac:dyDescent="0.4">
      <c r="A71" t="s">
        <v>234</v>
      </c>
      <c r="D71" t="s">
        <v>2370</v>
      </c>
      <c r="E71" t="s">
        <v>2371</v>
      </c>
      <c r="F71" t="s">
        <v>235</v>
      </c>
      <c r="G71" t="s">
        <v>2739</v>
      </c>
      <c r="H71">
        <v>9023487116</v>
      </c>
      <c r="I71" t="s">
        <v>236</v>
      </c>
      <c r="J71" t="s">
        <v>2433</v>
      </c>
      <c r="L71" t="s">
        <v>2740</v>
      </c>
      <c r="M71" t="s">
        <v>2500</v>
      </c>
      <c r="N71" t="s">
        <v>2741</v>
      </c>
      <c r="O71" t="s">
        <v>2742</v>
      </c>
      <c r="Q71" t="s">
        <v>2438</v>
      </c>
      <c r="R71" s="30">
        <v>45445</v>
      </c>
      <c r="S71" t="s">
        <v>25</v>
      </c>
      <c r="T71" s="30">
        <v>45736</v>
      </c>
      <c r="U71">
        <v>59400</v>
      </c>
      <c r="V71" s="34"/>
      <c r="W71" s="34">
        <f t="shared" si="11"/>
        <v>59400</v>
      </c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5"/>
      <c r="AJ71" s="32">
        <v>19800</v>
      </c>
      <c r="AK71" s="32">
        <v>19800</v>
      </c>
      <c r="AL71" s="32">
        <v>19800</v>
      </c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CR71">
        <v>491700</v>
      </c>
      <c r="CS71">
        <v>3</v>
      </c>
    </row>
    <row r="72" spans="1:97" x14ac:dyDescent="0.4">
      <c r="A72" t="s">
        <v>237</v>
      </c>
      <c r="D72" t="s">
        <v>2370</v>
      </c>
      <c r="E72" t="s">
        <v>2371</v>
      </c>
      <c r="F72" t="s">
        <v>238</v>
      </c>
      <c r="G72" t="s">
        <v>2743</v>
      </c>
      <c r="H72">
        <v>8054103450</v>
      </c>
      <c r="I72" t="s">
        <v>239</v>
      </c>
      <c r="J72" t="s">
        <v>2433</v>
      </c>
      <c r="L72" t="s">
        <v>2744</v>
      </c>
      <c r="M72" t="s">
        <v>2598</v>
      </c>
      <c r="N72" t="s">
        <v>2745</v>
      </c>
      <c r="O72" t="s">
        <v>2746</v>
      </c>
      <c r="Q72" t="s">
        <v>2438</v>
      </c>
      <c r="R72" s="30">
        <v>45445</v>
      </c>
      <c r="S72" t="s">
        <v>25</v>
      </c>
      <c r="T72" s="30">
        <v>45736</v>
      </c>
      <c r="U72">
        <v>59400</v>
      </c>
      <c r="V72" s="34"/>
      <c r="W72" s="34">
        <f t="shared" si="11"/>
        <v>59400</v>
      </c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5"/>
      <c r="AJ72" s="32">
        <v>19800</v>
      </c>
      <c r="AK72" s="32">
        <v>19800</v>
      </c>
      <c r="AL72" s="32">
        <v>19800</v>
      </c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CR72">
        <v>432300</v>
      </c>
      <c r="CS72">
        <v>2</v>
      </c>
    </row>
    <row r="73" spans="1:97" x14ac:dyDescent="0.4">
      <c r="A73" t="s">
        <v>240</v>
      </c>
      <c r="D73" t="s">
        <v>2370</v>
      </c>
      <c r="E73" t="s">
        <v>2371</v>
      </c>
      <c r="F73" t="s">
        <v>241</v>
      </c>
      <c r="G73" t="s">
        <v>2747</v>
      </c>
      <c r="H73">
        <v>9085251883</v>
      </c>
      <c r="I73" t="s">
        <v>242</v>
      </c>
      <c r="J73" t="s">
        <v>2433</v>
      </c>
      <c r="L73" t="s">
        <v>2748</v>
      </c>
      <c r="M73" t="s">
        <v>2435</v>
      </c>
      <c r="N73" t="s">
        <v>2749</v>
      </c>
      <c r="O73" t="s">
        <v>2750</v>
      </c>
      <c r="Q73" t="s">
        <v>2438</v>
      </c>
      <c r="R73" s="30">
        <v>45445</v>
      </c>
      <c r="S73" t="s">
        <v>44</v>
      </c>
      <c r="T73" s="30">
        <v>45828</v>
      </c>
      <c r="U73" s="20">
        <v>114300</v>
      </c>
      <c r="V73" s="31"/>
      <c r="W73" s="31"/>
      <c r="X73" s="31"/>
      <c r="Y73" s="31"/>
      <c r="Z73" s="31">
        <f t="shared" ref="Z73:Z82" si="12">+U73</f>
        <v>114300</v>
      </c>
      <c r="AA73" s="31"/>
      <c r="AB73" s="31"/>
      <c r="AC73" s="31"/>
      <c r="AD73" s="31"/>
      <c r="AE73" s="31"/>
      <c r="AF73" s="31"/>
      <c r="AG73" s="31"/>
      <c r="AH73" s="31"/>
      <c r="AI73" s="32"/>
      <c r="AJ73" s="32"/>
      <c r="AK73" s="32"/>
      <c r="AL73" s="32"/>
      <c r="AM73" s="32">
        <v>19050</v>
      </c>
      <c r="AN73" s="32">
        <v>19050</v>
      </c>
      <c r="AO73" s="32">
        <v>19050</v>
      </c>
      <c r="AP73" s="32">
        <v>19050</v>
      </c>
      <c r="AQ73" s="32">
        <v>19050</v>
      </c>
      <c r="AR73" s="32">
        <v>19050</v>
      </c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CR73">
        <v>546600</v>
      </c>
      <c r="CS73">
        <v>2</v>
      </c>
    </row>
    <row r="74" spans="1:97" x14ac:dyDescent="0.4">
      <c r="A74" t="s">
        <v>243</v>
      </c>
      <c r="D74" t="s">
        <v>2370</v>
      </c>
      <c r="E74" t="s">
        <v>2371</v>
      </c>
      <c r="F74" t="s">
        <v>244</v>
      </c>
      <c r="G74" t="s">
        <v>2751</v>
      </c>
      <c r="H74">
        <v>9037171807</v>
      </c>
      <c r="I74" t="s">
        <v>245</v>
      </c>
      <c r="J74" t="s">
        <v>2433</v>
      </c>
      <c r="L74" t="s">
        <v>2752</v>
      </c>
      <c r="M74" t="s">
        <v>2460</v>
      </c>
      <c r="N74" t="s">
        <v>2753</v>
      </c>
      <c r="O74" t="s">
        <v>2754</v>
      </c>
      <c r="Q74" t="s">
        <v>2438</v>
      </c>
      <c r="R74" s="30">
        <v>45445</v>
      </c>
      <c r="S74" t="s">
        <v>44</v>
      </c>
      <c r="T74" s="30">
        <v>45828</v>
      </c>
      <c r="U74" s="20">
        <v>114300</v>
      </c>
      <c r="V74" s="31"/>
      <c r="W74" s="31"/>
      <c r="X74" s="31"/>
      <c r="Y74" s="31"/>
      <c r="Z74" s="31">
        <f t="shared" si="12"/>
        <v>114300</v>
      </c>
      <c r="AA74" s="31"/>
      <c r="AB74" s="31"/>
      <c r="AC74" s="31"/>
      <c r="AD74" s="31"/>
      <c r="AE74" s="31"/>
      <c r="AF74" s="31"/>
      <c r="AG74" s="31"/>
      <c r="AH74" s="31"/>
      <c r="AI74" s="32"/>
      <c r="AJ74" s="32"/>
      <c r="AK74" s="32"/>
      <c r="AL74" s="32"/>
      <c r="AM74" s="32">
        <v>19050</v>
      </c>
      <c r="AN74" s="32">
        <v>19050</v>
      </c>
      <c r="AO74" s="32">
        <v>19050</v>
      </c>
      <c r="AP74" s="32">
        <v>19050</v>
      </c>
      <c r="AQ74" s="32">
        <v>19050</v>
      </c>
      <c r="AR74" s="32">
        <v>19050</v>
      </c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CR74">
        <v>546600</v>
      </c>
      <c r="CS74">
        <v>2</v>
      </c>
    </row>
    <row r="75" spans="1:97" x14ac:dyDescent="0.4">
      <c r="A75" t="s">
        <v>246</v>
      </c>
      <c r="D75" t="s">
        <v>2370</v>
      </c>
      <c r="E75" t="s">
        <v>2371</v>
      </c>
      <c r="F75" t="s">
        <v>247</v>
      </c>
      <c r="G75" t="s">
        <v>2755</v>
      </c>
      <c r="H75">
        <v>9061386851</v>
      </c>
      <c r="I75" t="s">
        <v>248</v>
      </c>
      <c r="J75" t="s">
        <v>2433</v>
      </c>
      <c r="L75" t="s">
        <v>2756</v>
      </c>
      <c r="M75" t="s">
        <v>2444</v>
      </c>
      <c r="N75" t="s">
        <v>2757</v>
      </c>
      <c r="O75" t="s">
        <v>2758</v>
      </c>
      <c r="Q75" t="s">
        <v>2438</v>
      </c>
      <c r="R75" s="30">
        <v>45445</v>
      </c>
      <c r="S75" t="s">
        <v>44</v>
      </c>
      <c r="T75" s="30">
        <v>45828</v>
      </c>
      <c r="U75" s="20">
        <v>114300</v>
      </c>
      <c r="V75" s="31"/>
      <c r="W75" s="31"/>
      <c r="X75" s="31"/>
      <c r="Y75" s="31"/>
      <c r="Z75" s="31">
        <f t="shared" si="12"/>
        <v>114300</v>
      </c>
      <c r="AA75" s="31"/>
      <c r="AB75" s="31"/>
      <c r="AC75" s="31"/>
      <c r="AD75" s="31"/>
      <c r="AE75" s="31"/>
      <c r="AF75" s="31"/>
      <c r="AG75" s="31"/>
      <c r="AH75" s="31"/>
      <c r="AI75" s="32"/>
      <c r="AJ75" s="32"/>
      <c r="AK75" s="32"/>
      <c r="AL75" s="32"/>
      <c r="AM75" s="32">
        <v>19050</v>
      </c>
      <c r="AN75" s="32">
        <v>19050</v>
      </c>
      <c r="AO75" s="32">
        <v>19050</v>
      </c>
      <c r="AP75" s="32">
        <v>19050</v>
      </c>
      <c r="AQ75" s="32">
        <v>19050</v>
      </c>
      <c r="AR75" s="32">
        <v>19050</v>
      </c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CR75">
        <v>546600</v>
      </c>
      <c r="CS75">
        <v>2</v>
      </c>
    </row>
    <row r="76" spans="1:97" x14ac:dyDescent="0.4">
      <c r="A76" t="s">
        <v>249</v>
      </c>
      <c r="D76" t="s">
        <v>2370</v>
      </c>
      <c r="E76" t="s">
        <v>2371</v>
      </c>
      <c r="F76" t="s">
        <v>250</v>
      </c>
      <c r="G76" t="s">
        <v>2759</v>
      </c>
      <c r="H76">
        <v>9031102034</v>
      </c>
      <c r="I76" t="s">
        <v>251</v>
      </c>
      <c r="J76" t="s">
        <v>2433</v>
      </c>
      <c r="L76">
        <v>65</v>
      </c>
      <c r="M76" t="s">
        <v>2455</v>
      </c>
      <c r="N76" t="s">
        <v>2760</v>
      </c>
      <c r="O76" s="33">
        <v>45719</v>
      </c>
      <c r="Q76" t="s">
        <v>2438</v>
      </c>
      <c r="R76" s="30">
        <v>45445</v>
      </c>
      <c r="S76" t="s">
        <v>44</v>
      </c>
      <c r="T76" s="30">
        <v>45828</v>
      </c>
      <c r="U76" s="20">
        <v>114300</v>
      </c>
      <c r="V76" s="31"/>
      <c r="W76" s="31"/>
      <c r="X76" s="31"/>
      <c r="Y76" s="31"/>
      <c r="Z76" s="31">
        <f t="shared" si="12"/>
        <v>114300</v>
      </c>
      <c r="AA76" s="31"/>
      <c r="AB76" s="31"/>
      <c r="AC76" s="31"/>
      <c r="AD76" s="31"/>
      <c r="AE76" s="31"/>
      <c r="AF76" s="31"/>
      <c r="AG76" s="31"/>
      <c r="AH76" s="31"/>
      <c r="AI76" s="32"/>
      <c r="AJ76" s="32"/>
      <c r="AK76" s="32"/>
      <c r="AL76" s="32"/>
      <c r="AM76" s="32">
        <v>19050</v>
      </c>
      <c r="AN76" s="32">
        <v>19050</v>
      </c>
      <c r="AO76" s="32">
        <v>19050</v>
      </c>
      <c r="AP76" s="32">
        <v>19050</v>
      </c>
      <c r="AQ76" s="32">
        <v>19050</v>
      </c>
      <c r="AR76" s="32">
        <v>19050</v>
      </c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CR76">
        <v>546600</v>
      </c>
      <c r="CS76">
        <v>2</v>
      </c>
    </row>
    <row r="77" spans="1:97" x14ac:dyDescent="0.4">
      <c r="A77" t="s">
        <v>252</v>
      </c>
      <c r="D77" t="s">
        <v>2370</v>
      </c>
      <c r="E77" t="s">
        <v>2371</v>
      </c>
      <c r="F77" t="s">
        <v>253</v>
      </c>
      <c r="G77" t="s">
        <v>2761</v>
      </c>
      <c r="H77">
        <v>9040572506</v>
      </c>
      <c r="I77" t="s">
        <v>254</v>
      </c>
      <c r="J77" t="s">
        <v>2433</v>
      </c>
      <c r="L77" t="s">
        <v>2762</v>
      </c>
      <c r="M77" t="s">
        <v>2518</v>
      </c>
      <c r="N77" t="s">
        <v>2763</v>
      </c>
      <c r="O77" t="s">
        <v>2764</v>
      </c>
      <c r="Q77" t="s">
        <v>2438</v>
      </c>
      <c r="R77" s="30">
        <v>45445</v>
      </c>
      <c r="S77" t="s">
        <v>44</v>
      </c>
      <c r="T77" s="30">
        <v>45828</v>
      </c>
      <c r="U77" s="20">
        <v>114300</v>
      </c>
      <c r="V77" s="31"/>
      <c r="W77" s="31"/>
      <c r="X77" s="31"/>
      <c r="Y77" s="31"/>
      <c r="Z77" s="31">
        <f t="shared" si="12"/>
        <v>114300</v>
      </c>
      <c r="AA77" s="31"/>
      <c r="AB77" s="31"/>
      <c r="AC77" s="31"/>
      <c r="AD77" s="31"/>
      <c r="AE77" s="31"/>
      <c r="AF77" s="31"/>
      <c r="AG77" s="31"/>
      <c r="AH77" s="31"/>
      <c r="AI77" s="32"/>
      <c r="AJ77" s="32"/>
      <c r="AK77" s="32"/>
      <c r="AL77" s="32"/>
      <c r="AM77" s="32">
        <v>19050</v>
      </c>
      <c r="AN77" s="32">
        <v>19050</v>
      </c>
      <c r="AO77" s="32">
        <v>19050</v>
      </c>
      <c r="AP77" s="32">
        <v>19050</v>
      </c>
      <c r="AQ77" s="32">
        <v>19050</v>
      </c>
      <c r="AR77" s="32">
        <v>19050</v>
      </c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CR77">
        <v>546600</v>
      </c>
      <c r="CS77">
        <v>7</v>
      </c>
    </row>
    <row r="78" spans="1:97" x14ac:dyDescent="0.4">
      <c r="A78" t="s">
        <v>255</v>
      </c>
      <c r="D78" t="s">
        <v>2370</v>
      </c>
      <c r="E78" t="s">
        <v>2371</v>
      </c>
      <c r="F78" t="s">
        <v>256</v>
      </c>
      <c r="G78" t="s">
        <v>2765</v>
      </c>
      <c r="H78">
        <v>9097458625</v>
      </c>
      <c r="I78" t="s">
        <v>257</v>
      </c>
      <c r="J78" t="s">
        <v>2433</v>
      </c>
      <c r="L78" t="s">
        <v>2766</v>
      </c>
      <c r="M78" t="s">
        <v>2471</v>
      </c>
      <c r="N78" t="s">
        <v>2767</v>
      </c>
      <c r="O78" t="s">
        <v>2768</v>
      </c>
      <c r="Q78" t="s">
        <v>2438</v>
      </c>
      <c r="R78" s="30">
        <v>45445</v>
      </c>
      <c r="S78" t="s">
        <v>44</v>
      </c>
      <c r="T78" s="30">
        <v>45828</v>
      </c>
      <c r="U78" s="20">
        <v>114300</v>
      </c>
      <c r="V78" s="31"/>
      <c r="W78" s="31"/>
      <c r="X78" s="31"/>
      <c r="Y78" s="31"/>
      <c r="Z78" s="31">
        <f t="shared" si="12"/>
        <v>114300</v>
      </c>
      <c r="AA78" s="31"/>
      <c r="AB78" s="31"/>
      <c r="AC78" s="31"/>
      <c r="AD78" s="31"/>
      <c r="AE78" s="31"/>
      <c r="AF78" s="31"/>
      <c r="AG78" s="31"/>
      <c r="AH78" s="31"/>
      <c r="AI78" s="32"/>
      <c r="AJ78" s="32"/>
      <c r="AK78" s="32"/>
      <c r="AL78" s="32"/>
      <c r="AM78" s="32">
        <v>19050</v>
      </c>
      <c r="AN78" s="32">
        <v>19050</v>
      </c>
      <c r="AO78" s="32">
        <v>19050</v>
      </c>
      <c r="AP78" s="32">
        <v>19050</v>
      </c>
      <c r="AQ78" s="32">
        <v>19050</v>
      </c>
      <c r="AR78" s="32">
        <v>19050</v>
      </c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CR78">
        <v>546600</v>
      </c>
      <c r="CS78">
        <v>3</v>
      </c>
    </row>
    <row r="79" spans="1:97" x14ac:dyDescent="0.4">
      <c r="A79" t="s">
        <v>258</v>
      </c>
      <c r="D79" t="s">
        <v>2370</v>
      </c>
      <c r="E79" t="s">
        <v>2371</v>
      </c>
      <c r="F79" t="s">
        <v>259</v>
      </c>
      <c r="G79" t="s">
        <v>2769</v>
      </c>
      <c r="H79">
        <v>9010413863</v>
      </c>
      <c r="I79" t="s">
        <v>260</v>
      </c>
      <c r="J79" t="s">
        <v>2433</v>
      </c>
      <c r="L79" t="s">
        <v>2770</v>
      </c>
      <c r="M79" t="s">
        <v>2771</v>
      </c>
      <c r="N79" t="s">
        <v>2772</v>
      </c>
      <c r="O79" t="s">
        <v>2773</v>
      </c>
      <c r="Q79" t="s">
        <v>2438</v>
      </c>
      <c r="R79" s="30">
        <v>45445</v>
      </c>
      <c r="S79" t="s">
        <v>44</v>
      </c>
      <c r="T79" s="30">
        <v>45828</v>
      </c>
      <c r="U79" s="20">
        <v>114300</v>
      </c>
      <c r="V79" s="31"/>
      <c r="W79" s="31"/>
      <c r="X79" s="31"/>
      <c r="Y79" s="31"/>
      <c r="Z79" s="31">
        <f t="shared" si="12"/>
        <v>114300</v>
      </c>
      <c r="AA79" s="31"/>
      <c r="AB79" s="31"/>
      <c r="AC79" s="31"/>
      <c r="AD79" s="31"/>
      <c r="AE79" s="31"/>
      <c r="AF79" s="31"/>
      <c r="AG79" s="31"/>
      <c r="AH79" s="31"/>
      <c r="AI79" s="32"/>
      <c r="AJ79" s="32"/>
      <c r="AK79" s="32"/>
      <c r="AL79" s="32"/>
      <c r="AM79" s="32">
        <v>19050</v>
      </c>
      <c r="AN79" s="32">
        <v>19050</v>
      </c>
      <c r="AO79" s="32">
        <v>19050</v>
      </c>
      <c r="AP79" s="32">
        <v>19050</v>
      </c>
      <c r="AQ79" s="32">
        <v>19050</v>
      </c>
      <c r="AR79" s="32">
        <v>19050</v>
      </c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CR79">
        <v>546600</v>
      </c>
      <c r="CS79">
        <v>2</v>
      </c>
    </row>
    <row r="80" spans="1:97" x14ac:dyDescent="0.4">
      <c r="A80" t="s">
        <v>261</v>
      </c>
      <c r="D80" t="s">
        <v>2370</v>
      </c>
      <c r="E80" t="s">
        <v>2371</v>
      </c>
      <c r="F80" t="s">
        <v>262</v>
      </c>
      <c r="G80" t="s">
        <v>2774</v>
      </c>
      <c r="H80">
        <v>9033445306</v>
      </c>
      <c r="I80" t="s">
        <v>263</v>
      </c>
      <c r="J80" t="s">
        <v>2433</v>
      </c>
      <c r="L80" t="s">
        <v>2775</v>
      </c>
      <c r="M80" t="s">
        <v>2776</v>
      </c>
      <c r="N80" t="s">
        <v>2777</v>
      </c>
      <c r="O80" t="s">
        <v>2778</v>
      </c>
      <c r="Q80" t="s">
        <v>2438</v>
      </c>
      <c r="R80" s="30">
        <v>45445</v>
      </c>
      <c r="S80" t="s">
        <v>50</v>
      </c>
      <c r="T80" s="30">
        <v>45828</v>
      </c>
      <c r="U80" s="20">
        <v>114300</v>
      </c>
      <c r="V80" s="31"/>
      <c r="W80" s="31"/>
      <c r="X80" s="31"/>
      <c r="Y80" s="31"/>
      <c r="Z80" s="31">
        <f t="shared" si="12"/>
        <v>114300</v>
      </c>
      <c r="AA80" s="31"/>
      <c r="AB80" s="31"/>
      <c r="AC80" s="31"/>
      <c r="AD80" s="31"/>
      <c r="AE80" s="31"/>
      <c r="AF80" s="31"/>
      <c r="AG80" s="31"/>
      <c r="AH80" s="31"/>
      <c r="AI80" s="32"/>
      <c r="AJ80" s="32"/>
      <c r="AK80" s="32"/>
      <c r="AL80" s="32"/>
      <c r="AM80" s="32">
        <v>19050</v>
      </c>
      <c r="AN80" s="32">
        <v>19050</v>
      </c>
      <c r="AO80" s="32">
        <v>19050</v>
      </c>
      <c r="AP80" s="32">
        <v>19050</v>
      </c>
      <c r="AQ80" s="32">
        <v>19050</v>
      </c>
      <c r="AR80" s="32">
        <v>19050</v>
      </c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CR80">
        <v>546600</v>
      </c>
      <c r="CS80">
        <v>2</v>
      </c>
    </row>
    <row r="81" spans="1:97" x14ac:dyDescent="0.4">
      <c r="A81" t="s">
        <v>264</v>
      </c>
      <c r="D81" t="s">
        <v>2370</v>
      </c>
      <c r="E81" t="s">
        <v>2371</v>
      </c>
      <c r="F81" t="s">
        <v>265</v>
      </c>
      <c r="G81" t="s">
        <v>2779</v>
      </c>
      <c r="H81">
        <v>8050634694</v>
      </c>
      <c r="I81" t="s">
        <v>266</v>
      </c>
      <c r="J81" t="s">
        <v>2433</v>
      </c>
      <c r="L81" t="s">
        <v>2780</v>
      </c>
      <c r="M81" t="s">
        <v>2492</v>
      </c>
      <c r="N81" t="s">
        <v>2781</v>
      </c>
      <c r="O81" t="s">
        <v>2782</v>
      </c>
      <c r="Q81" t="s">
        <v>2438</v>
      </c>
      <c r="R81" s="30">
        <v>45445</v>
      </c>
      <c r="S81" t="s">
        <v>50</v>
      </c>
      <c r="T81" s="30">
        <v>45828</v>
      </c>
      <c r="U81" s="20">
        <v>114300</v>
      </c>
      <c r="V81" s="31"/>
      <c r="W81" s="31"/>
      <c r="X81" s="31"/>
      <c r="Y81" s="31"/>
      <c r="Z81" s="31">
        <f t="shared" si="12"/>
        <v>114300</v>
      </c>
      <c r="AA81" s="31"/>
      <c r="AB81" s="31"/>
      <c r="AC81" s="31"/>
      <c r="AD81" s="31"/>
      <c r="AE81" s="31"/>
      <c r="AF81" s="31"/>
      <c r="AG81" s="31"/>
      <c r="AH81" s="31"/>
      <c r="AI81" s="32"/>
      <c r="AJ81" s="32"/>
      <c r="AK81" s="32"/>
      <c r="AL81" s="32"/>
      <c r="AM81" s="32">
        <v>19050</v>
      </c>
      <c r="AN81" s="32">
        <v>19050</v>
      </c>
      <c r="AO81" s="32">
        <v>19050</v>
      </c>
      <c r="AP81" s="32">
        <v>19050</v>
      </c>
      <c r="AQ81" s="32">
        <v>19050</v>
      </c>
      <c r="AR81" s="32">
        <v>19050</v>
      </c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CR81">
        <v>546600</v>
      </c>
      <c r="CS81">
        <v>2</v>
      </c>
    </row>
    <row r="82" spans="1:97" x14ac:dyDescent="0.4">
      <c r="A82" t="s">
        <v>267</v>
      </c>
      <c r="D82" t="s">
        <v>2370</v>
      </c>
      <c r="E82" t="s">
        <v>2371</v>
      </c>
      <c r="F82" t="s">
        <v>268</v>
      </c>
      <c r="G82" t="s">
        <v>2783</v>
      </c>
      <c r="H82">
        <v>9030486899</v>
      </c>
      <c r="I82" t="s">
        <v>269</v>
      </c>
      <c r="J82" t="s">
        <v>2433</v>
      </c>
      <c r="L82" t="s">
        <v>2784</v>
      </c>
      <c r="M82" t="s">
        <v>2444</v>
      </c>
      <c r="N82" t="s">
        <v>2785</v>
      </c>
      <c r="O82" t="s">
        <v>2786</v>
      </c>
      <c r="Q82" t="s">
        <v>2438</v>
      </c>
      <c r="R82" s="30">
        <v>45445</v>
      </c>
      <c r="S82" t="s">
        <v>44</v>
      </c>
      <c r="T82" s="30">
        <v>45828</v>
      </c>
      <c r="U82" s="20">
        <v>114300</v>
      </c>
      <c r="V82" s="31"/>
      <c r="W82" s="31"/>
      <c r="X82" s="31"/>
      <c r="Y82" s="31"/>
      <c r="Z82" s="31">
        <f t="shared" si="12"/>
        <v>114300</v>
      </c>
      <c r="AA82" s="31"/>
      <c r="AB82" s="31"/>
      <c r="AC82" s="31"/>
      <c r="AD82" s="31"/>
      <c r="AE82" s="31"/>
      <c r="AF82" s="31"/>
      <c r="AG82" s="31"/>
      <c r="AH82" s="31"/>
      <c r="AI82" s="32"/>
      <c r="AJ82" s="32"/>
      <c r="AK82" s="32"/>
      <c r="AL82" s="32"/>
      <c r="AM82" s="32">
        <v>19050</v>
      </c>
      <c r="AN82" s="32">
        <v>19050</v>
      </c>
      <c r="AO82" s="32">
        <v>19050</v>
      </c>
      <c r="AP82" s="32">
        <v>19050</v>
      </c>
      <c r="AQ82" s="32">
        <v>19050</v>
      </c>
      <c r="AR82" s="32">
        <v>19050</v>
      </c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CR82">
        <v>546600</v>
      </c>
      <c r="CS82">
        <v>2</v>
      </c>
    </row>
    <row r="83" spans="1:97" x14ac:dyDescent="0.4">
      <c r="A83" t="s">
        <v>270</v>
      </c>
      <c r="D83" t="s">
        <v>2370</v>
      </c>
      <c r="E83" t="s">
        <v>2371</v>
      </c>
      <c r="F83" t="s">
        <v>271</v>
      </c>
      <c r="G83" t="s">
        <v>2787</v>
      </c>
      <c r="H83">
        <v>9016642250</v>
      </c>
      <c r="I83" t="s">
        <v>272</v>
      </c>
      <c r="J83" t="s">
        <v>2433</v>
      </c>
      <c r="L83" t="s">
        <v>2788</v>
      </c>
      <c r="M83" t="s">
        <v>2455</v>
      </c>
      <c r="N83" t="s">
        <v>2789</v>
      </c>
      <c r="O83" t="s">
        <v>2790</v>
      </c>
      <c r="Q83" t="s">
        <v>2637</v>
      </c>
      <c r="R83" s="30">
        <v>45445</v>
      </c>
      <c r="S83" t="s">
        <v>25</v>
      </c>
      <c r="T83" s="30">
        <v>45736</v>
      </c>
      <c r="U83">
        <v>59400</v>
      </c>
      <c r="V83" s="34"/>
      <c r="W83" s="34">
        <f>+U83</f>
        <v>59400</v>
      </c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5"/>
      <c r="AJ83" s="32">
        <v>19800</v>
      </c>
      <c r="AK83" s="32">
        <v>19800</v>
      </c>
      <c r="AL83" s="32">
        <v>19800</v>
      </c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CR83">
        <v>491700</v>
      </c>
      <c r="CS83">
        <v>2</v>
      </c>
    </row>
    <row r="84" spans="1:97" x14ac:dyDescent="0.4">
      <c r="A84" t="s">
        <v>273</v>
      </c>
      <c r="D84" t="s">
        <v>2370</v>
      </c>
      <c r="E84" t="s">
        <v>2371</v>
      </c>
      <c r="F84" t="s">
        <v>274</v>
      </c>
      <c r="G84" t="s">
        <v>2791</v>
      </c>
      <c r="H84">
        <v>8010743229</v>
      </c>
      <c r="I84" t="s">
        <v>275</v>
      </c>
      <c r="J84" t="s">
        <v>2433</v>
      </c>
      <c r="L84" t="s">
        <v>2792</v>
      </c>
      <c r="M84" t="s">
        <v>2444</v>
      </c>
      <c r="N84" t="s">
        <v>2793</v>
      </c>
      <c r="O84" t="s">
        <v>2794</v>
      </c>
      <c r="Q84" t="s">
        <v>2438</v>
      </c>
      <c r="R84" s="30">
        <v>45445</v>
      </c>
      <c r="S84" t="s">
        <v>44</v>
      </c>
      <c r="T84" s="30">
        <v>45828</v>
      </c>
      <c r="U84" s="20">
        <v>114300</v>
      </c>
      <c r="V84" s="31"/>
      <c r="W84" s="31"/>
      <c r="X84" s="31"/>
      <c r="Y84" s="31"/>
      <c r="Z84" s="31">
        <f t="shared" ref="Z84:Z114" si="13">+U84</f>
        <v>114300</v>
      </c>
      <c r="AA84" s="31"/>
      <c r="AB84" s="31"/>
      <c r="AC84" s="31"/>
      <c r="AD84" s="31"/>
      <c r="AE84" s="31"/>
      <c r="AF84" s="31"/>
      <c r="AG84" s="31"/>
      <c r="AH84" s="31"/>
      <c r="AI84" s="32"/>
      <c r="AJ84" s="32"/>
      <c r="AK84" s="32"/>
      <c r="AL84" s="32"/>
      <c r="AM84" s="32">
        <v>19050</v>
      </c>
      <c r="AN84" s="32">
        <v>19050</v>
      </c>
      <c r="AO84" s="32">
        <v>19050</v>
      </c>
      <c r="AP84" s="32">
        <v>19050</v>
      </c>
      <c r="AQ84" s="32">
        <v>19050</v>
      </c>
      <c r="AR84" s="32">
        <v>19050</v>
      </c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CR84">
        <v>546600</v>
      </c>
      <c r="CS84">
        <v>2</v>
      </c>
    </row>
    <row r="85" spans="1:97" x14ac:dyDescent="0.4">
      <c r="A85" t="s">
        <v>276</v>
      </c>
      <c r="D85" t="s">
        <v>2370</v>
      </c>
      <c r="E85" t="s">
        <v>2371</v>
      </c>
      <c r="F85" t="s">
        <v>277</v>
      </c>
      <c r="G85" t="s">
        <v>2795</v>
      </c>
      <c r="H85">
        <v>8010689551</v>
      </c>
      <c r="I85" t="s">
        <v>278</v>
      </c>
      <c r="J85" t="s">
        <v>2433</v>
      </c>
      <c r="L85" t="s">
        <v>2796</v>
      </c>
      <c r="M85" t="s">
        <v>2771</v>
      </c>
      <c r="N85" t="s">
        <v>2797</v>
      </c>
      <c r="O85" s="40">
        <v>35065</v>
      </c>
      <c r="Q85" t="s">
        <v>2438</v>
      </c>
      <c r="R85" s="30">
        <v>45445</v>
      </c>
      <c r="S85" t="s">
        <v>44</v>
      </c>
      <c r="T85" s="30">
        <v>45828</v>
      </c>
      <c r="U85" s="20">
        <v>114300</v>
      </c>
      <c r="V85" s="31"/>
      <c r="W85" s="31"/>
      <c r="X85" s="31"/>
      <c r="Y85" s="31"/>
      <c r="Z85" s="31">
        <f t="shared" si="13"/>
        <v>114300</v>
      </c>
      <c r="AA85" s="31"/>
      <c r="AB85" s="31"/>
      <c r="AC85" s="31"/>
      <c r="AD85" s="31"/>
      <c r="AE85" s="31"/>
      <c r="AF85" s="31"/>
      <c r="AG85" s="31"/>
      <c r="AH85" s="31"/>
      <c r="AI85" s="32"/>
      <c r="AJ85" s="32"/>
      <c r="AK85" s="32"/>
      <c r="AL85" s="32"/>
      <c r="AM85" s="32">
        <v>19050</v>
      </c>
      <c r="AN85" s="32">
        <v>19050</v>
      </c>
      <c r="AO85" s="32">
        <v>19050</v>
      </c>
      <c r="AP85" s="32">
        <v>19050</v>
      </c>
      <c r="AQ85" s="32">
        <v>19050</v>
      </c>
      <c r="AR85" s="32">
        <v>19050</v>
      </c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CR85">
        <v>546600</v>
      </c>
      <c r="CS85">
        <v>2</v>
      </c>
    </row>
    <row r="86" spans="1:97" x14ac:dyDescent="0.4">
      <c r="A86" t="s">
        <v>279</v>
      </c>
      <c r="D86" t="s">
        <v>2370</v>
      </c>
      <c r="E86" t="s">
        <v>2371</v>
      </c>
      <c r="F86" t="s">
        <v>280</v>
      </c>
      <c r="G86" t="s">
        <v>2798</v>
      </c>
      <c r="H86">
        <v>9012931517</v>
      </c>
      <c r="I86" t="s">
        <v>281</v>
      </c>
      <c r="J86" t="s">
        <v>2433</v>
      </c>
      <c r="L86" t="s">
        <v>2799</v>
      </c>
      <c r="M86" t="s">
        <v>2500</v>
      </c>
      <c r="N86" t="s">
        <v>2800</v>
      </c>
      <c r="O86" t="s">
        <v>2801</v>
      </c>
      <c r="Q86" t="s">
        <v>2438</v>
      </c>
      <c r="R86" s="30">
        <v>45445</v>
      </c>
      <c r="S86" t="s">
        <v>44</v>
      </c>
      <c r="T86" s="30">
        <v>45828</v>
      </c>
      <c r="U86" s="20">
        <v>114300</v>
      </c>
      <c r="V86" s="31"/>
      <c r="W86" s="31"/>
      <c r="X86" s="31"/>
      <c r="Y86" s="31"/>
      <c r="Z86" s="31">
        <f t="shared" si="13"/>
        <v>114300</v>
      </c>
      <c r="AA86" s="31"/>
      <c r="AB86" s="31"/>
      <c r="AC86" s="31"/>
      <c r="AD86" s="31"/>
      <c r="AE86" s="31"/>
      <c r="AF86" s="31"/>
      <c r="AG86" s="31"/>
      <c r="AH86" s="31"/>
      <c r="AI86" s="32"/>
      <c r="AJ86" s="32"/>
      <c r="AK86" s="32"/>
      <c r="AL86" s="32"/>
      <c r="AM86" s="32">
        <v>19050</v>
      </c>
      <c r="AN86" s="32">
        <v>19050</v>
      </c>
      <c r="AO86" s="32">
        <v>19050</v>
      </c>
      <c r="AP86" s="32">
        <v>19050</v>
      </c>
      <c r="AQ86" s="32">
        <v>19050</v>
      </c>
      <c r="AR86" s="32">
        <v>19050</v>
      </c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CR86">
        <v>546600</v>
      </c>
      <c r="CS86">
        <v>4</v>
      </c>
    </row>
    <row r="87" spans="1:97" x14ac:dyDescent="0.4">
      <c r="A87" t="s">
        <v>282</v>
      </c>
      <c r="D87" t="s">
        <v>2370</v>
      </c>
      <c r="E87" t="s">
        <v>2371</v>
      </c>
      <c r="F87" t="s">
        <v>283</v>
      </c>
      <c r="G87" t="s">
        <v>2802</v>
      </c>
      <c r="H87">
        <v>8054592303</v>
      </c>
      <c r="I87" t="s">
        <v>284</v>
      </c>
      <c r="J87" t="s">
        <v>2433</v>
      </c>
      <c r="L87" t="s">
        <v>2803</v>
      </c>
      <c r="M87" t="s">
        <v>2444</v>
      </c>
      <c r="N87" t="s">
        <v>2804</v>
      </c>
      <c r="O87" t="s">
        <v>2805</v>
      </c>
      <c r="Q87" t="s">
        <v>2438</v>
      </c>
      <c r="R87" s="30">
        <v>45445</v>
      </c>
      <c r="S87" t="s">
        <v>44</v>
      </c>
      <c r="T87" s="30">
        <v>45828</v>
      </c>
      <c r="U87" s="20">
        <v>114300</v>
      </c>
      <c r="V87" s="31"/>
      <c r="W87" s="31"/>
      <c r="X87" s="31"/>
      <c r="Y87" s="31"/>
      <c r="Z87" s="31">
        <f t="shared" si="13"/>
        <v>114300</v>
      </c>
      <c r="AA87" s="31"/>
      <c r="AB87" s="31"/>
      <c r="AC87" s="31"/>
      <c r="AD87" s="31"/>
      <c r="AE87" s="31"/>
      <c r="AF87" s="31"/>
      <c r="AG87" s="31"/>
      <c r="AH87" s="31"/>
      <c r="AI87" s="32"/>
      <c r="AJ87" s="32"/>
      <c r="AK87" s="32"/>
      <c r="AL87" s="32"/>
      <c r="AM87" s="32">
        <v>19050</v>
      </c>
      <c r="AN87" s="32">
        <v>19050</v>
      </c>
      <c r="AO87" s="32">
        <v>19050</v>
      </c>
      <c r="AP87" s="32">
        <v>19050</v>
      </c>
      <c r="AQ87" s="32">
        <v>19050</v>
      </c>
      <c r="AR87" s="32">
        <v>19050</v>
      </c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CR87">
        <v>664300</v>
      </c>
      <c r="CS87">
        <v>2</v>
      </c>
    </row>
    <row r="88" spans="1:97" x14ac:dyDescent="0.4">
      <c r="A88" t="s">
        <v>285</v>
      </c>
      <c r="D88" t="s">
        <v>2370</v>
      </c>
      <c r="E88" t="s">
        <v>2371</v>
      </c>
      <c r="F88" t="s">
        <v>286</v>
      </c>
      <c r="G88" t="s">
        <v>2806</v>
      </c>
      <c r="H88">
        <v>9094274863</v>
      </c>
      <c r="I88" t="s">
        <v>287</v>
      </c>
      <c r="J88" t="s">
        <v>2433</v>
      </c>
      <c r="L88" t="s">
        <v>2807</v>
      </c>
      <c r="M88" t="s">
        <v>2776</v>
      </c>
      <c r="N88" t="s">
        <v>2808</v>
      </c>
      <c r="O88" t="s">
        <v>2809</v>
      </c>
      <c r="Q88" t="s">
        <v>2438</v>
      </c>
      <c r="R88" s="30">
        <v>45445</v>
      </c>
      <c r="S88" t="s">
        <v>44</v>
      </c>
      <c r="T88" s="30">
        <v>45828</v>
      </c>
      <c r="U88" s="20">
        <v>114300</v>
      </c>
      <c r="V88" s="31"/>
      <c r="W88" s="31"/>
      <c r="X88" s="31"/>
      <c r="Y88" s="31"/>
      <c r="Z88" s="31">
        <f t="shared" si="13"/>
        <v>114300</v>
      </c>
      <c r="AA88" s="31"/>
      <c r="AB88" s="31"/>
      <c r="AC88" s="31"/>
      <c r="AD88" s="31"/>
      <c r="AE88" s="31"/>
      <c r="AF88" s="31"/>
      <c r="AG88" s="31"/>
      <c r="AH88" s="31"/>
      <c r="AI88" s="32"/>
      <c r="AJ88" s="32"/>
      <c r="AK88" s="32"/>
      <c r="AL88" s="32"/>
      <c r="AM88" s="32">
        <v>19050</v>
      </c>
      <c r="AN88" s="32">
        <v>19050</v>
      </c>
      <c r="AO88" s="32">
        <v>19050</v>
      </c>
      <c r="AP88" s="32">
        <v>19050</v>
      </c>
      <c r="AQ88" s="32">
        <v>19050</v>
      </c>
      <c r="AR88" s="32">
        <v>19050</v>
      </c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CR88">
        <v>546600</v>
      </c>
      <c r="CS88">
        <v>2</v>
      </c>
    </row>
    <row r="89" spans="1:97" x14ac:dyDescent="0.4">
      <c r="A89" t="s">
        <v>288</v>
      </c>
      <c r="D89" t="s">
        <v>2370</v>
      </c>
      <c r="E89" t="s">
        <v>2371</v>
      </c>
      <c r="F89" t="s">
        <v>289</v>
      </c>
      <c r="G89" t="s">
        <v>2810</v>
      </c>
      <c r="H89">
        <v>9012383082</v>
      </c>
      <c r="I89" t="s">
        <v>290</v>
      </c>
      <c r="J89" t="s">
        <v>2433</v>
      </c>
      <c r="L89" t="s">
        <v>2811</v>
      </c>
      <c r="M89" t="s">
        <v>2451</v>
      </c>
      <c r="N89" t="s">
        <v>2812</v>
      </c>
      <c r="O89">
        <v>174</v>
      </c>
      <c r="Q89" t="s">
        <v>2438</v>
      </c>
      <c r="R89" s="30">
        <v>45445</v>
      </c>
      <c r="S89" t="s">
        <v>44</v>
      </c>
      <c r="T89" s="30">
        <v>45828</v>
      </c>
      <c r="U89" s="20">
        <v>114300</v>
      </c>
      <c r="V89" s="31"/>
      <c r="W89" s="31"/>
      <c r="X89" s="31"/>
      <c r="Y89" s="31"/>
      <c r="Z89" s="31">
        <f t="shared" si="13"/>
        <v>114300</v>
      </c>
      <c r="AA89" s="31"/>
      <c r="AB89" s="31"/>
      <c r="AC89" s="31"/>
      <c r="AD89" s="31"/>
      <c r="AE89" s="31"/>
      <c r="AF89" s="31"/>
      <c r="AG89" s="31"/>
      <c r="AH89" s="31"/>
      <c r="AI89" s="32"/>
      <c r="AJ89" s="32"/>
      <c r="AK89" s="32"/>
      <c r="AL89" s="32"/>
      <c r="AM89" s="32">
        <v>19050</v>
      </c>
      <c r="AN89" s="32">
        <v>19050</v>
      </c>
      <c r="AO89" s="32">
        <v>19050</v>
      </c>
      <c r="AP89" s="32">
        <v>19050</v>
      </c>
      <c r="AQ89" s="32">
        <v>19050</v>
      </c>
      <c r="AR89" s="32">
        <v>19050</v>
      </c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CR89">
        <v>546600</v>
      </c>
      <c r="CS89">
        <v>7</v>
      </c>
    </row>
    <row r="90" spans="1:97" x14ac:dyDescent="0.4">
      <c r="A90" t="s">
        <v>291</v>
      </c>
      <c r="D90" t="s">
        <v>2370</v>
      </c>
      <c r="E90" t="s">
        <v>2371</v>
      </c>
      <c r="F90" t="s">
        <v>292</v>
      </c>
      <c r="G90" t="s">
        <v>2813</v>
      </c>
      <c r="H90">
        <v>9072700137</v>
      </c>
      <c r="I90" t="s">
        <v>293</v>
      </c>
      <c r="J90" t="s">
        <v>2433</v>
      </c>
      <c r="L90" t="s">
        <v>2814</v>
      </c>
      <c r="M90" t="s">
        <v>2465</v>
      </c>
      <c r="N90" t="s">
        <v>2815</v>
      </c>
      <c r="O90" s="33">
        <v>45714</v>
      </c>
      <c r="Q90" t="s">
        <v>2438</v>
      </c>
      <c r="R90" s="30">
        <v>45444</v>
      </c>
      <c r="S90" t="s">
        <v>50</v>
      </c>
      <c r="T90" s="30">
        <v>45828</v>
      </c>
      <c r="U90" s="20">
        <v>114300</v>
      </c>
      <c r="V90" s="31"/>
      <c r="W90" s="31"/>
      <c r="X90" s="31"/>
      <c r="Y90" s="31"/>
      <c r="Z90" s="31">
        <f t="shared" si="13"/>
        <v>114300</v>
      </c>
      <c r="AA90" s="31"/>
      <c r="AB90" s="31"/>
      <c r="AC90" s="31"/>
      <c r="AD90" s="31"/>
      <c r="AE90" s="31"/>
      <c r="AF90" s="31"/>
      <c r="AG90" s="31"/>
      <c r="AH90" s="31"/>
      <c r="AI90" s="32"/>
      <c r="AJ90" s="32"/>
      <c r="AK90" s="32"/>
      <c r="AL90" s="32"/>
      <c r="AM90" s="32">
        <v>19050</v>
      </c>
      <c r="AN90" s="32">
        <v>19050</v>
      </c>
      <c r="AO90" s="32">
        <v>19050</v>
      </c>
      <c r="AP90" s="32">
        <v>19050</v>
      </c>
      <c r="AQ90" s="32">
        <v>19050</v>
      </c>
      <c r="AR90" s="32">
        <v>19050</v>
      </c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CR90">
        <v>546600</v>
      </c>
      <c r="CS90">
        <v>2</v>
      </c>
    </row>
    <row r="91" spans="1:97" x14ac:dyDescent="0.4">
      <c r="A91" t="s">
        <v>294</v>
      </c>
      <c r="D91" t="s">
        <v>2370</v>
      </c>
      <c r="E91" t="s">
        <v>2371</v>
      </c>
      <c r="F91" t="s">
        <v>295</v>
      </c>
      <c r="G91" t="s">
        <v>2816</v>
      </c>
      <c r="H91">
        <v>9052123985</v>
      </c>
      <c r="I91" t="s">
        <v>296</v>
      </c>
      <c r="J91" t="s">
        <v>2433</v>
      </c>
      <c r="L91" t="s">
        <v>2817</v>
      </c>
      <c r="M91" t="s">
        <v>2444</v>
      </c>
      <c r="N91" t="s">
        <v>2818</v>
      </c>
      <c r="O91" t="s">
        <v>2819</v>
      </c>
      <c r="Q91" t="s">
        <v>2438</v>
      </c>
      <c r="R91" s="30">
        <v>45444</v>
      </c>
      <c r="S91" t="s">
        <v>44</v>
      </c>
      <c r="T91" s="30">
        <v>45828</v>
      </c>
      <c r="U91" s="20">
        <v>114300</v>
      </c>
      <c r="V91" s="31"/>
      <c r="W91" s="31"/>
      <c r="X91" s="31"/>
      <c r="Y91" s="31"/>
      <c r="Z91" s="31">
        <f t="shared" si="13"/>
        <v>114300</v>
      </c>
      <c r="AA91" s="31"/>
      <c r="AB91" s="31"/>
      <c r="AC91" s="31"/>
      <c r="AD91" s="31"/>
      <c r="AE91" s="31"/>
      <c r="AF91" s="31"/>
      <c r="AG91" s="31"/>
      <c r="AH91" s="31"/>
      <c r="AI91" s="32"/>
      <c r="AJ91" s="32"/>
      <c r="AK91" s="32"/>
      <c r="AL91" s="32"/>
      <c r="AM91" s="32">
        <v>19050</v>
      </c>
      <c r="AN91" s="32">
        <v>19050</v>
      </c>
      <c r="AO91" s="32">
        <v>19050</v>
      </c>
      <c r="AP91" s="32">
        <v>19050</v>
      </c>
      <c r="AQ91" s="32">
        <v>19050</v>
      </c>
      <c r="AR91" s="32">
        <v>19050</v>
      </c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CR91">
        <v>546600</v>
      </c>
      <c r="CS91">
        <v>2</v>
      </c>
    </row>
    <row r="92" spans="1:97" x14ac:dyDescent="0.4">
      <c r="A92" t="s">
        <v>297</v>
      </c>
      <c r="D92" t="s">
        <v>2370</v>
      </c>
      <c r="E92" t="s">
        <v>2371</v>
      </c>
      <c r="F92" t="s">
        <v>298</v>
      </c>
      <c r="G92" t="s">
        <v>2820</v>
      </c>
      <c r="H92">
        <v>9018924534</v>
      </c>
      <c r="I92" t="s">
        <v>299</v>
      </c>
      <c r="J92" t="s">
        <v>2433</v>
      </c>
      <c r="L92" t="s">
        <v>2821</v>
      </c>
      <c r="M92" t="s">
        <v>2460</v>
      </c>
      <c r="N92" t="s">
        <v>2822</v>
      </c>
      <c r="O92" t="s">
        <v>2823</v>
      </c>
      <c r="Q92" t="s">
        <v>2438</v>
      </c>
      <c r="R92" s="30">
        <v>45444</v>
      </c>
      <c r="S92" t="s">
        <v>44</v>
      </c>
      <c r="T92" s="30">
        <v>45828</v>
      </c>
      <c r="U92" s="20">
        <v>114300</v>
      </c>
      <c r="V92" s="31"/>
      <c r="W92" s="31"/>
      <c r="X92" s="31"/>
      <c r="Y92" s="31"/>
      <c r="Z92" s="31">
        <f t="shared" si="13"/>
        <v>114300</v>
      </c>
      <c r="AA92" s="31"/>
      <c r="AB92" s="31"/>
      <c r="AC92" s="31"/>
      <c r="AD92" s="31"/>
      <c r="AE92" s="31"/>
      <c r="AF92" s="31"/>
      <c r="AG92" s="31"/>
      <c r="AH92" s="31"/>
      <c r="AI92" s="32"/>
      <c r="AJ92" s="32"/>
      <c r="AK92" s="32"/>
      <c r="AL92" s="32"/>
      <c r="AM92" s="32">
        <v>19050</v>
      </c>
      <c r="AN92" s="32">
        <v>19050</v>
      </c>
      <c r="AO92" s="32">
        <v>19050</v>
      </c>
      <c r="AP92" s="32">
        <v>19050</v>
      </c>
      <c r="AQ92" s="32">
        <v>19050</v>
      </c>
      <c r="AR92" s="32">
        <v>19050</v>
      </c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CR92">
        <v>546600</v>
      </c>
      <c r="CS92">
        <v>2</v>
      </c>
    </row>
    <row r="93" spans="1:97" x14ac:dyDescent="0.4">
      <c r="A93" t="s">
        <v>300</v>
      </c>
      <c r="D93" t="s">
        <v>2370</v>
      </c>
      <c r="E93" t="s">
        <v>2371</v>
      </c>
      <c r="F93" t="s">
        <v>301</v>
      </c>
      <c r="G93" t="s">
        <v>2824</v>
      </c>
      <c r="H93">
        <v>9090747165</v>
      </c>
      <c r="I93" t="s">
        <v>302</v>
      </c>
      <c r="J93" t="s">
        <v>2433</v>
      </c>
      <c r="L93" t="s">
        <v>2825</v>
      </c>
      <c r="M93" t="s">
        <v>2715</v>
      </c>
      <c r="N93" t="s">
        <v>2826</v>
      </c>
      <c r="O93" t="s">
        <v>2827</v>
      </c>
      <c r="Q93" t="s">
        <v>2438</v>
      </c>
      <c r="R93" s="30">
        <v>45444</v>
      </c>
      <c r="S93" t="s">
        <v>44</v>
      </c>
      <c r="T93" s="30">
        <v>45828</v>
      </c>
      <c r="U93" s="20">
        <v>114300</v>
      </c>
      <c r="V93" s="31"/>
      <c r="W93" s="31"/>
      <c r="X93" s="31"/>
      <c r="Y93" s="31"/>
      <c r="Z93" s="31">
        <f t="shared" si="13"/>
        <v>114300</v>
      </c>
      <c r="AA93" s="31"/>
      <c r="AB93" s="31"/>
      <c r="AC93" s="31"/>
      <c r="AD93" s="31"/>
      <c r="AE93" s="31"/>
      <c r="AF93" s="31"/>
      <c r="AG93" s="31"/>
      <c r="AH93" s="31"/>
      <c r="AI93" s="32"/>
      <c r="AJ93" s="32"/>
      <c r="AK93" s="32"/>
      <c r="AL93" s="32"/>
      <c r="AM93" s="32">
        <v>19050</v>
      </c>
      <c r="AN93" s="32">
        <v>19050</v>
      </c>
      <c r="AO93" s="32">
        <v>19050</v>
      </c>
      <c r="AP93" s="32">
        <v>19050</v>
      </c>
      <c r="AQ93" s="32">
        <v>19050</v>
      </c>
      <c r="AR93" s="32">
        <v>19050</v>
      </c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CR93">
        <v>546600</v>
      </c>
      <c r="CS93">
        <v>2</v>
      </c>
    </row>
    <row r="94" spans="1:97" x14ac:dyDescent="0.4">
      <c r="A94" t="s">
        <v>303</v>
      </c>
      <c r="D94" t="s">
        <v>2370</v>
      </c>
      <c r="E94" t="s">
        <v>2371</v>
      </c>
      <c r="F94" t="s">
        <v>304</v>
      </c>
      <c r="G94" t="s">
        <v>2828</v>
      </c>
      <c r="H94">
        <v>9095563537</v>
      </c>
      <c r="I94" t="s">
        <v>305</v>
      </c>
      <c r="J94" t="s">
        <v>2433</v>
      </c>
      <c r="L94" t="s">
        <v>2829</v>
      </c>
      <c r="M94" t="s">
        <v>2830</v>
      </c>
      <c r="N94" t="s">
        <v>2831</v>
      </c>
      <c r="O94" t="s">
        <v>2832</v>
      </c>
      <c r="Q94" t="s">
        <v>2438</v>
      </c>
      <c r="R94" s="30">
        <v>45444</v>
      </c>
      <c r="S94" t="s">
        <v>44</v>
      </c>
      <c r="T94" s="30">
        <v>45828</v>
      </c>
      <c r="U94" s="20">
        <v>114300</v>
      </c>
      <c r="V94" s="31"/>
      <c r="W94" s="31"/>
      <c r="X94" s="31"/>
      <c r="Y94" s="31"/>
      <c r="Z94" s="31">
        <f t="shared" si="13"/>
        <v>114300</v>
      </c>
      <c r="AA94" s="31"/>
      <c r="AB94" s="31"/>
      <c r="AC94" s="31"/>
      <c r="AD94" s="31"/>
      <c r="AE94" s="31"/>
      <c r="AF94" s="31"/>
      <c r="AG94" s="31"/>
      <c r="AH94" s="31"/>
      <c r="AI94" s="32"/>
      <c r="AJ94" s="32"/>
      <c r="AK94" s="32"/>
      <c r="AL94" s="32"/>
      <c r="AM94" s="32">
        <v>19050</v>
      </c>
      <c r="AN94" s="32">
        <v>19050</v>
      </c>
      <c r="AO94" s="32">
        <v>19050</v>
      </c>
      <c r="AP94" s="32">
        <v>19050</v>
      </c>
      <c r="AQ94" s="32">
        <v>19050</v>
      </c>
      <c r="AR94" s="32">
        <v>19050</v>
      </c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CR94">
        <v>546600</v>
      </c>
      <c r="CS94">
        <v>2</v>
      </c>
    </row>
    <row r="95" spans="1:97" x14ac:dyDescent="0.4">
      <c r="A95" t="s">
        <v>306</v>
      </c>
      <c r="D95" t="s">
        <v>2370</v>
      </c>
      <c r="E95" t="s">
        <v>2371</v>
      </c>
      <c r="F95" t="s">
        <v>307</v>
      </c>
      <c r="G95" t="s">
        <v>2833</v>
      </c>
      <c r="H95">
        <v>9042673580</v>
      </c>
      <c r="I95" t="s">
        <v>308</v>
      </c>
      <c r="J95" t="s">
        <v>2433</v>
      </c>
      <c r="L95" t="s">
        <v>2834</v>
      </c>
      <c r="M95" t="s">
        <v>2500</v>
      </c>
      <c r="N95" t="s">
        <v>2835</v>
      </c>
      <c r="O95">
        <v>31</v>
      </c>
      <c r="Q95" t="s">
        <v>2438</v>
      </c>
      <c r="R95" s="30">
        <v>45444</v>
      </c>
      <c r="S95" t="s">
        <v>44</v>
      </c>
      <c r="T95" s="30">
        <v>45828</v>
      </c>
      <c r="U95" s="20">
        <v>114300</v>
      </c>
      <c r="V95" s="31"/>
      <c r="W95" s="31"/>
      <c r="X95" s="31"/>
      <c r="Y95" s="31"/>
      <c r="Z95" s="31">
        <f t="shared" si="13"/>
        <v>114300</v>
      </c>
      <c r="AA95" s="31"/>
      <c r="AB95" s="31"/>
      <c r="AC95" s="31"/>
      <c r="AD95" s="31"/>
      <c r="AE95" s="31"/>
      <c r="AF95" s="31"/>
      <c r="AG95" s="31"/>
      <c r="AH95" s="31"/>
      <c r="AI95" s="32"/>
      <c r="AJ95" s="32"/>
      <c r="AK95" s="32"/>
      <c r="AL95" s="32"/>
      <c r="AM95" s="32">
        <v>19050</v>
      </c>
      <c r="AN95" s="32">
        <v>19050</v>
      </c>
      <c r="AO95" s="32">
        <v>19050</v>
      </c>
      <c r="AP95" s="32">
        <v>19050</v>
      </c>
      <c r="AQ95" s="32">
        <v>19050</v>
      </c>
      <c r="AR95" s="32">
        <v>19050</v>
      </c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CR95">
        <v>546600</v>
      </c>
      <c r="CS95">
        <v>7</v>
      </c>
    </row>
    <row r="96" spans="1:97" x14ac:dyDescent="0.4">
      <c r="A96" t="s">
        <v>309</v>
      </c>
      <c r="D96" t="s">
        <v>2370</v>
      </c>
      <c r="E96" t="s">
        <v>2371</v>
      </c>
      <c r="F96" t="s">
        <v>310</v>
      </c>
      <c r="G96" t="s">
        <v>2836</v>
      </c>
      <c r="H96">
        <v>8015075721</v>
      </c>
      <c r="I96" t="s">
        <v>311</v>
      </c>
      <c r="J96" t="s">
        <v>2433</v>
      </c>
      <c r="L96" t="s">
        <v>2837</v>
      </c>
      <c r="M96" t="s">
        <v>2435</v>
      </c>
      <c r="N96" t="s">
        <v>2838</v>
      </c>
      <c r="O96" t="s">
        <v>2839</v>
      </c>
      <c r="Q96" t="s">
        <v>2438</v>
      </c>
      <c r="R96" s="30">
        <v>45444</v>
      </c>
      <c r="S96" t="s">
        <v>44</v>
      </c>
      <c r="T96" s="30">
        <v>45828</v>
      </c>
      <c r="U96" s="20">
        <v>114300</v>
      </c>
      <c r="V96" s="31"/>
      <c r="W96" s="31"/>
      <c r="X96" s="31"/>
      <c r="Y96" s="31"/>
      <c r="Z96" s="31">
        <f t="shared" si="13"/>
        <v>114300</v>
      </c>
      <c r="AA96" s="31"/>
      <c r="AB96" s="31"/>
      <c r="AC96" s="31"/>
      <c r="AD96" s="31"/>
      <c r="AE96" s="31"/>
      <c r="AF96" s="31"/>
      <c r="AG96" s="31"/>
      <c r="AH96" s="31"/>
      <c r="AI96" s="32"/>
      <c r="AJ96" s="32"/>
      <c r="AK96" s="32"/>
      <c r="AL96" s="32"/>
      <c r="AM96" s="32">
        <v>19050</v>
      </c>
      <c r="AN96" s="32">
        <v>19050</v>
      </c>
      <c r="AO96" s="32">
        <v>19050</v>
      </c>
      <c r="AP96" s="32">
        <v>19050</v>
      </c>
      <c r="AQ96" s="32">
        <v>19050</v>
      </c>
      <c r="AR96" s="32">
        <v>19050</v>
      </c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CR96">
        <v>546600</v>
      </c>
      <c r="CS96">
        <v>2</v>
      </c>
    </row>
    <row r="97" spans="1:97" x14ac:dyDescent="0.4">
      <c r="A97" t="s">
        <v>312</v>
      </c>
      <c r="D97" t="s">
        <v>2370</v>
      </c>
      <c r="E97" t="s">
        <v>2371</v>
      </c>
      <c r="F97" t="s">
        <v>313</v>
      </c>
      <c r="G97" t="s">
        <v>2840</v>
      </c>
      <c r="H97">
        <v>9086056212</v>
      </c>
      <c r="I97" t="s">
        <v>314</v>
      </c>
      <c r="J97" t="s">
        <v>2433</v>
      </c>
      <c r="L97" t="s">
        <v>2841</v>
      </c>
      <c r="M97" t="s">
        <v>2444</v>
      </c>
      <c r="N97" t="s">
        <v>2842</v>
      </c>
      <c r="O97" t="s">
        <v>2843</v>
      </c>
      <c r="Q97" t="s">
        <v>2438</v>
      </c>
      <c r="R97" s="30">
        <v>45444</v>
      </c>
      <c r="S97" t="s">
        <v>44</v>
      </c>
      <c r="T97" s="30">
        <v>45828</v>
      </c>
      <c r="U97" s="20">
        <v>114300</v>
      </c>
      <c r="V97" s="31"/>
      <c r="W97" s="31"/>
      <c r="X97" s="31"/>
      <c r="Y97" s="31"/>
      <c r="Z97" s="31">
        <f t="shared" si="13"/>
        <v>114300</v>
      </c>
      <c r="AA97" s="31"/>
      <c r="AB97" s="31"/>
      <c r="AC97" s="31"/>
      <c r="AD97" s="31"/>
      <c r="AE97" s="31"/>
      <c r="AF97" s="31"/>
      <c r="AG97" s="31"/>
      <c r="AH97" s="31"/>
      <c r="AI97" s="32"/>
      <c r="AJ97" s="32"/>
      <c r="AK97" s="32"/>
      <c r="AL97" s="32"/>
      <c r="AM97" s="32">
        <v>19050</v>
      </c>
      <c r="AN97" s="32">
        <v>19050</v>
      </c>
      <c r="AO97" s="32">
        <v>19050</v>
      </c>
      <c r="AP97" s="32">
        <v>19050</v>
      </c>
      <c r="AQ97" s="32">
        <v>19050</v>
      </c>
      <c r="AR97" s="32">
        <v>19050</v>
      </c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CR97">
        <v>546600</v>
      </c>
      <c r="CS97">
        <v>2</v>
      </c>
    </row>
    <row r="98" spans="1:97" x14ac:dyDescent="0.4">
      <c r="A98" t="s">
        <v>315</v>
      </c>
      <c r="D98" t="s">
        <v>2370</v>
      </c>
      <c r="E98" t="s">
        <v>2371</v>
      </c>
      <c r="F98" t="s">
        <v>316</v>
      </c>
      <c r="G98" t="s">
        <v>2844</v>
      </c>
      <c r="H98">
        <v>9049793824</v>
      </c>
      <c r="I98" t="s">
        <v>317</v>
      </c>
      <c r="J98" t="s">
        <v>2433</v>
      </c>
      <c r="L98" t="s">
        <v>2845</v>
      </c>
      <c r="M98" t="s">
        <v>2444</v>
      </c>
      <c r="N98" t="s">
        <v>2846</v>
      </c>
      <c r="O98" t="s">
        <v>2847</v>
      </c>
      <c r="Q98" t="s">
        <v>2438</v>
      </c>
      <c r="R98" s="30">
        <v>45444</v>
      </c>
      <c r="S98" t="s">
        <v>44</v>
      </c>
      <c r="T98" s="30">
        <v>45828</v>
      </c>
      <c r="U98" s="20">
        <v>114300</v>
      </c>
      <c r="V98" s="31"/>
      <c r="W98" s="31"/>
      <c r="X98" s="31"/>
      <c r="Y98" s="31"/>
      <c r="Z98" s="31">
        <f t="shared" si="13"/>
        <v>114300</v>
      </c>
      <c r="AA98" s="31"/>
      <c r="AB98" s="31"/>
      <c r="AC98" s="31"/>
      <c r="AD98" s="31"/>
      <c r="AE98" s="31"/>
      <c r="AF98" s="31"/>
      <c r="AG98" s="31"/>
      <c r="AH98" s="31"/>
      <c r="AI98" s="32"/>
      <c r="AJ98" s="32"/>
      <c r="AK98" s="32"/>
      <c r="AL98" s="32"/>
      <c r="AM98" s="32">
        <v>19050</v>
      </c>
      <c r="AN98" s="32">
        <v>19050</v>
      </c>
      <c r="AO98" s="32">
        <v>19050</v>
      </c>
      <c r="AP98" s="32">
        <v>19050</v>
      </c>
      <c r="AQ98" s="32">
        <v>19050</v>
      </c>
      <c r="AR98" s="32">
        <v>19050</v>
      </c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CR98">
        <v>546600</v>
      </c>
      <c r="CS98">
        <v>2</v>
      </c>
    </row>
    <row r="99" spans="1:97" x14ac:dyDescent="0.4">
      <c r="A99" t="s">
        <v>318</v>
      </c>
      <c r="D99" t="s">
        <v>2370</v>
      </c>
      <c r="E99" t="s">
        <v>2371</v>
      </c>
      <c r="F99" t="s">
        <v>319</v>
      </c>
      <c r="G99" t="s">
        <v>2848</v>
      </c>
      <c r="H99">
        <v>9065813818</v>
      </c>
      <c r="I99" t="s">
        <v>320</v>
      </c>
      <c r="J99" t="s">
        <v>2433</v>
      </c>
      <c r="L99" t="s">
        <v>2849</v>
      </c>
      <c r="M99" t="s">
        <v>2444</v>
      </c>
      <c r="N99" t="s">
        <v>2850</v>
      </c>
      <c r="O99" t="s">
        <v>2851</v>
      </c>
      <c r="Q99" t="s">
        <v>2438</v>
      </c>
      <c r="R99" s="30">
        <v>45444</v>
      </c>
      <c r="S99" t="s">
        <v>44</v>
      </c>
      <c r="T99" s="30">
        <v>45828</v>
      </c>
      <c r="U99" s="20">
        <v>114300</v>
      </c>
      <c r="V99" s="31"/>
      <c r="W99" s="31"/>
      <c r="X99" s="31"/>
      <c r="Y99" s="31"/>
      <c r="Z99" s="31">
        <f t="shared" si="13"/>
        <v>114300</v>
      </c>
      <c r="AA99" s="31"/>
      <c r="AB99" s="31"/>
      <c r="AC99" s="31"/>
      <c r="AD99" s="31"/>
      <c r="AE99" s="31"/>
      <c r="AF99" s="31"/>
      <c r="AG99" s="31"/>
      <c r="AH99" s="31"/>
      <c r="AI99" s="32"/>
      <c r="AJ99" s="32"/>
      <c r="AK99" s="32"/>
      <c r="AL99" s="32"/>
      <c r="AM99" s="32">
        <v>19050</v>
      </c>
      <c r="AN99" s="32">
        <v>19050</v>
      </c>
      <c r="AO99" s="32">
        <v>19050</v>
      </c>
      <c r="AP99" s="32">
        <v>19050</v>
      </c>
      <c r="AQ99" s="32">
        <v>19050</v>
      </c>
      <c r="AR99" s="32">
        <v>19050</v>
      </c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CR99">
        <v>432300</v>
      </c>
      <c r="CS99">
        <v>1</v>
      </c>
    </row>
    <row r="100" spans="1:97" x14ac:dyDescent="0.4">
      <c r="A100" t="s">
        <v>321</v>
      </c>
      <c r="D100" t="s">
        <v>2370</v>
      </c>
      <c r="E100" t="s">
        <v>2371</v>
      </c>
      <c r="F100" t="s">
        <v>322</v>
      </c>
      <c r="G100" t="s">
        <v>2852</v>
      </c>
      <c r="H100">
        <v>9028313987</v>
      </c>
      <c r="I100" t="s">
        <v>323</v>
      </c>
      <c r="J100" t="s">
        <v>2433</v>
      </c>
      <c r="L100" t="s">
        <v>2853</v>
      </c>
      <c r="M100" t="s">
        <v>2541</v>
      </c>
      <c r="N100" t="s">
        <v>2854</v>
      </c>
      <c r="O100" t="s">
        <v>2855</v>
      </c>
      <c r="Q100" t="s">
        <v>2438</v>
      </c>
      <c r="R100" s="30">
        <v>45444</v>
      </c>
      <c r="S100" t="s">
        <v>44</v>
      </c>
      <c r="T100" s="30">
        <v>45828</v>
      </c>
      <c r="U100" s="20">
        <v>114300</v>
      </c>
      <c r="V100" s="31"/>
      <c r="W100" s="31"/>
      <c r="X100" s="31"/>
      <c r="Y100" s="31"/>
      <c r="Z100" s="31">
        <f t="shared" si="13"/>
        <v>114300</v>
      </c>
      <c r="AA100" s="31"/>
      <c r="AB100" s="31"/>
      <c r="AC100" s="31"/>
      <c r="AD100" s="31"/>
      <c r="AE100" s="31"/>
      <c r="AF100" s="31"/>
      <c r="AG100" s="31"/>
      <c r="AH100" s="31"/>
      <c r="AI100" s="32"/>
      <c r="AJ100" s="32"/>
      <c r="AK100" s="32"/>
      <c r="AL100" s="32"/>
      <c r="AM100" s="32">
        <v>19050</v>
      </c>
      <c r="AN100" s="32">
        <v>19050</v>
      </c>
      <c r="AO100" s="32">
        <v>19050</v>
      </c>
      <c r="AP100" s="32">
        <v>19050</v>
      </c>
      <c r="AQ100" s="32">
        <v>19050</v>
      </c>
      <c r="AR100" s="32">
        <v>19050</v>
      </c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CR100">
        <v>546600</v>
      </c>
      <c r="CS100">
        <v>2</v>
      </c>
    </row>
    <row r="101" spans="1:97" x14ac:dyDescent="0.4">
      <c r="A101" t="s">
        <v>324</v>
      </c>
      <c r="D101" t="s">
        <v>2370</v>
      </c>
      <c r="E101" t="s">
        <v>2371</v>
      </c>
      <c r="F101" t="s">
        <v>325</v>
      </c>
      <c r="G101" t="s">
        <v>2856</v>
      </c>
      <c r="H101">
        <v>7015758942</v>
      </c>
      <c r="I101" t="s">
        <v>326</v>
      </c>
      <c r="J101" t="s">
        <v>2433</v>
      </c>
      <c r="L101" t="s">
        <v>2857</v>
      </c>
      <c r="M101" t="s">
        <v>2518</v>
      </c>
      <c r="N101" t="s">
        <v>2858</v>
      </c>
      <c r="O101" t="s">
        <v>2859</v>
      </c>
      <c r="Q101" t="s">
        <v>2438</v>
      </c>
      <c r="R101" s="30">
        <v>45444</v>
      </c>
      <c r="S101" t="s">
        <v>50</v>
      </c>
      <c r="T101" s="30">
        <v>45828</v>
      </c>
      <c r="U101" s="20">
        <v>114300</v>
      </c>
      <c r="V101" s="31"/>
      <c r="W101" s="31"/>
      <c r="X101" s="31"/>
      <c r="Y101" s="31"/>
      <c r="Z101" s="31">
        <f t="shared" si="13"/>
        <v>114300</v>
      </c>
      <c r="AA101" s="31"/>
      <c r="AB101" s="31"/>
      <c r="AC101" s="31"/>
      <c r="AD101" s="31"/>
      <c r="AE101" s="31"/>
      <c r="AF101" s="31"/>
      <c r="AG101" s="31"/>
      <c r="AH101" s="31"/>
      <c r="AI101" s="32"/>
      <c r="AJ101" s="32"/>
      <c r="AK101" s="32"/>
      <c r="AL101" s="32"/>
      <c r="AM101" s="32">
        <v>19050</v>
      </c>
      <c r="AN101" s="32">
        <v>19050</v>
      </c>
      <c r="AO101" s="32">
        <v>19050</v>
      </c>
      <c r="AP101" s="32">
        <v>19050</v>
      </c>
      <c r="AQ101" s="32">
        <v>19050</v>
      </c>
      <c r="AR101" s="32">
        <v>19050</v>
      </c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CR101">
        <v>546600</v>
      </c>
      <c r="CS101">
        <v>2</v>
      </c>
    </row>
    <row r="102" spans="1:97" x14ac:dyDescent="0.4">
      <c r="A102" t="s">
        <v>327</v>
      </c>
      <c r="D102" t="s">
        <v>2370</v>
      </c>
      <c r="E102" t="s">
        <v>2371</v>
      </c>
      <c r="F102" t="s">
        <v>328</v>
      </c>
      <c r="G102" t="s">
        <v>2860</v>
      </c>
      <c r="H102">
        <v>9038478591</v>
      </c>
      <c r="I102" t="s">
        <v>329</v>
      </c>
      <c r="J102" t="s">
        <v>2433</v>
      </c>
      <c r="L102" t="s">
        <v>2861</v>
      </c>
      <c r="M102" t="s">
        <v>2630</v>
      </c>
      <c r="N102" t="s">
        <v>2862</v>
      </c>
      <c r="O102" t="s">
        <v>2863</v>
      </c>
      <c r="Q102" t="s">
        <v>2438</v>
      </c>
      <c r="R102" s="30">
        <v>45444</v>
      </c>
      <c r="S102" t="s">
        <v>44</v>
      </c>
      <c r="T102" s="30">
        <v>45828</v>
      </c>
      <c r="U102" s="20">
        <v>114300</v>
      </c>
      <c r="V102" s="31"/>
      <c r="W102" s="31"/>
      <c r="X102" s="31"/>
      <c r="Y102" s="31"/>
      <c r="Z102" s="31">
        <f t="shared" si="13"/>
        <v>114300</v>
      </c>
      <c r="AA102" s="31"/>
      <c r="AB102" s="31"/>
      <c r="AC102" s="31"/>
      <c r="AD102" s="31"/>
      <c r="AE102" s="31"/>
      <c r="AF102" s="31"/>
      <c r="AG102" s="31"/>
      <c r="AH102" s="31"/>
      <c r="AI102" s="32"/>
      <c r="AJ102" s="32"/>
      <c r="AK102" s="32"/>
      <c r="AL102" s="32"/>
      <c r="AM102" s="32">
        <v>19050</v>
      </c>
      <c r="AN102" s="32">
        <v>19050</v>
      </c>
      <c r="AO102" s="32">
        <v>19050</v>
      </c>
      <c r="AP102" s="32">
        <v>19050</v>
      </c>
      <c r="AQ102" s="32">
        <v>19050</v>
      </c>
      <c r="AR102" s="32">
        <v>19050</v>
      </c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CR102">
        <v>546600</v>
      </c>
      <c r="CS102">
        <v>7</v>
      </c>
    </row>
    <row r="103" spans="1:97" x14ac:dyDescent="0.4">
      <c r="A103" t="s">
        <v>330</v>
      </c>
      <c r="D103" t="s">
        <v>2370</v>
      </c>
      <c r="E103" t="s">
        <v>2371</v>
      </c>
      <c r="F103" t="s">
        <v>331</v>
      </c>
      <c r="G103" t="s">
        <v>2864</v>
      </c>
      <c r="H103">
        <v>8050874909</v>
      </c>
      <c r="I103" t="s">
        <v>332</v>
      </c>
      <c r="J103" t="s">
        <v>2433</v>
      </c>
      <c r="L103" t="s">
        <v>2865</v>
      </c>
      <c r="M103" t="s">
        <v>2776</v>
      </c>
      <c r="N103" t="s">
        <v>2866</v>
      </c>
      <c r="O103" t="s">
        <v>2867</v>
      </c>
      <c r="Q103" t="s">
        <v>2438</v>
      </c>
      <c r="R103" s="30">
        <v>45443</v>
      </c>
      <c r="S103" t="s">
        <v>44</v>
      </c>
      <c r="T103" s="30">
        <v>45828</v>
      </c>
      <c r="U103" s="20">
        <v>114300</v>
      </c>
      <c r="V103" s="31"/>
      <c r="W103" s="31"/>
      <c r="X103" s="31"/>
      <c r="Y103" s="31"/>
      <c r="Z103" s="31">
        <f t="shared" si="13"/>
        <v>114300</v>
      </c>
      <c r="AA103" s="31"/>
      <c r="AB103" s="31"/>
      <c r="AC103" s="31"/>
      <c r="AD103" s="31"/>
      <c r="AE103" s="31"/>
      <c r="AF103" s="31"/>
      <c r="AG103" s="31"/>
      <c r="AH103" s="31"/>
      <c r="AI103" s="32"/>
      <c r="AJ103" s="32"/>
      <c r="AK103" s="32"/>
      <c r="AL103" s="32"/>
      <c r="AM103" s="32">
        <v>19050</v>
      </c>
      <c r="AN103" s="32">
        <v>19050</v>
      </c>
      <c r="AO103" s="32">
        <v>19050</v>
      </c>
      <c r="AP103" s="32">
        <v>19050</v>
      </c>
      <c r="AQ103" s="32">
        <v>19050</v>
      </c>
      <c r="AR103" s="32">
        <v>19050</v>
      </c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CR103">
        <v>546600</v>
      </c>
      <c r="CS103">
        <v>3</v>
      </c>
    </row>
    <row r="104" spans="1:97" x14ac:dyDescent="0.4">
      <c r="A104" t="s">
        <v>334</v>
      </c>
      <c r="D104" t="s">
        <v>2370</v>
      </c>
      <c r="E104" t="s">
        <v>2371</v>
      </c>
      <c r="F104" t="s">
        <v>335</v>
      </c>
      <c r="G104" t="s">
        <v>2868</v>
      </c>
      <c r="H104">
        <v>9055395510</v>
      </c>
      <c r="I104" t="s">
        <v>336</v>
      </c>
      <c r="J104" t="s">
        <v>2433</v>
      </c>
      <c r="L104" t="s">
        <v>2869</v>
      </c>
      <c r="M104" t="s">
        <v>2483</v>
      </c>
      <c r="N104" t="s">
        <v>2870</v>
      </c>
      <c r="O104" s="40">
        <v>19664</v>
      </c>
      <c r="Q104" t="s">
        <v>2438</v>
      </c>
      <c r="R104" s="30">
        <v>45443</v>
      </c>
      <c r="S104" t="s">
        <v>44</v>
      </c>
      <c r="T104" s="30">
        <v>45828</v>
      </c>
      <c r="U104" s="20">
        <v>114300</v>
      </c>
      <c r="V104" s="31"/>
      <c r="W104" s="31"/>
      <c r="X104" s="31"/>
      <c r="Y104" s="31"/>
      <c r="Z104" s="31">
        <f t="shared" si="13"/>
        <v>114300</v>
      </c>
      <c r="AA104" s="31"/>
      <c r="AB104" s="31"/>
      <c r="AC104" s="31"/>
      <c r="AD104" s="31"/>
      <c r="AE104" s="31"/>
      <c r="AF104" s="31"/>
      <c r="AG104" s="31"/>
      <c r="AH104" s="31"/>
      <c r="AI104" s="32"/>
      <c r="AJ104" s="32"/>
      <c r="AK104" s="32"/>
      <c r="AL104" s="32"/>
      <c r="AM104" s="32">
        <v>19050</v>
      </c>
      <c r="AN104" s="32">
        <v>19050</v>
      </c>
      <c r="AO104" s="32">
        <v>19050</v>
      </c>
      <c r="AP104" s="32">
        <v>19050</v>
      </c>
      <c r="AQ104" s="32">
        <v>19050</v>
      </c>
      <c r="AR104" s="32">
        <v>19050</v>
      </c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CR104">
        <v>546600</v>
      </c>
      <c r="CS104">
        <v>3</v>
      </c>
    </row>
    <row r="105" spans="1:97" x14ac:dyDescent="0.4">
      <c r="A105" t="s">
        <v>337</v>
      </c>
      <c r="D105" t="s">
        <v>2370</v>
      </c>
      <c r="E105" t="s">
        <v>2371</v>
      </c>
      <c r="F105" t="s">
        <v>338</v>
      </c>
      <c r="G105" t="s">
        <v>2871</v>
      </c>
      <c r="H105">
        <v>9061983930</v>
      </c>
      <c r="I105" t="s">
        <v>339</v>
      </c>
      <c r="J105" t="s">
        <v>2433</v>
      </c>
      <c r="L105" t="s">
        <v>2872</v>
      </c>
      <c r="M105" t="s">
        <v>2444</v>
      </c>
      <c r="N105" t="s">
        <v>2873</v>
      </c>
      <c r="O105" t="s">
        <v>2874</v>
      </c>
      <c r="Q105" t="s">
        <v>2438</v>
      </c>
      <c r="R105" s="30">
        <v>45443</v>
      </c>
      <c r="S105" t="s">
        <v>44</v>
      </c>
      <c r="T105" s="30">
        <v>45828</v>
      </c>
      <c r="U105" s="20">
        <v>114300</v>
      </c>
      <c r="V105" s="31"/>
      <c r="W105" s="31"/>
      <c r="X105" s="31"/>
      <c r="Y105" s="31"/>
      <c r="Z105" s="31">
        <f t="shared" si="13"/>
        <v>114300</v>
      </c>
      <c r="AA105" s="31"/>
      <c r="AB105" s="31"/>
      <c r="AC105" s="31"/>
      <c r="AD105" s="31"/>
      <c r="AE105" s="31"/>
      <c r="AF105" s="31"/>
      <c r="AG105" s="31"/>
      <c r="AH105" s="31"/>
      <c r="AI105" s="32"/>
      <c r="AJ105" s="32"/>
      <c r="AK105" s="32"/>
      <c r="AL105" s="32"/>
      <c r="AM105" s="32">
        <v>19050</v>
      </c>
      <c r="AN105" s="32">
        <v>19050</v>
      </c>
      <c r="AO105" s="32">
        <v>19050</v>
      </c>
      <c r="AP105" s="32">
        <v>19050</v>
      </c>
      <c r="AQ105" s="32">
        <v>19050</v>
      </c>
      <c r="AR105" s="32">
        <v>19050</v>
      </c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CR105">
        <v>546600</v>
      </c>
      <c r="CS105">
        <v>2</v>
      </c>
    </row>
    <row r="106" spans="1:97" x14ac:dyDescent="0.4">
      <c r="A106" t="s">
        <v>340</v>
      </c>
      <c r="D106" t="s">
        <v>2370</v>
      </c>
      <c r="E106" t="s">
        <v>2371</v>
      </c>
      <c r="F106" t="s">
        <v>341</v>
      </c>
      <c r="G106" t="s">
        <v>2875</v>
      </c>
      <c r="H106">
        <v>9013309387</v>
      </c>
      <c r="I106" t="s">
        <v>342</v>
      </c>
      <c r="J106" t="s">
        <v>2433</v>
      </c>
      <c r="L106" t="s">
        <v>2876</v>
      </c>
      <c r="M106" t="s">
        <v>2569</v>
      </c>
      <c r="N106" t="s">
        <v>2877</v>
      </c>
      <c r="O106" t="s">
        <v>2878</v>
      </c>
      <c r="Q106" t="s">
        <v>2438</v>
      </c>
      <c r="R106" s="30">
        <v>45443</v>
      </c>
      <c r="S106" t="s">
        <v>44</v>
      </c>
      <c r="T106" s="30">
        <v>45828</v>
      </c>
      <c r="U106" s="20">
        <v>114300</v>
      </c>
      <c r="V106" s="31"/>
      <c r="W106" s="31"/>
      <c r="X106" s="31"/>
      <c r="Y106" s="31"/>
      <c r="Z106" s="31">
        <f t="shared" si="13"/>
        <v>114300</v>
      </c>
      <c r="AA106" s="31"/>
      <c r="AB106" s="31"/>
      <c r="AC106" s="31"/>
      <c r="AD106" s="31"/>
      <c r="AE106" s="31"/>
      <c r="AF106" s="31"/>
      <c r="AG106" s="31"/>
      <c r="AH106" s="31"/>
      <c r="AI106" s="32"/>
      <c r="AJ106" s="32"/>
      <c r="AK106" s="32"/>
      <c r="AL106" s="32"/>
      <c r="AM106" s="32">
        <v>19050</v>
      </c>
      <c r="AN106" s="32">
        <v>19050</v>
      </c>
      <c r="AO106" s="32">
        <v>19050</v>
      </c>
      <c r="AP106" s="32">
        <v>19050</v>
      </c>
      <c r="AQ106" s="32">
        <v>19050</v>
      </c>
      <c r="AR106" s="32">
        <v>19050</v>
      </c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CR106">
        <v>546600</v>
      </c>
      <c r="CS106">
        <v>2</v>
      </c>
    </row>
    <row r="107" spans="1:97" x14ac:dyDescent="0.4">
      <c r="A107" t="s">
        <v>343</v>
      </c>
      <c r="D107" t="s">
        <v>2370</v>
      </c>
      <c r="E107" t="s">
        <v>2371</v>
      </c>
      <c r="F107" t="s">
        <v>344</v>
      </c>
      <c r="G107" t="s">
        <v>2879</v>
      </c>
      <c r="H107">
        <v>9035439232</v>
      </c>
      <c r="I107" t="s">
        <v>345</v>
      </c>
      <c r="J107" t="s">
        <v>2433</v>
      </c>
      <c r="L107" t="s">
        <v>2880</v>
      </c>
      <c r="M107" t="s">
        <v>2444</v>
      </c>
      <c r="N107" t="s">
        <v>2881</v>
      </c>
      <c r="O107" t="s">
        <v>2882</v>
      </c>
      <c r="Q107" t="s">
        <v>2438</v>
      </c>
      <c r="R107" s="30">
        <v>45443</v>
      </c>
      <c r="S107" t="s">
        <v>44</v>
      </c>
      <c r="T107" s="30">
        <v>45828</v>
      </c>
      <c r="U107" s="20">
        <v>114300</v>
      </c>
      <c r="V107" s="31"/>
      <c r="W107" s="31"/>
      <c r="X107" s="31"/>
      <c r="Y107" s="31"/>
      <c r="Z107" s="31">
        <f t="shared" si="13"/>
        <v>114300</v>
      </c>
      <c r="AA107" s="31"/>
      <c r="AB107" s="31"/>
      <c r="AC107" s="31"/>
      <c r="AD107" s="31"/>
      <c r="AE107" s="31"/>
      <c r="AF107" s="31"/>
      <c r="AG107" s="31"/>
      <c r="AH107" s="31"/>
      <c r="AI107" s="32"/>
      <c r="AJ107" s="32"/>
      <c r="AK107" s="32"/>
      <c r="AL107" s="32"/>
      <c r="AM107" s="32">
        <v>19050</v>
      </c>
      <c r="AN107" s="32">
        <v>19050</v>
      </c>
      <c r="AO107" s="32">
        <v>19050</v>
      </c>
      <c r="AP107" s="32">
        <v>19050</v>
      </c>
      <c r="AQ107" s="32">
        <v>19050</v>
      </c>
      <c r="AR107" s="32">
        <v>19050</v>
      </c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CR107">
        <v>546600</v>
      </c>
      <c r="CS107">
        <v>2</v>
      </c>
    </row>
    <row r="108" spans="1:97" x14ac:dyDescent="0.4">
      <c r="A108" t="s">
        <v>346</v>
      </c>
      <c r="D108" t="s">
        <v>2370</v>
      </c>
      <c r="E108" t="s">
        <v>2371</v>
      </c>
      <c r="F108" t="s">
        <v>347</v>
      </c>
      <c r="G108" t="s">
        <v>2883</v>
      </c>
      <c r="H108">
        <v>8063103196</v>
      </c>
      <c r="I108" t="s">
        <v>348</v>
      </c>
      <c r="J108" t="s">
        <v>2433</v>
      </c>
      <c r="L108" t="s">
        <v>2884</v>
      </c>
      <c r="M108" t="s">
        <v>2569</v>
      </c>
      <c r="N108" t="s">
        <v>2885</v>
      </c>
      <c r="O108" t="s">
        <v>2886</v>
      </c>
      <c r="Q108" t="s">
        <v>2438</v>
      </c>
      <c r="R108" s="30">
        <v>45443</v>
      </c>
      <c r="S108" t="s">
        <v>44</v>
      </c>
      <c r="T108" s="30">
        <v>45828</v>
      </c>
      <c r="U108" s="20">
        <v>114300</v>
      </c>
      <c r="V108" s="31"/>
      <c r="W108" s="31"/>
      <c r="X108" s="31"/>
      <c r="Y108" s="31"/>
      <c r="Z108" s="31">
        <f t="shared" si="13"/>
        <v>114300</v>
      </c>
      <c r="AA108" s="31"/>
      <c r="AB108" s="31"/>
      <c r="AC108" s="31"/>
      <c r="AD108" s="31"/>
      <c r="AE108" s="31"/>
      <c r="AF108" s="31"/>
      <c r="AG108" s="31"/>
      <c r="AH108" s="31"/>
      <c r="AI108" s="32"/>
      <c r="AJ108" s="32"/>
      <c r="AK108" s="32"/>
      <c r="AL108" s="32"/>
      <c r="AM108" s="32">
        <v>19050</v>
      </c>
      <c r="AN108" s="32">
        <v>19050</v>
      </c>
      <c r="AO108" s="32">
        <v>19050</v>
      </c>
      <c r="AP108" s="32">
        <v>19050</v>
      </c>
      <c r="AQ108" s="32">
        <v>19050</v>
      </c>
      <c r="AR108" s="32">
        <v>19050</v>
      </c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CR108">
        <v>546600</v>
      </c>
      <c r="CS108">
        <v>3</v>
      </c>
    </row>
    <row r="109" spans="1:97" x14ac:dyDescent="0.4">
      <c r="A109" t="s">
        <v>349</v>
      </c>
      <c r="D109" t="s">
        <v>2370</v>
      </c>
      <c r="E109" t="s">
        <v>2371</v>
      </c>
      <c r="F109" t="s">
        <v>350</v>
      </c>
      <c r="G109" t="s">
        <v>2887</v>
      </c>
      <c r="H109">
        <v>9047644721</v>
      </c>
      <c r="I109" t="s">
        <v>351</v>
      </c>
      <c r="J109" t="s">
        <v>2433</v>
      </c>
      <c r="L109" t="s">
        <v>2888</v>
      </c>
      <c r="M109" t="s">
        <v>2622</v>
      </c>
      <c r="N109" t="s">
        <v>2889</v>
      </c>
      <c r="O109">
        <v>263</v>
      </c>
      <c r="Q109" t="s">
        <v>2438</v>
      </c>
      <c r="R109" s="30">
        <v>45443</v>
      </c>
      <c r="S109" t="s">
        <v>44</v>
      </c>
      <c r="T109" s="30">
        <v>45828</v>
      </c>
      <c r="U109" s="20">
        <v>114300</v>
      </c>
      <c r="V109" s="31"/>
      <c r="W109" s="31"/>
      <c r="X109" s="31"/>
      <c r="Y109" s="31"/>
      <c r="Z109" s="31">
        <f t="shared" si="13"/>
        <v>114300</v>
      </c>
      <c r="AA109" s="31"/>
      <c r="AB109" s="31"/>
      <c r="AC109" s="31"/>
      <c r="AD109" s="31"/>
      <c r="AE109" s="31"/>
      <c r="AF109" s="31"/>
      <c r="AG109" s="31"/>
      <c r="AH109" s="31"/>
      <c r="AI109" s="32"/>
      <c r="AJ109" s="32"/>
      <c r="AK109" s="32"/>
      <c r="AL109" s="32"/>
      <c r="AM109" s="32">
        <v>19050</v>
      </c>
      <c r="AN109" s="32">
        <v>19050</v>
      </c>
      <c r="AO109" s="32">
        <v>19050</v>
      </c>
      <c r="AP109" s="32">
        <v>19050</v>
      </c>
      <c r="AQ109" s="32">
        <v>19050</v>
      </c>
      <c r="AR109" s="32">
        <v>19050</v>
      </c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CR109">
        <v>546600</v>
      </c>
      <c r="CS109">
        <v>2</v>
      </c>
    </row>
    <row r="110" spans="1:97" x14ac:dyDescent="0.4">
      <c r="A110" t="s">
        <v>352</v>
      </c>
      <c r="D110" t="s">
        <v>2370</v>
      </c>
      <c r="E110" t="s">
        <v>2371</v>
      </c>
      <c r="F110" t="s">
        <v>353</v>
      </c>
      <c r="G110" t="s">
        <v>2890</v>
      </c>
      <c r="H110">
        <v>8054407102</v>
      </c>
      <c r="I110" t="s">
        <v>354</v>
      </c>
      <c r="J110" t="s">
        <v>2433</v>
      </c>
      <c r="L110" t="s">
        <v>2891</v>
      </c>
      <c r="M110" t="s">
        <v>2598</v>
      </c>
      <c r="N110" t="s">
        <v>2892</v>
      </c>
      <c r="O110" t="s">
        <v>2893</v>
      </c>
      <c r="Q110" t="s">
        <v>2438</v>
      </c>
      <c r="R110" s="30">
        <v>45443</v>
      </c>
      <c r="S110" t="s">
        <v>44</v>
      </c>
      <c r="T110" s="30">
        <v>45828</v>
      </c>
      <c r="U110" s="20">
        <v>114300</v>
      </c>
      <c r="V110" s="31"/>
      <c r="W110" s="31"/>
      <c r="X110" s="31"/>
      <c r="Y110" s="31"/>
      <c r="Z110" s="31">
        <f t="shared" si="13"/>
        <v>114300</v>
      </c>
      <c r="AA110" s="31"/>
      <c r="AB110" s="31"/>
      <c r="AC110" s="31"/>
      <c r="AD110" s="31"/>
      <c r="AE110" s="31"/>
      <c r="AF110" s="31"/>
      <c r="AG110" s="31"/>
      <c r="AH110" s="31"/>
      <c r="AI110" s="32"/>
      <c r="AJ110" s="32"/>
      <c r="AK110" s="32"/>
      <c r="AL110" s="32"/>
      <c r="AM110" s="32">
        <v>19050</v>
      </c>
      <c r="AN110" s="32">
        <v>19050</v>
      </c>
      <c r="AO110" s="32">
        <v>19050</v>
      </c>
      <c r="AP110" s="32">
        <v>19050</v>
      </c>
      <c r="AQ110" s="32">
        <v>19050</v>
      </c>
      <c r="AR110" s="32">
        <v>19050</v>
      </c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CR110">
        <v>432300</v>
      </c>
      <c r="CS110">
        <v>6</v>
      </c>
    </row>
    <row r="111" spans="1:97" x14ac:dyDescent="0.4">
      <c r="A111" t="s">
        <v>355</v>
      </c>
      <c r="D111" t="s">
        <v>2370</v>
      </c>
      <c r="E111" t="s">
        <v>2371</v>
      </c>
      <c r="F111" t="s">
        <v>356</v>
      </c>
      <c r="G111" t="s">
        <v>2894</v>
      </c>
      <c r="H111">
        <v>9058113250</v>
      </c>
      <c r="I111" t="s">
        <v>357</v>
      </c>
      <c r="J111" t="s">
        <v>2433</v>
      </c>
      <c r="L111" t="s">
        <v>2895</v>
      </c>
      <c r="M111" t="s">
        <v>2518</v>
      </c>
      <c r="N111" t="s">
        <v>2896</v>
      </c>
      <c r="O111" t="s">
        <v>2897</v>
      </c>
      <c r="Q111" t="s">
        <v>2438</v>
      </c>
      <c r="R111" s="30">
        <v>45443</v>
      </c>
      <c r="S111" t="s">
        <v>44</v>
      </c>
      <c r="T111" s="30">
        <v>45828</v>
      </c>
      <c r="U111" s="20">
        <v>114300</v>
      </c>
      <c r="V111" s="31"/>
      <c r="W111" s="31"/>
      <c r="X111" s="31"/>
      <c r="Y111" s="31"/>
      <c r="Z111" s="31">
        <f t="shared" si="13"/>
        <v>114300</v>
      </c>
      <c r="AA111" s="31"/>
      <c r="AB111" s="31"/>
      <c r="AC111" s="31"/>
      <c r="AD111" s="31"/>
      <c r="AE111" s="31"/>
      <c r="AF111" s="31"/>
      <c r="AG111" s="31"/>
      <c r="AH111" s="31"/>
      <c r="AI111" s="32"/>
      <c r="AJ111" s="32"/>
      <c r="AK111" s="32"/>
      <c r="AL111" s="32"/>
      <c r="AM111" s="32">
        <v>19050</v>
      </c>
      <c r="AN111" s="32">
        <v>19050</v>
      </c>
      <c r="AO111" s="32">
        <v>19050</v>
      </c>
      <c r="AP111" s="32">
        <v>19050</v>
      </c>
      <c r="AQ111" s="32">
        <v>19050</v>
      </c>
      <c r="AR111" s="32">
        <v>19050</v>
      </c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CR111">
        <v>546600</v>
      </c>
      <c r="CS111">
        <v>4</v>
      </c>
    </row>
    <row r="112" spans="1:97" x14ac:dyDescent="0.4">
      <c r="A112" t="s">
        <v>358</v>
      </c>
      <c r="D112" t="s">
        <v>2370</v>
      </c>
      <c r="E112" t="s">
        <v>2371</v>
      </c>
      <c r="F112" t="s">
        <v>359</v>
      </c>
      <c r="G112" t="s">
        <v>2898</v>
      </c>
      <c r="H112">
        <v>9046245419</v>
      </c>
      <c r="I112" t="s">
        <v>360</v>
      </c>
      <c r="J112" t="s">
        <v>2433</v>
      </c>
      <c r="L112" t="s">
        <v>2899</v>
      </c>
      <c r="M112" t="s">
        <v>2492</v>
      </c>
      <c r="N112" t="s">
        <v>2900</v>
      </c>
      <c r="O112" t="s">
        <v>2901</v>
      </c>
      <c r="Q112" t="s">
        <v>2438</v>
      </c>
      <c r="R112" s="30">
        <v>45443</v>
      </c>
      <c r="S112" t="s">
        <v>44</v>
      </c>
      <c r="T112" s="30">
        <v>45828</v>
      </c>
      <c r="U112" s="20">
        <v>114300</v>
      </c>
      <c r="V112" s="31"/>
      <c r="W112" s="31"/>
      <c r="X112" s="31"/>
      <c r="Y112" s="31"/>
      <c r="Z112" s="31">
        <f t="shared" si="13"/>
        <v>114300</v>
      </c>
      <c r="AA112" s="31"/>
      <c r="AB112" s="31"/>
      <c r="AC112" s="31"/>
      <c r="AD112" s="31"/>
      <c r="AE112" s="31"/>
      <c r="AF112" s="31"/>
      <c r="AG112" s="31"/>
      <c r="AH112" s="31"/>
      <c r="AI112" s="32"/>
      <c r="AJ112" s="32"/>
      <c r="AK112" s="32"/>
      <c r="AL112" s="32"/>
      <c r="AM112" s="32">
        <v>19050</v>
      </c>
      <c r="AN112" s="32">
        <v>19050</v>
      </c>
      <c r="AO112" s="32">
        <v>19050</v>
      </c>
      <c r="AP112" s="32">
        <v>19050</v>
      </c>
      <c r="AQ112" s="32">
        <v>19050</v>
      </c>
      <c r="AR112" s="32">
        <v>19050</v>
      </c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CR112">
        <v>546600</v>
      </c>
      <c r="CS112">
        <v>2</v>
      </c>
    </row>
    <row r="113" spans="1:97" x14ac:dyDescent="0.4">
      <c r="A113" t="s">
        <v>361</v>
      </c>
      <c r="D113" t="s">
        <v>2370</v>
      </c>
      <c r="E113" t="s">
        <v>2371</v>
      </c>
      <c r="F113" t="s">
        <v>362</v>
      </c>
      <c r="G113" t="s">
        <v>2902</v>
      </c>
      <c r="H113">
        <v>9082353050</v>
      </c>
      <c r="I113" t="s">
        <v>363</v>
      </c>
      <c r="J113" t="s">
        <v>2433</v>
      </c>
      <c r="L113" t="s">
        <v>2903</v>
      </c>
      <c r="M113" t="s">
        <v>2444</v>
      </c>
      <c r="N113" t="s">
        <v>2904</v>
      </c>
      <c r="O113" t="s">
        <v>2905</v>
      </c>
      <c r="Q113" t="s">
        <v>2438</v>
      </c>
      <c r="R113" s="30">
        <v>45443</v>
      </c>
      <c r="S113" t="s">
        <v>44</v>
      </c>
      <c r="T113" s="30">
        <v>45828</v>
      </c>
      <c r="U113" s="20">
        <v>114300</v>
      </c>
      <c r="V113" s="31"/>
      <c r="W113" s="31"/>
      <c r="X113" s="31"/>
      <c r="Y113" s="31"/>
      <c r="Z113" s="31">
        <f t="shared" si="13"/>
        <v>114300</v>
      </c>
      <c r="AA113" s="31"/>
      <c r="AB113" s="31"/>
      <c r="AC113" s="31"/>
      <c r="AD113" s="31"/>
      <c r="AE113" s="31"/>
      <c r="AF113" s="31"/>
      <c r="AG113" s="31"/>
      <c r="AH113" s="31"/>
      <c r="AI113" s="32"/>
      <c r="AJ113" s="32"/>
      <c r="AK113" s="32"/>
      <c r="AL113" s="32"/>
      <c r="AM113" s="32">
        <v>19050</v>
      </c>
      <c r="AN113" s="32">
        <v>19050</v>
      </c>
      <c r="AO113" s="32">
        <v>19050</v>
      </c>
      <c r="AP113" s="32">
        <v>19050</v>
      </c>
      <c r="AQ113" s="32">
        <v>19050</v>
      </c>
      <c r="AR113" s="32">
        <v>19050</v>
      </c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CR113">
        <v>546600</v>
      </c>
      <c r="CS113">
        <v>2</v>
      </c>
    </row>
    <row r="114" spans="1:97" x14ac:dyDescent="0.4">
      <c r="A114" t="s">
        <v>364</v>
      </c>
      <c r="D114" t="s">
        <v>2370</v>
      </c>
      <c r="E114" t="s">
        <v>2371</v>
      </c>
      <c r="F114" t="s">
        <v>365</v>
      </c>
      <c r="G114" t="s">
        <v>2906</v>
      </c>
      <c r="H114">
        <v>9065798359</v>
      </c>
      <c r="I114" t="s">
        <v>366</v>
      </c>
      <c r="J114" t="s">
        <v>2433</v>
      </c>
      <c r="L114" t="s">
        <v>2907</v>
      </c>
      <c r="M114" t="s">
        <v>2451</v>
      </c>
      <c r="N114" t="s">
        <v>2908</v>
      </c>
      <c r="O114" t="s">
        <v>2909</v>
      </c>
      <c r="Q114" t="s">
        <v>2438</v>
      </c>
      <c r="R114" s="30">
        <v>45443</v>
      </c>
      <c r="S114" t="s">
        <v>44</v>
      </c>
      <c r="T114" s="30">
        <v>45828</v>
      </c>
      <c r="U114" s="20">
        <v>114300</v>
      </c>
      <c r="V114" s="31"/>
      <c r="W114" s="31"/>
      <c r="X114" s="31"/>
      <c r="Y114" s="31"/>
      <c r="Z114" s="31">
        <f t="shared" si="13"/>
        <v>114300</v>
      </c>
      <c r="AA114" s="31"/>
      <c r="AB114" s="31"/>
      <c r="AC114" s="31"/>
      <c r="AD114" s="31"/>
      <c r="AE114" s="31"/>
      <c r="AF114" s="31"/>
      <c r="AG114" s="31"/>
      <c r="AH114" s="31"/>
      <c r="AI114" s="32"/>
      <c r="AJ114" s="32"/>
      <c r="AK114" s="32"/>
      <c r="AL114" s="32"/>
      <c r="AM114" s="32">
        <v>19050</v>
      </c>
      <c r="AN114" s="32">
        <v>19050</v>
      </c>
      <c r="AO114" s="32">
        <v>19050</v>
      </c>
      <c r="AP114" s="32">
        <v>19050</v>
      </c>
      <c r="AQ114" s="32">
        <v>19050</v>
      </c>
      <c r="AR114" s="32">
        <v>19050</v>
      </c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CR114">
        <v>546600</v>
      </c>
      <c r="CS114">
        <v>2</v>
      </c>
    </row>
    <row r="115" spans="1:97" s="36" customFormat="1" x14ac:dyDescent="0.4">
      <c r="A115" s="36" t="s">
        <v>2910</v>
      </c>
      <c r="D115" s="36" t="s">
        <v>2370</v>
      </c>
      <c r="E115" s="36" t="s">
        <v>2371</v>
      </c>
      <c r="F115" s="36" t="s">
        <v>2911</v>
      </c>
      <c r="G115" s="36" t="s">
        <v>2912</v>
      </c>
      <c r="H115" s="36">
        <v>9044645454</v>
      </c>
      <c r="I115" s="36" t="s">
        <v>2913</v>
      </c>
      <c r="J115" s="36" t="s">
        <v>2433</v>
      </c>
      <c r="L115" s="36" t="s">
        <v>2914</v>
      </c>
      <c r="M115" s="36" t="s">
        <v>2435</v>
      </c>
      <c r="N115" s="36" t="s">
        <v>2915</v>
      </c>
      <c r="O115" s="36" t="s">
        <v>2916</v>
      </c>
      <c r="Q115" s="36" t="s">
        <v>2438</v>
      </c>
      <c r="R115" s="37">
        <v>45443</v>
      </c>
      <c r="S115" s="36" t="s">
        <v>2503</v>
      </c>
      <c r="T115" s="37">
        <v>45706</v>
      </c>
      <c r="U115" s="37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CR115" s="36">
        <v>474240</v>
      </c>
      <c r="CS115" s="36">
        <v>8</v>
      </c>
    </row>
    <row r="116" spans="1:97" x14ac:dyDescent="0.4">
      <c r="A116" t="s">
        <v>367</v>
      </c>
      <c r="D116" t="s">
        <v>2370</v>
      </c>
      <c r="E116" t="s">
        <v>2371</v>
      </c>
      <c r="F116" t="s">
        <v>368</v>
      </c>
      <c r="G116" t="s">
        <v>2917</v>
      </c>
      <c r="H116">
        <v>8040371971</v>
      </c>
      <c r="I116" t="s">
        <v>369</v>
      </c>
      <c r="J116" t="s">
        <v>2433</v>
      </c>
      <c r="L116" t="s">
        <v>2918</v>
      </c>
      <c r="M116" t="s">
        <v>2919</v>
      </c>
      <c r="N116" t="s">
        <v>2920</v>
      </c>
      <c r="O116">
        <v>343</v>
      </c>
      <c r="Q116" t="s">
        <v>2438</v>
      </c>
      <c r="R116" s="30">
        <v>45443</v>
      </c>
      <c r="S116" t="s">
        <v>44</v>
      </c>
      <c r="T116" s="30">
        <v>45828</v>
      </c>
      <c r="U116" s="20">
        <v>114300</v>
      </c>
      <c r="V116" s="31"/>
      <c r="W116" s="31"/>
      <c r="X116" s="31"/>
      <c r="Y116" s="31"/>
      <c r="Z116" s="31">
        <f t="shared" ref="Z116:Z120" si="14">+U116</f>
        <v>114300</v>
      </c>
      <c r="AA116" s="31"/>
      <c r="AB116" s="31"/>
      <c r="AC116" s="31"/>
      <c r="AD116" s="31"/>
      <c r="AE116" s="31"/>
      <c r="AF116" s="31"/>
      <c r="AG116" s="31"/>
      <c r="AH116" s="31"/>
      <c r="AI116" s="32"/>
      <c r="AJ116" s="32"/>
      <c r="AK116" s="32"/>
      <c r="AL116" s="32"/>
      <c r="AM116" s="32">
        <v>19050</v>
      </c>
      <c r="AN116" s="32">
        <v>19050</v>
      </c>
      <c r="AO116" s="32">
        <v>19050</v>
      </c>
      <c r="AP116" s="32">
        <v>19050</v>
      </c>
      <c r="AQ116" s="32">
        <v>19050</v>
      </c>
      <c r="AR116" s="32">
        <v>19050</v>
      </c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CR116">
        <v>546600</v>
      </c>
      <c r="CS116">
        <v>2</v>
      </c>
    </row>
    <row r="117" spans="1:97" x14ac:dyDescent="0.4">
      <c r="A117" t="s">
        <v>370</v>
      </c>
      <c r="D117" t="s">
        <v>2370</v>
      </c>
      <c r="E117" t="s">
        <v>2371</v>
      </c>
      <c r="F117" t="s">
        <v>371</v>
      </c>
      <c r="G117" t="s">
        <v>2921</v>
      </c>
      <c r="H117">
        <v>9067023996</v>
      </c>
      <c r="I117" t="s">
        <v>372</v>
      </c>
      <c r="J117" t="s">
        <v>2433</v>
      </c>
      <c r="L117" t="s">
        <v>2922</v>
      </c>
      <c r="M117" t="s">
        <v>2518</v>
      </c>
      <c r="N117" t="s">
        <v>2923</v>
      </c>
      <c r="O117" t="s">
        <v>2924</v>
      </c>
      <c r="Q117" t="s">
        <v>2438</v>
      </c>
      <c r="R117" s="30">
        <v>45443</v>
      </c>
      <c r="S117" t="s">
        <v>44</v>
      </c>
      <c r="T117" s="30">
        <v>45828</v>
      </c>
      <c r="U117" s="20">
        <v>114300</v>
      </c>
      <c r="V117" s="31"/>
      <c r="W117" s="31"/>
      <c r="X117" s="31"/>
      <c r="Y117" s="31"/>
      <c r="Z117" s="31">
        <f t="shared" si="14"/>
        <v>114300</v>
      </c>
      <c r="AA117" s="31"/>
      <c r="AB117" s="31"/>
      <c r="AC117" s="31"/>
      <c r="AD117" s="31"/>
      <c r="AE117" s="31"/>
      <c r="AF117" s="31"/>
      <c r="AG117" s="31"/>
      <c r="AH117" s="31"/>
      <c r="AI117" s="32"/>
      <c r="AJ117" s="32"/>
      <c r="AK117" s="32"/>
      <c r="AL117" s="32"/>
      <c r="AM117" s="32">
        <v>19050</v>
      </c>
      <c r="AN117" s="32">
        <v>19050</v>
      </c>
      <c r="AO117" s="32">
        <v>19050</v>
      </c>
      <c r="AP117" s="32">
        <v>19050</v>
      </c>
      <c r="AQ117" s="32">
        <v>19050</v>
      </c>
      <c r="AR117" s="32">
        <v>19050</v>
      </c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CR117">
        <v>546600</v>
      </c>
      <c r="CS117">
        <v>7</v>
      </c>
    </row>
    <row r="118" spans="1:97" x14ac:dyDescent="0.4">
      <c r="A118" t="s">
        <v>373</v>
      </c>
      <c r="D118" t="s">
        <v>2370</v>
      </c>
      <c r="E118" t="s">
        <v>2371</v>
      </c>
      <c r="F118" t="s">
        <v>374</v>
      </c>
      <c r="G118" t="s">
        <v>2925</v>
      </c>
      <c r="H118">
        <v>9017131664</v>
      </c>
      <c r="I118" t="s">
        <v>375</v>
      </c>
      <c r="J118" t="s">
        <v>2433</v>
      </c>
      <c r="L118" t="s">
        <v>2926</v>
      </c>
      <c r="M118" t="s">
        <v>2460</v>
      </c>
      <c r="N118" t="s">
        <v>2927</v>
      </c>
      <c r="O118" t="s">
        <v>2928</v>
      </c>
      <c r="Q118" t="s">
        <v>2438</v>
      </c>
      <c r="R118" s="30">
        <v>45443</v>
      </c>
      <c r="S118" t="s">
        <v>44</v>
      </c>
      <c r="T118" s="30">
        <v>45828</v>
      </c>
      <c r="U118" s="20">
        <v>114300</v>
      </c>
      <c r="V118" s="31"/>
      <c r="W118" s="31"/>
      <c r="X118" s="31"/>
      <c r="Y118" s="31"/>
      <c r="Z118" s="31">
        <f t="shared" si="14"/>
        <v>114300</v>
      </c>
      <c r="AA118" s="31"/>
      <c r="AB118" s="31"/>
      <c r="AC118" s="31"/>
      <c r="AD118" s="31"/>
      <c r="AE118" s="31"/>
      <c r="AF118" s="31"/>
      <c r="AG118" s="31"/>
      <c r="AH118" s="31"/>
      <c r="AI118" s="32"/>
      <c r="AJ118" s="32"/>
      <c r="AK118" s="32"/>
      <c r="AL118" s="32"/>
      <c r="AM118" s="32">
        <v>19050</v>
      </c>
      <c r="AN118" s="32">
        <v>19050</v>
      </c>
      <c r="AO118" s="32">
        <v>19050</v>
      </c>
      <c r="AP118" s="32">
        <v>19050</v>
      </c>
      <c r="AQ118" s="32">
        <v>19050</v>
      </c>
      <c r="AR118" s="32">
        <v>19050</v>
      </c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CR118">
        <v>546600</v>
      </c>
      <c r="CS118">
        <v>2</v>
      </c>
    </row>
    <row r="119" spans="1:97" x14ac:dyDescent="0.4">
      <c r="A119" t="s">
        <v>377</v>
      </c>
      <c r="D119" t="s">
        <v>2370</v>
      </c>
      <c r="E119" t="s">
        <v>2371</v>
      </c>
      <c r="F119" t="s">
        <v>378</v>
      </c>
      <c r="G119" t="s">
        <v>2929</v>
      </c>
      <c r="H119">
        <v>8023922841</v>
      </c>
      <c r="I119" t="s">
        <v>379</v>
      </c>
      <c r="J119" t="s">
        <v>2433</v>
      </c>
      <c r="L119" t="s">
        <v>2930</v>
      </c>
      <c r="M119" t="s">
        <v>2483</v>
      </c>
      <c r="N119" t="s">
        <v>2931</v>
      </c>
      <c r="O119" t="s">
        <v>2932</v>
      </c>
      <c r="Q119" t="s">
        <v>2438</v>
      </c>
      <c r="R119" s="30">
        <v>45443</v>
      </c>
      <c r="S119" t="s">
        <v>44</v>
      </c>
      <c r="T119" s="30">
        <v>45828</v>
      </c>
      <c r="U119" s="20">
        <v>114300</v>
      </c>
      <c r="V119" s="31"/>
      <c r="W119" s="31"/>
      <c r="X119" s="31"/>
      <c r="Y119" s="31"/>
      <c r="Z119" s="31">
        <f t="shared" si="14"/>
        <v>114300</v>
      </c>
      <c r="AA119" s="31"/>
      <c r="AB119" s="31"/>
      <c r="AC119" s="31"/>
      <c r="AD119" s="31"/>
      <c r="AE119" s="31"/>
      <c r="AF119" s="31"/>
      <c r="AG119" s="31"/>
      <c r="AH119" s="31"/>
      <c r="AI119" s="32"/>
      <c r="AJ119" s="32"/>
      <c r="AK119" s="32"/>
      <c r="AL119" s="32"/>
      <c r="AM119" s="32">
        <v>19050</v>
      </c>
      <c r="AN119" s="32">
        <v>19050</v>
      </c>
      <c r="AO119" s="32">
        <v>19050</v>
      </c>
      <c r="AP119" s="32">
        <v>19050</v>
      </c>
      <c r="AQ119" s="32">
        <v>19050</v>
      </c>
      <c r="AR119" s="32">
        <v>19050</v>
      </c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CR119">
        <v>546600</v>
      </c>
      <c r="CS119">
        <v>2</v>
      </c>
    </row>
    <row r="120" spans="1:97" x14ac:dyDescent="0.4">
      <c r="A120" t="s">
        <v>380</v>
      </c>
      <c r="D120" t="s">
        <v>2370</v>
      </c>
      <c r="E120" t="s">
        <v>2371</v>
      </c>
      <c r="F120" t="s">
        <v>381</v>
      </c>
      <c r="G120" t="s">
        <v>2933</v>
      </c>
      <c r="H120">
        <v>9057021053</v>
      </c>
      <c r="I120" t="s">
        <v>382</v>
      </c>
      <c r="J120" t="s">
        <v>2433</v>
      </c>
      <c r="L120" t="s">
        <v>2934</v>
      </c>
      <c r="M120" t="s">
        <v>2935</v>
      </c>
      <c r="N120" t="s">
        <v>2936</v>
      </c>
      <c r="O120" t="s">
        <v>2937</v>
      </c>
      <c r="Q120" t="s">
        <v>2468</v>
      </c>
      <c r="R120" s="30">
        <v>45441</v>
      </c>
      <c r="S120" t="s">
        <v>44</v>
      </c>
      <c r="T120" s="30">
        <v>45828</v>
      </c>
      <c r="U120" s="20">
        <v>114300</v>
      </c>
      <c r="V120" s="31"/>
      <c r="W120" s="31"/>
      <c r="X120" s="31"/>
      <c r="Y120" s="31"/>
      <c r="Z120" s="31">
        <f t="shared" si="14"/>
        <v>114300</v>
      </c>
      <c r="AA120" s="31"/>
      <c r="AB120" s="31"/>
      <c r="AC120" s="31"/>
      <c r="AD120" s="31"/>
      <c r="AE120" s="31"/>
      <c r="AF120" s="31"/>
      <c r="AG120" s="31"/>
      <c r="AH120" s="31"/>
      <c r="AI120" s="32"/>
      <c r="AJ120" s="32"/>
      <c r="AK120" s="32"/>
      <c r="AL120" s="32"/>
      <c r="AM120" s="32">
        <v>19050</v>
      </c>
      <c r="AN120" s="32">
        <v>19050</v>
      </c>
      <c r="AO120" s="32">
        <v>19050</v>
      </c>
      <c r="AP120" s="32">
        <v>19050</v>
      </c>
      <c r="AQ120" s="32">
        <v>19050</v>
      </c>
      <c r="AR120" s="32">
        <v>19050</v>
      </c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CR120">
        <v>546600</v>
      </c>
      <c r="CS120">
        <v>2</v>
      </c>
    </row>
    <row r="121" spans="1:97" x14ac:dyDescent="0.4">
      <c r="A121" t="s">
        <v>383</v>
      </c>
      <c r="D121" t="s">
        <v>2370</v>
      </c>
      <c r="E121" t="s">
        <v>2371</v>
      </c>
      <c r="F121" t="s">
        <v>384</v>
      </c>
      <c r="G121" t="s">
        <v>2938</v>
      </c>
      <c r="H121">
        <v>9052109951</v>
      </c>
      <c r="I121" t="s">
        <v>385</v>
      </c>
      <c r="J121" t="s">
        <v>2433</v>
      </c>
      <c r="L121" t="s">
        <v>2939</v>
      </c>
      <c r="M121" t="s">
        <v>2518</v>
      </c>
      <c r="N121" t="s">
        <v>2940</v>
      </c>
      <c r="O121" t="s">
        <v>2941</v>
      </c>
      <c r="Q121" t="s">
        <v>2468</v>
      </c>
      <c r="R121" s="30">
        <v>45438</v>
      </c>
      <c r="S121" t="s">
        <v>25</v>
      </c>
      <c r="T121" s="30">
        <v>45736</v>
      </c>
      <c r="U121">
        <v>59400</v>
      </c>
      <c r="V121" s="34"/>
      <c r="W121" s="34">
        <f>+U121</f>
        <v>59400</v>
      </c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5"/>
      <c r="AJ121" s="32">
        <v>19800</v>
      </c>
      <c r="AK121" s="32">
        <v>19800</v>
      </c>
      <c r="AL121" s="32">
        <v>19800</v>
      </c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CR121">
        <v>491700</v>
      </c>
      <c r="CS121">
        <v>7</v>
      </c>
    </row>
    <row r="122" spans="1:97" x14ac:dyDescent="0.4">
      <c r="A122" t="s">
        <v>386</v>
      </c>
      <c r="D122" t="s">
        <v>2370</v>
      </c>
      <c r="E122" t="s">
        <v>2371</v>
      </c>
      <c r="F122" t="s">
        <v>387</v>
      </c>
      <c r="G122" t="s">
        <v>2942</v>
      </c>
      <c r="H122">
        <v>9016553073</v>
      </c>
      <c r="I122" t="s">
        <v>388</v>
      </c>
      <c r="J122" t="s">
        <v>2433</v>
      </c>
      <c r="L122" t="s">
        <v>2943</v>
      </c>
      <c r="M122" t="s">
        <v>2492</v>
      </c>
      <c r="N122" t="s">
        <v>2944</v>
      </c>
      <c r="O122" t="s">
        <v>2945</v>
      </c>
      <c r="Q122" t="s">
        <v>2438</v>
      </c>
      <c r="R122" s="30">
        <v>45437</v>
      </c>
      <c r="S122" t="s">
        <v>44</v>
      </c>
      <c r="T122" s="30">
        <v>45828</v>
      </c>
      <c r="U122" s="20">
        <v>114300</v>
      </c>
      <c r="V122" s="31"/>
      <c r="W122" s="31"/>
      <c r="X122" s="31"/>
      <c r="Y122" s="31"/>
      <c r="Z122" s="31">
        <f t="shared" ref="Z122:Z123" si="15">+U122</f>
        <v>114300</v>
      </c>
      <c r="AA122" s="31"/>
      <c r="AB122" s="31"/>
      <c r="AC122" s="31"/>
      <c r="AD122" s="31"/>
      <c r="AE122" s="31"/>
      <c r="AF122" s="31"/>
      <c r="AG122" s="31"/>
      <c r="AH122" s="31"/>
      <c r="AI122" s="32"/>
      <c r="AJ122" s="32"/>
      <c r="AK122" s="32"/>
      <c r="AL122" s="32"/>
      <c r="AM122" s="32">
        <v>19050</v>
      </c>
      <c r="AN122" s="32">
        <v>19050</v>
      </c>
      <c r="AO122" s="32">
        <v>19050</v>
      </c>
      <c r="AP122" s="32">
        <v>19050</v>
      </c>
      <c r="AQ122" s="32">
        <v>19050</v>
      </c>
      <c r="AR122" s="32">
        <v>19050</v>
      </c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CR122">
        <v>232000</v>
      </c>
      <c r="CS122">
        <v>2</v>
      </c>
    </row>
    <row r="123" spans="1:97" x14ac:dyDescent="0.4">
      <c r="A123" t="s">
        <v>389</v>
      </c>
      <c r="D123" t="s">
        <v>2370</v>
      </c>
      <c r="E123" t="s">
        <v>2371</v>
      </c>
      <c r="F123" t="s">
        <v>390</v>
      </c>
      <c r="G123" t="s">
        <v>2946</v>
      </c>
      <c r="H123">
        <v>276455387</v>
      </c>
      <c r="I123" t="s">
        <v>391</v>
      </c>
      <c r="J123" t="s">
        <v>2433</v>
      </c>
      <c r="L123" t="s">
        <v>2947</v>
      </c>
      <c r="M123" t="s">
        <v>2771</v>
      </c>
      <c r="N123" t="s">
        <v>2948</v>
      </c>
      <c r="O123" t="s">
        <v>2949</v>
      </c>
      <c r="Q123" t="s">
        <v>2468</v>
      </c>
      <c r="R123" s="30">
        <v>45433</v>
      </c>
      <c r="S123" t="s">
        <v>44</v>
      </c>
      <c r="T123" s="30">
        <v>45828</v>
      </c>
      <c r="U123" s="20">
        <v>114300</v>
      </c>
      <c r="V123" s="31"/>
      <c r="W123" s="31"/>
      <c r="X123" s="31"/>
      <c r="Y123" s="31"/>
      <c r="Z123" s="31">
        <f t="shared" si="15"/>
        <v>114300</v>
      </c>
      <c r="AA123" s="31"/>
      <c r="AB123" s="31"/>
      <c r="AC123" s="31"/>
      <c r="AD123" s="31"/>
      <c r="AE123" s="31"/>
      <c r="AF123" s="31"/>
      <c r="AG123" s="31"/>
      <c r="AH123" s="31"/>
      <c r="AI123" s="32"/>
      <c r="AJ123" s="32"/>
      <c r="AK123" s="32"/>
      <c r="AL123" s="32"/>
      <c r="AM123" s="32">
        <v>19050</v>
      </c>
      <c r="AN123" s="32">
        <v>19050</v>
      </c>
      <c r="AO123" s="32">
        <v>19050</v>
      </c>
      <c r="AP123" s="32">
        <v>19050</v>
      </c>
      <c r="AQ123" s="32">
        <v>19050</v>
      </c>
      <c r="AR123" s="32">
        <v>19050</v>
      </c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CR123">
        <v>546600</v>
      </c>
      <c r="CS123">
        <v>2</v>
      </c>
    </row>
    <row r="124" spans="1:97" s="36" customFormat="1" x14ac:dyDescent="0.4">
      <c r="A124" s="36" t="s">
        <v>2950</v>
      </c>
      <c r="D124" s="36" t="s">
        <v>2370</v>
      </c>
      <c r="E124" s="36" t="s">
        <v>2371</v>
      </c>
      <c r="F124" s="36" t="s">
        <v>2951</v>
      </c>
      <c r="G124" s="36" t="s">
        <v>2952</v>
      </c>
      <c r="H124" s="36">
        <v>9096658752</v>
      </c>
      <c r="I124" s="36" t="s">
        <v>2953</v>
      </c>
      <c r="J124" s="36" t="s">
        <v>2433</v>
      </c>
      <c r="L124" s="36" t="s">
        <v>2954</v>
      </c>
      <c r="M124" s="36" t="s">
        <v>2444</v>
      </c>
      <c r="N124" s="36" t="s">
        <v>2955</v>
      </c>
      <c r="O124" s="36" t="s">
        <v>2956</v>
      </c>
      <c r="Q124" s="36" t="s">
        <v>2957</v>
      </c>
      <c r="R124" s="37">
        <v>45420</v>
      </c>
      <c r="S124" s="36" t="s">
        <v>2503</v>
      </c>
      <c r="T124" s="37">
        <v>45705</v>
      </c>
      <c r="U124" s="37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CR124" s="36">
        <v>474240</v>
      </c>
      <c r="CS124" s="36">
        <v>3</v>
      </c>
    </row>
    <row r="125" spans="1:97" x14ac:dyDescent="0.4">
      <c r="A125" t="s">
        <v>392</v>
      </c>
      <c r="D125" t="s">
        <v>2370</v>
      </c>
      <c r="E125" t="s">
        <v>2371</v>
      </c>
      <c r="F125" t="s">
        <v>393</v>
      </c>
      <c r="G125" t="s">
        <v>2958</v>
      </c>
      <c r="H125">
        <v>9025810455</v>
      </c>
      <c r="I125" t="s">
        <v>394</v>
      </c>
      <c r="J125" t="s">
        <v>2433</v>
      </c>
      <c r="L125" t="s">
        <v>2959</v>
      </c>
      <c r="M125" t="s">
        <v>2960</v>
      </c>
      <c r="N125" t="s">
        <v>2961</v>
      </c>
      <c r="O125" t="s">
        <v>2962</v>
      </c>
      <c r="Q125" t="s">
        <v>2963</v>
      </c>
      <c r="R125" s="30">
        <v>45409</v>
      </c>
      <c r="S125" t="s">
        <v>44</v>
      </c>
      <c r="T125" s="30">
        <v>45828</v>
      </c>
      <c r="U125" s="20">
        <v>114300</v>
      </c>
      <c r="V125" s="31"/>
      <c r="W125" s="31"/>
      <c r="X125" s="31"/>
      <c r="Y125" s="31"/>
      <c r="Z125" s="31">
        <f>+U125</f>
        <v>114300</v>
      </c>
      <c r="AA125" s="31"/>
      <c r="AB125" s="31"/>
      <c r="AC125" s="31"/>
      <c r="AD125" s="31"/>
      <c r="AE125" s="31"/>
      <c r="AF125" s="31"/>
      <c r="AG125" s="31"/>
      <c r="AH125" s="31"/>
      <c r="AI125" s="32"/>
      <c r="AJ125" s="32"/>
      <c r="AK125" s="32"/>
      <c r="AL125" s="32"/>
      <c r="AM125" s="32">
        <v>19050</v>
      </c>
      <c r="AN125" s="32">
        <v>19050</v>
      </c>
      <c r="AO125" s="32">
        <v>19050</v>
      </c>
      <c r="AP125" s="32">
        <v>19050</v>
      </c>
      <c r="AQ125" s="32">
        <v>19050</v>
      </c>
      <c r="AR125" s="32">
        <v>19050</v>
      </c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CR125">
        <v>546600</v>
      </c>
      <c r="CS125">
        <v>2</v>
      </c>
    </row>
    <row r="126" spans="1:97" x14ac:dyDescent="0.4">
      <c r="A126" t="s">
        <v>395</v>
      </c>
      <c r="D126" t="s">
        <v>2370</v>
      </c>
      <c r="E126" t="s">
        <v>2371</v>
      </c>
      <c r="F126" t="s">
        <v>396</v>
      </c>
      <c r="G126" t="s">
        <v>2964</v>
      </c>
      <c r="H126">
        <v>423814769</v>
      </c>
      <c r="I126" t="s">
        <v>397</v>
      </c>
      <c r="J126" t="s">
        <v>2433</v>
      </c>
      <c r="L126" t="s">
        <v>2965</v>
      </c>
      <c r="M126" t="s">
        <v>2444</v>
      </c>
      <c r="N126" t="s">
        <v>2966</v>
      </c>
      <c r="O126" s="41">
        <v>38975</v>
      </c>
      <c r="Q126" t="s">
        <v>2963</v>
      </c>
      <c r="R126" s="30">
        <v>45402</v>
      </c>
      <c r="S126" t="s">
        <v>25</v>
      </c>
      <c r="T126" s="30">
        <v>45736</v>
      </c>
      <c r="U126">
        <v>59400</v>
      </c>
      <c r="V126" s="34"/>
      <c r="W126" s="34">
        <f>+U126</f>
        <v>59400</v>
      </c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5"/>
      <c r="AJ126" s="32">
        <v>19800</v>
      </c>
      <c r="AK126" s="32">
        <v>19800</v>
      </c>
      <c r="AL126" s="32">
        <v>19800</v>
      </c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CR126">
        <v>491700</v>
      </c>
      <c r="CS126">
        <v>3</v>
      </c>
    </row>
    <row r="127" spans="1:97" x14ac:dyDescent="0.4">
      <c r="A127" t="s">
        <v>398</v>
      </c>
      <c r="D127" t="s">
        <v>2370</v>
      </c>
      <c r="E127" t="s">
        <v>2371</v>
      </c>
      <c r="F127" t="s">
        <v>399</v>
      </c>
      <c r="G127" t="s">
        <v>2967</v>
      </c>
      <c r="H127">
        <v>9099991225</v>
      </c>
      <c r="I127" t="s">
        <v>400</v>
      </c>
      <c r="J127" t="s">
        <v>2433</v>
      </c>
      <c r="L127" t="s">
        <v>2968</v>
      </c>
      <c r="M127" t="s">
        <v>2444</v>
      </c>
      <c r="N127" t="s">
        <v>2969</v>
      </c>
      <c r="O127" t="s">
        <v>2970</v>
      </c>
      <c r="Q127" t="s">
        <v>2468</v>
      </c>
      <c r="R127" s="30">
        <v>45395</v>
      </c>
      <c r="S127" t="s">
        <v>44</v>
      </c>
      <c r="T127" s="30">
        <v>45828</v>
      </c>
      <c r="U127" s="20">
        <v>114300</v>
      </c>
      <c r="V127" s="31"/>
      <c r="W127" s="31"/>
      <c r="X127" s="31"/>
      <c r="Y127" s="31"/>
      <c r="Z127" s="31">
        <f t="shared" ref="Z127:Z141" si="16">+U127</f>
        <v>114300</v>
      </c>
      <c r="AA127" s="31"/>
      <c r="AB127" s="31"/>
      <c r="AC127" s="31"/>
      <c r="AD127" s="31"/>
      <c r="AE127" s="31"/>
      <c r="AF127" s="31"/>
      <c r="AG127" s="31"/>
      <c r="AH127" s="31"/>
      <c r="AI127" s="32"/>
      <c r="AJ127" s="32"/>
      <c r="AK127" s="32"/>
      <c r="AL127" s="32"/>
      <c r="AM127" s="32">
        <v>19050</v>
      </c>
      <c r="AN127" s="32">
        <v>19050</v>
      </c>
      <c r="AO127" s="32">
        <v>19050</v>
      </c>
      <c r="AP127" s="32">
        <v>19050</v>
      </c>
      <c r="AQ127" s="32">
        <v>19050</v>
      </c>
      <c r="AR127" s="32">
        <v>19050</v>
      </c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CR127">
        <v>1014600</v>
      </c>
      <c r="CS127">
        <v>3</v>
      </c>
    </row>
    <row r="128" spans="1:97" x14ac:dyDescent="0.4">
      <c r="A128" t="s">
        <v>401</v>
      </c>
      <c r="D128" t="s">
        <v>2370</v>
      </c>
      <c r="E128" t="s">
        <v>2371</v>
      </c>
      <c r="F128" t="s">
        <v>402</v>
      </c>
      <c r="G128" t="s">
        <v>2971</v>
      </c>
      <c r="H128">
        <v>9082468802</v>
      </c>
      <c r="I128" t="s">
        <v>403</v>
      </c>
      <c r="J128" t="s">
        <v>2433</v>
      </c>
      <c r="L128" t="s">
        <v>2972</v>
      </c>
      <c r="M128" t="s">
        <v>2732</v>
      </c>
      <c r="N128" t="s">
        <v>2973</v>
      </c>
      <c r="O128" t="s">
        <v>2974</v>
      </c>
      <c r="Q128" t="s">
        <v>2963</v>
      </c>
      <c r="R128" s="30">
        <v>45375</v>
      </c>
      <c r="S128" t="s">
        <v>44</v>
      </c>
      <c r="T128" s="30">
        <v>45828</v>
      </c>
      <c r="U128" s="20">
        <v>114300</v>
      </c>
      <c r="V128" s="31"/>
      <c r="W128" s="31"/>
      <c r="X128" s="31"/>
      <c r="Y128" s="31"/>
      <c r="Z128" s="31">
        <f t="shared" si="16"/>
        <v>114300</v>
      </c>
      <c r="AA128" s="31"/>
      <c r="AB128" s="31"/>
      <c r="AC128" s="31"/>
      <c r="AD128" s="31"/>
      <c r="AE128" s="31"/>
      <c r="AF128" s="31"/>
      <c r="AG128" s="31"/>
      <c r="AH128" s="31"/>
      <c r="AI128" s="32"/>
      <c r="AJ128" s="32"/>
      <c r="AK128" s="32"/>
      <c r="AL128" s="32"/>
      <c r="AM128" s="32">
        <v>19050</v>
      </c>
      <c r="AN128" s="32">
        <v>19050</v>
      </c>
      <c r="AO128" s="32">
        <v>19050</v>
      </c>
      <c r="AP128" s="32">
        <v>19050</v>
      </c>
      <c r="AQ128" s="32">
        <v>19050</v>
      </c>
      <c r="AR128" s="32">
        <v>19050</v>
      </c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CR128">
        <v>546600</v>
      </c>
      <c r="CS128">
        <v>3</v>
      </c>
    </row>
    <row r="129" spans="1:97" x14ac:dyDescent="0.4">
      <c r="A129" t="s">
        <v>404</v>
      </c>
      <c r="D129" t="s">
        <v>2370</v>
      </c>
      <c r="E129" t="s">
        <v>2371</v>
      </c>
      <c r="F129" t="s">
        <v>405</v>
      </c>
      <c r="G129" t="s">
        <v>2975</v>
      </c>
      <c r="H129">
        <v>9043977172</v>
      </c>
      <c r="I129" t="s">
        <v>406</v>
      </c>
      <c r="J129" t="s">
        <v>2433</v>
      </c>
      <c r="L129" t="s">
        <v>2976</v>
      </c>
      <c r="M129" t="s">
        <v>2492</v>
      </c>
      <c r="N129" t="s">
        <v>2977</v>
      </c>
      <c r="O129" t="s">
        <v>2978</v>
      </c>
      <c r="Q129" t="s">
        <v>2963</v>
      </c>
      <c r="R129" s="30">
        <v>45371</v>
      </c>
      <c r="S129" t="s">
        <v>44</v>
      </c>
      <c r="T129" s="30">
        <v>45828</v>
      </c>
      <c r="U129" s="20">
        <v>114300</v>
      </c>
      <c r="V129" s="31"/>
      <c r="W129" s="31"/>
      <c r="X129" s="31"/>
      <c r="Y129" s="31"/>
      <c r="Z129" s="31">
        <f t="shared" si="16"/>
        <v>114300</v>
      </c>
      <c r="AA129" s="31"/>
      <c r="AB129" s="31"/>
      <c r="AC129" s="31"/>
      <c r="AD129" s="31"/>
      <c r="AE129" s="31"/>
      <c r="AF129" s="31"/>
      <c r="AG129" s="31"/>
      <c r="AH129" s="31"/>
      <c r="AI129" s="32"/>
      <c r="AJ129" s="32"/>
      <c r="AK129" s="32"/>
      <c r="AL129" s="32"/>
      <c r="AM129" s="32">
        <v>19050</v>
      </c>
      <c r="AN129" s="32">
        <v>19050</v>
      </c>
      <c r="AO129" s="32">
        <v>19050</v>
      </c>
      <c r="AP129" s="32">
        <v>19050</v>
      </c>
      <c r="AQ129" s="32">
        <v>19050</v>
      </c>
      <c r="AR129" s="32">
        <v>19050</v>
      </c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CR129">
        <v>546600</v>
      </c>
      <c r="CS129">
        <v>2</v>
      </c>
    </row>
    <row r="130" spans="1:97" x14ac:dyDescent="0.4">
      <c r="A130" t="s">
        <v>407</v>
      </c>
      <c r="D130" t="s">
        <v>2370</v>
      </c>
      <c r="E130" t="s">
        <v>2371</v>
      </c>
      <c r="F130" t="s">
        <v>408</v>
      </c>
      <c r="G130" t="s">
        <v>2979</v>
      </c>
      <c r="H130">
        <v>8045035343</v>
      </c>
      <c r="I130" t="s">
        <v>409</v>
      </c>
      <c r="J130" t="s">
        <v>2433</v>
      </c>
      <c r="L130" t="s">
        <v>2980</v>
      </c>
      <c r="M130" t="s">
        <v>2676</v>
      </c>
      <c r="N130" t="s">
        <v>2981</v>
      </c>
      <c r="O130" t="s">
        <v>2982</v>
      </c>
      <c r="Q130" t="s">
        <v>2963</v>
      </c>
      <c r="R130" s="30">
        <v>45370</v>
      </c>
      <c r="S130" t="s">
        <v>50</v>
      </c>
      <c r="T130" s="30">
        <v>45828</v>
      </c>
      <c r="U130" s="20">
        <v>114300</v>
      </c>
      <c r="V130" s="31"/>
      <c r="W130" s="31"/>
      <c r="X130" s="31"/>
      <c r="Y130" s="31"/>
      <c r="Z130" s="31">
        <f t="shared" si="16"/>
        <v>114300</v>
      </c>
      <c r="AA130" s="31"/>
      <c r="AB130" s="31"/>
      <c r="AC130" s="31"/>
      <c r="AD130" s="31"/>
      <c r="AE130" s="31"/>
      <c r="AF130" s="31"/>
      <c r="AG130" s="31"/>
      <c r="AH130" s="31"/>
      <c r="AI130" s="32"/>
      <c r="AJ130" s="32"/>
      <c r="AK130" s="32"/>
      <c r="AL130" s="32"/>
      <c r="AM130" s="32">
        <v>19050</v>
      </c>
      <c r="AN130" s="32">
        <v>19050</v>
      </c>
      <c r="AO130" s="32">
        <v>19050</v>
      </c>
      <c r="AP130" s="32">
        <v>19050</v>
      </c>
      <c r="AQ130" s="32">
        <v>19050</v>
      </c>
      <c r="AR130" s="32">
        <v>19050</v>
      </c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CR130">
        <v>432300</v>
      </c>
      <c r="CS130">
        <v>1</v>
      </c>
    </row>
    <row r="131" spans="1:97" x14ac:dyDescent="0.4">
      <c r="A131" t="s">
        <v>410</v>
      </c>
      <c r="D131" t="s">
        <v>2370</v>
      </c>
      <c r="E131" t="s">
        <v>2371</v>
      </c>
      <c r="F131" t="s">
        <v>411</v>
      </c>
      <c r="G131" t="s">
        <v>2983</v>
      </c>
      <c r="H131">
        <v>9053182321</v>
      </c>
      <c r="I131" t="s">
        <v>412</v>
      </c>
      <c r="J131" t="s">
        <v>2433</v>
      </c>
      <c r="L131" t="s">
        <v>2984</v>
      </c>
      <c r="M131" t="s">
        <v>2483</v>
      </c>
      <c r="N131" t="s">
        <v>2985</v>
      </c>
      <c r="O131" t="s">
        <v>2986</v>
      </c>
      <c r="Q131" t="s">
        <v>2963</v>
      </c>
      <c r="R131" s="30">
        <v>45368</v>
      </c>
      <c r="S131" t="s">
        <v>44</v>
      </c>
      <c r="T131" s="30">
        <v>45828</v>
      </c>
      <c r="U131" s="20">
        <v>114300</v>
      </c>
      <c r="V131" s="31"/>
      <c r="W131" s="31"/>
      <c r="X131" s="31"/>
      <c r="Y131" s="31"/>
      <c r="Z131" s="31">
        <f t="shared" si="16"/>
        <v>114300</v>
      </c>
      <c r="AA131" s="31"/>
      <c r="AB131" s="31"/>
      <c r="AC131" s="31"/>
      <c r="AD131" s="31"/>
      <c r="AE131" s="31"/>
      <c r="AF131" s="31"/>
      <c r="AG131" s="31"/>
      <c r="AH131" s="31"/>
      <c r="AI131" s="32"/>
      <c r="AJ131" s="32"/>
      <c r="AK131" s="32"/>
      <c r="AL131" s="32"/>
      <c r="AM131" s="32">
        <v>19050</v>
      </c>
      <c r="AN131" s="32">
        <v>19050</v>
      </c>
      <c r="AO131" s="32">
        <v>19050</v>
      </c>
      <c r="AP131" s="32">
        <v>19050</v>
      </c>
      <c r="AQ131" s="32">
        <v>19050</v>
      </c>
      <c r="AR131" s="32">
        <v>19050</v>
      </c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CR131">
        <v>546600</v>
      </c>
      <c r="CS131">
        <v>2</v>
      </c>
    </row>
    <row r="132" spans="1:97" x14ac:dyDescent="0.4">
      <c r="A132" t="s">
        <v>413</v>
      </c>
      <c r="D132" t="s">
        <v>2370</v>
      </c>
      <c r="E132" t="s">
        <v>2371</v>
      </c>
      <c r="F132" t="s">
        <v>414</v>
      </c>
      <c r="G132" t="s">
        <v>2987</v>
      </c>
      <c r="H132">
        <v>9041133680</v>
      </c>
      <c r="I132" t="s">
        <v>415</v>
      </c>
      <c r="J132" t="s">
        <v>2433</v>
      </c>
      <c r="L132" t="s">
        <v>2988</v>
      </c>
      <c r="M132" t="s">
        <v>2444</v>
      </c>
      <c r="N132" t="s">
        <v>2989</v>
      </c>
      <c r="O132" t="s">
        <v>2990</v>
      </c>
      <c r="Q132" t="s">
        <v>2438</v>
      </c>
      <c r="R132" s="30">
        <v>45336</v>
      </c>
      <c r="S132" t="s">
        <v>44</v>
      </c>
      <c r="T132" s="30">
        <v>45828</v>
      </c>
      <c r="U132" s="20">
        <v>114300</v>
      </c>
      <c r="V132" s="31"/>
      <c r="W132" s="31"/>
      <c r="X132" s="31"/>
      <c r="Y132" s="31"/>
      <c r="Z132" s="31">
        <f t="shared" si="16"/>
        <v>114300</v>
      </c>
      <c r="AA132" s="31"/>
      <c r="AB132" s="31"/>
      <c r="AC132" s="31"/>
      <c r="AD132" s="31"/>
      <c r="AE132" s="31"/>
      <c r="AF132" s="31"/>
      <c r="AG132" s="31"/>
      <c r="AH132" s="31"/>
      <c r="AI132" s="32"/>
      <c r="AJ132" s="32"/>
      <c r="AK132" s="32"/>
      <c r="AL132" s="32"/>
      <c r="AM132" s="32">
        <v>19050</v>
      </c>
      <c r="AN132" s="32">
        <v>19050</v>
      </c>
      <c r="AO132" s="32">
        <v>19050</v>
      </c>
      <c r="AP132" s="32">
        <v>19050</v>
      </c>
      <c r="AQ132" s="32">
        <v>19050</v>
      </c>
      <c r="AR132" s="32">
        <v>19050</v>
      </c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CR132">
        <v>546600</v>
      </c>
      <c r="CS132">
        <v>2</v>
      </c>
    </row>
    <row r="133" spans="1:97" x14ac:dyDescent="0.4">
      <c r="A133" t="s">
        <v>416</v>
      </c>
      <c r="D133" t="s">
        <v>2370</v>
      </c>
      <c r="E133" t="s">
        <v>2371</v>
      </c>
      <c r="F133" t="s">
        <v>417</v>
      </c>
      <c r="G133" t="s">
        <v>2991</v>
      </c>
      <c r="H133">
        <v>9021369249</v>
      </c>
      <c r="I133" t="s">
        <v>418</v>
      </c>
      <c r="J133" t="s">
        <v>2433</v>
      </c>
      <c r="L133" t="s">
        <v>2992</v>
      </c>
      <c r="M133" t="s">
        <v>2500</v>
      </c>
      <c r="N133" t="s">
        <v>2993</v>
      </c>
      <c r="O133" t="s">
        <v>2994</v>
      </c>
      <c r="Q133" t="s">
        <v>2438</v>
      </c>
      <c r="R133" s="30">
        <v>45336</v>
      </c>
      <c r="S133" t="s">
        <v>44</v>
      </c>
      <c r="T133" s="30">
        <v>45828</v>
      </c>
      <c r="U133" s="20">
        <v>114300</v>
      </c>
      <c r="V133" s="31"/>
      <c r="W133" s="31"/>
      <c r="X133" s="31"/>
      <c r="Y133" s="31"/>
      <c r="Z133" s="31">
        <f t="shared" si="16"/>
        <v>114300</v>
      </c>
      <c r="AA133" s="31"/>
      <c r="AB133" s="31"/>
      <c r="AC133" s="31"/>
      <c r="AD133" s="31"/>
      <c r="AE133" s="31"/>
      <c r="AF133" s="31"/>
      <c r="AG133" s="31"/>
      <c r="AH133" s="31"/>
      <c r="AI133" s="32"/>
      <c r="AJ133" s="32"/>
      <c r="AK133" s="32"/>
      <c r="AL133" s="32"/>
      <c r="AM133" s="32">
        <v>19050</v>
      </c>
      <c r="AN133" s="32">
        <v>19050</v>
      </c>
      <c r="AO133" s="32">
        <v>19050</v>
      </c>
      <c r="AP133" s="32">
        <v>19050</v>
      </c>
      <c r="AQ133" s="32">
        <v>19050</v>
      </c>
      <c r="AR133" s="32">
        <v>19050</v>
      </c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CR133">
        <v>546600</v>
      </c>
      <c r="CS133">
        <v>7</v>
      </c>
    </row>
    <row r="134" spans="1:97" x14ac:dyDescent="0.4">
      <c r="A134" t="s">
        <v>419</v>
      </c>
      <c r="D134" t="s">
        <v>2370</v>
      </c>
      <c r="E134" t="s">
        <v>2371</v>
      </c>
      <c r="F134" t="s">
        <v>420</v>
      </c>
      <c r="G134" t="s">
        <v>2995</v>
      </c>
      <c r="H134">
        <v>9083274601</v>
      </c>
      <c r="I134" t="s">
        <v>421</v>
      </c>
      <c r="J134" t="s">
        <v>2433</v>
      </c>
      <c r="L134" t="s">
        <v>2996</v>
      </c>
      <c r="M134" t="s">
        <v>2451</v>
      </c>
      <c r="N134" t="s">
        <v>2997</v>
      </c>
      <c r="O134" s="33">
        <v>45883</v>
      </c>
      <c r="Q134" t="s">
        <v>2438</v>
      </c>
      <c r="R134" s="30">
        <v>45337</v>
      </c>
      <c r="S134" t="s">
        <v>44</v>
      </c>
      <c r="T134" s="30">
        <v>45828</v>
      </c>
      <c r="U134" s="20">
        <v>114300</v>
      </c>
      <c r="V134" s="31"/>
      <c r="W134" s="31"/>
      <c r="X134" s="31"/>
      <c r="Y134" s="31"/>
      <c r="Z134" s="31">
        <f t="shared" si="16"/>
        <v>114300</v>
      </c>
      <c r="AA134" s="31"/>
      <c r="AB134" s="31"/>
      <c r="AC134" s="31"/>
      <c r="AD134" s="31"/>
      <c r="AE134" s="31"/>
      <c r="AF134" s="31"/>
      <c r="AG134" s="31"/>
      <c r="AH134" s="31"/>
      <c r="AI134" s="32"/>
      <c r="AJ134" s="32"/>
      <c r="AK134" s="32"/>
      <c r="AL134" s="32"/>
      <c r="AM134" s="32">
        <v>19050</v>
      </c>
      <c r="AN134" s="32">
        <v>19050</v>
      </c>
      <c r="AO134" s="32">
        <v>19050</v>
      </c>
      <c r="AP134" s="32">
        <v>19050</v>
      </c>
      <c r="AQ134" s="32">
        <v>19050</v>
      </c>
      <c r="AR134" s="32">
        <v>19050</v>
      </c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CR134">
        <v>546600</v>
      </c>
      <c r="CS134">
        <v>2</v>
      </c>
    </row>
    <row r="135" spans="1:97" x14ac:dyDescent="0.4">
      <c r="A135" t="s">
        <v>422</v>
      </c>
      <c r="D135" t="s">
        <v>2370</v>
      </c>
      <c r="E135" t="s">
        <v>2371</v>
      </c>
      <c r="F135" t="s">
        <v>423</v>
      </c>
      <c r="G135" t="s">
        <v>2998</v>
      </c>
      <c r="H135">
        <v>9091410080</v>
      </c>
      <c r="I135" t="s">
        <v>424</v>
      </c>
      <c r="J135" t="s">
        <v>2433</v>
      </c>
      <c r="L135" t="s">
        <v>2999</v>
      </c>
      <c r="M135" t="s">
        <v>2444</v>
      </c>
      <c r="N135" t="s">
        <v>3000</v>
      </c>
      <c r="O135" t="s">
        <v>3001</v>
      </c>
      <c r="Q135" t="s">
        <v>2438</v>
      </c>
      <c r="R135" s="30">
        <v>45338</v>
      </c>
      <c r="S135" t="s">
        <v>44</v>
      </c>
      <c r="T135" s="30">
        <v>45828</v>
      </c>
      <c r="U135" s="20">
        <v>114300</v>
      </c>
      <c r="V135" s="31"/>
      <c r="W135" s="31"/>
      <c r="X135" s="31"/>
      <c r="Y135" s="31"/>
      <c r="Z135" s="31">
        <f t="shared" si="16"/>
        <v>114300</v>
      </c>
      <c r="AA135" s="31"/>
      <c r="AB135" s="31"/>
      <c r="AC135" s="31"/>
      <c r="AD135" s="31"/>
      <c r="AE135" s="31"/>
      <c r="AF135" s="31"/>
      <c r="AG135" s="31"/>
      <c r="AH135" s="31"/>
      <c r="AI135" s="32"/>
      <c r="AJ135" s="32"/>
      <c r="AK135" s="32"/>
      <c r="AL135" s="32"/>
      <c r="AM135" s="32">
        <v>19050</v>
      </c>
      <c r="AN135" s="32">
        <v>19050</v>
      </c>
      <c r="AO135" s="32">
        <v>19050</v>
      </c>
      <c r="AP135" s="32">
        <v>19050</v>
      </c>
      <c r="AQ135" s="32">
        <v>19050</v>
      </c>
      <c r="AR135" s="32">
        <v>19050</v>
      </c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CR135">
        <v>546600</v>
      </c>
      <c r="CS135">
        <v>7</v>
      </c>
    </row>
    <row r="136" spans="1:97" x14ac:dyDescent="0.4">
      <c r="A136" t="s">
        <v>425</v>
      </c>
      <c r="D136" t="s">
        <v>2370</v>
      </c>
      <c r="E136" t="s">
        <v>2371</v>
      </c>
      <c r="F136" t="s">
        <v>426</v>
      </c>
      <c r="G136" t="s">
        <v>3002</v>
      </c>
      <c r="H136">
        <v>7052674618</v>
      </c>
      <c r="I136" t="s">
        <v>427</v>
      </c>
      <c r="J136" t="s">
        <v>2433</v>
      </c>
      <c r="L136" t="s">
        <v>3003</v>
      </c>
      <c r="M136" t="s">
        <v>2460</v>
      </c>
      <c r="N136" t="s">
        <v>3004</v>
      </c>
      <c r="O136" s="33">
        <v>45745</v>
      </c>
      <c r="Q136" t="s">
        <v>2438</v>
      </c>
      <c r="R136" s="30">
        <v>45338</v>
      </c>
      <c r="S136" t="s">
        <v>44</v>
      </c>
      <c r="T136" s="30">
        <v>45828</v>
      </c>
      <c r="U136" s="20">
        <v>114300</v>
      </c>
      <c r="V136" s="31"/>
      <c r="W136" s="31"/>
      <c r="X136" s="31"/>
      <c r="Y136" s="31"/>
      <c r="Z136" s="31">
        <f t="shared" si="16"/>
        <v>114300</v>
      </c>
      <c r="AA136" s="31"/>
      <c r="AB136" s="31"/>
      <c r="AC136" s="31"/>
      <c r="AD136" s="31"/>
      <c r="AE136" s="31"/>
      <c r="AF136" s="31"/>
      <c r="AG136" s="31"/>
      <c r="AH136" s="31"/>
      <c r="AI136" s="32"/>
      <c r="AJ136" s="32"/>
      <c r="AK136" s="32"/>
      <c r="AL136" s="32"/>
      <c r="AM136" s="32">
        <v>19050</v>
      </c>
      <c r="AN136" s="32">
        <v>19050</v>
      </c>
      <c r="AO136" s="32">
        <v>19050</v>
      </c>
      <c r="AP136" s="32">
        <v>19050</v>
      </c>
      <c r="AQ136" s="32">
        <v>19050</v>
      </c>
      <c r="AR136" s="32">
        <v>19050</v>
      </c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CR136">
        <v>546600</v>
      </c>
      <c r="CS136">
        <v>2</v>
      </c>
    </row>
    <row r="137" spans="1:97" x14ac:dyDescent="0.4">
      <c r="A137" t="s">
        <v>428</v>
      </c>
      <c r="D137" t="s">
        <v>2370</v>
      </c>
      <c r="E137" t="s">
        <v>2371</v>
      </c>
      <c r="F137" t="s">
        <v>429</v>
      </c>
      <c r="G137" t="s">
        <v>3005</v>
      </c>
      <c r="H137">
        <v>9065136623</v>
      </c>
      <c r="I137" t="s">
        <v>430</v>
      </c>
      <c r="J137" t="s">
        <v>2433</v>
      </c>
      <c r="L137" t="s">
        <v>3006</v>
      </c>
      <c r="M137" t="s">
        <v>2518</v>
      </c>
      <c r="N137" t="s">
        <v>3007</v>
      </c>
      <c r="O137" t="s">
        <v>3008</v>
      </c>
      <c r="Q137" t="s">
        <v>2438</v>
      </c>
      <c r="R137" s="30">
        <v>45339</v>
      </c>
      <c r="S137" t="s">
        <v>44</v>
      </c>
      <c r="T137" s="30">
        <v>45828</v>
      </c>
      <c r="U137" s="20">
        <v>114300</v>
      </c>
      <c r="V137" s="31"/>
      <c r="W137" s="31"/>
      <c r="X137" s="31"/>
      <c r="Y137" s="31"/>
      <c r="Z137" s="31">
        <f t="shared" si="16"/>
        <v>114300</v>
      </c>
      <c r="AA137" s="31"/>
      <c r="AB137" s="31"/>
      <c r="AC137" s="31"/>
      <c r="AD137" s="31"/>
      <c r="AE137" s="31"/>
      <c r="AF137" s="31"/>
      <c r="AG137" s="31"/>
      <c r="AH137" s="31"/>
      <c r="AI137" s="32"/>
      <c r="AJ137" s="32"/>
      <c r="AK137" s="32"/>
      <c r="AL137" s="32"/>
      <c r="AM137" s="32">
        <v>19050</v>
      </c>
      <c r="AN137" s="32">
        <v>19050</v>
      </c>
      <c r="AO137" s="32">
        <v>19050</v>
      </c>
      <c r="AP137" s="32">
        <v>19050</v>
      </c>
      <c r="AQ137" s="32">
        <v>19050</v>
      </c>
      <c r="AR137" s="32">
        <v>19050</v>
      </c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CR137">
        <v>546600</v>
      </c>
      <c r="CS137">
        <v>2</v>
      </c>
    </row>
    <row r="138" spans="1:97" x14ac:dyDescent="0.4">
      <c r="A138" t="s">
        <v>431</v>
      </c>
      <c r="D138" t="s">
        <v>2370</v>
      </c>
      <c r="E138" t="s">
        <v>2371</v>
      </c>
      <c r="F138" t="s">
        <v>432</v>
      </c>
      <c r="G138" t="s">
        <v>3009</v>
      </c>
      <c r="H138">
        <v>8052720014</v>
      </c>
      <c r="I138" t="s">
        <v>433</v>
      </c>
      <c r="J138" t="s">
        <v>2433</v>
      </c>
      <c r="L138" t="s">
        <v>3010</v>
      </c>
      <c r="M138" t="s">
        <v>2518</v>
      </c>
      <c r="N138" t="s">
        <v>3011</v>
      </c>
      <c r="O138" t="s">
        <v>3012</v>
      </c>
      <c r="Q138" t="s">
        <v>2438</v>
      </c>
      <c r="R138" s="30">
        <v>45339</v>
      </c>
      <c r="S138" t="s">
        <v>44</v>
      </c>
      <c r="T138" s="30">
        <v>45828</v>
      </c>
      <c r="U138" s="20">
        <v>114300</v>
      </c>
      <c r="V138" s="31"/>
      <c r="W138" s="31"/>
      <c r="X138" s="31"/>
      <c r="Y138" s="31"/>
      <c r="Z138" s="31">
        <f t="shared" si="16"/>
        <v>114300</v>
      </c>
      <c r="AA138" s="31"/>
      <c r="AB138" s="31"/>
      <c r="AC138" s="31"/>
      <c r="AD138" s="31"/>
      <c r="AE138" s="31"/>
      <c r="AF138" s="31"/>
      <c r="AG138" s="31"/>
      <c r="AH138" s="31"/>
      <c r="AI138" s="32"/>
      <c r="AJ138" s="32"/>
      <c r="AK138" s="32"/>
      <c r="AL138" s="32"/>
      <c r="AM138" s="32">
        <v>19050</v>
      </c>
      <c r="AN138" s="32">
        <v>19050</v>
      </c>
      <c r="AO138" s="32">
        <v>19050</v>
      </c>
      <c r="AP138" s="32">
        <v>19050</v>
      </c>
      <c r="AQ138" s="32">
        <v>19050</v>
      </c>
      <c r="AR138" s="32">
        <v>19050</v>
      </c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CR138">
        <v>546600</v>
      </c>
      <c r="CS138">
        <v>7</v>
      </c>
    </row>
    <row r="139" spans="1:97" x14ac:dyDescent="0.4">
      <c r="A139" t="s">
        <v>434</v>
      </c>
      <c r="D139" t="s">
        <v>2370</v>
      </c>
      <c r="E139" t="s">
        <v>2371</v>
      </c>
      <c r="F139" t="s">
        <v>435</v>
      </c>
      <c r="G139" t="s">
        <v>3013</v>
      </c>
      <c r="H139">
        <v>9071827042</v>
      </c>
      <c r="I139" t="s">
        <v>436</v>
      </c>
      <c r="J139" t="s">
        <v>2433</v>
      </c>
      <c r="L139" t="s">
        <v>3014</v>
      </c>
      <c r="M139" t="s">
        <v>2518</v>
      </c>
      <c r="N139" t="s">
        <v>3015</v>
      </c>
      <c r="O139" t="s">
        <v>3016</v>
      </c>
      <c r="Q139" t="s">
        <v>2438</v>
      </c>
      <c r="R139" s="30">
        <v>45339</v>
      </c>
      <c r="S139" t="s">
        <v>50</v>
      </c>
      <c r="T139" s="30">
        <v>45828</v>
      </c>
      <c r="U139" s="20">
        <v>114300</v>
      </c>
      <c r="V139" s="31"/>
      <c r="W139" s="31"/>
      <c r="X139" s="31"/>
      <c r="Y139" s="31"/>
      <c r="Z139" s="31">
        <f t="shared" si="16"/>
        <v>114300</v>
      </c>
      <c r="AA139" s="31"/>
      <c r="AB139" s="31"/>
      <c r="AC139" s="31"/>
      <c r="AD139" s="31"/>
      <c r="AE139" s="31"/>
      <c r="AF139" s="31"/>
      <c r="AG139" s="31"/>
      <c r="AH139" s="31"/>
      <c r="AI139" s="32"/>
      <c r="AJ139" s="32"/>
      <c r="AK139" s="32"/>
      <c r="AL139" s="32"/>
      <c r="AM139" s="32">
        <v>19050</v>
      </c>
      <c r="AN139" s="32">
        <v>19050</v>
      </c>
      <c r="AO139" s="32">
        <v>19050</v>
      </c>
      <c r="AP139" s="32">
        <v>19050</v>
      </c>
      <c r="AQ139" s="32">
        <v>19050</v>
      </c>
      <c r="AR139" s="32">
        <v>19050</v>
      </c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CR139">
        <v>546600</v>
      </c>
      <c r="CS139">
        <v>2</v>
      </c>
    </row>
    <row r="140" spans="1:97" x14ac:dyDescent="0.4">
      <c r="A140" t="s">
        <v>437</v>
      </c>
      <c r="D140" t="s">
        <v>2370</v>
      </c>
      <c r="E140" t="s">
        <v>2371</v>
      </c>
      <c r="F140" t="s">
        <v>438</v>
      </c>
      <c r="G140" t="s">
        <v>3017</v>
      </c>
      <c r="H140">
        <v>9017862161</v>
      </c>
      <c r="I140" t="s">
        <v>439</v>
      </c>
      <c r="J140" t="s">
        <v>2433</v>
      </c>
      <c r="L140" t="s">
        <v>3018</v>
      </c>
      <c r="M140" t="s">
        <v>2435</v>
      </c>
      <c r="N140" t="s">
        <v>3019</v>
      </c>
      <c r="O140" t="s">
        <v>3020</v>
      </c>
      <c r="Q140" t="s">
        <v>2438</v>
      </c>
      <c r="R140" s="30">
        <v>45340</v>
      </c>
      <c r="S140" t="s">
        <v>44</v>
      </c>
      <c r="T140" s="30">
        <v>45828</v>
      </c>
      <c r="U140" s="20">
        <v>114300</v>
      </c>
      <c r="V140" s="31"/>
      <c r="W140" s="31"/>
      <c r="X140" s="31"/>
      <c r="Y140" s="31"/>
      <c r="Z140" s="31">
        <f t="shared" si="16"/>
        <v>114300</v>
      </c>
      <c r="AA140" s="31"/>
      <c r="AB140" s="31"/>
      <c r="AC140" s="31"/>
      <c r="AD140" s="31"/>
      <c r="AE140" s="31"/>
      <c r="AF140" s="31"/>
      <c r="AG140" s="31"/>
      <c r="AH140" s="31"/>
      <c r="AI140" s="32"/>
      <c r="AJ140" s="32"/>
      <c r="AK140" s="32"/>
      <c r="AL140" s="32"/>
      <c r="AM140" s="32">
        <v>19050</v>
      </c>
      <c r="AN140" s="32">
        <v>19050</v>
      </c>
      <c r="AO140" s="32">
        <v>19050</v>
      </c>
      <c r="AP140" s="32">
        <v>19050</v>
      </c>
      <c r="AQ140" s="32">
        <v>19050</v>
      </c>
      <c r="AR140" s="32">
        <v>19050</v>
      </c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CR140">
        <v>546600</v>
      </c>
      <c r="CS140">
        <v>2</v>
      </c>
    </row>
    <row r="141" spans="1:97" x14ac:dyDescent="0.4">
      <c r="A141" t="s">
        <v>440</v>
      </c>
      <c r="D141" t="s">
        <v>2370</v>
      </c>
      <c r="E141" t="s">
        <v>2371</v>
      </c>
      <c r="F141" t="s">
        <v>441</v>
      </c>
      <c r="G141" t="s">
        <v>3021</v>
      </c>
      <c r="H141">
        <v>8033176623</v>
      </c>
      <c r="I141" t="s">
        <v>442</v>
      </c>
      <c r="J141" t="s">
        <v>2433</v>
      </c>
      <c r="L141" t="s">
        <v>3022</v>
      </c>
      <c r="M141" t="s">
        <v>2598</v>
      </c>
      <c r="N141" t="s">
        <v>3023</v>
      </c>
      <c r="O141" t="s">
        <v>3024</v>
      </c>
      <c r="Q141" t="s">
        <v>2438</v>
      </c>
      <c r="R141" s="30">
        <v>45341</v>
      </c>
      <c r="S141" t="s">
        <v>44</v>
      </c>
      <c r="T141" s="30">
        <v>45828</v>
      </c>
      <c r="U141" s="20">
        <v>114300</v>
      </c>
      <c r="V141" s="31"/>
      <c r="W141" s="31"/>
      <c r="X141" s="31"/>
      <c r="Y141" s="31"/>
      <c r="Z141" s="31">
        <f t="shared" si="16"/>
        <v>114300</v>
      </c>
      <c r="AA141" s="31"/>
      <c r="AB141" s="31"/>
      <c r="AC141" s="31"/>
      <c r="AD141" s="31"/>
      <c r="AE141" s="31"/>
      <c r="AF141" s="31"/>
      <c r="AG141" s="31"/>
      <c r="AH141" s="31"/>
      <c r="AI141" s="32"/>
      <c r="AJ141" s="32"/>
      <c r="AK141" s="32"/>
      <c r="AL141" s="32"/>
      <c r="AM141" s="32">
        <v>19050</v>
      </c>
      <c r="AN141" s="32">
        <v>19050</v>
      </c>
      <c r="AO141" s="32">
        <v>19050</v>
      </c>
      <c r="AP141" s="32">
        <v>19050</v>
      </c>
      <c r="AQ141" s="32">
        <v>19050</v>
      </c>
      <c r="AR141" s="32">
        <v>19050</v>
      </c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CR141">
        <v>546600</v>
      </c>
      <c r="CS141">
        <v>7</v>
      </c>
    </row>
    <row r="142" spans="1:97" x14ac:dyDescent="0.4">
      <c r="A142" t="s">
        <v>443</v>
      </c>
      <c r="D142" t="s">
        <v>2370</v>
      </c>
      <c r="E142" t="s">
        <v>2371</v>
      </c>
      <c r="F142" t="s">
        <v>444</v>
      </c>
      <c r="G142" t="s">
        <v>3025</v>
      </c>
      <c r="H142">
        <v>9080165819</v>
      </c>
      <c r="I142" t="s">
        <v>445</v>
      </c>
      <c r="J142" t="s">
        <v>2433</v>
      </c>
      <c r="L142" t="s">
        <v>3026</v>
      </c>
      <c r="M142" t="s">
        <v>2465</v>
      </c>
      <c r="N142" t="s">
        <v>3027</v>
      </c>
      <c r="O142" t="s">
        <v>3028</v>
      </c>
      <c r="Q142" t="s">
        <v>2438</v>
      </c>
      <c r="R142" s="30">
        <v>45341</v>
      </c>
      <c r="S142" t="s">
        <v>25</v>
      </c>
      <c r="T142" s="30">
        <v>45736</v>
      </c>
      <c r="U142">
        <v>59400</v>
      </c>
      <c r="V142" s="34"/>
      <c r="W142" s="34">
        <f>+U142</f>
        <v>59400</v>
      </c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5"/>
      <c r="AJ142" s="32">
        <v>19800</v>
      </c>
      <c r="AK142" s="32">
        <v>19800</v>
      </c>
      <c r="AL142" s="32">
        <v>19800</v>
      </c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CR142">
        <v>491700</v>
      </c>
      <c r="CS142">
        <v>2</v>
      </c>
    </row>
    <row r="143" spans="1:97" x14ac:dyDescent="0.4">
      <c r="A143" t="s">
        <v>446</v>
      </c>
      <c r="D143" t="s">
        <v>2370</v>
      </c>
      <c r="E143" t="s">
        <v>2371</v>
      </c>
      <c r="F143" t="s">
        <v>447</v>
      </c>
      <c r="G143" t="s">
        <v>3029</v>
      </c>
      <c r="H143">
        <v>9064927757</v>
      </c>
      <c r="I143" t="s">
        <v>448</v>
      </c>
      <c r="J143" t="s">
        <v>2433</v>
      </c>
      <c r="L143" t="s">
        <v>3030</v>
      </c>
      <c r="M143" t="s">
        <v>2465</v>
      </c>
      <c r="N143" t="s">
        <v>3031</v>
      </c>
      <c r="O143" t="s">
        <v>3032</v>
      </c>
      <c r="Q143" t="s">
        <v>2438</v>
      </c>
      <c r="R143" s="30">
        <v>45342</v>
      </c>
      <c r="S143" t="s">
        <v>44</v>
      </c>
      <c r="T143" s="30">
        <v>45828</v>
      </c>
      <c r="U143" s="20">
        <v>114300</v>
      </c>
      <c r="V143" s="31"/>
      <c r="W143" s="31"/>
      <c r="X143" s="31"/>
      <c r="Y143" s="31"/>
      <c r="Z143" s="31">
        <f t="shared" ref="Z143:Z146" si="17">+U143</f>
        <v>114300</v>
      </c>
      <c r="AA143" s="31"/>
      <c r="AB143" s="31"/>
      <c r="AC143" s="31"/>
      <c r="AD143" s="31"/>
      <c r="AE143" s="31"/>
      <c r="AF143" s="31"/>
      <c r="AG143" s="31"/>
      <c r="AH143" s="31"/>
      <c r="AI143" s="32"/>
      <c r="AJ143" s="32"/>
      <c r="AK143" s="32"/>
      <c r="AL143" s="32"/>
      <c r="AM143" s="32">
        <v>19050</v>
      </c>
      <c r="AN143" s="32">
        <v>19050</v>
      </c>
      <c r="AO143" s="32">
        <v>19050</v>
      </c>
      <c r="AP143" s="32">
        <v>19050</v>
      </c>
      <c r="AQ143" s="32">
        <v>19050</v>
      </c>
      <c r="AR143" s="32">
        <v>19050</v>
      </c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CR143">
        <v>546600</v>
      </c>
      <c r="CS143">
        <v>7</v>
      </c>
    </row>
    <row r="144" spans="1:97" x14ac:dyDescent="0.4">
      <c r="A144" t="s">
        <v>449</v>
      </c>
      <c r="D144" t="s">
        <v>2370</v>
      </c>
      <c r="E144" t="s">
        <v>2371</v>
      </c>
      <c r="F144" t="s">
        <v>450</v>
      </c>
      <c r="G144" t="s">
        <v>3033</v>
      </c>
      <c r="H144">
        <v>7090177847</v>
      </c>
      <c r="I144" t="s">
        <v>451</v>
      </c>
      <c r="J144" t="s">
        <v>2433</v>
      </c>
      <c r="L144" t="s">
        <v>3034</v>
      </c>
      <c r="M144" t="s">
        <v>2444</v>
      </c>
      <c r="N144" t="s">
        <v>3035</v>
      </c>
      <c r="O144" t="s">
        <v>3036</v>
      </c>
      <c r="Q144" t="s">
        <v>2438</v>
      </c>
      <c r="R144" s="30">
        <v>45342</v>
      </c>
      <c r="S144" t="s">
        <v>44</v>
      </c>
      <c r="T144" s="30">
        <v>45828</v>
      </c>
      <c r="U144" s="20">
        <v>114300</v>
      </c>
      <c r="V144" s="31"/>
      <c r="W144" s="31"/>
      <c r="X144" s="31"/>
      <c r="Y144" s="31"/>
      <c r="Z144" s="31">
        <f t="shared" si="17"/>
        <v>114300</v>
      </c>
      <c r="AA144" s="31"/>
      <c r="AB144" s="31"/>
      <c r="AC144" s="31"/>
      <c r="AD144" s="31"/>
      <c r="AE144" s="31"/>
      <c r="AF144" s="31"/>
      <c r="AG144" s="31"/>
      <c r="AH144" s="31"/>
      <c r="AI144" s="32"/>
      <c r="AJ144" s="32"/>
      <c r="AK144" s="32"/>
      <c r="AL144" s="32"/>
      <c r="AM144" s="32">
        <v>19050</v>
      </c>
      <c r="AN144" s="32">
        <v>19050</v>
      </c>
      <c r="AO144" s="32">
        <v>19050</v>
      </c>
      <c r="AP144" s="32">
        <v>19050</v>
      </c>
      <c r="AQ144" s="32">
        <v>19050</v>
      </c>
      <c r="AR144" s="32">
        <v>19050</v>
      </c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CR144">
        <v>546600</v>
      </c>
      <c r="CS144">
        <v>7</v>
      </c>
    </row>
    <row r="145" spans="1:97" x14ac:dyDescent="0.4">
      <c r="A145" t="s">
        <v>452</v>
      </c>
      <c r="D145" t="s">
        <v>2370</v>
      </c>
      <c r="E145" t="s">
        <v>2371</v>
      </c>
      <c r="F145" t="s">
        <v>453</v>
      </c>
      <c r="G145" t="s">
        <v>3037</v>
      </c>
      <c r="H145">
        <v>8053469657</v>
      </c>
      <c r="I145" t="s">
        <v>454</v>
      </c>
      <c r="J145" t="s">
        <v>2433</v>
      </c>
      <c r="L145" t="s">
        <v>3038</v>
      </c>
      <c r="M145" t="s">
        <v>2460</v>
      </c>
      <c r="N145" t="s">
        <v>3039</v>
      </c>
      <c r="O145" s="41">
        <v>36992</v>
      </c>
      <c r="Q145" t="s">
        <v>2438</v>
      </c>
      <c r="R145" s="30">
        <v>45342</v>
      </c>
      <c r="S145" t="s">
        <v>50</v>
      </c>
      <c r="T145" s="30">
        <v>45828</v>
      </c>
      <c r="U145" s="20">
        <v>114300</v>
      </c>
      <c r="V145" s="31"/>
      <c r="W145" s="31"/>
      <c r="X145" s="31"/>
      <c r="Y145" s="31"/>
      <c r="Z145" s="31">
        <f t="shared" si="17"/>
        <v>114300</v>
      </c>
      <c r="AA145" s="31"/>
      <c r="AB145" s="31"/>
      <c r="AC145" s="31"/>
      <c r="AD145" s="31"/>
      <c r="AE145" s="31"/>
      <c r="AF145" s="31"/>
      <c r="AG145" s="31"/>
      <c r="AH145" s="31"/>
      <c r="AI145" s="32"/>
      <c r="AJ145" s="32"/>
      <c r="AK145" s="32"/>
      <c r="AL145" s="32"/>
      <c r="AM145" s="32">
        <v>19050</v>
      </c>
      <c r="AN145" s="32">
        <v>19050</v>
      </c>
      <c r="AO145" s="32">
        <v>19050</v>
      </c>
      <c r="AP145" s="32">
        <v>19050</v>
      </c>
      <c r="AQ145" s="32">
        <v>19050</v>
      </c>
      <c r="AR145" s="32">
        <v>19050</v>
      </c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CR145">
        <v>546600</v>
      </c>
      <c r="CS145">
        <v>2</v>
      </c>
    </row>
    <row r="146" spans="1:97" x14ac:dyDescent="0.4">
      <c r="A146" t="s">
        <v>455</v>
      </c>
      <c r="D146" t="s">
        <v>2370</v>
      </c>
      <c r="E146" t="s">
        <v>2371</v>
      </c>
      <c r="F146" t="s">
        <v>456</v>
      </c>
      <c r="G146" t="s">
        <v>3040</v>
      </c>
      <c r="H146">
        <v>8055571330</v>
      </c>
      <c r="I146" t="s">
        <v>457</v>
      </c>
      <c r="J146" t="s">
        <v>2433</v>
      </c>
      <c r="L146" t="s">
        <v>3041</v>
      </c>
      <c r="M146" t="s">
        <v>2500</v>
      </c>
      <c r="N146" t="s">
        <v>3042</v>
      </c>
      <c r="O146" t="s">
        <v>3043</v>
      </c>
      <c r="Q146" t="s">
        <v>2438</v>
      </c>
      <c r="R146" s="30">
        <v>45342</v>
      </c>
      <c r="S146" t="s">
        <v>44</v>
      </c>
      <c r="T146" s="30">
        <v>45828</v>
      </c>
      <c r="U146" s="20">
        <v>114300</v>
      </c>
      <c r="V146" s="31"/>
      <c r="W146" s="31"/>
      <c r="X146" s="31"/>
      <c r="Y146" s="31"/>
      <c r="Z146" s="31">
        <f t="shared" si="17"/>
        <v>114300</v>
      </c>
      <c r="AA146" s="31"/>
      <c r="AB146" s="31"/>
      <c r="AC146" s="31"/>
      <c r="AD146" s="31"/>
      <c r="AE146" s="31"/>
      <c r="AF146" s="31"/>
      <c r="AG146" s="31"/>
      <c r="AH146" s="31"/>
      <c r="AI146" s="32"/>
      <c r="AJ146" s="32"/>
      <c r="AK146" s="32"/>
      <c r="AL146" s="32"/>
      <c r="AM146" s="32">
        <v>19050</v>
      </c>
      <c r="AN146" s="32">
        <v>19050</v>
      </c>
      <c r="AO146" s="32">
        <v>19050</v>
      </c>
      <c r="AP146" s="32">
        <v>19050</v>
      </c>
      <c r="AQ146" s="32">
        <v>19050</v>
      </c>
      <c r="AR146" s="32">
        <v>19050</v>
      </c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CR146">
        <v>546600</v>
      </c>
      <c r="CS146">
        <v>7</v>
      </c>
    </row>
    <row r="147" spans="1:97" x14ac:dyDescent="0.4">
      <c r="A147" t="s">
        <v>458</v>
      </c>
      <c r="D147" t="s">
        <v>2370</v>
      </c>
      <c r="E147" t="s">
        <v>2371</v>
      </c>
      <c r="F147" t="s">
        <v>459</v>
      </c>
      <c r="G147" t="s">
        <v>3044</v>
      </c>
      <c r="H147">
        <v>9036890503</v>
      </c>
      <c r="I147" t="s">
        <v>460</v>
      </c>
      <c r="J147" t="s">
        <v>2433</v>
      </c>
      <c r="L147" t="s">
        <v>3045</v>
      </c>
      <c r="M147" t="s">
        <v>2518</v>
      </c>
      <c r="N147" t="s">
        <v>3046</v>
      </c>
      <c r="O147" t="s">
        <v>3047</v>
      </c>
      <c r="Q147" t="s">
        <v>2438</v>
      </c>
      <c r="R147" s="30">
        <v>45343</v>
      </c>
      <c r="S147" t="s">
        <v>25</v>
      </c>
      <c r="T147" s="30">
        <v>45736</v>
      </c>
      <c r="U147">
        <v>59400</v>
      </c>
      <c r="V147" s="34"/>
      <c r="W147" s="34">
        <f>+U147</f>
        <v>59400</v>
      </c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5"/>
      <c r="AJ147" s="32">
        <v>19800</v>
      </c>
      <c r="AK147" s="32">
        <v>19800</v>
      </c>
      <c r="AL147" s="32">
        <v>19800</v>
      </c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CR147">
        <v>491700</v>
      </c>
      <c r="CS147">
        <v>4</v>
      </c>
    </row>
    <row r="148" spans="1:97" x14ac:dyDescent="0.4">
      <c r="A148" t="s">
        <v>461</v>
      </c>
      <c r="D148" t="s">
        <v>2370</v>
      </c>
      <c r="E148" t="s">
        <v>2371</v>
      </c>
      <c r="F148" t="s">
        <v>462</v>
      </c>
      <c r="G148" t="s">
        <v>3048</v>
      </c>
      <c r="H148">
        <v>8032423206</v>
      </c>
      <c r="I148" t="s">
        <v>463</v>
      </c>
      <c r="J148" t="s">
        <v>2433</v>
      </c>
      <c r="L148" t="s">
        <v>3049</v>
      </c>
      <c r="M148" t="s">
        <v>2506</v>
      </c>
      <c r="N148" t="s">
        <v>3050</v>
      </c>
      <c r="O148" t="s">
        <v>3051</v>
      </c>
      <c r="Q148" t="s">
        <v>2438</v>
      </c>
      <c r="R148" s="30">
        <v>45343</v>
      </c>
      <c r="S148" t="s">
        <v>44</v>
      </c>
      <c r="T148" s="30">
        <v>45828</v>
      </c>
      <c r="U148" s="20">
        <v>114300</v>
      </c>
      <c r="V148" s="31"/>
      <c r="W148" s="31"/>
      <c r="X148" s="31"/>
      <c r="Y148" s="31"/>
      <c r="Z148" s="31">
        <f t="shared" ref="Z148:Z150" si="18">+U148</f>
        <v>114300</v>
      </c>
      <c r="AA148" s="31"/>
      <c r="AB148" s="31"/>
      <c r="AC148" s="31"/>
      <c r="AD148" s="31"/>
      <c r="AE148" s="31"/>
      <c r="AF148" s="31"/>
      <c r="AG148" s="31"/>
      <c r="AH148" s="31"/>
      <c r="AI148" s="32"/>
      <c r="AJ148" s="32"/>
      <c r="AK148" s="32"/>
      <c r="AL148" s="32"/>
      <c r="AM148" s="32">
        <v>19050</v>
      </c>
      <c r="AN148" s="32">
        <v>19050</v>
      </c>
      <c r="AO148" s="32">
        <v>19050</v>
      </c>
      <c r="AP148" s="32">
        <v>19050</v>
      </c>
      <c r="AQ148" s="32">
        <v>19050</v>
      </c>
      <c r="AR148" s="32">
        <v>19050</v>
      </c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CR148">
        <v>114300</v>
      </c>
      <c r="CS148">
        <v>1</v>
      </c>
    </row>
    <row r="149" spans="1:97" x14ac:dyDescent="0.4">
      <c r="A149" t="s">
        <v>464</v>
      </c>
      <c r="D149" t="s">
        <v>2370</v>
      </c>
      <c r="E149" t="s">
        <v>2371</v>
      </c>
      <c r="F149" t="s">
        <v>465</v>
      </c>
      <c r="G149" t="s">
        <v>3052</v>
      </c>
      <c r="H149">
        <v>764516914</v>
      </c>
      <c r="I149" t="s">
        <v>466</v>
      </c>
      <c r="J149" t="s">
        <v>2433</v>
      </c>
      <c r="L149" t="s">
        <v>3053</v>
      </c>
      <c r="M149" t="s">
        <v>2693</v>
      </c>
      <c r="N149" t="s">
        <v>3054</v>
      </c>
      <c r="O149" t="s">
        <v>3055</v>
      </c>
      <c r="Q149" t="s">
        <v>2438</v>
      </c>
      <c r="R149" s="30">
        <v>45343</v>
      </c>
      <c r="S149" t="s">
        <v>44</v>
      </c>
      <c r="T149" s="30">
        <v>45828</v>
      </c>
      <c r="U149" s="20">
        <v>114300</v>
      </c>
      <c r="V149" s="31"/>
      <c r="W149" s="31"/>
      <c r="X149" s="31"/>
      <c r="Y149" s="31"/>
      <c r="Z149" s="31">
        <f t="shared" si="18"/>
        <v>114300</v>
      </c>
      <c r="AA149" s="31"/>
      <c r="AB149" s="31"/>
      <c r="AC149" s="31"/>
      <c r="AD149" s="31"/>
      <c r="AE149" s="31"/>
      <c r="AF149" s="31"/>
      <c r="AG149" s="31"/>
      <c r="AH149" s="31"/>
      <c r="AI149" s="32"/>
      <c r="AJ149" s="32"/>
      <c r="AK149" s="32"/>
      <c r="AL149" s="32"/>
      <c r="AM149" s="32">
        <v>19050</v>
      </c>
      <c r="AN149" s="32">
        <v>19050</v>
      </c>
      <c r="AO149" s="32">
        <v>19050</v>
      </c>
      <c r="AP149" s="32">
        <v>19050</v>
      </c>
      <c r="AQ149" s="32">
        <v>19050</v>
      </c>
      <c r="AR149" s="32">
        <v>19050</v>
      </c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CR149">
        <v>546600</v>
      </c>
      <c r="CS149">
        <v>2</v>
      </c>
    </row>
    <row r="150" spans="1:97" x14ac:dyDescent="0.4">
      <c r="A150" t="s">
        <v>467</v>
      </c>
      <c r="D150" t="s">
        <v>2370</v>
      </c>
      <c r="E150" t="s">
        <v>2371</v>
      </c>
      <c r="F150" t="s">
        <v>468</v>
      </c>
      <c r="G150" t="s">
        <v>3056</v>
      </c>
      <c r="H150">
        <v>8012388469</v>
      </c>
      <c r="I150" t="s">
        <v>469</v>
      </c>
      <c r="J150" t="s">
        <v>2433</v>
      </c>
      <c r="L150" t="s">
        <v>3057</v>
      </c>
      <c r="M150" t="s">
        <v>2771</v>
      </c>
      <c r="N150" t="s">
        <v>3058</v>
      </c>
      <c r="O150" t="s">
        <v>3059</v>
      </c>
      <c r="Q150" t="s">
        <v>2438</v>
      </c>
      <c r="R150" s="30">
        <v>45348</v>
      </c>
      <c r="S150" t="s">
        <v>44</v>
      </c>
      <c r="T150" s="30">
        <v>45828</v>
      </c>
      <c r="U150" s="20">
        <v>114300</v>
      </c>
      <c r="V150" s="31"/>
      <c r="W150" s="31"/>
      <c r="X150" s="31"/>
      <c r="Y150" s="31"/>
      <c r="Z150" s="31">
        <f t="shared" si="18"/>
        <v>114300</v>
      </c>
      <c r="AA150" s="31"/>
      <c r="AB150" s="31"/>
      <c r="AC150" s="31"/>
      <c r="AD150" s="31"/>
      <c r="AE150" s="31"/>
      <c r="AF150" s="31"/>
      <c r="AG150" s="31"/>
      <c r="AH150" s="31"/>
      <c r="AI150" s="32"/>
      <c r="AJ150" s="32"/>
      <c r="AK150" s="32"/>
      <c r="AL150" s="32"/>
      <c r="AM150" s="32">
        <v>19050</v>
      </c>
      <c r="AN150" s="32">
        <v>19050</v>
      </c>
      <c r="AO150" s="32">
        <v>19050</v>
      </c>
      <c r="AP150" s="32">
        <v>19050</v>
      </c>
      <c r="AQ150" s="32">
        <v>19050</v>
      </c>
      <c r="AR150" s="32">
        <v>19050</v>
      </c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CR150">
        <v>546600</v>
      </c>
      <c r="CS150">
        <v>2</v>
      </c>
    </row>
    <row r="151" spans="1:97" x14ac:dyDescent="0.4">
      <c r="A151" t="s">
        <v>470</v>
      </c>
      <c r="D151" t="s">
        <v>2370</v>
      </c>
      <c r="E151" t="s">
        <v>2371</v>
      </c>
      <c r="F151" t="s">
        <v>471</v>
      </c>
      <c r="G151" t="s">
        <v>3060</v>
      </c>
      <c r="H151">
        <v>9060176717</v>
      </c>
      <c r="I151" t="s">
        <v>472</v>
      </c>
      <c r="J151" t="s">
        <v>2433</v>
      </c>
      <c r="L151" t="s">
        <v>3061</v>
      </c>
      <c r="M151" t="s">
        <v>2444</v>
      </c>
      <c r="N151" t="s">
        <v>3062</v>
      </c>
      <c r="O151" t="s">
        <v>3063</v>
      </c>
      <c r="Q151" t="s">
        <v>2438</v>
      </c>
      <c r="R151" s="30">
        <v>45346</v>
      </c>
      <c r="S151" t="s">
        <v>25</v>
      </c>
      <c r="T151" s="30">
        <v>45736</v>
      </c>
      <c r="U151">
        <v>59400</v>
      </c>
      <c r="V151" s="34"/>
      <c r="W151" s="34">
        <f>+U151</f>
        <v>59400</v>
      </c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5"/>
      <c r="AJ151" s="32">
        <v>19800</v>
      </c>
      <c r="AK151" s="32">
        <v>19800</v>
      </c>
      <c r="AL151" s="32">
        <v>19800</v>
      </c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CR151">
        <v>707850</v>
      </c>
      <c r="CS151">
        <v>4</v>
      </c>
    </row>
    <row r="152" spans="1:97" x14ac:dyDescent="0.4">
      <c r="A152" t="s">
        <v>473</v>
      </c>
      <c r="D152" t="s">
        <v>2370</v>
      </c>
      <c r="E152" t="s">
        <v>2371</v>
      </c>
      <c r="F152" t="s">
        <v>474</v>
      </c>
      <c r="G152" t="s">
        <v>3064</v>
      </c>
      <c r="H152">
        <v>9018681321</v>
      </c>
      <c r="I152" t="s">
        <v>475</v>
      </c>
      <c r="J152" t="s">
        <v>2433</v>
      </c>
      <c r="L152" t="s">
        <v>3065</v>
      </c>
      <c r="M152" t="s">
        <v>2640</v>
      </c>
      <c r="N152" t="s">
        <v>3066</v>
      </c>
      <c r="O152" t="s">
        <v>3067</v>
      </c>
      <c r="Q152" t="s">
        <v>2438</v>
      </c>
      <c r="R152" s="30">
        <v>45345</v>
      </c>
      <c r="S152" t="s">
        <v>44</v>
      </c>
      <c r="T152" s="30">
        <v>45828</v>
      </c>
      <c r="U152" s="20">
        <v>114300</v>
      </c>
      <c r="V152" s="31"/>
      <c r="W152" s="31"/>
      <c r="X152" s="31"/>
      <c r="Y152" s="31"/>
      <c r="Z152" s="31">
        <f>+U152</f>
        <v>114300</v>
      </c>
      <c r="AA152" s="31"/>
      <c r="AB152" s="31"/>
      <c r="AC152" s="31"/>
      <c r="AD152" s="31"/>
      <c r="AE152" s="31"/>
      <c r="AF152" s="31"/>
      <c r="AG152" s="31"/>
      <c r="AH152" s="31"/>
      <c r="AI152" s="32"/>
      <c r="AJ152" s="32"/>
      <c r="AK152" s="32"/>
      <c r="AL152" s="32"/>
      <c r="AM152" s="32">
        <v>19050</v>
      </c>
      <c r="AN152" s="32">
        <v>19050</v>
      </c>
      <c r="AO152" s="32">
        <v>19050</v>
      </c>
      <c r="AP152" s="32">
        <v>19050</v>
      </c>
      <c r="AQ152" s="32">
        <v>19050</v>
      </c>
      <c r="AR152" s="32">
        <v>19050</v>
      </c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CR152">
        <v>546600</v>
      </c>
      <c r="CS152">
        <v>2</v>
      </c>
    </row>
    <row r="153" spans="1:97" x14ac:dyDescent="0.4">
      <c r="A153" t="s">
        <v>476</v>
      </c>
      <c r="D153" t="s">
        <v>2370</v>
      </c>
      <c r="E153" t="s">
        <v>2371</v>
      </c>
      <c r="F153" t="s">
        <v>477</v>
      </c>
      <c r="G153" t="s">
        <v>3068</v>
      </c>
      <c r="H153">
        <v>9018183729</v>
      </c>
      <c r="I153" t="s">
        <v>478</v>
      </c>
      <c r="J153" t="s">
        <v>2433</v>
      </c>
      <c r="L153" t="s">
        <v>3069</v>
      </c>
      <c r="M153" t="s">
        <v>2435</v>
      </c>
      <c r="N153" t="s">
        <v>3070</v>
      </c>
      <c r="O153" t="s">
        <v>3071</v>
      </c>
      <c r="Q153" t="s">
        <v>2637</v>
      </c>
      <c r="R153" s="30">
        <v>45345</v>
      </c>
      <c r="S153" t="s">
        <v>25</v>
      </c>
      <c r="T153" s="30">
        <v>45767</v>
      </c>
      <c r="U153">
        <v>59400</v>
      </c>
      <c r="V153" s="34"/>
      <c r="W153" s="34"/>
      <c r="X153" s="34">
        <f>+U153</f>
        <v>59400</v>
      </c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5"/>
      <c r="AJ153" s="35"/>
      <c r="AK153" s="32">
        <v>19800</v>
      </c>
      <c r="AL153" s="32">
        <v>19800</v>
      </c>
      <c r="AM153" s="32">
        <v>19800</v>
      </c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CR153">
        <v>728820</v>
      </c>
      <c r="CS153">
        <v>11</v>
      </c>
    </row>
    <row r="154" spans="1:97" x14ac:dyDescent="0.4">
      <c r="A154" t="s">
        <v>480</v>
      </c>
      <c r="D154" t="s">
        <v>2370</v>
      </c>
      <c r="E154" t="s">
        <v>2371</v>
      </c>
      <c r="F154" t="s">
        <v>481</v>
      </c>
      <c r="G154" t="s">
        <v>3072</v>
      </c>
      <c r="H154">
        <v>9026839733</v>
      </c>
      <c r="I154" t="s">
        <v>482</v>
      </c>
      <c r="J154" t="s">
        <v>2433</v>
      </c>
      <c r="L154" t="s">
        <v>3073</v>
      </c>
      <c r="M154" t="s">
        <v>2451</v>
      </c>
      <c r="N154" t="s">
        <v>3074</v>
      </c>
      <c r="O154" s="40">
        <v>19085</v>
      </c>
      <c r="Q154" t="s">
        <v>2438</v>
      </c>
      <c r="R154" s="30">
        <v>45345</v>
      </c>
      <c r="S154" t="s">
        <v>25</v>
      </c>
      <c r="T154" s="30">
        <v>45736</v>
      </c>
      <c r="U154">
        <v>59400</v>
      </c>
      <c r="V154" s="34"/>
      <c r="W154" s="34">
        <f>+U154</f>
        <v>59400</v>
      </c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5"/>
      <c r="AJ154" s="32">
        <v>19800</v>
      </c>
      <c r="AK154" s="32">
        <v>19800</v>
      </c>
      <c r="AL154" s="32">
        <v>19800</v>
      </c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CR154">
        <v>707850</v>
      </c>
      <c r="CS154">
        <v>10</v>
      </c>
    </row>
    <row r="155" spans="1:97" x14ac:dyDescent="0.4">
      <c r="A155" t="s">
        <v>483</v>
      </c>
      <c r="D155" t="s">
        <v>2370</v>
      </c>
      <c r="E155" t="s">
        <v>2371</v>
      </c>
      <c r="F155" t="s">
        <v>484</v>
      </c>
      <c r="G155" t="s">
        <v>3075</v>
      </c>
      <c r="H155">
        <v>8010373018</v>
      </c>
      <c r="I155" t="s">
        <v>485</v>
      </c>
      <c r="J155" t="s">
        <v>2433</v>
      </c>
      <c r="L155" t="s">
        <v>3076</v>
      </c>
      <c r="M155" t="s">
        <v>2640</v>
      </c>
      <c r="N155" t="s">
        <v>3077</v>
      </c>
      <c r="O155" t="s">
        <v>3078</v>
      </c>
      <c r="Q155" t="s">
        <v>2438</v>
      </c>
      <c r="R155" s="30">
        <v>45345</v>
      </c>
      <c r="S155" t="s">
        <v>44</v>
      </c>
      <c r="T155" s="30">
        <v>45828</v>
      </c>
      <c r="U155" s="20">
        <v>114300</v>
      </c>
      <c r="V155" s="31"/>
      <c r="W155" s="31"/>
      <c r="X155" s="31"/>
      <c r="Y155" s="31"/>
      <c r="Z155" s="31">
        <f>+U155</f>
        <v>114300</v>
      </c>
      <c r="AA155" s="31"/>
      <c r="AB155" s="31"/>
      <c r="AC155" s="31"/>
      <c r="AD155" s="31"/>
      <c r="AE155" s="31"/>
      <c r="AF155" s="31"/>
      <c r="AG155" s="31"/>
      <c r="AH155" s="31"/>
      <c r="AI155" s="32"/>
      <c r="AJ155" s="32"/>
      <c r="AK155" s="32"/>
      <c r="AL155" s="32"/>
      <c r="AM155" s="32">
        <v>19050</v>
      </c>
      <c r="AN155" s="32">
        <v>19050</v>
      </c>
      <c r="AO155" s="32">
        <v>19050</v>
      </c>
      <c r="AP155" s="32">
        <v>19050</v>
      </c>
      <c r="AQ155" s="32">
        <v>19050</v>
      </c>
      <c r="AR155" s="32">
        <v>19050</v>
      </c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CR155">
        <v>762750</v>
      </c>
      <c r="CS155">
        <v>10</v>
      </c>
    </row>
    <row r="156" spans="1:97" x14ac:dyDescent="0.4">
      <c r="A156" t="s">
        <v>486</v>
      </c>
      <c r="D156" t="s">
        <v>2370</v>
      </c>
      <c r="E156" t="s">
        <v>2371</v>
      </c>
      <c r="F156" t="s">
        <v>487</v>
      </c>
      <c r="G156" t="s">
        <v>3079</v>
      </c>
      <c r="H156">
        <v>9071064930</v>
      </c>
      <c r="I156" t="s">
        <v>488</v>
      </c>
      <c r="J156" t="s">
        <v>2433</v>
      </c>
      <c r="L156" t="s">
        <v>3080</v>
      </c>
      <c r="M156" t="s">
        <v>2435</v>
      </c>
      <c r="N156" t="s">
        <v>3081</v>
      </c>
      <c r="O156" t="s">
        <v>3082</v>
      </c>
      <c r="Q156" t="s">
        <v>2438</v>
      </c>
      <c r="R156" s="30">
        <v>45345</v>
      </c>
      <c r="S156" t="s">
        <v>70</v>
      </c>
      <c r="T156" s="30">
        <v>45767</v>
      </c>
      <c r="U156">
        <v>59400</v>
      </c>
      <c r="V156" s="34"/>
      <c r="W156" s="34"/>
      <c r="X156" s="34">
        <f>+U156</f>
        <v>59400</v>
      </c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5"/>
      <c r="AJ156" s="35"/>
      <c r="AK156" s="32">
        <v>19800</v>
      </c>
      <c r="AL156" s="32">
        <v>19800</v>
      </c>
      <c r="AM156" s="32">
        <v>19800</v>
      </c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CR156">
        <v>648450</v>
      </c>
      <c r="CS156">
        <v>9</v>
      </c>
    </row>
    <row r="157" spans="1:97" x14ac:dyDescent="0.4">
      <c r="A157" t="s">
        <v>489</v>
      </c>
      <c r="D157" t="s">
        <v>2370</v>
      </c>
      <c r="E157" t="s">
        <v>2371</v>
      </c>
      <c r="F157" t="s">
        <v>490</v>
      </c>
      <c r="G157" t="s">
        <v>3083</v>
      </c>
      <c r="H157">
        <v>9090792393</v>
      </c>
      <c r="I157" t="s">
        <v>491</v>
      </c>
      <c r="J157" t="s">
        <v>2433</v>
      </c>
      <c r="L157" t="s">
        <v>3084</v>
      </c>
      <c r="M157" t="s">
        <v>3085</v>
      </c>
      <c r="N157" t="s">
        <v>3086</v>
      </c>
      <c r="O157" t="s">
        <v>3087</v>
      </c>
      <c r="Q157" t="s">
        <v>2438</v>
      </c>
      <c r="R157" s="30">
        <v>45345</v>
      </c>
      <c r="S157" t="s">
        <v>44</v>
      </c>
      <c r="T157" s="30">
        <v>45828</v>
      </c>
      <c r="U157" s="20">
        <v>114300</v>
      </c>
      <c r="V157" s="31"/>
      <c r="W157" s="31"/>
      <c r="X157" s="31"/>
      <c r="Y157" s="31"/>
      <c r="Z157" s="31">
        <f>+U157</f>
        <v>114300</v>
      </c>
      <c r="AA157" s="31"/>
      <c r="AB157" s="31"/>
      <c r="AC157" s="31"/>
      <c r="AD157" s="31"/>
      <c r="AE157" s="31"/>
      <c r="AF157" s="31"/>
      <c r="AG157" s="31"/>
      <c r="AH157" s="31"/>
      <c r="AI157" s="32"/>
      <c r="AJ157" s="32"/>
      <c r="AK157" s="32"/>
      <c r="AL157" s="32"/>
      <c r="AM157" s="32">
        <v>19050</v>
      </c>
      <c r="AN157" s="32">
        <v>19050</v>
      </c>
      <c r="AO157" s="32">
        <v>19050</v>
      </c>
      <c r="AP157" s="32">
        <v>19050</v>
      </c>
      <c r="AQ157" s="32">
        <v>19050</v>
      </c>
      <c r="AR157" s="32">
        <v>19050</v>
      </c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CR157">
        <v>834800</v>
      </c>
      <c r="CS157">
        <v>6</v>
      </c>
    </row>
    <row r="158" spans="1:97" s="36" customFormat="1" x14ac:dyDescent="0.4">
      <c r="A158" s="36" t="s">
        <v>3088</v>
      </c>
      <c r="D158" s="36" t="s">
        <v>2370</v>
      </c>
      <c r="E158" s="36" t="s">
        <v>2371</v>
      </c>
      <c r="F158" s="36" t="s">
        <v>3089</v>
      </c>
      <c r="G158" s="36" t="s">
        <v>3090</v>
      </c>
      <c r="H158" s="36">
        <v>9096852171</v>
      </c>
      <c r="I158" s="36" t="s">
        <v>3091</v>
      </c>
      <c r="J158" s="36" t="s">
        <v>2433</v>
      </c>
      <c r="L158" s="36" t="s">
        <v>3092</v>
      </c>
      <c r="M158" s="36" t="s">
        <v>2444</v>
      </c>
      <c r="N158" s="36" t="s">
        <v>3093</v>
      </c>
      <c r="O158" s="36" t="s">
        <v>3094</v>
      </c>
      <c r="Q158" s="36" t="s">
        <v>2438</v>
      </c>
      <c r="R158" s="37">
        <v>45345</v>
      </c>
      <c r="S158" s="36" t="s">
        <v>2503</v>
      </c>
      <c r="T158" s="37">
        <v>45699</v>
      </c>
      <c r="U158" s="37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CR158" s="36">
        <v>474240</v>
      </c>
      <c r="CS158" s="36">
        <v>3</v>
      </c>
    </row>
    <row r="159" spans="1:97" x14ac:dyDescent="0.4">
      <c r="A159" t="s">
        <v>492</v>
      </c>
      <c r="D159" t="s">
        <v>2370</v>
      </c>
      <c r="E159" t="s">
        <v>2371</v>
      </c>
      <c r="F159" t="s">
        <v>493</v>
      </c>
      <c r="G159" t="s">
        <v>3095</v>
      </c>
      <c r="H159">
        <v>8082056241</v>
      </c>
      <c r="I159" t="s">
        <v>494</v>
      </c>
      <c r="J159" t="s">
        <v>2433</v>
      </c>
      <c r="L159" t="s">
        <v>3096</v>
      </c>
      <c r="M159" t="s">
        <v>3097</v>
      </c>
      <c r="N159" t="s">
        <v>3098</v>
      </c>
      <c r="O159" t="s">
        <v>3099</v>
      </c>
      <c r="Q159" t="s">
        <v>2438</v>
      </c>
      <c r="R159" s="30">
        <v>45345</v>
      </c>
      <c r="S159" t="s">
        <v>44</v>
      </c>
      <c r="T159" s="30">
        <v>45828</v>
      </c>
      <c r="U159" s="20">
        <v>114300</v>
      </c>
      <c r="V159" s="31"/>
      <c r="W159" s="31"/>
      <c r="X159" s="31"/>
      <c r="Y159" s="31"/>
      <c r="Z159" s="31">
        <f>+U159</f>
        <v>114300</v>
      </c>
      <c r="AA159" s="31"/>
      <c r="AB159" s="31"/>
      <c r="AC159" s="31"/>
      <c r="AD159" s="31"/>
      <c r="AE159" s="31"/>
      <c r="AF159" s="31"/>
      <c r="AG159" s="31"/>
      <c r="AH159" s="31"/>
      <c r="AI159" s="32"/>
      <c r="AJ159" s="32"/>
      <c r="AK159" s="32"/>
      <c r="AL159" s="32"/>
      <c r="AM159" s="32">
        <v>19050</v>
      </c>
      <c r="AN159" s="32">
        <v>19050</v>
      </c>
      <c r="AO159" s="32">
        <v>19050</v>
      </c>
      <c r="AP159" s="32">
        <v>19050</v>
      </c>
      <c r="AQ159" s="32">
        <v>19050</v>
      </c>
      <c r="AR159" s="32">
        <v>19050</v>
      </c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CR159">
        <v>762750</v>
      </c>
      <c r="CS159">
        <v>10</v>
      </c>
    </row>
    <row r="160" spans="1:97" x14ac:dyDescent="0.4">
      <c r="A160" t="s">
        <v>495</v>
      </c>
      <c r="D160" t="s">
        <v>2370</v>
      </c>
      <c r="E160" t="s">
        <v>2371</v>
      </c>
      <c r="F160" t="s">
        <v>496</v>
      </c>
      <c r="G160" t="s">
        <v>3100</v>
      </c>
      <c r="H160">
        <v>9063262133</v>
      </c>
      <c r="I160" t="s">
        <v>497</v>
      </c>
      <c r="J160" t="s">
        <v>2433</v>
      </c>
      <c r="L160" t="s">
        <v>3101</v>
      </c>
      <c r="M160" t="s">
        <v>2500</v>
      </c>
      <c r="N160" t="s">
        <v>3102</v>
      </c>
      <c r="O160" t="s">
        <v>3103</v>
      </c>
      <c r="Q160" t="s">
        <v>2438</v>
      </c>
      <c r="R160" s="30">
        <v>45345</v>
      </c>
      <c r="S160" t="s">
        <v>25</v>
      </c>
      <c r="T160" s="30">
        <v>45736</v>
      </c>
      <c r="U160">
        <v>59400</v>
      </c>
      <c r="V160" s="34"/>
      <c r="W160" s="34">
        <f>+U160</f>
        <v>59400</v>
      </c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5"/>
      <c r="AJ160" s="32">
        <v>19800</v>
      </c>
      <c r="AK160" s="32">
        <v>19800</v>
      </c>
      <c r="AL160" s="32">
        <v>19800</v>
      </c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CR160">
        <v>491700</v>
      </c>
      <c r="CS160">
        <v>2</v>
      </c>
    </row>
    <row r="161" spans="1:97" x14ac:dyDescent="0.4">
      <c r="A161" t="s">
        <v>498</v>
      </c>
      <c r="D161" t="s">
        <v>2370</v>
      </c>
      <c r="E161" t="s">
        <v>2371</v>
      </c>
      <c r="F161" t="s">
        <v>499</v>
      </c>
      <c r="G161" t="s">
        <v>3104</v>
      </c>
      <c r="H161">
        <v>9064049620</v>
      </c>
      <c r="I161" t="s">
        <v>500</v>
      </c>
      <c r="J161" t="s">
        <v>2433</v>
      </c>
      <c r="L161" t="s">
        <v>3105</v>
      </c>
      <c r="M161" t="s">
        <v>2569</v>
      </c>
      <c r="N161" t="s">
        <v>3106</v>
      </c>
      <c r="O161" t="s">
        <v>3107</v>
      </c>
      <c r="Q161" t="s">
        <v>2438</v>
      </c>
      <c r="R161" s="30">
        <v>45345</v>
      </c>
      <c r="S161" t="s">
        <v>44</v>
      </c>
      <c r="T161" s="30">
        <v>45828</v>
      </c>
      <c r="U161" s="20">
        <v>114300</v>
      </c>
      <c r="V161" s="31"/>
      <c r="W161" s="31"/>
      <c r="X161" s="31"/>
      <c r="Y161" s="31"/>
      <c r="Z161" s="31">
        <f t="shared" ref="Z161:Z163" si="19">+U161</f>
        <v>114300</v>
      </c>
      <c r="AA161" s="31"/>
      <c r="AB161" s="31"/>
      <c r="AC161" s="31"/>
      <c r="AD161" s="31"/>
      <c r="AE161" s="31"/>
      <c r="AF161" s="31"/>
      <c r="AG161" s="31"/>
      <c r="AH161" s="31"/>
      <c r="AI161" s="32"/>
      <c r="AJ161" s="32"/>
      <c r="AK161" s="32"/>
      <c r="AL161" s="32"/>
      <c r="AM161" s="32">
        <v>19050</v>
      </c>
      <c r="AN161" s="32">
        <v>19050</v>
      </c>
      <c r="AO161" s="32">
        <v>19050</v>
      </c>
      <c r="AP161" s="32">
        <v>19050</v>
      </c>
      <c r="AQ161" s="32">
        <v>19050</v>
      </c>
      <c r="AR161" s="32">
        <v>19050</v>
      </c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CR161">
        <v>762750</v>
      </c>
      <c r="CS161">
        <v>10</v>
      </c>
    </row>
    <row r="162" spans="1:97" x14ac:dyDescent="0.4">
      <c r="A162" t="s">
        <v>501</v>
      </c>
      <c r="D162" t="s">
        <v>2370</v>
      </c>
      <c r="E162" t="s">
        <v>2371</v>
      </c>
      <c r="F162" t="s">
        <v>502</v>
      </c>
      <c r="G162" t="s">
        <v>3108</v>
      </c>
      <c r="H162">
        <v>432575791</v>
      </c>
      <c r="I162" t="s">
        <v>503</v>
      </c>
      <c r="J162" t="s">
        <v>2433</v>
      </c>
      <c r="L162" t="s">
        <v>3109</v>
      </c>
      <c r="M162" t="s">
        <v>2598</v>
      </c>
      <c r="N162" t="s">
        <v>3110</v>
      </c>
      <c r="O162" t="s">
        <v>3111</v>
      </c>
      <c r="Q162" t="s">
        <v>2438</v>
      </c>
      <c r="R162" s="30">
        <v>45345</v>
      </c>
      <c r="S162" t="s">
        <v>44</v>
      </c>
      <c r="T162" s="30">
        <v>45828</v>
      </c>
      <c r="U162" s="20">
        <v>114300</v>
      </c>
      <c r="V162" s="31"/>
      <c r="W162" s="31"/>
      <c r="X162" s="31"/>
      <c r="Y162" s="31"/>
      <c r="Z162" s="31">
        <f t="shared" si="19"/>
        <v>114300</v>
      </c>
      <c r="AA162" s="31"/>
      <c r="AB162" s="31"/>
      <c r="AC162" s="31"/>
      <c r="AD162" s="31"/>
      <c r="AE162" s="31"/>
      <c r="AF162" s="31"/>
      <c r="AG162" s="31"/>
      <c r="AH162" s="31"/>
      <c r="AI162" s="32"/>
      <c r="AJ162" s="32"/>
      <c r="AK162" s="32"/>
      <c r="AL162" s="32"/>
      <c r="AM162" s="32">
        <v>19050</v>
      </c>
      <c r="AN162" s="32">
        <v>19050</v>
      </c>
      <c r="AO162" s="32">
        <v>19050</v>
      </c>
      <c r="AP162" s="32">
        <v>19050</v>
      </c>
      <c r="AQ162" s="32">
        <v>19050</v>
      </c>
      <c r="AR162" s="32">
        <v>19050</v>
      </c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CR162">
        <v>546600</v>
      </c>
      <c r="CS162">
        <v>2</v>
      </c>
    </row>
    <row r="163" spans="1:97" x14ac:dyDescent="0.4">
      <c r="A163" t="s">
        <v>504</v>
      </c>
      <c r="D163" t="s">
        <v>2370</v>
      </c>
      <c r="E163" t="s">
        <v>2371</v>
      </c>
      <c r="F163" t="s">
        <v>505</v>
      </c>
      <c r="G163" t="s">
        <v>3112</v>
      </c>
      <c r="H163">
        <v>9096202269</v>
      </c>
      <c r="I163" t="s">
        <v>506</v>
      </c>
      <c r="J163" t="s">
        <v>2433</v>
      </c>
      <c r="L163" t="s">
        <v>3113</v>
      </c>
      <c r="M163" t="s">
        <v>2435</v>
      </c>
      <c r="N163" t="s">
        <v>3114</v>
      </c>
      <c r="O163" t="s">
        <v>3115</v>
      </c>
      <c r="Q163" t="s">
        <v>2438</v>
      </c>
      <c r="R163" s="30">
        <v>45345</v>
      </c>
      <c r="S163" t="s">
        <v>44</v>
      </c>
      <c r="T163" s="30">
        <v>45828</v>
      </c>
      <c r="U163" s="20">
        <v>114300</v>
      </c>
      <c r="V163" s="31"/>
      <c r="W163" s="31"/>
      <c r="X163" s="31"/>
      <c r="Y163" s="31"/>
      <c r="Z163" s="31">
        <f t="shared" si="19"/>
        <v>114300</v>
      </c>
      <c r="AA163" s="31"/>
      <c r="AB163" s="31"/>
      <c r="AC163" s="31"/>
      <c r="AD163" s="31"/>
      <c r="AE163" s="31"/>
      <c r="AF163" s="31"/>
      <c r="AG163" s="31"/>
      <c r="AH163" s="31"/>
      <c r="AI163" s="32"/>
      <c r="AJ163" s="32"/>
      <c r="AK163" s="32"/>
      <c r="AL163" s="32"/>
      <c r="AM163" s="32">
        <v>19050</v>
      </c>
      <c r="AN163" s="32">
        <v>19050</v>
      </c>
      <c r="AO163" s="32">
        <v>19050</v>
      </c>
      <c r="AP163" s="32">
        <v>19050</v>
      </c>
      <c r="AQ163" s="32">
        <v>19050</v>
      </c>
      <c r="AR163" s="32">
        <v>19050</v>
      </c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CR163">
        <v>762750</v>
      </c>
      <c r="CS163">
        <v>10</v>
      </c>
    </row>
    <row r="164" spans="1:97" x14ac:dyDescent="0.4">
      <c r="A164" t="s">
        <v>507</v>
      </c>
      <c r="D164" t="s">
        <v>2370</v>
      </c>
      <c r="E164" t="s">
        <v>2371</v>
      </c>
      <c r="F164" t="s">
        <v>508</v>
      </c>
      <c r="G164" t="s">
        <v>3116</v>
      </c>
      <c r="H164">
        <v>9021567530</v>
      </c>
      <c r="I164" t="s">
        <v>509</v>
      </c>
      <c r="J164" t="s">
        <v>2433</v>
      </c>
      <c r="L164" t="s">
        <v>3117</v>
      </c>
      <c r="M164" t="s">
        <v>2465</v>
      </c>
      <c r="N164" t="s">
        <v>3118</v>
      </c>
      <c r="O164" t="s">
        <v>3119</v>
      </c>
      <c r="Q164" t="s">
        <v>2438</v>
      </c>
      <c r="R164" s="30">
        <v>45345</v>
      </c>
      <c r="S164" t="s">
        <v>25</v>
      </c>
      <c r="T164" s="30">
        <v>45736</v>
      </c>
      <c r="U164">
        <v>59400</v>
      </c>
      <c r="V164" s="34"/>
      <c r="W164" s="34">
        <f t="shared" ref="W164:W165" si="20">+U164</f>
        <v>59400</v>
      </c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5"/>
      <c r="AJ164" s="32">
        <v>19800</v>
      </c>
      <c r="AK164" s="32">
        <v>19800</v>
      </c>
      <c r="AL164" s="32">
        <v>19800</v>
      </c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CR164">
        <v>707850</v>
      </c>
      <c r="CS164">
        <v>10</v>
      </c>
    </row>
    <row r="165" spans="1:97" x14ac:dyDescent="0.4">
      <c r="A165" t="s">
        <v>510</v>
      </c>
      <c r="D165" t="s">
        <v>2370</v>
      </c>
      <c r="E165" t="s">
        <v>2371</v>
      </c>
      <c r="F165" t="s">
        <v>511</v>
      </c>
      <c r="G165" t="s">
        <v>3120</v>
      </c>
      <c r="H165">
        <v>9025325418</v>
      </c>
      <c r="I165" t="s">
        <v>512</v>
      </c>
      <c r="J165" t="s">
        <v>2433</v>
      </c>
      <c r="L165" t="s">
        <v>3121</v>
      </c>
      <c r="M165" t="s">
        <v>2776</v>
      </c>
      <c r="N165" t="s">
        <v>3122</v>
      </c>
      <c r="O165" t="s">
        <v>3123</v>
      </c>
      <c r="Q165" t="s">
        <v>2438</v>
      </c>
      <c r="R165" s="30">
        <v>45345</v>
      </c>
      <c r="S165" t="s">
        <v>25</v>
      </c>
      <c r="T165" s="30">
        <v>45736</v>
      </c>
      <c r="U165">
        <v>59400</v>
      </c>
      <c r="V165" s="34"/>
      <c r="W165" s="34">
        <f t="shared" si="20"/>
        <v>59400</v>
      </c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5"/>
      <c r="AJ165" s="32">
        <v>19800</v>
      </c>
      <c r="AK165" s="32">
        <v>19800</v>
      </c>
      <c r="AL165" s="32">
        <v>19800</v>
      </c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CR165">
        <v>491700</v>
      </c>
      <c r="CS165">
        <v>2</v>
      </c>
    </row>
    <row r="166" spans="1:97" x14ac:dyDescent="0.4">
      <c r="A166" t="s">
        <v>513</v>
      </c>
      <c r="D166" t="s">
        <v>2370</v>
      </c>
      <c r="E166" t="s">
        <v>2371</v>
      </c>
      <c r="F166" t="s">
        <v>514</v>
      </c>
      <c r="G166" t="s">
        <v>3124</v>
      </c>
      <c r="H166">
        <v>9023292168</v>
      </c>
      <c r="I166" t="s">
        <v>515</v>
      </c>
      <c r="J166" t="s">
        <v>2433</v>
      </c>
      <c r="L166" t="s">
        <v>3125</v>
      </c>
      <c r="M166" t="s">
        <v>2492</v>
      </c>
      <c r="N166" t="s">
        <v>3126</v>
      </c>
      <c r="O166" t="s">
        <v>3127</v>
      </c>
      <c r="Q166" t="s">
        <v>2438</v>
      </c>
      <c r="R166" s="30">
        <v>45345</v>
      </c>
      <c r="S166" t="s">
        <v>44</v>
      </c>
      <c r="T166" s="30">
        <v>45828</v>
      </c>
      <c r="U166" s="20">
        <v>114300</v>
      </c>
      <c r="V166" s="31"/>
      <c r="W166" s="31"/>
      <c r="X166" s="31"/>
      <c r="Y166" s="31"/>
      <c r="Z166" s="31">
        <f t="shared" ref="Z166:Z167" si="21">+U166</f>
        <v>114300</v>
      </c>
      <c r="AA166" s="31"/>
      <c r="AB166" s="31"/>
      <c r="AC166" s="31"/>
      <c r="AD166" s="31"/>
      <c r="AE166" s="31"/>
      <c r="AF166" s="31"/>
      <c r="AG166" s="31"/>
      <c r="AH166" s="31"/>
      <c r="AI166" s="32"/>
      <c r="AJ166" s="32"/>
      <c r="AK166" s="32"/>
      <c r="AL166" s="32"/>
      <c r="AM166" s="32">
        <v>19050</v>
      </c>
      <c r="AN166" s="32">
        <v>19050</v>
      </c>
      <c r="AO166" s="32">
        <v>19050</v>
      </c>
      <c r="AP166" s="32">
        <v>19050</v>
      </c>
      <c r="AQ166" s="32">
        <v>19050</v>
      </c>
      <c r="AR166" s="32">
        <v>19050</v>
      </c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CR166">
        <v>546600</v>
      </c>
      <c r="CS166">
        <v>2</v>
      </c>
    </row>
    <row r="167" spans="1:97" x14ac:dyDescent="0.4">
      <c r="A167" t="s">
        <v>516</v>
      </c>
      <c r="D167" t="s">
        <v>2370</v>
      </c>
      <c r="E167" t="s">
        <v>2371</v>
      </c>
      <c r="F167" t="s">
        <v>517</v>
      </c>
      <c r="G167" t="s">
        <v>3128</v>
      </c>
      <c r="H167">
        <v>9013357507</v>
      </c>
      <c r="I167" t="s">
        <v>518</v>
      </c>
      <c r="J167" t="s">
        <v>2433</v>
      </c>
      <c r="L167" t="s">
        <v>3129</v>
      </c>
      <c r="M167" t="s">
        <v>2444</v>
      </c>
      <c r="N167" t="s">
        <v>3130</v>
      </c>
      <c r="O167" t="s">
        <v>2782</v>
      </c>
      <c r="Q167" t="s">
        <v>2438</v>
      </c>
      <c r="R167" s="30">
        <v>45345</v>
      </c>
      <c r="S167" t="s">
        <v>44</v>
      </c>
      <c r="T167" s="30">
        <v>45828</v>
      </c>
      <c r="U167" s="20">
        <v>114300</v>
      </c>
      <c r="V167" s="31"/>
      <c r="W167" s="31"/>
      <c r="X167" s="31"/>
      <c r="Y167" s="31"/>
      <c r="Z167" s="31">
        <f t="shared" si="21"/>
        <v>114300</v>
      </c>
      <c r="AA167" s="31"/>
      <c r="AB167" s="31"/>
      <c r="AC167" s="31"/>
      <c r="AD167" s="31"/>
      <c r="AE167" s="31"/>
      <c r="AF167" s="31"/>
      <c r="AG167" s="31"/>
      <c r="AH167" s="31"/>
      <c r="AI167" s="32"/>
      <c r="AJ167" s="32"/>
      <c r="AK167" s="32"/>
      <c r="AL167" s="32"/>
      <c r="AM167" s="32">
        <v>19050</v>
      </c>
      <c r="AN167" s="32">
        <v>19050</v>
      </c>
      <c r="AO167" s="32">
        <v>19050</v>
      </c>
      <c r="AP167" s="32">
        <v>19050</v>
      </c>
      <c r="AQ167" s="32">
        <v>19050</v>
      </c>
      <c r="AR167" s="32">
        <v>19050</v>
      </c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CR167">
        <v>546600</v>
      </c>
      <c r="CS167">
        <v>2</v>
      </c>
    </row>
    <row r="168" spans="1:97" x14ac:dyDescent="0.4">
      <c r="A168" t="s">
        <v>519</v>
      </c>
      <c r="D168" t="s">
        <v>2370</v>
      </c>
      <c r="E168" t="s">
        <v>2371</v>
      </c>
      <c r="F168" t="s">
        <v>520</v>
      </c>
      <c r="G168" t="s">
        <v>3131</v>
      </c>
      <c r="H168">
        <v>9080330045</v>
      </c>
      <c r="I168" t="s">
        <v>521</v>
      </c>
      <c r="J168" t="s">
        <v>2433</v>
      </c>
      <c r="L168" t="s">
        <v>3132</v>
      </c>
      <c r="M168" t="s">
        <v>2444</v>
      </c>
      <c r="N168" t="s">
        <v>3133</v>
      </c>
      <c r="O168" t="s">
        <v>3134</v>
      </c>
      <c r="Q168" t="s">
        <v>2438</v>
      </c>
      <c r="R168" s="30">
        <v>45345</v>
      </c>
      <c r="S168" t="s">
        <v>25</v>
      </c>
      <c r="T168" s="30">
        <v>45736</v>
      </c>
      <c r="U168">
        <v>59400</v>
      </c>
      <c r="V168" s="34"/>
      <c r="W168" s="34">
        <f>+U168</f>
        <v>59400</v>
      </c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5"/>
      <c r="AJ168" s="32">
        <v>19800</v>
      </c>
      <c r="AK168" s="32">
        <v>19800</v>
      </c>
      <c r="AL168" s="32">
        <v>19800</v>
      </c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CR168">
        <v>707850</v>
      </c>
      <c r="CS168">
        <v>10</v>
      </c>
    </row>
    <row r="169" spans="1:97" x14ac:dyDescent="0.4">
      <c r="A169" t="s">
        <v>522</v>
      </c>
      <c r="D169" t="s">
        <v>2370</v>
      </c>
      <c r="E169" t="s">
        <v>2371</v>
      </c>
      <c r="F169" t="s">
        <v>523</v>
      </c>
      <c r="G169" t="s">
        <v>3135</v>
      </c>
      <c r="H169">
        <v>9098018183</v>
      </c>
      <c r="I169" t="s">
        <v>524</v>
      </c>
      <c r="J169" t="s">
        <v>2433</v>
      </c>
      <c r="L169" t="s">
        <v>3136</v>
      </c>
      <c r="M169" t="s">
        <v>2444</v>
      </c>
      <c r="N169" t="s">
        <v>3137</v>
      </c>
      <c r="O169" t="s">
        <v>3138</v>
      </c>
      <c r="Q169" t="s">
        <v>2438</v>
      </c>
      <c r="R169" s="30">
        <v>45345</v>
      </c>
      <c r="S169" t="s">
        <v>44</v>
      </c>
      <c r="T169" s="30">
        <v>45828</v>
      </c>
      <c r="U169" s="20">
        <v>114300</v>
      </c>
      <c r="V169" s="31"/>
      <c r="W169" s="31"/>
      <c r="X169" s="31"/>
      <c r="Y169" s="31"/>
      <c r="Z169" s="31">
        <f t="shared" ref="Z169:Z171" si="22">+U169</f>
        <v>114300</v>
      </c>
      <c r="AA169" s="31"/>
      <c r="AB169" s="31"/>
      <c r="AC169" s="31"/>
      <c r="AD169" s="31"/>
      <c r="AE169" s="31"/>
      <c r="AF169" s="31"/>
      <c r="AG169" s="31"/>
      <c r="AH169" s="31"/>
      <c r="AI169" s="32"/>
      <c r="AJ169" s="32"/>
      <c r="AK169" s="32"/>
      <c r="AL169" s="32"/>
      <c r="AM169" s="32">
        <v>19050</v>
      </c>
      <c r="AN169" s="32">
        <v>19050</v>
      </c>
      <c r="AO169" s="32">
        <v>19050</v>
      </c>
      <c r="AP169" s="32">
        <v>19050</v>
      </c>
      <c r="AQ169" s="32">
        <v>19050</v>
      </c>
      <c r="AR169" s="32">
        <v>19050</v>
      </c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CR169">
        <v>762750</v>
      </c>
      <c r="CS169">
        <v>4</v>
      </c>
    </row>
    <row r="170" spans="1:97" x14ac:dyDescent="0.4">
      <c r="A170" t="s">
        <v>525</v>
      </c>
      <c r="D170" t="s">
        <v>2370</v>
      </c>
      <c r="E170" t="s">
        <v>2371</v>
      </c>
      <c r="F170" t="s">
        <v>526</v>
      </c>
      <c r="G170" t="s">
        <v>3139</v>
      </c>
      <c r="H170">
        <v>8039289845</v>
      </c>
      <c r="I170" t="s">
        <v>527</v>
      </c>
      <c r="J170" t="s">
        <v>2433</v>
      </c>
      <c r="L170" t="s">
        <v>3140</v>
      </c>
      <c r="M170" t="s">
        <v>3141</v>
      </c>
      <c r="N170" t="s">
        <v>3142</v>
      </c>
      <c r="O170" t="s">
        <v>3143</v>
      </c>
      <c r="Q170" t="s">
        <v>2438</v>
      </c>
      <c r="R170" s="30">
        <v>45345</v>
      </c>
      <c r="S170" t="s">
        <v>44</v>
      </c>
      <c r="T170" s="30">
        <v>45828</v>
      </c>
      <c r="U170" s="20">
        <v>114300</v>
      </c>
      <c r="V170" s="31"/>
      <c r="W170" s="31"/>
      <c r="X170" s="31"/>
      <c r="Y170" s="31"/>
      <c r="Z170" s="31">
        <f t="shared" si="22"/>
        <v>114300</v>
      </c>
      <c r="AA170" s="31"/>
      <c r="AB170" s="31"/>
      <c r="AC170" s="31"/>
      <c r="AD170" s="31"/>
      <c r="AE170" s="31"/>
      <c r="AF170" s="31"/>
      <c r="AG170" s="31"/>
      <c r="AH170" s="31"/>
      <c r="AI170" s="32"/>
      <c r="AJ170" s="32"/>
      <c r="AK170" s="32"/>
      <c r="AL170" s="32"/>
      <c r="AM170" s="32">
        <v>19050</v>
      </c>
      <c r="AN170" s="32">
        <v>19050</v>
      </c>
      <c r="AO170" s="32">
        <v>19050</v>
      </c>
      <c r="AP170" s="32">
        <v>19050</v>
      </c>
      <c r="AQ170" s="32">
        <v>19050</v>
      </c>
      <c r="AR170" s="32">
        <v>19050</v>
      </c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CR170">
        <v>762750</v>
      </c>
      <c r="CS170">
        <v>10</v>
      </c>
    </row>
    <row r="171" spans="1:97" x14ac:dyDescent="0.4">
      <c r="A171" t="s">
        <v>528</v>
      </c>
      <c r="D171" t="s">
        <v>2370</v>
      </c>
      <c r="E171" t="s">
        <v>2371</v>
      </c>
      <c r="F171" t="s">
        <v>529</v>
      </c>
      <c r="G171" t="s">
        <v>3144</v>
      </c>
      <c r="H171">
        <v>9090167839</v>
      </c>
      <c r="I171" t="s">
        <v>530</v>
      </c>
      <c r="J171" t="s">
        <v>2433</v>
      </c>
      <c r="L171" t="s">
        <v>3145</v>
      </c>
      <c r="M171" t="s">
        <v>2444</v>
      </c>
      <c r="N171" t="s">
        <v>3146</v>
      </c>
      <c r="O171" t="s">
        <v>3147</v>
      </c>
      <c r="Q171" t="s">
        <v>2438</v>
      </c>
      <c r="R171" s="30">
        <v>45345</v>
      </c>
      <c r="S171" t="s">
        <v>44</v>
      </c>
      <c r="T171" s="30">
        <v>45828</v>
      </c>
      <c r="U171" s="20">
        <v>114300</v>
      </c>
      <c r="V171" s="31"/>
      <c r="W171" s="31"/>
      <c r="X171" s="31"/>
      <c r="Y171" s="31"/>
      <c r="Z171" s="31">
        <f t="shared" si="22"/>
        <v>114300</v>
      </c>
      <c r="AA171" s="31"/>
      <c r="AB171" s="31"/>
      <c r="AC171" s="31"/>
      <c r="AD171" s="31"/>
      <c r="AE171" s="31"/>
      <c r="AF171" s="31"/>
      <c r="AG171" s="31"/>
      <c r="AH171" s="31"/>
      <c r="AI171" s="32"/>
      <c r="AJ171" s="32"/>
      <c r="AK171" s="32"/>
      <c r="AL171" s="32"/>
      <c r="AM171" s="32">
        <v>19050</v>
      </c>
      <c r="AN171" s="32">
        <v>19050</v>
      </c>
      <c r="AO171" s="32">
        <v>19050</v>
      </c>
      <c r="AP171" s="32">
        <v>19050</v>
      </c>
      <c r="AQ171" s="32">
        <v>19050</v>
      </c>
      <c r="AR171" s="32">
        <v>19050</v>
      </c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CR171">
        <v>880450</v>
      </c>
      <c r="CS171">
        <v>6</v>
      </c>
    </row>
    <row r="172" spans="1:97" x14ac:dyDescent="0.4">
      <c r="A172" t="s">
        <v>531</v>
      </c>
      <c r="D172" t="s">
        <v>2370</v>
      </c>
      <c r="E172" t="s">
        <v>2371</v>
      </c>
      <c r="F172" t="s">
        <v>532</v>
      </c>
      <c r="G172" t="s">
        <v>3148</v>
      </c>
      <c r="H172">
        <v>9079705446</v>
      </c>
      <c r="I172" t="s">
        <v>533</v>
      </c>
      <c r="J172" t="s">
        <v>2433</v>
      </c>
      <c r="L172" t="s">
        <v>3149</v>
      </c>
      <c r="M172" t="s">
        <v>2935</v>
      </c>
      <c r="N172" t="s">
        <v>3150</v>
      </c>
      <c r="O172" t="s">
        <v>3151</v>
      </c>
      <c r="Q172" t="s">
        <v>2438</v>
      </c>
      <c r="R172" s="30">
        <v>45345</v>
      </c>
      <c r="S172" t="s">
        <v>25</v>
      </c>
      <c r="T172" s="30">
        <v>45736</v>
      </c>
      <c r="U172">
        <v>59400</v>
      </c>
      <c r="V172" s="34"/>
      <c r="W172" s="34">
        <f t="shared" ref="W172:W173" si="23">+U172</f>
        <v>59400</v>
      </c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5"/>
      <c r="AJ172" s="32">
        <v>19800</v>
      </c>
      <c r="AK172" s="32">
        <v>19800</v>
      </c>
      <c r="AL172" s="32">
        <v>19800</v>
      </c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CR172">
        <v>707850</v>
      </c>
      <c r="CS172">
        <v>10</v>
      </c>
    </row>
    <row r="173" spans="1:97" x14ac:dyDescent="0.4">
      <c r="A173" t="s">
        <v>534</v>
      </c>
      <c r="D173" t="s">
        <v>2370</v>
      </c>
      <c r="E173" t="s">
        <v>2371</v>
      </c>
      <c r="F173" t="s">
        <v>535</v>
      </c>
      <c r="G173" t="s">
        <v>3152</v>
      </c>
      <c r="H173">
        <v>8012075127</v>
      </c>
      <c r="I173" t="s">
        <v>536</v>
      </c>
      <c r="J173" t="s">
        <v>2433</v>
      </c>
      <c r="L173" t="s">
        <v>3153</v>
      </c>
      <c r="M173" t="s">
        <v>2444</v>
      </c>
      <c r="N173" t="s">
        <v>3154</v>
      </c>
      <c r="O173" t="s">
        <v>3155</v>
      </c>
      <c r="Q173" t="s">
        <v>2438</v>
      </c>
      <c r="R173" s="30">
        <v>45345</v>
      </c>
      <c r="S173" t="s">
        <v>25</v>
      </c>
      <c r="T173" s="30">
        <v>45736</v>
      </c>
      <c r="U173">
        <v>59400</v>
      </c>
      <c r="V173" s="34"/>
      <c r="W173" s="34">
        <f t="shared" si="23"/>
        <v>59400</v>
      </c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5"/>
      <c r="AJ173" s="32">
        <v>19800</v>
      </c>
      <c r="AK173" s="32">
        <v>19800</v>
      </c>
      <c r="AL173" s="32">
        <v>19800</v>
      </c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CR173">
        <v>491700</v>
      </c>
      <c r="CS173">
        <v>2</v>
      </c>
    </row>
    <row r="174" spans="1:97" x14ac:dyDescent="0.4">
      <c r="A174" t="s">
        <v>537</v>
      </c>
      <c r="D174" t="s">
        <v>2370</v>
      </c>
      <c r="E174" t="s">
        <v>2371</v>
      </c>
      <c r="F174" t="s">
        <v>538</v>
      </c>
      <c r="G174" t="s">
        <v>3156</v>
      </c>
      <c r="H174">
        <v>8029618376</v>
      </c>
      <c r="I174" t="s">
        <v>539</v>
      </c>
      <c r="J174" t="s">
        <v>2433</v>
      </c>
      <c r="L174" t="s">
        <v>3157</v>
      </c>
      <c r="M174" t="s">
        <v>2715</v>
      </c>
      <c r="N174" t="s">
        <v>3158</v>
      </c>
      <c r="O174" t="s">
        <v>3159</v>
      </c>
      <c r="Q174" t="s">
        <v>2438</v>
      </c>
      <c r="R174" s="30">
        <v>45345</v>
      </c>
      <c r="S174" t="s">
        <v>44</v>
      </c>
      <c r="T174" s="30">
        <v>45828</v>
      </c>
      <c r="U174" s="20">
        <v>114300</v>
      </c>
      <c r="V174" s="31"/>
      <c r="W174" s="31"/>
      <c r="X174" s="31"/>
      <c r="Y174" s="31"/>
      <c r="Z174" s="31">
        <f>+U174</f>
        <v>114300</v>
      </c>
      <c r="AA174" s="31"/>
      <c r="AB174" s="31"/>
      <c r="AC174" s="31"/>
      <c r="AD174" s="31"/>
      <c r="AE174" s="31"/>
      <c r="AF174" s="31"/>
      <c r="AG174" s="31"/>
      <c r="AH174" s="31"/>
      <c r="AI174" s="32"/>
      <c r="AJ174" s="32"/>
      <c r="AK174" s="32"/>
      <c r="AL174" s="32"/>
      <c r="AM174" s="32">
        <v>19050</v>
      </c>
      <c r="AN174" s="32">
        <v>19050</v>
      </c>
      <c r="AO174" s="32">
        <v>19050</v>
      </c>
      <c r="AP174" s="32">
        <v>19050</v>
      </c>
      <c r="AQ174" s="32">
        <v>19050</v>
      </c>
      <c r="AR174" s="32">
        <v>19050</v>
      </c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CR174">
        <v>432300</v>
      </c>
      <c r="CS174">
        <v>1</v>
      </c>
    </row>
    <row r="175" spans="1:97" x14ac:dyDescent="0.4">
      <c r="A175" t="s">
        <v>540</v>
      </c>
      <c r="D175" t="s">
        <v>2370</v>
      </c>
      <c r="E175" t="s">
        <v>2371</v>
      </c>
      <c r="F175" t="s">
        <v>541</v>
      </c>
      <c r="G175" t="s">
        <v>3160</v>
      </c>
      <c r="H175">
        <v>8020695663</v>
      </c>
      <c r="I175" t="s">
        <v>542</v>
      </c>
      <c r="J175" t="s">
        <v>2433</v>
      </c>
      <c r="L175" t="s">
        <v>2899</v>
      </c>
      <c r="M175" t="s">
        <v>2492</v>
      </c>
      <c r="N175" t="s">
        <v>2493</v>
      </c>
      <c r="O175" t="s">
        <v>3161</v>
      </c>
      <c r="Q175" t="s">
        <v>2438</v>
      </c>
      <c r="R175" s="30">
        <v>45345</v>
      </c>
      <c r="S175" t="s">
        <v>25</v>
      </c>
      <c r="T175" s="30">
        <v>45736</v>
      </c>
      <c r="U175">
        <v>59400</v>
      </c>
      <c r="V175" s="34"/>
      <c r="W175" s="34">
        <f>+U175</f>
        <v>59400</v>
      </c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5"/>
      <c r="AJ175" s="32">
        <v>19800</v>
      </c>
      <c r="AK175" s="32">
        <v>19800</v>
      </c>
      <c r="AL175" s="32">
        <v>19800</v>
      </c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CR175">
        <v>707850</v>
      </c>
      <c r="CS175">
        <v>4</v>
      </c>
    </row>
    <row r="176" spans="1:97" x14ac:dyDescent="0.4">
      <c r="A176" t="s">
        <v>543</v>
      </c>
      <c r="D176" t="s">
        <v>2370</v>
      </c>
      <c r="E176" t="s">
        <v>2371</v>
      </c>
      <c r="F176" t="s">
        <v>544</v>
      </c>
      <c r="G176" t="s">
        <v>3162</v>
      </c>
      <c r="H176">
        <v>9071035084</v>
      </c>
      <c r="I176" t="s">
        <v>545</v>
      </c>
      <c r="J176" t="s">
        <v>2433</v>
      </c>
      <c r="L176" t="s">
        <v>3163</v>
      </c>
      <c r="M176" t="s">
        <v>2435</v>
      </c>
      <c r="N176" t="s">
        <v>3164</v>
      </c>
      <c r="O176" t="s">
        <v>3165</v>
      </c>
      <c r="Q176" t="s">
        <v>2438</v>
      </c>
      <c r="R176" s="30">
        <v>45345</v>
      </c>
      <c r="S176" t="s">
        <v>44</v>
      </c>
      <c r="T176" s="30">
        <v>45828</v>
      </c>
      <c r="U176" s="20">
        <v>114300</v>
      </c>
      <c r="V176" s="31"/>
      <c r="W176" s="31"/>
      <c r="X176" s="31"/>
      <c r="Y176" s="31"/>
      <c r="Z176" s="31">
        <f t="shared" ref="Z176:Z177" si="24">+U176</f>
        <v>114300</v>
      </c>
      <c r="AA176" s="31"/>
      <c r="AB176" s="31"/>
      <c r="AC176" s="31"/>
      <c r="AD176" s="31"/>
      <c r="AE176" s="31"/>
      <c r="AF176" s="31"/>
      <c r="AG176" s="31"/>
      <c r="AH176" s="31"/>
      <c r="AI176" s="32"/>
      <c r="AJ176" s="32"/>
      <c r="AK176" s="32"/>
      <c r="AL176" s="32"/>
      <c r="AM176" s="32">
        <v>19050</v>
      </c>
      <c r="AN176" s="32">
        <v>19050</v>
      </c>
      <c r="AO176" s="32">
        <v>19050</v>
      </c>
      <c r="AP176" s="32">
        <v>19050</v>
      </c>
      <c r="AQ176" s="32">
        <v>19050</v>
      </c>
      <c r="AR176" s="32">
        <v>19050</v>
      </c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CR176">
        <v>546600</v>
      </c>
      <c r="CS176">
        <v>2</v>
      </c>
    </row>
    <row r="177" spans="1:97" x14ac:dyDescent="0.4">
      <c r="A177" t="s">
        <v>546</v>
      </c>
      <c r="D177" t="s">
        <v>2370</v>
      </c>
      <c r="E177" t="s">
        <v>2371</v>
      </c>
      <c r="F177" t="s">
        <v>547</v>
      </c>
      <c r="G177" t="s">
        <v>3166</v>
      </c>
      <c r="H177">
        <v>9070091135</v>
      </c>
      <c r="I177" t="s">
        <v>548</v>
      </c>
      <c r="J177" t="s">
        <v>2433</v>
      </c>
      <c r="L177" t="s">
        <v>3167</v>
      </c>
      <c r="M177" t="s">
        <v>2518</v>
      </c>
      <c r="N177" t="s">
        <v>3168</v>
      </c>
      <c r="O177" t="s">
        <v>3169</v>
      </c>
      <c r="Q177" t="s">
        <v>2438</v>
      </c>
      <c r="R177" s="30">
        <v>45345</v>
      </c>
      <c r="S177" t="s">
        <v>44</v>
      </c>
      <c r="T177" s="30">
        <v>45828</v>
      </c>
      <c r="U177" s="20">
        <v>114300</v>
      </c>
      <c r="V177" s="31"/>
      <c r="W177" s="31"/>
      <c r="X177" s="31"/>
      <c r="Y177" s="31"/>
      <c r="Z177" s="31">
        <f t="shared" si="24"/>
        <v>114300</v>
      </c>
      <c r="AA177" s="31"/>
      <c r="AB177" s="31"/>
      <c r="AC177" s="31"/>
      <c r="AD177" s="31"/>
      <c r="AE177" s="31"/>
      <c r="AF177" s="31"/>
      <c r="AG177" s="31"/>
      <c r="AH177" s="31"/>
      <c r="AI177" s="32"/>
      <c r="AJ177" s="32"/>
      <c r="AK177" s="32"/>
      <c r="AL177" s="32"/>
      <c r="AM177" s="32">
        <v>19050</v>
      </c>
      <c r="AN177" s="32">
        <v>19050</v>
      </c>
      <c r="AO177" s="32">
        <v>19050</v>
      </c>
      <c r="AP177" s="32">
        <v>19050</v>
      </c>
      <c r="AQ177" s="32">
        <v>19050</v>
      </c>
      <c r="AR177" s="32">
        <v>19050</v>
      </c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CR177">
        <v>576400</v>
      </c>
      <c r="CS177">
        <v>8</v>
      </c>
    </row>
    <row r="178" spans="1:97" x14ac:dyDescent="0.4">
      <c r="A178" t="s">
        <v>549</v>
      </c>
      <c r="D178" t="s">
        <v>2370</v>
      </c>
      <c r="E178" t="s">
        <v>2371</v>
      </c>
      <c r="F178" t="s">
        <v>550</v>
      </c>
      <c r="G178" t="s">
        <v>3170</v>
      </c>
      <c r="H178">
        <v>9042459887</v>
      </c>
      <c r="I178" t="s">
        <v>551</v>
      </c>
      <c r="J178" t="s">
        <v>2433</v>
      </c>
      <c r="L178" t="s">
        <v>3171</v>
      </c>
      <c r="M178" t="s">
        <v>2518</v>
      </c>
      <c r="N178" t="s">
        <v>3172</v>
      </c>
      <c r="O178" t="s">
        <v>3173</v>
      </c>
      <c r="Q178" t="s">
        <v>2438</v>
      </c>
      <c r="R178" s="30">
        <v>45345</v>
      </c>
      <c r="S178" t="s">
        <v>70</v>
      </c>
      <c r="T178" s="30">
        <v>45736</v>
      </c>
      <c r="U178">
        <v>59400</v>
      </c>
      <c r="V178" s="34"/>
      <c r="W178" s="34">
        <f>+U178</f>
        <v>59400</v>
      </c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5"/>
      <c r="AJ178" s="32">
        <v>19800</v>
      </c>
      <c r="AK178" s="32">
        <v>19800</v>
      </c>
      <c r="AL178" s="32">
        <v>19800</v>
      </c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CR178">
        <v>648450</v>
      </c>
      <c r="CS178">
        <v>9</v>
      </c>
    </row>
    <row r="179" spans="1:97" x14ac:dyDescent="0.4">
      <c r="A179" t="s">
        <v>552</v>
      </c>
      <c r="D179" t="s">
        <v>2370</v>
      </c>
      <c r="E179" t="s">
        <v>2371</v>
      </c>
      <c r="F179" t="s">
        <v>553</v>
      </c>
      <c r="G179" t="s">
        <v>3174</v>
      </c>
      <c r="H179">
        <v>7084503464</v>
      </c>
      <c r="I179" t="s">
        <v>554</v>
      </c>
      <c r="J179" t="s">
        <v>2433</v>
      </c>
      <c r="L179" t="s">
        <v>3175</v>
      </c>
      <c r="M179" t="s">
        <v>2435</v>
      </c>
      <c r="N179" t="s">
        <v>3176</v>
      </c>
      <c r="O179" t="s">
        <v>3177</v>
      </c>
      <c r="Q179" t="s">
        <v>2438</v>
      </c>
      <c r="R179" s="30">
        <v>45345</v>
      </c>
      <c r="S179" t="s">
        <v>44</v>
      </c>
      <c r="T179" s="30">
        <v>45828</v>
      </c>
      <c r="U179" s="20">
        <v>114300</v>
      </c>
      <c r="V179" s="31"/>
      <c r="W179" s="31"/>
      <c r="X179" s="31"/>
      <c r="Y179" s="31"/>
      <c r="Z179" s="31">
        <f>+U179</f>
        <v>114300</v>
      </c>
      <c r="AA179" s="31"/>
      <c r="AB179" s="31"/>
      <c r="AC179" s="31"/>
      <c r="AD179" s="31"/>
      <c r="AE179" s="31"/>
      <c r="AF179" s="31"/>
      <c r="AG179" s="31"/>
      <c r="AH179" s="31"/>
      <c r="AI179" s="32"/>
      <c r="AJ179" s="32"/>
      <c r="AK179" s="32"/>
      <c r="AL179" s="32"/>
      <c r="AM179" s="32">
        <v>19050</v>
      </c>
      <c r="AN179" s="32">
        <v>19050</v>
      </c>
      <c r="AO179" s="32">
        <v>19050</v>
      </c>
      <c r="AP179" s="32">
        <v>19050</v>
      </c>
      <c r="AQ179" s="32">
        <v>19050</v>
      </c>
      <c r="AR179" s="32">
        <v>19050</v>
      </c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CR179">
        <v>762750</v>
      </c>
      <c r="CS179">
        <v>10</v>
      </c>
    </row>
    <row r="180" spans="1:97" x14ac:dyDescent="0.4">
      <c r="A180" t="s">
        <v>555</v>
      </c>
      <c r="D180" t="s">
        <v>2370</v>
      </c>
      <c r="E180" t="s">
        <v>2371</v>
      </c>
      <c r="F180" t="s">
        <v>556</v>
      </c>
      <c r="G180" t="s">
        <v>3178</v>
      </c>
      <c r="H180">
        <v>9021382130</v>
      </c>
      <c r="I180" t="s">
        <v>557</v>
      </c>
      <c r="J180" t="s">
        <v>2433</v>
      </c>
      <c r="L180" t="s">
        <v>3179</v>
      </c>
      <c r="M180" t="s">
        <v>3180</v>
      </c>
      <c r="N180" t="s">
        <v>3181</v>
      </c>
      <c r="O180" t="s">
        <v>3182</v>
      </c>
      <c r="Q180" t="s">
        <v>2438</v>
      </c>
      <c r="R180" s="30">
        <v>45345</v>
      </c>
      <c r="S180" t="s">
        <v>25</v>
      </c>
      <c r="T180" s="30">
        <v>45736</v>
      </c>
      <c r="U180">
        <v>59400</v>
      </c>
      <c r="V180" s="34"/>
      <c r="W180" s="34">
        <f>+U180</f>
        <v>59400</v>
      </c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5"/>
      <c r="AJ180" s="32">
        <v>19800</v>
      </c>
      <c r="AK180" s="32">
        <v>19800</v>
      </c>
      <c r="AL180" s="32">
        <v>19800</v>
      </c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CR180">
        <v>491700</v>
      </c>
      <c r="CS180">
        <v>2</v>
      </c>
    </row>
    <row r="181" spans="1:97" x14ac:dyDescent="0.4">
      <c r="A181" t="s">
        <v>558</v>
      </c>
      <c r="D181" t="s">
        <v>2370</v>
      </c>
      <c r="E181" t="s">
        <v>2371</v>
      </c>
      <c r="F181" t="s">
        <v>559</v>
      </c>
      <c r="G181" t="s">
        <v>3183</v>
      </c>
      <c r="H181">
        <v>8051940339</v>
      </c>
      <c r="I181" t="s">
        <v>560</v>
      </c>
      <c r="J181" t="s">
        <v>2433</v>
      </c>
      <c r="L181" t="s">
        <v>3184</v>
      </c>
      <c r="M181" t="s">
        <v>2444</v>
      </c>
      <c r="N181" t="s">
        <v>3185</v>
      </c>
      <c r="O181" t="s">
        <v>3186</v>
      </c>
      <c r="Q181" t="s">
        <v>2438</v>
      </c>
      <c r="R181" s="30">
        <v>45345</v>
      </c>
      <c r="S181" t="s">
        <v>25</v>
      </c>
      <c r="T181" s="30">
        <v>45767</v>
      </c>
      <c r="U181">
        <v>59400</v>
      </c>
      <c r="V181" s="34"/>
      <c r="W181" s="34"/>
      <c r="X181" s="34">
        <f>+U181</f>
        <v>59400</v>
      </c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5"/>
      <c r="AJ181" s="35"/>
      <c r="AK181" s="32">
        <v>19800</v>
      </c>
      <c r="AL181" s="32">
        <v>19800</v>
      </c>
      <c r="AM181" s="32">
        <v>19800</v>
      </c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CR181">
        <v>491700</v>
      </c>
      <c r="CS181">
        <v>2</v>
      </c>
    </row>
    <row r="182" spans="1:97" s="36" customFormat="1" x14ac:dyDescent="0.4">
      <c r="A182" s="36" t="s">
        <v>562</v>
      </c>
      <c r="D182" s="36" t="s">
        <v>2370</v>
      </c>
      <c r="E182" s="36" t="s">
        <v>2371</v>
      </c>
      <c r="F182" s="36" t="s">
        <v>563</v>
      </c>
      <c r="G182" s="36" t="s">
        <v>3187</v>
      </c>
      <c r="H182" s="36">
        <v>8054721768</v>
      </c>
      <c r="I182" s="36" t="s">
        <v>564</v>
      </c>
      <c r="J182" s="36" t="s">
        <v>2433</v>
      </c>
      <c r="L182" s="36" t="s">
        <v>3188</v>
      </c>
      <c r="M182" s="36" t="s">
        <v>2561</v>
      </c>
      <c r="N182" s="36" t="s">
        <v>3189</v>
      </c>
      <c r="O182" s="36" t="s">
        <v>3190</v>
      </c>
      <c r="Q182" s="36" t="s">
        <v>2438</v>
      </c>
      <c r="R182" s="37">
        <v>45345</v>
      </c>
      <c r="S182" s="36" t="s">
        <v>3191</v>
      </c>
      <c r="T182" s="37">
        <v>45736</v>
      </c>
      <c r="U182" s="37"/>
      <c r="V182" s="38"/>
      <c r="W182" s="34">
        <f>+U182</f>
        <v>0</v>
      </c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9"/>
      <c r="AJ182" s="35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5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CR182" s="36">
        <v>491700</v>
      </c>
      <c r="CS182" s="36">
        <v>2</v>
      </c>
    </row>
    <row r="183" spans="1:97" x14ac:dyDescent="0.4">
      <c r="A183" t="s">
        <v>565</v>
      </c>
      <c r="D183" t="s">
        <v>2370</v>
      </c>
      <c r="E183" t="s">
        <v>2371</v>
      </c>
      <c r="F183" t="s">
        <v>566</v>
      </c>
      <c r="G183" t="s">
        <v>3192</v>
      </c>
      <c r="H183">
        <v>8019301610</v>
      </c>
      <c r="I183" t="s">
        <v>567</v>
      </c>
      <c r="J183" t="s">
        <v>2433</v>
      </c>
      <c r="L183" t="s">
        <v>3193</v>
      </c>
      <c r="M183" t="s">
        <v>3194</v>
      </c>
      <c r="N183" t="s">
        <v>3195</v>
      </c>
      <c r="O183" t="s">
        <v>3196</v>
      </c>
      <c r="Q183" t="s">
        <v>2438</v>
      </c>
      <c r="R183" s="30">
        <v>45345</v>
      </c>
      <c r="S183" t="s">
        <v>44</v>
      </c>
      <c r="T183" s="30">
        <v>45828</v>
      </c>
      <c r="U183" s="20">
        <v>114300</v>
      </c>
      <c r="V183" s="31"/>
      <c r="W183" s="31"/>
      <c r="X183" s="31"/>
      <c r="Y183" s="31"/>
      <c r="Z183" s="31">
        <f>+U183</f>
        <v>114300</v>
      </c>
      <c r="AA183" s="31"/>
      <c r="AB183" s="31"/>
      <c r="AC183" s="31"/>
      <c r="AD183" s="31"/>
      <c r="AE183" s="31"/>
      <c r="AF183" s="31"/>
      <c r="AG183" s="31"/>
      <c r="AH183" s="31"/>
      <c r="AI183" s="32"/>
      <c r="AJ183" s="32"/>
      <c r="AK183" s="32"/>
      <c r="AL183" s="32"/>
      <c r="AM183" s="32">
        <v>19050</v>
      </c>
      <c r="AN183" s="32">
        <v>19050</v>
      </c>
      <c r="AO183" s="32">
        <v>19050</v>
      </c>
      <c r="AP183" s="32">
        <v>19050</v>
      </c>
      <c r="AQ183" s="32">
        <v>19050</v>
      </c>
      <c r="AR183" s="32">
        <v>19050</v>
      </c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CR183">
        <v>762750</v>
      </c>
      <c r="CS183">
        <v>4</v>
      </c>
    </row>
    <row r="184" spans="1:97" x14ac:dyDescent="0.4">
      <c r="A184" t="s">
        <v>568</v>
      </c>
      <c r="D184" t="s">
        <v>2370</v>
      </c>
      <c r="E184" t="s">
        <v>2371</v>
      </c>
      <c r="F184" t="s">
        <v>569</v>
      </c>
      <c r="G184" t="s">
        <v>3197</v>
      </c>
      <c r="H184">
        <v>8058886112</v>
      </c>
      <c r="I184" t="s">
        <v>570</v>
      </c>
      <c r="J184" t="s">
        <v>2433</v>
      </c>
      <c r="L184" t="s">
        <v>3198</v>
      </c>
      <c r="M184" t="s">
        <v>2518</v>
      </c>
      <c r="N184" t="s">
        <v>3199</v>
      </c>
      <c r="O184">
        <v>74</v>
      </c>
      <c r="Q184" t="s">
        <v>2438</v>
      </c>
      <c r="R184" s="30">
        <v>45345</v>
      </c>
      <c r="S184" t="s">
        <v>25</v>
      </c>
      <c r="T184" s="30">
        <v>45736</v>
      </c>
      <c r="U184">
        <v>59400</v>
      </c>
      <c r="V184" s="34"/>
      <c r="W184" s="34">
        <f>+U184</f>
        <v>59400</v>
      </c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5"/>
      <c r="AJ184" s="32">
        <v>19800</v>
      </c>
      <c r="AK184" s="32">
        <v>19800</v>
      </c>
      <c r="AL184" s="32">
        <v>19800</v>
      </c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CR184">
        <v>707850</v>
      </c>
      <c r="CS184">
        <v>10</v>
      </c>
    </row>
    <row r="185" spans="1:97" x14ac:dyDescent="0.4">
      <c r="A185" t="s">
        <v>574</v>
      </c>
      <c r="D185" t="s">
        <v>2370</v>
      </c>
      <c r="E185" t="s">
        <v>2371</v>
      </c>
      <c r="F185" t="s">
        <v>575</v>
      </c>
      <c r="G185" t="s">
        <v>3200</v>
      </c>
      <c r="H185">
        <v>8032784237</v>
      </c>
      <c r="I185" t="s">
        <v>576</v>
      </c>
      <c r="J185" t="s">
        <v>2433</v>
      </c>
      <c r="L185" t="s">
        <v>3201</v>
      </c>
      <c r="M185" t="s">
        <v>2518</v>
      </c>
      <c r="N185" t="s">
        <v>3202</v>
      </c>
      <c r="O185" t="s">
        <v>3203</v>
      </c>
      <c r="Q185" t="s">
        <v>2438</v>
      </c>
      <c r="R185" s="30">
        <v>45345</v>
      </c>
      <c r="S185" t="s">
        <v>44</v>
      </c>
      <c r="T185" s="30">
        <v>45828</v>
      </c>
      <c r="U185" s="20">
        <v>114300</v>
      </c>
      <c r="V185" s="31"/>
      <c r="W185" s="31"/>
      <c r="X185" s="31"/>
      <c r="Y185" s="31"/>
      <c r="Z185" s="31">
        <f t="shared" ref="Z185:Z190" si="25">+U185</f>
        <v>114300</v>
      </c>
      <c r="AA185" s="31"/>
      <c r="AB185" s="31"/>
      <c r="AC185" s="31"/>
      <c r="AD185" s="31"/>
      <c r="AE185" s="31"/>
      <c r="AF185" s="31"/>
      <c r="AG185" s="31"/>
      <c r="AH185" s="31"/>
      <c r="AI185" s="32"/>
      <c r="AJ185" s="32"/>
      <c r="AK185" s="32"/>
      <c r="AL185" s="32"/>
      <c r="AM185" s="32">
        <v>19050</v>
      </c>
      <c r="AN185" s="32">
        <v>19050</v>
      </c>
      <c r="AO185" s="32">
        <v>19050</v>
      </c>
      <c r="AP185" s="32">
        <v>19050</v>
      </c>
      <c r="AQ185" s="32">
        <v>19050</v>
      </c>
      <c r="AR185" s="32">
        <v>19050</v>
      </c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CR185">
        <v>762750</v>
      </c>
      <c r="CS185">
        <v>4</v>
      </c>
    </row>
    <row r="186" spans="1:97" x14ac:dyDescent="0.4">
      <c r="A186" t="s">
        <v>577</v>
      </c>
      <c r="D186" t="s">
        <v>2370</v>
      </c>
      <c r="E186" t="s">
        <v>2371</v>
      </c>
      <c r="F186" t="s">
        <v>578</v>
      </c>
      <c r="G186" t="s">
        <v>3204</v>
      </c>
      <c r="H186">
        <v>9019167943</v>
      </c>
      <c r="I186" t="s">
        <v>579</v>
      </c>
      <c r="J186" t="s">
        <v>2433</v>
      </c>
      <c r="L186" t="s">
        <v>3205</v>
      </c>
      <c r="M186" t="s">
        <v>2460</v>
      </c>
      <c r="N186" t="s">
        <v>3206</v>
      </c>
      <c r="O186" t="s">
        <v>3207</v>
      </c>
      <c r="Q186" t="s">
        <v>2438</v>
      </c>
      <c r="R186" s="30">
        <v>45345</v>
      </c>
      <c r="S186" t="s">
        <v>50</v>
      </c>
      <c r="T186" s="30">
        <v>45828</v>
      </c>
      <c r="U186" s="20">
        <v>114300</v>
      </c>
      <c r="V186" s="31"/>
      <c r="W186" s="31"/>
      <c r="X186" s="31"/>
      <c r="Y186" s="31"/>
      <c r="Z186" s="31">
        <f t="shared" si="25"/>
        <v>114300</v>
      </c>
      <c r="AA186" s="31"/>
      <c r="AB186" s="31"/>
      <c r="AC186" s="31"/>
      <c r="AD186" s="31"/>
      <c r="AE186" s="31"/>
      <c r="AF186" s="31"/>
      <c r="AG186" s="31"/>
      <c r="AH186" s="31"/>
      <c r="AI186" s="32"/>
      <c r="AJ186" s="32"/>
      <c r="AK186" s="32"/>
      <c r="AL186" s="32"/>
      <c r="AM186" s="32">
        <v>19050</v>
      </c>
      <c r="AN186" s="32">
        <v>19050</v>
      </c>
      <c r="AO186" s="32">
        <v>19050</v>
      </c>
      <c r="AP186" s="32">
        <v>19050</v>
      </c>
      <c r="AQ186" s="32">
        <v>19050</v>
      </c>
      <c r="AR186" s="32">
        <v>19050</v>
      </c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CR186">
        <v>546600</v>
      </c>
      <c r="CS186">
        <v>2</v>
      </c>
    </row>
    <row r="187" spans="1:97" x14ac:dyDescent="0.4">
      <c r="A187" t="s">
        <v>580</v>
      </c>
      <c r="D187" t="s">
        <v>2370</v>
      </c>
      <c r="E187" t="s">
        <v>2371</v>
      </c>
      <c r="F187" t="s">
        <v>581</v>
      </c>
      <c r="G187" t="s">
        <v>3208</v>
      </c>
      <c r="H187">
        <v>8088908819</v>
      </c>
      <c r="I187" t="s">
        <v>582</v>
      </c>
      <c r="J187" t="s">
        <v>2433</v>
      </c>
      <c r="L187" t="s">
        <v>3209</v>
      </c>
      <c r="M187" t="s">
        <v>2444</v>
      </c>
      <c r="N187" t="s">
        <v>3210</v>
      </c>
      <c r="O187" s="41">
        <v>37764</v>
      </c>
      <c r="Q187" t="s">
        <v>2438</v>
      </c>
      <c r="R187" s="30">
        <v>45345</v>
      </c>
      <c r="S187" t="s">
        <v>44</v>
      </c>
      <c r="T187" s="30">
        <v>45828</v>
      </c>
      <c r="U187" s="20">
        <v>114300</v>
      </c>
      <c r="V187" s="31"/>
      <c r="W187" s="31"/>
      <c r="X187" s="31"/>
      <c r="Y187" s="31"/>
      <c r="Z187" s="31">
        <f t="shared" si="25"/>
        <v>114300</v>
      </c>
      <c r="AA187" s="31"/>
      <c r="AB187" s="31"/>
      <c r="AC187" s="31"/>
      <c r="AD187" s="31"/>
      <c r="AE187" s="31"/>
      <c r="AF187" s="31"/>
      <c r="AG187" s="31"/>
      <c r="AH187" s="31"/>
      <c r="AI187" s="32"/>
      <c r="AJ187" s="32"/>
      <c r="AK187" s="32"/>
      <c r="AL187" s="32"/>
      <c r="AM187" s="32">
        <v>19050</v>
      </c>
      <c r="AN187" s="32">
        <v>19050</v>
      </c>
      <c r="AO187" s="32">
        <v>19050</v>
      </c>
      <c r="AP187" s="32">
        <v>19050</v>
      </c>
      <c r="AQ187" s="32">
        <v>19050</v>
      </c>
      <c r="AR187" s="32">
        <v>19050</v>
      </c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CR187">
        <v>762750</v>
      </c>
      <c r="CS187">
        <v>10</v>
      </c>
    </row>
    <row r="188" spans="1:97" x14ac:dyDescent="0.4">
      <c r="A188" t="s">
        <v>583</v>
      </c>
      <c r="D188" t="s">
        <v>2370</v>
      </c>
      <c r="E188" t="s">
        <v>2371</v>
      </c>
      <c r="F188" t="s">
        <v>584</v>
      </c>
      <c r="G188" t="s">
        <v>3211</v>
      </c>
      <c r="H188">
        <v>9085729638</v>
      </c>
      <c r="I188" t="s">
        <v>585</v>
      </c>
      <c r="J188" t="s">
        <v>2433</v>
      </c>
      <c r="L188" t="s">
        <v>3212</v>
      </c>
      <c r="M188" t="s">
        <v>2506</v>
      </c>
      <c r="N188" t="s">
        <v>3213</v>
      </c>
      <c r="O188" t="s">
        <v>3214</v>
      </c>
      <c r="Q188" t="s">
        <v>2438</v>
      </c>
      <c r="R188" s="30">
        <v>45345</v>
      </c>
      <c r="S188" t="s">
        <v>44</v>
      </c>
      <c r="T188" s="30">
        <v>45828</v>
      </c>
      <c r="U188" s="20">
        <v>114300</v>
      </c>
      <c r="V188" s="31"/>
      <c r="W188" s="31"/>
      <c r="X188" s="31"/>
      <c r="Y188" s="31"/>
      <c r="Z188" s="31">
        <f t="shared" si="25"/>
        <v>114300</v>
      </c>
      <c r="AA188" s="31"/>
      <c r="AB188" s="31"/>
      <c r="AC188" s="31"/>
      <c r="AD188" s="31"/>
      <c r="AE188" s="31"/>
      <c r="AF188" s="31"/>
      <c r="AG188" s="31"/>
      <c r="AH188" s="31"/>
      <c r="AI188" s="32"/>
      <c r="AJ188" s="32"/>
      <c r="AK188" s="32"/>
      <c r="AL188" s="32"/>
      <c r="AM188" s="32">
        <v>19050</v>
      </c>
      <c r="AN188" s="32">
        <v>19050</v>
      </c>
      <c r="AO188" s="32">
        <v>19050</v>
      </c>
      <c r="AP188" s="32">
        <v>19050</v>
      </c>
      <c r="AQ188" s="32">
        <v>19050</v>
      </c>
      <c r="AR188" s="32">
        <v>19050</v>
      </c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CR188">
        <v>762750</v>
      </c>
      <c r="CS188">
        <v>10</v>
      </c>
    </row>
    <row r="189" spans="1:97" x14ac:dyDescent="0.4">
      <c r="A189" t="s">
        <v>586</v>
      </c>
      <c r="D189" t="s">
        <v>2370</v>
      </c>
      <c r="E189" t="s">
        <v>2371</v>
      </c>
      <c r="F189" t="s">
        <v>587</v>
      </c>
      <c r="G189" t="s">
        <v>3215</v>
      </c>
      <c r="H189">
        <v>9065848908</v>
      </c>
      <c r="I189" t="s">
        <v>588</v>
      </c>
      <c r="J189" t="s">
        <v>2433</v>
      </c>
      <c r="L189" t="s">
        <v>3216</v>
      </c>
      <c r="M189" t="s">
        <v>2444</v>
      </c>
      <c r="N189" t="s">
        <v>3217</v>
      </c>
      <c r="O189" t="s">
        <v>3218</v>
      </c>
      <c r="Q189" t="s">
        <v>2438</v>
      </c>
      <c r="R189" s="30">
        <v>45345</v>
      </c>
      <c r="S189" t="s">
        <v>44</v>
      </c>
      <c r="T189" s="30">
        <v>45828</v>
      </c>
      <c r="U189" s="20">
        <v>114300</v>
      </c>
      <c r="V189" s="31"/>
      <c r="W189" s="31"/>
      <c r="X189" s="31"/>
      <c r="Y189" s="31"/>
      <c r="Z189" s="31">
        <f t="shared" si="25"/>
        <v>114300</v>
      </c>
      <c r="AA189" s="31"/>
      <c r="AB189" s="31"/>
      <c r="AC189" s="31"/>
      <c r="AD189" s="31"/>
      <c r="AE189" s="31"/>
      <c r="AF189" s="31"/>
      <c r="AG189" s="31"/>
      <c r="AH189" s="31"/>
      <c r="AI189" s="32"/>
      <c r="AJ189" s="32"/>
      <c r="AK189" s="32"/>
      <c r="AL189" s="32"/>
      <c r="AM189" s="32">
        <v>19050</v>
      </c>
      <c r="AN189" s="32">
        <v>19050</v>
      </c>
      <c r="AO189" s="32">
        <v>19050</v>
      </c>
      <c r="AP189" s="32">
        <v>19050</v>
      </c>
      <c r="AQ189" s="32">
        <v>19050</v>
      </c>
      <c r="AR189" s="32">
        <v>19050</v>
      </c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CR189">
        <v>664300</v>
      </c>
      <c r="CS189">
        <v>4</v>
      </c>
    </row>
    <row r="190" spans="1:97" x14ac:dyDescent="0.4">
      <c r="A190" t="s">
        <v>589</v>
      </c>
      <c r="D190" t="s">
        <v>2370</v>
      </c>
      <c r="E190" t="s">
        <v>2371</v>
      </c>
      <c r="F190" t="s">
        <v>590</v>
      </c>
      <c r="G190" t="s">
        <v>3219</v>
      </c>
      <c r="H190">
        <v>9013619170</v>
      </c>
      <c r="I190" t="s">
        <v>591</v>
      </c>
      <c r="J190" t="s">
        <v>2433</v>
      </c>
      <c r="L190" t="s">
        <v>3220</v>
      </c>
      <c r="M190" t="s">
        <v>3221</v>
      </c>
      <c r="N190" t="s">
        <v>3222</v>
      </c>
      <c r="O190" t="s">
        <v>3223</v>
      </c>
      <c r="Q190" t="s">
        <v>2438</v>
      </c>
      <c r="R190" s="30">
        <v>45345</v>
      </c>
      <c r="S190" t="s">
        <v>44</v>
      </c>
      <c r="T190" s="30">
        <v>45828</v>
      </c>
      <c r="U190" s="20">
        <v>114300</v>
      </c>
      <c r="V190" s="31"/>
      <c r="W190" s="31"/>
      <c r="X190" s="31"/>
      <c r="Y190" s="31"/>
      <c r="Z190" s="31">
        <f t="shared" si="25"/>
        <v>114300</v>
      </c>
      <c r="AA190" s="31"/>
      <c r="AB190" s="31"/>
      <c r="AC190" s="31"/>
      <c r="AD190" s="31"/>
      <c r="AE190" s="31"/>
      <c r="AF190" s="31"/>
      <c r="AG190" s="31"/>
      <c r="AH190" s="31"/>
      <c r="AI190" s="32"/>
      <c r="AJ190" s="32"/>
      <c r="AK190" s="32"/>
      <c r="AL190" s="32"/>
      <c r="AM190" s="32">
        <v>19050</v>
      </c>
      <c r="AN190" s="32">
        <v>19050</v>
      </c>
      <c r="AO190" s="32">
        <v>19050</v>
      </c>
      <c r="AP190" s="32">
        <v>19050</v>
      </c>
      <c r="AQ190" s="32">
        <v>19050</v>
      </c>
      <c r="AR190" s="32">
        <v>19050</v>
      </c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CR190">
        <v>762750</v>
      </c>
      <c r="CS190">
        <v>10</v>
      </c>
    </row>
    <row r="191" spans="1:97" x14ac:dyDescent="0.4">
      <c r="A191" t="s">
        <v>592</v>
      </c>
      <c r="D191" t="s">
        <v>2370</v>
      </c>
      <c r="E191" t="s">
        <v>2371</v>
      </c>
      <c r="F191" t="s">
        <v>593</v>
      </c>
      <c r="G191" t="s">
        <v>3224</v>
      </c>
      <c r="H191">
        <v>9056846272</v>
      </c>
      <c r="I191" t="s">
        <v>594</v>
      </c>
      <c r="J191" t="s">
        <v>2433</v>
      </c>
      <c r="L191" t="s">
        <v>3225</v>
      </c>
      <c r="M191" t="s">
        <v>2693</v>
      </c>
      <c r="N191" t="s">
        <v>3226</v>
      </c>
      <c r="O191" t="s">
        <v>3227</v>
      </c>
      <c r="Q191" t="s">
        <v>2438</v>
      </c>
      <c r="R191" s="30">
        <v>45345</v>
      </c>
      <c r="S191" t="s">
        <v>70</v>
      </c>
      <c r="T191" s="30">
        <v>45736</v>
      </c>
      <c r="U191">
        <v>59400</v>
      </c>
      <c r="V191" s="34"/>
      <c r="W191" s="34">
        <f>+U191</f>
        <v>59400</v>
      </c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5"/>
      <c r="AJ191" s="32">
        <v>19800</v>
      </c>
      <c r="AK191" s="32">
        <v>19800</v>
      </c>
      <c r="AL191" s="32">
        <v>19800</v>
      </c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CR191">
        <v>491700</v>
      </c>
      <c r="CS191">
        <v>2</v>
      </c>
    </row>
    <row r="192" spans="1:97" x14ac:dyDescent="0.4">
      <c r="A192" t="s">
        <v>595</v>
      </c>
      <c r="D192" t="s">
        <v>2370</v>
      </c>
      <c r="E192" t="s">
        <v>2371</v>
      </c>
      <c r="F192" t="s">
        <v>596</v>
      </c>
      <c r="G192" t="s">
        <v>3228</v>
      </c>
      <c r="H192">
        <v>8037099585</v>
      </c>
      <c r="I192" t="s">
        <v>597</v>
      </c>
      <c r="J192" t="s">
        <v>2433</v>
      </c>
      <c r="L192" t="s">
        <v>3229</v>
      </c>
      <c r="M192" t="s">
        <v>2500</v>
      </c>
      <c r="N192" t="s">
        <v>3230</v>
      </c>
      <c r="O192" t="s">
        <v>3231</v>
      </c>
      <c r="Q192" t="s">
        <v>2438</v>
      </c>
      <c r="R192" s="30">
        <v>45345</v>
      </c>
      <c r="S192" t="s">
        <v>44</v>
      </c>
      <c r="T192" s="30">
        <v>45828</v>
      </c>
      <c r="U192" s="20">
        <v>114300</v>
      </c>
      <c r="V192" s="31"/>
      <c r="W192" s="31"/>
      <c r="X192" s="31"/>
      <c r="Y192" s="31"/>
      <c r="Z192" s="31">
        <f t="shared" ref="Z192:Z197" si="26">+U192</f>
        <v>114300</v>
      </c>
      <c r="AA192" s="31"/>
      <c r="AB192" s="31"/>
      <c r="AC192" s="31"/>
      <c r="AD192" s="31"/>
      <c r="AE192" s="31"/>
      <c r="AF192" s="31"/>
      <c r="AG192" s="31"/>
      <c r="AH192" s="31"/>
      <c r="AI192" s="32"/>
      <c r="AJ192" s="32"/>
      <c r="AK192" s="32"/>
      <c r="AL192" s="32"/>
      <c r="AM192" s="32">
        <v>19050</v>
      </c>
      <c r="AN192" s="32">
        <v>19050</v>
      </c>
      <c r="AO192" s="32">
        <v>19050</v>
      </c>
      <c r="AP192" s="32">
        <v>19050</v>
      </c>
      <c r="AQ192" s="32">
        <v>19050</v>
      </c>
      <c r="AR192" s="32">
        <v>19050</v>
      </c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CR192">
        <v>546600</v>
      </c>
      <c r="CS192">
        <v>2</v>
      </c>
    </row>
    <row r="193" spans="1:97" x14ac:dyDescent="0.4">
      <c r="A193" t="s">
        <v>598</v>
      </c>
      <c r="D193" t="s">
        <v>2370</v>
      </c>
      <c r="E193" t="s">
        <v>2371</v>
      </c>
      <c r="F193" t="s">
        <v>599</v>
      </c>
      <c r="G193" t="s">
        <v>3232</v>
      </c>
      <c r="H193">
        <v>9073696129</v>
      </c>
      <c r="I193" t="s">
        <v>600</v>
      </c>
      <c r="J193" t="s">
        <v>2433</v>
      </c>
      <c r="L193" t="s">
        <v>3233</v>
      </c>
      <c r="M193" t="s">
        <v>2460</v>
      </c>
      <c r="N193" t="s">
        <v>3234</v>
      </c>
      <c r="O193" t="s">
        <v>3235</v>
      </c>
      <c r="Q193" t="s">
        <v>2438</v>
      </c>
      <c r="R193" s="30">
        <v>45345</v>
      </c>
      <c r="S193" t="s">
        <v>44</v>
      </c>
      <c r="T193" s="30">
        <v>45828</v>
      </c>
      <c r="U193" s="20">
        <v>114300</v>
      </c>
      <c r="V193" s="31"/>
      <c r="W193" s="31"/>
      <c r="X193" s="31"/>
      <c r="Y193" s="31"/>
      <c r="Z193" s="31">
        <f t="shared" si="26"/>
        <v>114300</v>
      </c>
      <c r="AA193" s="31"/>
      <c r="AB193" s="31"/>
      <c r="AC193" s="31"/>
      <c r="AD193" s="31"/>
      <c r="AE193" s="31"/>
      <c r="AF193" s="31"/>
      <c r="AG193" s="31"/>
      <c r="AH193" s="31"/>
      <c r="AI193" s="32"/>
      <c r="AJ193" s="32"/>
      <c r="AK193" s="32"/>
      <c r="AL193" s="32"/>
      <c r="AM193" s="32">
        <v>19050</v>
      </c>
      <c r="AN193" s="32">
        <v>19050</v>
      </c>
      <c r="AO193" s="32">
        <v>19050</v>
      </c>
      <c r="AP193" s="32">
        <v>19050</v>
      </c>
      <c r="AQ193" s="32">
        <v>19050</v>
      </c>
      <c r="AR193" s="32">
        <v>19050</v>
      </c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CR193">
        <v>762750</v>
      </c>
      <c r="CS193">
        <v>10</v>
      </c>
    </row>
    <row r="194" spans="1:97" x14ac:dyDescent="0.4">
      <c r="A194" t="s">
        <v>601</v>
      </c>
      <c r="D194" t="s">
        <v>2370</v>
      </c>
      <c r="E194" t="s">
        <v>2371</v>
      </c>
      <c r="F194" t="s">
        <v>602</v>
      </c>
      <c r="G194" t="s">
        <v>3236</v>
      </c>
      <c r="H194">
        <v>9086888982</v>
      </c>
      <c r="I194" t="s">
        <v>603</v>
      </c>
      <c r="J194" t="s">
        <v>2433</v>
      </c>
      <c r="L194" t="s">
        <v>3237</v>
      </c>
      <c r="M194" t="s">
        <v>2483</v>
      </c>
      <c r="N194" t="s">
        <v>3238</v>
      </c>
      <c r="O194" t="s">
        <v>3239</v>
      </c>
      <c r="Q194" t="s">
        <v>2438</v>
      </c>
      <c r="R194" s="30">
        <v>45345</v>
      </c>
      <c r="S194" t="s">
        <v>44</v>
      </c>
      <c r="T194" s="30">
        <v>45828</v>
      </c>
      <c r="U194" s="20">
        <v>114300</v>
      </c>
      <c r="V194" s="31"/>
      <c r="W194" s="31"/>
      <c r="X194" s="31"/>
      <c r="Y194" s="31"/>
      <c r="Z194" s="31">
        <f t="shared" si="26"/>
        <v>114300</v>
      </c>
      <c r="AA194" s="31"/>
      <c r="AB194" s="31"/>
      <c r="AC194" s="31"/>
      <c r="AD194" s="31"/>
      <c r="AE194" s="31"/>
      <c r="AF194" s="31"/>
      <c r="AG194" s="31"/>
      <c r="AH194" s="31"/>
      <c r="AI194" s="32"/>
      <c r="AJ194" s="32"/>
      <c r="AK194" s="32"/>
      <c r="AL194" s="32"/>
      <c r="AM194" s="32">
        <v>19050</v>
      </c>
      <c r="AN194" s="32">
        <v>19050</v>
      </c>
      <c r="AO194" s="32">
        <v>19050</v>
      </c>
      <c r="AP194" s="32">
        <v>19050</v>
      </c>
      <c r="AQ194" s="32">
        <v>19050</v>
      </c>
      <c r="AR194" s="32">
        <v>19050</v>
      </c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CR194">
        <v>762750</v>
      </c>
      <c r="CS194">
        <v>10</v>
      </c>
    </row>
    <row r="195" spans="1:97" x14ac:dyDescent="0.4">
      <c r="A195" t="s">
        <v>604</v>
      </c>
      <c r="D195" t="s">
        <v>2370</v>
      </c>
      <c r="E195" t="s">
        <v>2371</v>
      </c>
      <c r="F195" t="s">
        <v>605</v>
      </c>
      <c r="G195" t="s">
        <v>3240</v>
      </c>
      <c r="H195">
        <v>9024179590</v>
      </c>
      <c r="I195" t="s">
        <v>606</v>
      </c>
      <c r="J195" t="s">
        <v>2433</v>
      </c>
      <c r="L195" t="s">
        <v>3241</v>
      </c>
      <c r="M195" t="s">
        <v>2598</v>
      </c>
      <c r="N195" t="s">
        <v>3242</v>
      </c>
      <c r="O195" s="40">
        <v>32143</v>
      </c>
      <c r="Q195" t="s">
        <v>2438</v>
      </c>
      <c r="R195" s="30">
        <v>45345</v>
      </c>
      <c r="S195" t="s">
        <v>44</v>
      </c>
      <c r="T195" s="30">
        <v>45828</v>
      </c>
      <c r="U195" s="20">
        <v>114300</v>
      </c>
      <c r="V195" s="31"/>
      <c r="W195" s="31"/>
      <c r="X195" s="31"/>
      <c r="Y195" s="31"/>
      <c r="Z195" s="31">
        <f t="shared" si="26"/>
        <v>114300</v>
      </c>
      <c r="AA195" s="31"/>
      <c r="AB195" s="31"/>
      <c r="AC195" s="31"/>
      <c r="AD195" s="31"/>
      <c r="AE195" s="31"/>
      <c r="AF195" s="31"/>
      <c r="AG195" s="31"/>
      <c r="AH195" s="31"/>
      <c r="AI195" s="32"/>
      <c r="AJ195" s="32"/>
      <c r="AK195" s="32"/>
      <c r="AL195" s="32"/>
      <c r="AM195" s="32">
        <v>19050</v>
      </c>
      <c r="AN195" s="32">
        <v>19050</v>
      </c>
      <c r="AO195" s="32">
        <v>19050</v>
      </c>
      <c r="AP195" s="32">
        <v>19050</v>
      </c>
      <c r="AQ195" s="32">
        <v>19050</v>
      </c>
      <c r="AR195" s="32">
        <v>19050</v>
      </c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CR195">
        <v>762750</v>
      </c>
      <c r="CS195">
        <v>10</v>
      </c>
    </row>
    <row r="196" spans="1:97" x14ac:dyDescent="0.4">
      <c r="A196" t="s">
        <v>607</v>
      </c>
      <c r="D196" t="s">
        <v>2370</v>
      </c>
      <c r="E196" t="s">
        <v>2371</v>
      </c>
      <c r="F196" t="s">
        <v>608</v>
      </c>
      <c r="G196" t="s">
        <v>3243</v>
      </c>
      <c r="H196">
        <v>9059644273</v>
      </c>
      <c r="I196" t="s">
        <v>609</v>
      </c>
      <c r="J196" t="s">
        <v>2433</v>
      </c>
      <c r="L196" t="s">
        <v>3244</v>
      </c>
      <c r="M196" t="s">
        <v>2435</v>
      </c>
      <c r="N196" t="s">
        <v>3245</v>
      </c>
      <c r="O196" t="s">
        <v>3246</v>
      </c>
      <c r="Q196" t="s">
        <v>2438</v>
      </c>
      <c r="R196" s="30">
        <v>45345</v>
      </c>
      <c r="S196" t="s">
        <v>44</v>
      </c>
      <c r="T196" s="30">
        <v>45828</v>
      </c>
      <c r="U196" s="20">
        <v>114300</v>
      </c>
      <c r="V196" s="31"/>
      <c r="W196" s="31"/>
      <c r="X196" s="31"/>
      <c r="Y196" s="31"/>
      <c r="Z196" s="31">
        <f t="shared" si="26"/>
        <v>114300</v>
      </c>
      <c r="AA196" s="31"/>
      <c r="AB196" s="31"/>
      <c r="AC196" s="31"/>
      <c r="AD196" s="31"/>
      <c r="AE196" s="31"/>
      <c r="AF196" s="31"/>
      <c r="AG196" s="31"/>
      <c r="AH196" s="31"/>
      <c r="AI196" s="32"/>
      <c r="AJ196" s="32"/>
      <c r="AK196" s="32"/>
      <c r="AL196" s="32"/>
      <c r="AM196" s="32">
        <v>19050</v>
      </c>
      <c r="AN196" s="32">
        <v>19050</v>
      </c>
      <c r="AO196" s="32">
        <v>19050</v>
      </c>
      <c r="AP196" s="32">
        <v>19050</v>
      </c>
      <c r="AQ196" s="32">
        <v>19050</v>
      </c>
      <c r="AR196" s="32">
        <v>19050</v>
      </c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CR196">
        <v>762750</v>
      </c>
      <c r="CS196">
        <v>10</v>
      </c>
    </row>
    <row r="197" spans="1:97" x14ac:dyDescent="0.4">
      <c r="A197" t="s">
        <v>610</v>
      </c>
      <c r="D197" t="s">
        <v>2370</v>
      </c>
      <c r="E197" t="s">
        <v>2371</v>
      </c>
      <c r="F197" t="s">
        <v>611</v>
      </c>
      <c r="G197" t="s">
        <v>3247</v>
      </c>
      <c r="H197">
        <v>8011114710</v>
      </c>
      <c r="I197" t="s">
        <v>612</v>
      </c>
      <c r="J197" t="s">
        <v>2433</v>
      </c>
      <c r="L197" t="s">
        <v>3248</v>
      </c>
      <c r="M197" t="s">
        <v>2444</v>
      </c>
      <c r="N197" t="s">
        <v>3249</v>
      </c>
      <c r="O197" s="41">
        <v>37775</v>
      </c>
      <c r="Q197" t="s">
        <v>2438</v>
      </c>
      <c r="R197" s="30">
        <v>45344</v>
      </c>
      <c r="S197" t="s">
        <v>44</v>
      </c>
      <c r="T197" s="30">
        <v>45828</v>
      </c>
      <c r="U197" s="20">
        <v>114300</v>
      </c>
      <c r="V197" s="31"/>
      <c r="W197" s="31"/>
      <c r="X197" s="31"/>
      <c r="Y197" s="31"/>
      <c r="Z197" s="31">
        <f t="shared" si="26"/>
        <v>114300</v>
      </c>
      <c r="AA197" s="31"/>
      <c r="AB197" s="31"/>
      <c r="AC197" s="31"/>
      <c r="AD197" s="31"/>
      <c r="AE197" s="31"/>
      <c r="AF197" s="31"/>
      <c r="AG197" s="31"/>
      <c r="AH197" s="31"/>
      <c r="AI197" s="32"/>
      <c r="AJ197" s="32"/>
      <c r="AK197" s="32"/>
      <c r="AL197" s="32"/>
      <c r="AM197" s="32">
        <v>19050</v>
      </c>
      <c r="AN197" s="32">
        <v>19050</v>
      </c>
      <c r="AO197" s="32">
        <v>19050</v>
      </c>
      <c r="AP197" s="32">
        <v>19050</v>
      </c>
      <c r="AQ197" s="32">
        <v>19050</v>
      </c>
      <c r="AR197" s="32">
        <v>19050</v>
      </c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CR197">
        <v>762750</v>
      </c>
      <c r="CS197">
        <v>4</v>
      </c>
    </row>
    <row r="198" spans="1:97" x14ac:dyDescent="0.4">
      <c r="A198" t="s">
        <v>613</v>
      </c>
      <c r="D198" t="s">
        <v>2370</v>
      </c>
      <c r="E198" t="s">
        <v>2371</v>
      </c>
      <c r="F198" t="s">
        <v>614</v>
      </c>
      <c r="G198" t="s">
        <v>3250</v>
      </c>
      <c r="H198">
        <v>8053346623</v>
      </c>
      <c r="I198" t="s">
        <v>615</v>
      </c>
      <c r="J198" t="s">
        <v>2433</v>
      </c>
      <c r="L198" t="s">
        <v>3251</v>
      </c>
      <c r="M198" t="s">
        <v>2500</v>
      </c>
      <c r="N198" t="s">
        <v>3252</v>
      </c>
      <c r="O198" t="s">
        <v>3253</v>
      </c>
      <c r="Q198" t="s">
        <v>2438</v>
      </c>
      <c r="R198" s="30">
        <v>45344</v>
      </c>
      <c r="S198" t="s">
        <v>25</v>
      </c>
      <c r="T198" s="30">
        <v>45736</v>
      </c>
      <c r="U198">
        <v>59400</v>
      </c>
      <c r="V198" s="34"/>
      <c r="W198" s="34">
        <f>+U198</f>
        <v>59400</v>
      </c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5"/>
      <c r="AJ198" s="32">
        <v>19800</v>
      </c>
      <c r="AK198" s="32">
        <v>19800</v>
      </c>
      <c r="AL198" s="32">
        <v>19800</v>
      </c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CR198">
        <v>491700</v>
      </c>
      <c r="CS198">
        <v>2</v>
      </c>
    </row>
    <row r="199" spans="1:97" x14ac:dyDescent="0.4">
      <c r="A199" t="s">
        <v>616</v>
      </c>
      <c r="D199" t="s">
        <v>2370</v>
      </c>
      <c r="E199" t="s">
        <v>2371</v>
      </c>
      <c r="F199" t="s">
        <v>617</v>
      </c>
      <c r="G199" t="s">
        <v>3254</v>
      </c>
      <c r="H199">
        <v>116672256</v>
      </c>
      <c r="I199" t="s">
        <v>618</v>
      </c>
      <c r="J199" t="s">
        <v>2433</v>
      </c>
      <c r="L199" t="s">
        <v>3255</v>
      </c>
      <c r="M199" t="s">
        <v>2455</v>
      </c>
      <c r="N199" t="s">
        <v>3256</v>
      </c>
      <c r="O199" t="s">
        <v>3257</v>
      </c>
      <c r="Q199" t="s">
        <v>2438</v>
      </c>
      <c r="R199" s="30">
        <v>45344</v>
      </c>
      <c r="S199" t="s">
        <v>44</v>
      </c>
      <c r="T199" s="30">
        <v>45828</v>
      </c>
      <c r="U199" s="20">
        <v>114300</v>
      </c>
      <c r="V199" s="31"/>
      <c r="W199" s="31"/>
      <c r="X199" s="31"/>
      <c r="Y199" s="31"/>
      <c r="Z199" s="31">
        <f>+U199</f>
        <v>114300</v>
      </c>
      <c r="AA199" s="31"/>
      <c r="AB199" s="31"/>
      <c r="AC199" s="31"/>
      <c r="AD199" s="31"/>
      <c r="AE199" s="31"/>
      <c r="AF199" s="31"/>
      <c r="AG199" s="31"/>
      <c r="AH199" s="31"/>
      <c r="AI199" s="32"/>
      <c r="AJ199" s="32"/>
      <c r="AK199" s="32"/>
      <c r="AL199" s="32"/>
      <c r="AM199" s="32">
        <v>19050</v>
      </c>
      <c r="AN199" s="32">
        <v>19050</v>
      </c>
      <c r="AO199" s="32">
        <v>19050</v>
      </c>
      <c r="AP199" s="32">
        <v>19050</v>
      </c>
      <c r="AQ199" s="32">
        <v>19050</v>
      </c>
      <c r="AR199" s="32">
        <v>19050</v>
      </c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CR199">
        <v>762750</v>
      </c>
      <c r="CS199">
        <v>4</v>
      </c>
    </row>
    <row r="200" spans="1:97" x14ac:dyDescent="0.4">
      <c r="A200" t="s">
        <v>619</v>
      </c>
      <c r="D200" t="s">
        <v>2370</v>
      </c>
      <c r="E200" t="s">
        <v>2371</v>
      </c>
      <c r="F200" t="s">
        <v>620</v>
      </c>
      <c r="G200" t="s">
        <v>3258</v>
      </c>
      <c r="H200">
        <v>9011969193</v>
      </c>
      <c r="I200" t="s">
        <v>621</v>
      </c>
      <c r="J200" t="s">
        <v>2433</v>
      </c>
      <c r="L200" t="s">
        <v>3259</v>
      </c>
      <c r="M200" t="s">
        <v>2715</v>
      </c>
      <c r="N200" t="s">
        <v>3260</v>
      </c>
      <c r="O200" t="s">
        <v>3261</v>
      </c>
      <c r="Q200" t="s">
        <v>2438</v>
      </c>
      <c r="R200" s="30">
        <v>45344</v>
      </c>
      <c r="S200" t="s">
        <v>25</v>
      </c>
      <c r="T200" s="30">
        <v>45736</v>
      </c>
      <c r="U200">
        <v>59400</v>
      </c>
      <c r="V200" s="34"/>
      <c r="W200" s="34">
        <f>+U200</f>
        <v>59400</v>
      </c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5"/>
      <c r="AJ200" s="32">
        <v>19800</v>
      </c>
      <c r="AK200" s="32">
        <v>19800</v>
      </c>
      <c r="AL200" s="32">
        <v>19800</v>
      </c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CR200">
        <v>707850</v>
      </c>
      <c r="CS200">
        <v>4</v>
      </c>
    </row>
    <row r="201" spans="1:97" x14ac:dyDescent="0.4">
      <c r="A201" t="s">
        <v>622</v>
      </c>
      <c r="D201" t="s">
        <v>2370</v>
      </c>
      <c r="E201" t="s">
        <v>2371</v>
      </c>
      <c r="F201" t="s">
        <v>623</v>
      </c>
      <c r="G201" t="s">
        <v>3262</v>
      </c>
      <c r="H201">
        <v>7013078745</v>
      </c>
      <c r="I201" t="s">
        <v>624</v>
      </c>
      <c r="J201" t="s">
        <v>2433</v>
      </c>
      <c r="L201" t="s">
        <v>3263</v>
      </c>
      <c r="M201" t="s">
        <v>2518</v>
      </c>
      <c r="N201" t="s">
        <v>3264</v>
      </c>
      <c r="O201" t="s">
        <v>3265</v>
      </c>
      <c r="Q201" t="s">
        <v>2438</v>
      </c>
      <c r="R201" s="30">
        <v>45344</v>
      </c>
      <c r="S201" t="s">
        <v>44</v>
      </c>
      <c r="T201" s="30">
        <v>45828</v>
      </c>
      <c r="U201" s="20">
        <v>114300</v>
      </c>
      <c r="V201" s="31"/>
      <c r="W201" s="31"/>
      <c r="X201" s="31"/>
      <c r="Y201" s="31"/>
      <c r="Z201" s="31">
        <f t="shared" ref="Z201:Z202" si="27">+U201</f>
        <v>114300</v>
      </c>
      <c r="AA201" s="31"/>
      <c r="AB201" s="31"/>
      <c r="AC201" s="31"/>
      <c r="AD201" s="31"/>
      <c r="AE201" s="31"/>
      <c r="AF201" s="31"/>
      <c r="AG201" s="31"/>
      <c r="AH201" s="31"/>
      <c r="AI201" s="32"/>
      <c r="AJ201" s="32"/>
      <c r="AK201" s="32"/>
      <c r="AL201" s="32"/>
      <c r="AM201" s="32">
        <v>19050</v>
      </c>
      <c r="AN201" s="32">
        <v>19050</v>
      </c>
      <c r="AO201" s="32">
        <v>19050</v>
      </c>
      <c r="AP201" s="32">
        <v>19050</v>
      </c>
      <c r="AQ201" s="32">
        <v>19050</v>
      </c>
      <c r="AR201" s="32">
        <v>19050</v>
      </c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CR201">
        <v>546600</v>
      </c>
      <c r="CS201">
        <v>2</v>
      </c>
    </row>
    <row r="202" spans="1:97" x14ac:dyDescent="0.4">
      <c r="A202" t="s">
        <v>625</v>
      </c>
      <c r="D202" t="s">
        <v>2370</v>
      </c>
      <c r="E202" t="s">
        <v>2371</v>
      </c>
      <c r="F202" t="s">
        <v>626</v>
      </c>
      <c r="G202" t="s">
        <v>3266</v>
      </c>
      <c r="H202">
        <v>9098181476</v>
      </c>
      <c r="I202" t="s">
        <v>627</v>
      </c>
      <c r="J202" t="s">
        <v>2433</v>
      </c>
      <c r="L202" t="s">
        <v>3267</v>
      </c>
      <c r="M202" t="s">
        <v>2465</v>
      </c>
      <c r="N202" t="s">
        <v>3268</v>
      </c>
      <c r="O202" t="s">
        <v>3269</v>
      </c>
      <c r="Q202" t="s">
        <v>2438</v>
      </c>
      <c r="R202" s="30">
        <v>45344</v>
      </c>
      <c r="S202" t="s">
        <v>44</v>
      </c>
      <c r="T202" s="30">
        <v>45828</v>
      </c>
      <c r="U202" s="20">
        <v>114300</v>
      </c>
      <c r="V202" s="31"/>
      <c r="W202" s="31"/>
      <c r="X202" s="31"/>
      <c r="Y202" s="31"/>
      <c r="Z202" s="31">
        <f t="shared" si="27"/>
        <v>114300</v>
      </c>
      <c r="AA202" s="31"/>
      <c r="AB202" s="31"/>
      <c r="AC202" s="31"/>
      <c r="AD202" s="31"/>
      <c r="AE202" s="31"/>
      <c r="AF202" s="31"/>
      <c r="AG202" s="31"/>
      <c r="AH202" s="31"/>
      <c r="AI202" s="32"/>
      <c r="AJ202" s="32"/>
      <c r="AK202" s="32"/>
      <c r="AL202" s="32"/>
      <c r="AM202" s="32">
        <v>19050</v>
      </c>
      <c r="AN202" s="32">
        <v>19050</v>
      </c>
      <c r="AO202" s="32">
        <v>19050</v>
      </c>
      <c r="AP202" s="32">
        <v>19050</v>
      </c>
      <c r="AQ202" s="32">
        <v>19050</v>
      </c>
      <c r="AR202" s="32">
        <v>19050</v>
      </c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CR202">
        <v>546600</v>
      </c>
      <c r="CS202">
        <v>2</v>
      </c>
    </row>
    <row r="203" spans="1:97" x14ac:dyDescent="0.4">
      <c r="A203" t="s">
        <v>628</v>
      </c>
      <c r="D203" t="s">
        <v>2370</v>
      </c>
      <c r="E203" t="s">
        <v>2371</v>
      </c>
      <c r="F203" t="s">
        <v>629</v>
      </c>
      <c r="G203" t="s">
        <v>3270</v>
      </c>
      <c r="H203">
        <v>9031342755</v>
      </c>
      <c r="I203" t="s">
        <v>630</v>
      </c>
      <c r="J203" t="s">
        <v>2433</v>
      </c>
      <c r="L203" t="s">
        <v>3271</v>
      </c>
      <c r="M203" t="s">
        <v>2465</v>
      </c>
      <c r="N203" t="s">
        <v>3272</v>
      </c>
      <c r="O203" t="s">
        <v>3273</v>
      </c>
      <c r="Q203" t="s">
        <v>2438</v>
      </c>
      <c r="R203" s="30">
        <v>45344</v>
      </c>
      <c r="S203" t="s">
        <v>25</v>
      </c>
      <c r="T203" s="30">
        <v>45736</v>
      </c>
      <c r="U203">
        <v>59400</v>
      </c>
      <c r="V203" s="34"/>
      <c r="W203" s="34">
        <f t="shared" ref="W203:W204" si="28">+U203</f>
        <v>59400</v>
      </c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5"/>
      <c r="AJ203" s="32">
        <v>19800</v>
      </c>
      <c r="AK203" s="32">
        <v>19800</v>
      </c>
      <c r="AL203" s="32">
        <v>19800</v>
      </c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CR203">
        <v>609400</v>
      </c>
      <c r="CS203">
        <v>3</v>
      </c>
    </row>
    <row r="204" spans="1:97" x14ac:dyDescent="0.4">
      <c r="A204" t="s">
        <v>631</v>
      </c>
      <c r="D204" t="s">
        <v>2370</v>
      </c>
      <c r="E204" t="s">
        <v>2371</v>
      </c>
      <c r="F204" t="s">
        <v>632</v>
      </c>
      <c r="G204" t="s">
        <v>3274</v>
      </c>
      <c r="H204">
        <v>8010855603</v>
      </c>
      <c r="I204" t="s">
        <v>633</v>
      </c>
      <c r="J204" t="s">
        <v>2433</v>
      </c>
      <c r="L204" t="s">
        <v>3275</v>
      </c>
      <c r="M204" t="s">
        <v>2444</v>
      </c>
      <c r="N204" t="s">
        <v>3276</v>
      </c>
      <c r="O204" t="s">
        <v>3277</v>
      </c>
      <c r="Q204" t="s">
        <v>2438</v>
      </c>
      <c r="R204" s="30">
        <v>45344</v>
      </c>
      <c r="S204" t="s">
        <v>25</v>
      </c>
      <c r="T204" s="30">
        <v>45736</v>
      </c>
      <c r="U204">
        <v>59400</v>
      </c>
      <c r="V204" s="34"/>
      <c r="W204" s="34">
        <f t="shared" si="28"/>
        <v>59400</v>
      </c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5"/>
      <c r="AJ204" s="32">
        <v>19800</v>
      </c>
      <c r="AK204" s="32">
        <v>19800</v>
      </c>
      <c r="AL204" s="32">
        <v>19800</v>
      </c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CR204">
        <v>491700</v>
      </c>
      <c r="CS204">
        <v>2</v>
      </c>
    </row>
    <row r="205" spans="1:97" x14ac:dyDescent="0.4">
      <c r="A205" t="s">
        <v>634</v>
      </c>
      <c r="D205" t="s">
        <v>2370</v>
      </c>
      <c r="E205" t="s">
        <v>2371</v>
      </c>
      <c r="F205" t="s">
        <v>635</v>
      </c>
      <c r="G205" t="s">
        <v>3278</v>
      </c>
      <c r="H205">
        <v>8062704200</v>
      </c>
      <c r="I205" t="s">
        <v>636</v>
      </c>
      <c r="J205" t="s">
        <v>2433</v>
      </c>
      <c r="L205" t="s">
        <v>3279</v>
      </c>
      <c r="M205" t="s">
        <v>2569</v>
      </c>
      <c r="N205" t="s">
        <v>3280</v>
      </c>
      <c r="O205" s="40">
        <v>29252</v>
      </c>
      <c r="Q205" t="s">
        <v>2438</v>
      </c>
      <c r="R205" s="30">
        <v>45344</v>
      </c>
      <c r="S205" t="s">
        <v>44</v>
      </c>
      <c r="T205" s="30">
        <v>45828</v>
      </c>
      <c r="U205" s="20">
        <v>114300</v>
      </c>
      <c r="V205" s="31"/>
      <c r="W205" s="31"/>
      <c r="X205" s="31"/>
      <c r="Y205" s="31"/>
      <c r="Z205" s="31">
        <f>+U205</f>
        <v>114300</v>
      </c>
      <c r="AA205" s="31"/>
      <c r="AB205" s="31"/>
      <c r="AC205" s="31"/>
      <c r="AD205" s="31"/>
      <c r="AE205" s="31"/>
      <c r="AF205" s="31"/>
      <c r="AG205" s="31"/>
      <c r="AH205" s="31"/>
      <c r="AI205" s="32"/>
      <c r="AJ205" s="32"/>
      <c r="AK205" s="32"/>
      <c r="AL205" s="32"/>
      <c r="AM205" s="32">
        <v>19050</v>
      </c>
      <c r="AN205" s="32">
        <v>19050</v>
      </c>
      <c r="AO205" s="32">
        <v>19050</v>
      </c>
      <c r="AP205" s="32">
        <v>19050</v>
      </c>
      <c r="AQ205" s="32">
        <v>19050</v>
      </c>
      <c r="AR205" s="32">
        <v>19050</v>
      </c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CR205">
        <v>546600</v>
      </c>
      <c r="CS205">
        <v>2</v>
      </c>
    </row>
    <row r="206" spans="1:97" s="36" customFormat="1" x14ac:dyDescent="0.4">
      <c r="A206" s="36" t="s">
        <v>637</v>
      </c>
      <c r="D206" s="36" t="s">
        <v>2370</v>
      </c>
      <c r="E206" s="36" t="s">
        <v>2371</v>
      </c>
      <c r="F206" s="36" t="s">
        <v>638</v>
      </c>
      <c r="G206" s="36" t="s">
        <v>3281</v>
      </c>
      <c r="H206" s="36">
        <v>7026857385</v>
      </c>
      <c r="I206" s="36" t="s">
        <v>639</v>
      </c>
      <c r="J206" s="36" t="s">
        <v>2433</v>
      </c>
      <c r="L206" s="36" t="s">
        <v>3282</v>
      </c>
      <c r="M206" s="36" t="s">
        <v>2455</v>
      </c>
      <c r="N206" s="36" t="s">
        <v>3283</v>
      </c>
      <c r="O206" s="36" t="s">
        <v>3284</v>
      </c>
      <c r="Q206" s="36" t="s">
        <v>2438</v>
      </c>
      <c r="R206" s="37">
        <v>45344</v>
      </c>
      <c r="S206" s="36" t="s">
        <v>3191</v>
      </c>
      <c r="T206" s="37">
        <v>45736</v>
      </c>
      <c r="U206" s="37"/>
      <c r="V206" s="38"/>
      <c r="W206" s="34">
        <f>+U206</f>
        <v>0</v>
      </c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9"/>
      <c r="AJ206" s="35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5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CR206" s="36">
        <v>432300</v>
      </c>
      <c r="CS206" s="36">
        <v>1</v>
      </c>
    </row>
    <row r="207" spans="1:97" x14ac:dyDescent="0.4">
      <c r="A207" t="s">
        <v>640</v>
      </c>
      <c r="D207" t="s">
        <v>2370</v>
      </c>
      <c r="E207" t="s">
        <v>2371</v>
      </c>
      <c r="F207" t="s">
        <v>641</v>
      </c>
      <c r="G207" t="s">
        <v>3285</v>
      </c>
      <c r="H207">
        <v>9088640837</v>
      </c>
      <c r="I207" t="s">
        <v>642</v>
      </c>
      <c r="J207" t="s">
        <v>2433</v>
      </c>
      <c r="L207" t="s">
        <v>3286</v>
      </c>
      <c r="M207" t="s">
        <v>2500</v>
      </c>
      <c r="N207" t="s">
        <v>3287</v>
      </c>
      <c r="O207" t="s">
        <v>3288</v>
      </c>
      <c r="Q207" t="s">
        <v>2438</v>
      </c>
      <c r="R207" s="30">
        <v>45344</v>
      </c>
      <c r="S207" t="s">
        <v>44</v>
      </c>
      <c r="T207" s="30">
        <v>45828</v>
      </c>
      <c r="U207" s="20">
        <v>114300</v>
      </c>
      <c r="V207" s="31"/>
      <c r="W207" s="31"/>
      <c r="X207" s="31"/>
      <c r="Y207" s="31"/>
      <c r="Z207" s="31">
        <f>+U207</f>
        <v>114300</v>
      </c>
      <c r="AA207" s="31"/>
      <c r="AB207" s="31"/>
      <c r="AC207" s="31"/>
      <c r="AD207" s="31"/>
      <c r="AE207" s="31"/>
      <c r="AF207" s="31"/>
      <c r="AG207" s="31"/>
      <c r="AH207" s="31"/>
      <c r="AI207" s="32"/>
      <c r="AJ207" s="32"/>
      <c r="AK207" s="32"/>
      <c r="AL207" s="32"/>
      <c r="AM207" s="32">
        <v>19050</v>
      </c>
      <c r="AN207" s="32">
        <v>19050</v>
      </c>
      <c r="AO207" s="32">
        <v>19050</v>
      </c>
      <c r="AP207" s="32">
        <v>19050</v>
      </c>
      <c r="AQ207" s="32">
        <v>19050</v>
      </c>
      <c r="AR207" s="32">
        <v>19050</v>
      </c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CR207">
        <v>546600</v>
      </c>
      <c r="CS207">
        <v>2</v>
      </c>
    </row>
    <row r="208" spans="1:97" x14ac:dyDescent="0.4">
      <c r="A208" t="s">
        <v>643</v>
      </c>
      <c r="D208" t="s">
        <v>2370</v>
      </c>
      <c r="E208" t="s">
        <v>2371</v>
      </c>
      <c r="F208" t="s">
        <v>644</v>
      </c>
      <c r="G208" t="s">
        <v>3289</v>
      </c>
      <c r="H208">
        <v>9045679831</v>
      </c>
      <c r="I208" t="s">
        <v>645</v>
      </c>
      <c r="J208" t="s">
        <v>2433</v>
      </c>
      <c r="L208" t="s">
        <v>3290</v>
      </c>
      <c r="M208" t="s">
        <v>2569</v>
      </c>
      <c r="N208" t="s">
        <v>3291</v>
      </c>
      <c r="O208" s="41">
        <v>37486</v>
      </c>
      <c r="Q208" t="s">
        <v>2438</v>
      </c>
      <c r="R208" s="30">
        <v>45344</v>
      </c>
      <c r="S208" t="s">
        <v>25</v>
      </c>
      <c r="T208" s="30">
        <v>45736</v>
      </c>
      <c r="U208">
        <v>59400</v>
      </c>
      <c r="V208" s="34"/>
      <c r="W208" s="34">
        <f>+U208</f>
        <v>59400</v>
      </c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5"/>
      <c r="AJ208" s="32">
        <v>19800</v>
      </c>
      <c r="AK208" s="32">
        <v>19800</v>
      </c>
      <c r="AL208" s="32">
        <v>19800</v>
      </c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CR208">
        <v>491700</v>
      </c>
      <c r="CS208">
        <v>2</v>
      </c>
    </row>
    <row r="209" spans="1:97" x14ac:dyDescent="0.4">
      <c r="A209" t="s">
        <v>646</v>
      </c>
      <c r="D209" t="s">
        <v>2370</v>
      </c>
      <c r="E209" t="s">
        <v>2371</v>
      </c>
      <c r="F209" t="s">
        <v>647</v>
      </c>
      <c r="G209" t="s">
        <v>3292</v>
      </c>
      <c r="H209">
        <v>9037903320</v>
      </c>
      <c r="I209" t="s">
        <v>648</v>
      </c>
      <c r="J209" t="s">
        <v>2433</v>
      </c>
      <c r="L209" t="s">
        <v>3293</v>
      </c>
      <c r="M209" t="s">
        <v>2960</v>
      </c>
      <c r="N209" t="s">
        <v>3294</v>
      </c>
      <c r="O209" t="s">
        <v>3295</v>
      </c>
      <c r="Q209" t="s">
        <v>2438</v>
      </c>
      <c r="R209" s="30">
        <v>45344</v>
      </c>
      <c r="S209" t="s">
        <v>44</v>
      </c>
      <c r="T209" s="30">
        <v>45828</v>
      </c>
      <c r="U209" s="20">
        <v>114300</v>
      </c>
      <c r="V209" s="31"/>
      <c r="W209" s="31"/>
      <c r="X209" s="31"/>
      <c r="Y209" s="31"/>
      <c r="Z209" s="31">
        <f t="shared" ref="Z209:Z210" si="29">+U209</f>
        <v>114300</v>
      </c>
      <c r="AA209" s="31"/>
      <c r="AB209" s="31"/>
      <c r="AC209" s="31"/>
      <c r="AD209" s="31"/>
      <c r="AE209" s="31"/>
      <c r="AF209" s="31"/>
      <c r="AG209" s="31"/>
      <c r="AH209" s="31"/>
      <c r="AI209" s="32"/>
      <c r="AJ209" s="32"/>
      <c r="AK209" s="32"/>
      <c r="AL209" s="32"/>
      <c r="AM209" s="32">
        <v>19050</v>
      </c>
      <c r="AN209" s="32">
        <v>19050</v>
      </c>
      <c r="AO209" s="32">
        <v>19050</v>
      </c>
      <c r="AP209" s="32">
        <v>19050</v>
      </c>
      <c r="AQ209" s="32">
        <v>19050</v>
      </c>
      <c r="AR209" s="32">
        <v>19050</v>
      </c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CR209">
        <v>546600</v>
      </c>
      <c r="CS209">
        <v>2</v>
      </c>
    </row>
    <row r="210" spans="1:97" x14ac:dyDescent="0.4">
      <c r="A210" t="s">
        <v>649</v>
      </c>
      <c r="D210" t="s">
        <v>2370</v>
      </c>
      <c r="E210" t="s">
        <v>2371</v>
      </c>
      <c r="F210" t="s">
        <v>650</v>
      </c>
      <c r="G210" t="s">
        <v>3296</v>
      </c>
      <c r="H210">
        <v>9089558431</v>
      </c>
      <c r="I210" t="s">
        <v>651</v>
      </c>
      <c r="J210" t="s">
        <v>2433</v>
      </c>
      <c r="L210" t="s">
        <v>3297</v>
      </c>
      <c r="M210" t="s">
        <v>2500</v>
      </c>
      <c r="N210" t="s">
        <v>3298</v>
      </c>
      <c r="O210" t="s">
        <v>3299</v>
      </c>
      <c r="Q210" t="s">
        <v>2438</v>
      </c>
      <c r="R210" s="30">
        <v>45344</v>
      </c>
      <c r="S210" t="s">
        <v>44</v>
      </c>
      <c r="T210" s="30">
        <v>45828</v>
      </c>
      <c r="U210" s="20">
        <v>114300</v>
      </c>
      <c r="V210" s="31"/>
      <c r="W210" s="31"/>
      <c r="X210" s="31"/>
      <c r="Y210" s="31"/>
      <c r="Z210" s="31">
        <f t="shared" si="29"/>
        <v>114300</v>
      </c>
      <c r="AA210" s="31"/>
      <c r="AB210" s="31"/>
      <c r="AC210" s="31"/>
      <c r="AD210" s="31"/>
      <c r="AE210" s="31"/>
      <c r="AF210" s="31"/>
      <c r="AG210" s="31"/>
      <c r="AH210" s="31"/>
      <c r="AI210" s="32"/>
      <c r="AJ210" s="32"/>
      <c r="AK210" s="32"/>
      <c r="AL210" s="32"/>
      <c r="AM210" s="32">
        <v>19050</v>
      </c>
      <c r="AN210" s="32">
        <v>19050</v>
      </c>
      <c r="AO210" s="32">
        <v>19050</v>
      </c>
      <c r="AP210" s="32">
        <v>19050</v>
      </c>
      <c r="AQ210" s="32">
        <v>19050</v>
      </c>
      <c r="AR210" s="32">
        <v>19050</v>
      </c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CR210">
        <v>546600</v>
      </c>
      <c r="CS210">
        <v>2</v>
      </c>
    </row>
    <row r="211" spans="1:97" x14ac:dyDescent="0.4">
      <c r="A211" t="s">
        <v>652</v>
      </c>
      <c r="D211" t="s">
        <v>2370</v>
      </c>
      <c r="E211" t="s">
        <v>2371</v>
      </c>
      <c r="F211" t="s">
        <v>653</v>
      </c>
      <c r="G211" t="s">
        <v>3300</v>
      </c>
      <c r="H211">
        <v>9071884280</v>
      </c>
      <c r="I211" t="s">
        <v>654</v>
      </c>
      <c r="J211" t="s">
        <v>2433</v>
      </c>
      <c r="L211" t="s">
        <v>3301</v>
      </c>
      <c r="M211" t="s">
        <v>2444</v>
      </c>
      <c r="N211" t="s">
        <v>3302</v>
      </c>
      <c r="O211" t="s">
        <v>3303</v>
      </c>
      <c r="Q211" t="s">
        <v>2438</v>
      </c>
      <c r="R211" s="30">
        <v>45344</v>
      </c>
      <c r="S211" t="s">
        <v>25</v>
      </c>
      <c r="T211" s="30">
        <v>45736</v>
      </c>
      <c r="U211">
        <v>59400</v>
      </c>
      <c r="V211" s="34"/>
      <c r="W211" s="34">
        <f t="shared" ref="W211:W212" si="30">+U211</f>
        <v>59400</v>
      </c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5"/>
      <c r="AJ211" s="32">
        <v>19800</v>
      </c>
      <c r="AK211" s="32">
        <v>19800</v>
      </c>
      <c r="AL211" s="32">
        <v>19800</v>
      </c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CR211">
        <v>491700</v>
      </c>
      <c r="CS211">
        <v>2</v>
      </c>
    </row>
    <row r="212" spans="1:97" x14ac:dyDescent="0.4">
      <c r="A212" t="s">
        <v>655</v>
      </c>
      <c r="D212" t="s">
        <v>2370</v>
      </c>
      <c r="E212" t="s">
        <v>2371</v>
      </c>
      <c r="F212" t="s">
        <v>656</v>
      </c>
      <c r="G212" t="s">
        <v>3304</v>
      </c>
      <c r="H212">
        <v>7015402443</v>
      </c>
      <c r="I212" t="s">
        <v>657</v>
      </c>
      <c r="J212" t="s">
        <v>2433</v>
      </c>
      <c r="L212" t="s">
        <v>3305</v>
      </c>
      <c r="M212" t="s">
        <v>2460</v>
      </c>
      <c r="N212" t="s">
        <v>3306</v>
      </c>
      <c r="O212" t="s">
        <v>3307</v>
      </c>
      <c r="Q212" t="s">
        <v>2438</v>
      </c>
      <c r="R212" s="30">
        <v>45344</v>
      </c>
      <c r="S212" t="s">
        <v>25</v>
      </c>
      <c r="T212" s="30">
        <v>45736</v>
      </c>
      <c r="U212">
        <v>59400</v>
      </c>
      <c r="V212" s="34"/>
      <c r="W212" s="34">
        <f t="shared" si="30"/>
        <v>59400</v>
      </c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5"/>
      <c r="AJ212" s="32">
        <v>19800</v>
      </c>
      <c r="AK212" s="32">
        <v>19800</v>
      </c>
      <c r="AL212" s="32">
        <v>19800</v>
      </c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CR212">
        <v>491700</v>
      </c>
      <c r="CS212">
        <v>2</v>
      </c>
    </row>
    <row r="213" spans="1:97" x14ac:dyDescent="0.4">
      <c r="A213" t="s">
        <v>658</v>
      </c>
      <c r="D213" t="s">
        <v>2370</v>
      </c>
      <c r="E213" t="s">
        <v>2371</v>
      </c>
      <c r="F213" t="s">
        <v>659</v>
      </c>
      <c r="G213" t="s">
        <v>3308</v>
      </c>
      <c r="H213">
        <v>8014391455</v>
      </c>
      <c r="I213" t="s">
        <v>660</v>
      </c>
      <c r="J213" t="s">
        <v>2433</v>
      </c>
      <c r="L213" t="s">
        <v>3309</v>
      </c>
      <c r="M213" t="s">
        <v>2771</v>
      </c>
      <c r="N213" t="s">
        <v>3310</v>
      </c>
      <c r="O213" t="s">
        <v>3311</v>
      </c>
      <c r="Q213" t="s">
        <v>2438</v>
      </c>
      <c r="R213" s="30">
        <v>45344</v>
      </c>
      <c r="S213" t="s">
        <v>44</v>
      </c>
      <c r="T213" s="30">
        <v>45828</v>
      </c>
      <c r="U213" s="20">
        <v>114300</v>
      </c>
      <c r="V213" s="31"/>
      <c r="W213" s="31"/>
      <c r="X213" s="31"/>
      <c r="Y213" s="31"/>
      <c r="Z213" s="31">
        <f t="shared" ref="Z213:Z215" si="31">+U213</f>
        <v>114300</v>
      </c>
      <c r="AA213" s="31"/>
      <c r="AB213" s="31"/>
      <c r="AC213" s="31"/>
      <c r="AD213" s="31"/>
      <c r="AE213" s="31"/>
      <c r="AF213" s="31"/>
      <c r="AG213" s="31"/>
      <c r="AH213" s="31"/>
      <c r="AI213" s="32"/>
      <c r="AJ213" s="32"/>
      <c r="AK213" s="32"/>
      <c r="AL213" s="32"/>
      <c r="AM213" s="32">
        <v>19050</v>
      </c>
      <c r="AN213" s="32">
        <v>19050</v>
      </c>
      <c r="AO213" s="32">
        <v>19050</v>
      </c>
      <c r="AP213" s="32">
        <v>19050</v>
      </c>
      <c r="AQ213" s="32">
        <v>19050</v>
      </c>
      <c r="AR213" s="32">
        <v>19050</v>
      </c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CR213">
        <v>1092750</v>
      </c>
      <c r="CS213">
        <v>5</v>
      </c>
    </row>
    <row r="214" spans="1:97" x14ac:dyDescent="0.4">
      <c r="A214" t="s">
        <v>661</v>
      </c>
      <c r="D214" t="s">
        <v>2370</v>
      </c>
      <c r="E214" t="s">
        <v>2371</v>
      </c>
      <c r="F214" t="s">
        <v>662</v>
      </c>
      <c r="G214" t="s">
        <v>3312</v>
      </c>
      <c r="H214">
        <v>9028880478</v>
      </c>
      <c r="I214" t="s">
        <v>663</v>
      </c>
      <c r="J214" t="s">
        <v>2433</v>
      </c>
      <c r="L214" t="s">
        <v>3313</v>
      </c>
      <c r="M214" t="s">
        <v>2565</v>
      </c>
      <c r="N214" t="s">
        <v>3314</v>
      </c>
      <c r="O214" t="s">
        <v>3315</v>
      </c>
      <c r="Q214" t="s">
        <v>2438</v>
      </c>
      <c r="R214" s="30">
        <v>45344</v>
      </c>
      <c r="S214" t="s">
        <v>44</v>
      </c>
      <c r="T214" s="30">
        <v>45828</v>
      </c>
      <c r="U214" s="20">
        <v>114300</v>
      </c>
      <c r="V214" s="31"/>
      <c r="W214" s="31"/>
      <c r="X214" s="31"/>
      <c r="Y214" s="31"/>
      <c r="Z214" s="31">
        <f t="shared" si="31"/>
        <v>114300</v>
      </c>
      <c r="AA214" s="31"/>
      <c r="AB214" s="31"/>
      <c r="AC214" s="31"/>
      <c r="AD214" s="31"/>
      <c r="AE214" s="31"/>
      <c r="AF214" s="31"/>
      <c r="AG214" s="31"/>
      <c r="AH214" s="31"/>
      <c r="AI214" s="32"/>
      <c r="AJ214" s="32"/>
      <c r="AK214" s="32"/>
      <c r="AL214" s="32"/>
      <c r="AM214" s="32">
        <v>19050</v>
      </c>
      <c r="AN214" s="32">
        <v>19050</v>
      </c>
      <c r="AO214" s="32">
        <v>19050</v>
      </c>
      <c r="AP214" s="32">
        <v>19050</v>
      </c>
      <c r="AQ214" s="32">
        <v>19050</v>
      </c>
      <c r="AR214" s="32">
        <v>19050</v>
      </c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CR214">
        <v>762750</v>
      </c>
      <c r="CS214">
        <v>10</v>
      </c>
    </row>
    <row r="215" spans="1:97" x14ac:dyDescent="0.4">
      <c r="A215" t="s">
        <v>664</v>
      </c>
      <c r="D215" t="s">
        <v>2370</v>
      </c>
      <c r="E215" t="s">
        <v>2371</v>
      </c>
      <c r="F215" t="s">
        <v>665</v>
      </c>
      <c r="G215" t="s">
        <v>3316</v>
      </c>
      <c r="H215">
        <v>236827273</v>
      </c>
      <c r="I215" t="s">
        <v>666</v>
      </c>
      <c r="J215" t="s">
        <v>2433</v>
      </c>
      <c r="L215" t="s">
        <v>3317</v>
      </c>
      <c r="M215" t="s">
        <v>2561</v>
      </c>
      <c r="N215" t="s">
        <v>3318</v>
      </c>
      <c r="O215" s="33">
        <v>45773</v>
      </c>
      <c r="Q215" t="s">
        <v>2438</v>
      </c>
      <c r="R215" s="30">
        <v>45344</v>
      </c>
      <c r="S215" t="s">
        <v>44</v>
      </c>
      <c r="T215" s="30">
        <v>45828</v>
      </c>
      <c r="U215" s="20">
        <v>114300</v>
      </c>
      <c r="V215" s="31"/>
      <c r="W215" s="31"/>
      <c r="X215" s="31"/>
      <c r="Y215" s="31"/>
      <c r="Z215" s="31">
        <f t="shared" si="31"/>
        <v>114300</v>
      </c>
      <c r="AA215" s="31"/>
      <c r="AB215" s="31"/>
      <c r="AC215" s="31"/>
      <c r="AD215" s="31"/>
      <c r="AE215" s="31"/>
      <c r="AF215" s="31"/>
      <c r="AG215" s="31"/>
      <c r="AH215" s="31"/>
      <c r="AI215" s="32"/>
      <c r="AJ215" s="32"/>
      <c r="AK215" s="32"/>
      <c r="AL215" s="32"/>
      <c r="AM215" s="32">
        <v>19050</v>
      </c>
      <c r="AN215" s="32">
        <v>19050</v>
      </c>
      <c r="AO215" s="32">
        <v>19050</v>
      </c>
      <c r="AP215" s="32">
        <v>19050</v>
      </c>
      <c r="AQ215" s="32">
        <v>19050</v>
      </c>
      <c r="AR215" s="32">
        <v>19050</v>
      </c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CR215">
        <v>762750</v>
      </c>
      <c r="CS215">
        <v>10</v>
      </c>
    </row>
    <row r="216" spans="1:97" x14ac:dyDescent="0.4">
      <c r="A216" t="s">
        <v>667</v>
      </c>
      <c r="D216" t="s">
        <v>2370</v>
      </c>
      <c r="E216" t="s">
        <v>2371</v>
      </c>
      <c r="F216" t="s">
        <v>668</v>
      </c>
      <c r="G216" t="s">
        <v>3319</v>
      </c>
      <c r="H216">
        <v>9062150847</v>
      </c>
      <c r="I216" t="s">
        <v>669</v>
      </c>
      <c r="J216" t="s">
        <v>2433</v>
      </c>
      <c r="L216" t="s">
        <v>3320</v>
      </c>
      <c r="M216" t="s">
        <v>2455</v>
      </c>
      <c r="N216" t="s">
        <v>3321</v>
      </c>
      <c r="O216" t="s">
        <v>3322</v>
      </c>
      <c r="Q216" t="s">
        <v>2438</v>
      </c>
      <c r="R216" s="30">
        <v>45344</v>
      </c>
      <c r="S216" t="s">
        <v>70</v>
      </c>
      <c r="T216" s="30">
        <v>45736</v>
      </c>
      <c r="U216">
        <v>59400</v>
      </c>
      <c r="V216" s="34"/>
      <c r="W216" s="34">
        <f t="shared" ref="W216:W217" si="32">+U216</f>
        <v>59400</v>
      </c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5"/>
      <c r="AJ216" s="32">
        <v>19800</v>
      </c>
      <c r="AK216" s="32">
        <v>19800</v>
      </c>
      <c r="AL216" s="32">
        <v>19800</v>
      </c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CR216">
        <v>491700</v>
      </c>
      <c r="CS216">
        <v>2</v>
      </c>
    </row>
    <row r="217" spans="1:97" x14ac:dyDescent="0.4">
      <c r="A217" t="s">
        <v>670</v>
      </c>
      <c r="D217" t="s">
        <v>2370</v>
      </c>
      <c r="E217" t="s">
        <v>2371</v>
      </c>
      <c r="F217" t="s">
        <v>671</v>
      </c>
      <c r="G217" t="s">
        <v>3323</v>
      </c>
      <c r="H217">
        <v>9023385815</v>
      </c>
      <c r="I217" t="s">
        <v>672</v>
      </c>
      <c r="J217" t="s">
        <v>2433</v>
      </c>
      <c r="L217" t="s">
        <v>3324</v>
      </c>
      <c r="M217" t="s">
        <v>2492</v>
      </c>
      <c r="N217" t="s">
        <v>3325</v>
      </c>
      <c r="O217" t="s">
        <v>3326</v>
      </c>
      <c r="Q217" t="s">
        <v>2438</v>
      </c>
      <c r="R217" s="30">
        <v>45344</v>
      </c>
      <c r="S217" t="s">
        <v>25</v>
      </c>
      <c r="T217" s="30">
        <v>45736</v>
      </c>
      <c r="U217">
        <v>59400</v>
      </c>
      <c r="V217" s="34"/>
      <c r="W217" s="34">
        <f t="shared" si="32"/>
        <v>59400</v>
      </c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5"/>
      <c r="AJ217" s="32">
        <v>19800</v>
      </c>
      <c r="AK217" s="32">
        <v>19800</v>
      </c>
      <c r="AL217" s="32">
        <v>19800</v>
      </c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CR217">
        <v>491700</v>
      </c>
      <c r="CS217">
        <v>2</v>
      </c>
    </row>
    <row r="218" spans="1:97" x14ac:dyDescent="0.4">
      <c r="A218" t="s">
        <v>673</v>
      </c>
      <c r="D218" t="s">
        <v>2370</v>
      </c>
      <c r="E218" t="s">
        <v>2371</v>
      </c>
      <c r="F218" t="s">
        <v>674</v>
      </c>
      <c r="G218" t="s">
        <v>3327</v>
      </c>
      <c r="H218">
        <v>9052739071</v>
      </c>
      <c r="I218" t="s">
        <v>675</v>
      </c>
      <c r="J218" t="s">
        <v>2433</v>
      </c>
      <c r="L218" t="s">
        <v>3328</v>
      </c>
      <c r="M218" t="s">
        <v>2830</v>
      </c>
      <c r="N218" t="s">
        <v>3329</v>
      </c>
      <c r="O218" t="s">
        <v>3330</v>
      </c>
      <c r="Q218" t="s">
        <v>2438</v>
      </c>
      <c r="R218" s="30">
        <v>45344</v>
      </c>
      <c r="S218" t="s">
        <v>44</v>
      </c>
      <c r="T218" s="30">
        <v>45828</v>
      </c>
      <c r="U218" s="20">
        <v>114300</v>
      </c>
      <c r="V218" s="31"/>
      <c r="W218" s="31"/>
      <c r="X218" s="31"/>
      <c r="Y218" s="31"/>
      <c r="Z218" s="31">
        <f t="shared" ref="Z218:Z220" si="33">+U218</f>
        <v>114300</v>
      </c>
      <c r="AA218" s="31"/>
      <c r="AB218" s="31"/>
      <c r="AC218" s="31"/>
      <c r="AD218" s="31"/>
      <c r="AE218" s="31"/>
      <c r="AF218" s="31"/>
      <c r="AG218" s="31"/>
      <c r="AH218" s="31"/>
      <c r="AI218" s="32"/>
      <c r="AJ218" s="32"/>
      <c r="AK218" s="32"/>
      <c r="AL218" s="32"/>
      <c r="AM218" s="32">
        <v>19050</v>
      </c>
      <c r="AN218" s="32">
        <v>19050</v>
      </c>
      <c r="AO218" s="32">
        <v>19050</v>
      </c>
      <c r="AP218" s="32">
        <v>19050</v>
      </c>
      <c r="AQ218" s="32">
        <v>19050</v>
      </c>
      <c r="AR218" s="32">
        <v>19050</v>
      </c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CR218">
        <v>546600</v>
      </c>
      <c r="CS218">
        <v>2</v>
      </c>
    </row>
    <row r="219" spans="1:97" x14ac:dyDescent="0.4">
      <c r="A219" t="s">
        <v>676</v>
      </c>
      <c r="D219" t="s">
        <v>2370</v>
      </c>
      <c r="E219" t="s">
        <v>2371</v>
      </c>
      <c r="F219" t="s">
        <v>677</v>
      </c>
      <c r="G219" t="s">
        <v>3331</v>
      </c>
      <c r="H219">
        <v>9025725126</v>
      </c>
      <c r="I219" t="s">
        <v>678</v>
      </c>
      <c r="J219" t="s">
        <v>2433</v>
      </c>
      <c r="L219" t="s">
        <v>3332</v>
      </c>
      <c r="M219" t="s">
        <v>2500</v>
      </c>
      <c r="N219" t="s">
        <v>3333</v>
      </c>
      <c r="O219" t="s">
        <v>3334</v>
      </c>
      <c r="Q219" t="s">
        <v>2438</v>
      </c>
      <c r="R219" s="30">
        <v>45343</v>
      </c>
      <c r="S219" t="s">
        <v>44</v>
      </c>
      <c r="T219" s="30">
        <v>45828</v>
      </c>
      <c r="U219" s="20">
        <v>114300</v>
      </c>
      <c r="V219" s="31"/>
      <c r="W219" s="31"/>
      <c r="X219" s="31"/>
      <c r="Y219" s="31"/>
      <c r="Z219" s="31">
        <f t="shared" si="33"/>
        <v>114300</v>
      </c>
      <c r="AA219" s="31"/>
      <c r="AB219" s="31"/>
      <c r="AC219" s="31"/>
      <c r="AD219" s="31"/>
      <c r="AE219" s="31"/>
      <c r="AF219" s="31"/>
      <c r="AG219" s="31"/>
      <c r="AH219" s="31"/>
      <c r="AI219" s="32"/>
      <c r="AJ219" s="32"/>
      <c r="AK219" s="32"/>
      <c r="AL219" s="32"/>
      <c r="AM219" s="32">
        <v>19050</v>
      </c>
      <c r="AN219" s="32">
        <v>19050</v>
      </c>
      <c r="AO219" s="32">
        <v>19050</v>
      </c>
      <c r="AP219" s="32">
        <v>19050</v>
      </c>
      <c r="AQ219" s="32">
        <v>19050</v>
      </c>
      <c r="AR219" s="32">
        <v>19050</v>
      </c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P219" t="s">
        <v>3335</v>
      </c>
      <c r="BQ219" s="41">
        <v>45646</v>
      </c>
      <c r="CR219">
        <v>664300</v>
      </c>
      <c r="CS219">
        <v>3</v>
      </c>
    </row>
    <row r="220" spans="1:97" x14ac:dyDescent="0.4">
      <c r="A220" t="s">
        <v>679</v>
      </c>
      <c r="D220" t="s">
        <v>2370</v>
      </c>
      <c r="E220" t="s">
        <v>2371</v>
      </c>
      <c r="F220" t="s">
        <v>680</v>
      </c>
      <c r="G220" t="s">
        <v>3336</v>
      </c>
      <c r="H220">
        <v>9025229797</v>
      </c>
      <c r="I220" t="s">
        <v>681</v>
      </c>
      <c r="J220" t="s">
        <v>2433</v>
      </c>
      <c r="L220" t="s">
        <v>3337</v>
      </c>
      <c r="M220" t="s">
        <v>2465</v>
      </c>
      <c r="N220" t="s">
        <v>3338</v>
      </c>
      <c r="O220" t="s">
        <v>3339</v>
      </c>
      <c r="Q220" t="s">
        <v>2438</v>
      </c>
      <c r="R220" s="30">
        <v>45343</v>
      </c>
      <c r="S220" t="s">
        <v>44</v>
      </c>
      <c r="T220" s="30">
        <v>45828</v>
      </c>
      <c r="U220" s="20">
        <v>114300</v>
      </c>
      <c r="V220" s="31"/>
      <c r="W220" s="31"/>
      <c r="X220" s="31"/>
      <c r="Y220" s="31"/>
      <c r="Z220" s="31">
        <f t="shared" si="33"/>
        <v>114300</v>
      </c>
      <c r="AA220" s="31"/>
      <c r="AB220" s="31"/>
      <c r="AC220" s="31"/>
      <c r="AD220" s="31"/>
      <c r="AE220" s="31"/>
      <c r="AF220" s="31"/>
      <c r="AG220" s="31"/>
      <c r="AH220" s="31"/>
      <c r="AI220" s="32"/>
      <c r="AJ220" s="32"/>
      <c r="AK220" s="32"/>
      <c r="AL220" s="32"/>
      <c r="AM220" s="32">
        <v>19050</v>
      </c>
      <c r="AN220" s="32">
        <v>19050</v>
      </c>
      <c r="AO220" s="32">
        <v>19050</v>
      </c>
      <c r="AP220" s="32">
        <v>19050</v>
      </c>
      <c r="AQ220" s="32">
        <v>19050</v>
      </c>
      <c r="AR220" s="32">
        <v>19050</v>
      </c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CR220">
        <v>834800</v>
      </c>
      <c r="CS220">
        <v>6</v>
      </c>
    </row>
    <row r="221" spans="1:97" s="36" customFormat="1" x14ac:dyDescent="0.4">
      <c r="A221" s="36" t="s">
        <v>3340</v>
      </c>
      <c r="D221" s="36" t="s">
        <v>2370</v>
      </c>
      <c r="E221" s="36" t="s">
        <v>2371</v>
      </c>
      <c r="F221" s="36" t="s">
        <v>3341</v>
      </c>
      <c r="G221" s="36" t="s">
        <v>3342</v>
      </c>
      <c r="H221" s="36">
        <v>9093267640</v>
      </c>
      <c r="I221" s="36" t="s">
        <v>3343</v>
      </c>
      <c r="J221" s="36" t="s">
        <v>2433</v>
      </c>
      <c r="L221" s="36" t="s">
        <v>3344</v>
      </c>
      <c r="M221" s="36" t="s">
        <v>2444</v>
      </c>
      <c r="N221" s="36" t="s">
        <v>3345</v>
      </c>
      <c r="O221" s="36">
        <v>1</v>
      </c>
      <c r="Q221" s="36" t="s">
        <v>2438</v>
      </c>
      <c r="R221" s="37">
        <v>45343</v>
      </c>
      <c r="S221" s="36" t="s">
        <v>2503</v>
      </c>
      <c r="T221" s="37">
        <v>45708</v>
      </c>
      <c r="U221" s="37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CR221" s="36">
        <v>669420</v>
      </c>
      <c r="CS221" s="36">
        <v>4</v>
      </c>
    </row>
    <row r="222" spans="1:97" x14ac:dyDescent="0.4">
      <c r="A222" t="s">
        <v>682</v>
      </c>
      <c r="D222" t="s">
        <v>2370</v>
      </c>
      <c r="E222" t="s">
        <v>2371</v>
      </c>
      <c r="F222" t="s">
        <v>683</v>
      </c>
      <c r="G222" t="s">
        <v>3346</v>
      </c>
      <c r="H222">
        <v>8047106366</v>
      </c>
      <c r="I222" t="s">
        <v>684</v>
      </c>
      <c r="J222" t="s">
        <v>2433</v>
      </c>
      <c r="L222" t="s">
        <v>3347</v>
      </c>
      <c r="M222" t="s">
        <v>2500</v>
      </c>
      <c r="N222" t="s">
        <v>3348</v>
      </c>
      <c r="O222" t="s">
        <v>3349</v>
      </c>
      <c r="Q222" t="s">
        <v>2438</v>
      </c>
      <c r="R222" s="30">
        <v>45343</v>
      </c>
      <c r="S222" t="s">
        <v>44</v>
      </c>
      <c r="T222" s="30">
        <v>45828</v>
      </c>
      <c r="U222" s="20">
        <v>114300</v>
      </c>
      <c r="V222" s="31"/>
      <c r="W222" s="31"/>
      <c r="X222" s="31"/>
      <c r="Y222" s="31"/>
      <c r="Z222" s="31">
        <f t="shared" ref="Z222:Z225" si="34">+U222</f>
        <v>114300</v>
      </c>
      <c r="AA222" s="31"/>
      <c r="AB222" s="31"/>
      <c r="AC222" s="31"/>
      <c r="AD222" s="31"/>
      <c r="AE222" s="31"/>
      <c r="AF222" s="31"/>
      <c r="AG222" s="31"/>
      <c r="AH222" s="31"/>
      <c r="AI222" s="32"/>
      <c r="AJ222" s="32"/>
      <c r="AK222" s="32"/>
      <c r="AL222" s="32"/>
      <c r="AM222" s="32">
        <v>19050</v>
      </c>
      <c r="AN222" s="32">
        <v>19050</v>
      </c>
      <c r="AO222" s="32">
        <v>19050</v>
      </c>
      <c r="AP222" s="32">
        <v>19050</v>
      </c>
      <c r="AQ222" s="32">
        <v>19050</v>
      </c>
      <c r="AR222" s="32">
        <v>19050</v>
      </c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CR222">
        <v>546600</v>
      </c>
      <c r="CS222">
        <v>2</v>
      </c>
    </row>
    <row r="223" spans="1:97" x14ac:dyDescent="0.4">
      <c r="A223" t="s">
        <v>685</v>
      </c>
      <c r="D223" t="s">
        <v>2370</v>
      </c>
      <c r="E223" t="s">
        <v>2371</v>
      </c>
      <c r="F223" t="s">
        <v>686</v>
      </c>
      <c r="G223" t="s">
        <v>3350</v>
      </c>
      <c r="H223">
        <v>9050732141</v>
      </c>
      <c r="I223" t="s">
        <v>687</v>
      </c>
      <c r="J223" t="s">
        <v>2433</v>
      </c>
      <c r="L223" t="s">
        <v>3351</v>
      </c>
      <c r="M223" t="s">
        <v>2455</v>
      </c>
      <c r="N223" t="s">
        <v>3352</v>
      </c>
      <c r="O223" t="s">
        <v>3353</v>
      </c>
      <c r="Q223" t="s">
        <v>2438</v>
      </c>
      <c r="R223" s="30">
        <v>45343</v>
      </c>
      <c r="S223" t="s">
        <v>44</v>
      </c>
      <c r="T223" s="30">
        <v>45828</v>
      </c>
      <c r="U223" s="20">
        <v>114300</v>
      </c>
      <c r="V223" s="31"/>
      <c r="W223" s="31"/>
      <c r="X223" s="31"/>
      <c r="Y223" s="31"/>
      <c r="Z223" s="31">
        <f t="shared" si="34"/>
        <v>114300</v>
      </c>
      <c r="AA223" s="31"/>
      <c r="AB223" s="31"/>
      <c r="AC223" s="31"/>
      <c r="AD223" s="31"/>
      <c r="AE223" s="31"/>
      <c r="AF223" s="31"/>
      <c r="AG223" s="31"/>
      <c r="AH223" s="31"/>
      <c r="AI223" s="32"/>
      <c r="AJ223" s="32"/>
      <c r="AK223" s="32"/>
      <c r="AL223" s="32"/>
      <c r="AM223" s="32">
        <v>19050</v>
      </c>
      <c r="AN223" s="32">
        <v>19050</v>
      </c>
      <c r="AO223" s="32">
        <v>19050</v>
      </c>
      <c r="AP223" s="32">
        <v>19050</v>
      </c>
      <c r="AQ223" s="32">
        <v>19050</v>
      </c>
      <c r="AR223" s="32">
        <v>19050</v>
      </c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CR223">
        <v>546600</v>
      </c>
      <c r="CS223">
        <v>2</v>
      </c>
    </row>
    <row r="224" spans="1:97" x14ac:dyDescent="0.4">
      <c r="A224" t="s">
        <v>688</v>
      </c>
      <c r="D224" t="s">
        <v>2370</v>
      </c>
      <c r="E224" t="s">
        <v>2371</v>
      </c>
      <c r="F224" t="s">
        <v>689</v>
      </c>
      <c r="G224" t="s">
        <v>3354</v>
      </c>
      <c r="H224">
        <v>8067847722</v>
      </c>
      <c r="I224" t="s">
        <v>690</v>
      </c>
      <c r="J224" t="s">
        <v>2433</v>
      </c>
      <c r="L224" t="s">
        <v>3355</v>
      </c>
      <c r="M224" t="s">
        <v>2444</v>
      </c>
      <c r="N224" t="s">
        <v>3356</v>
      </c>
      <c r="O224" t="s">
        <v>3357</v>
      </c>
      <c r="Q224" t="s">
        <v>2438</v>
      </c>
      <c r="R224" s="30">
        <v>45343</v>
      </c>
      <c r="S224" t="s">
        <v>44</v>
      </c>
      <c r="T224" s="30">
        <v>45828</v>
      </c>
      <c r="U224" s="20">
        <v>114300</v>
      </c>
      <c r="V224" s="31"/>
      <c r="W224" s="31"/>
      <c r="X224" s="31"/>
      <c r="Y224" s="31"/>
      <c r="Z224" s="31">
        <f t="shared" si="34"/>
        <v>114300</v>
      </c>
      <c r="AA224" s="31"/>
      <c r="AB224" s="31"/>
      <c r="AC224" s="31"/>
      <c r="AD224" s="31"/>
      <c r="AE224" s="31"/>
      <c r="AF224" s="31"/>
      <c r="AG224" s="31"/>
      <c r="AH224" s="31"/>
      <c r="AI224" s="32"/>
      <c r="AJ224" s="32"/>
      <c r="AK224" s="32"/>
      <c r="AL224" s="32"/>
      <c r="AM224" s="32">
        <v>19050</v>
      </c>
      <c r="AN224" s="32">
        <v>19050</v>
      </c>
      <c r="AO224" s="32">
        <v>19050</v>
      </c>
      <c r="AP224" s="32">
        <v>19050</v>
      </c>
      <c r="AQ224" s="32">
        <v>19050</v>
      </c>
      <c r="AR224" s="32">
        <v>19050</v>
      </c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CR224">
        <v>762750</v>
      </c>
      <c r="CS224">
        <v>10</v>
      </c>
    </row>
    <row r="225" spans="1:97" x14ac:dyDescent="0.4">
      <c r="A225" t="s">
        <v>691</v>
      </c>
      <c r="D225" t="s">
        <v>2370</v>
      </c>
      <c r="E225" t="s">
        <v>2371</v>
      </c>
      <c r="F225" t="s">
        <v>692</v>
      </c>
      <c r="G225" t="s">
        <v>3358</v>
      </c>
      <c r="H225">
        <v>7083843479</v>
      </c>
      <c r="I225" t="s">
        <v>693</v>
      </c>
      <c r="J225" t="s">
        <v>2433</v>
      </c>
      <c r="L225" t="s">
        <v>3359</v>
      </c>
      <c r="M225" t="s">
        <v>2444</v>
      </c>
      <c r="N225" t="s">
        <v>3360</v>
      </c>
      <c r="O225" t="s">
        <v>3361</v>
      </c>
      <c r="Q225" t="s">
        <v>2438</v>
      </c>
      <c r="R225" s="30">
        <v>45343</v>
      </c>
      <c r="S225" t="s">
        <v>44</v>
      </c>
      <c r="T225" s="30">
        <v>45828</v>
      </c>
      <c r="U225" s="20">
        <v>114300</v>
      </c>
      <c r="V225" s="31"/>
      <c r="W225" s="31"/>
      <c r="X225" s="31"/>
      <c r="Y225" s="31"/>
      <c r="Z225" s="31">
        <f t="shared" si="34"/>
        <v>114300</v>
      </c>
      <c r="AA225" s="31"/>
      <c r="AB225" s="31"/>
      <c r="AC225" s="31"/>
      <c r="AD225" s="31"/>
      <c r="AE225" s="31"/>
      <c r="AF225" s="31"/>
      <c r="AG225" s="31"/>
      <c r="AH225" s="31"/>
      <c r="AI225" s="32"/>
      <c r="AJ225" s="32"/>
      <c r="AK225" s="32"/>
      <c r="AL225" s="32"/>
      <c r="AM225" s="32">
        <v>19050</v>
      </c>
      <c r="AN225" s="32">
        <v>19050</v>
      </c>
      <c r="AO225" s="32">
        <v>19050</v>
      </c>
      <c r="AP225" s="32">
        <v>19050</v>
      </c>
      <c r="AQ225" s="32">
        <v>19050</v>
      </c>
      <c r="AR225" s="32">
        <v>19050</v>
      </c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CR225">
        <v>762750</v>
      </c>
      <c r="CS225">
        <v>10</v>
      </c>
    </row>
    <row r="226" spans="1:97" x14ac:dyDescent="0.4">
      <c r="A226" t="s">
        <v>694</v>
      </c>
      <c r="D226" t="s">
        <v>2370</v>
      </c>
      <c r="E226" t="s">
        <v>2371</v>
      </c>
      <c r="F226" t="s">
        <v>695</v>
      </c>
      <c r="G226" t="s">
        <v>3362</v>
      </c>
      <c r="H226">
        <v>9034571603</v>
      </c>
      <c r="I226" t="s">
        <v>696</v>
      </c>
      <c r="J226" t="s">
        <v>2433</v>
      </c>
      <c r="L226" t="s">
        <v>3363</v>
      </c>
      <c r="M226" t="s">
        <v>2500</v>
      </c>
      <c r="N226" t="s">
        <v>3364</v>
      </c>
      <c r="O226" t="s">
        <v>3365</v>
      </c>
      <c r="Q226" t="s">
        <v>2438</v>
      </c>
      <c r="R226" s="30">
        <v>45343</v>
      </c>
      <c r="S226" t="s">
        <v>25</v>
      </c>
      <c r="T226" s="30">
        <v>45767</v>
      </c>
      <c r="U226">
        <v>59400</v>
      </c>
      <c r="V226" s="34"/>
      <c r="W226" s="34"/>
      <c r="X226" s="34">
        <f>+U226</f>
        <v>59400</v>
      </c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5"/>
      <c r="AJ226" s="35"/>
      <c r="AK226" s="32">
        <v>19800</v>
      </c>
      <c r="AL226" s="32">
        <v>19800</v>
      </c>
      <c r="AM226" s="32">
        <v>19800</v>
      </c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CR226">
        <v>491700</v>
      </c>
      <c r="CS226">
        <v>2</v>
      </c>
    </row>
    <row r="227" spans="1:97" x14ac:dyDescent="0.4">
      <c r="A227" t="s">
        <v>697</v>
      </c>
      <c r="D227" t="s">
        <v>2370</v>
      </c>
      <c r="E227" t="s">
        <v>2371</v>
      </c>
      <c r="F227" t="s">
        <v>698</v>
      </c>
      <c r="G227" t="s">
        <v>3366</v>
      </c>
      <c r="H227">
        <v>9077466286</v>
      </c>
      <c r="I227" t="s">
        <v>699</v>
      </c>
      <c r="J227" t="s">
        <v>2433</v>
      </c>
      <c r="L227" t="s">
        <v>3367</v>
      </c>
      <c r="M227" t="s">
        <v>3368</v>
      </c>
      <c r="N227" t="s">
        <v>3369</v>
      </c>
      <c r="O227" t="s">
        <v>3370</v>
      </c>
      <c r="Q227" t="s">
        <v>2438</v>
      </c>
      <c r="R227" s="30">
        <v>45343</v>
      </c>
      <c r="S227" t="s">
        <v>44</v>
      </c>
      <c r="T227" s="30">
        <v>45828</v>
      </c>
      <c r="U227" s="20">
        <v>114300</v>
      </c>
      <c r="V227" s="31"/>
      <c r="W227" s="31"/>
      <c r="X227" s="31"/>
      <c r="Y227" s="31"/>
      <c r="Z227" s="31">
        <f t="shared" ref="Z227:Z231" si="35">+U227</f>
        <v>114300</v>
      </c>
      <c r="AA227" s="31"/>
      <c r="AB227" s="31"/>
      <c r="AC227" s="31"/>
      <c r="AD227" s="31"/>
      <c r="AE227" s="31"/>
      <c r="AF227" s="31"/>
      <c r="AG227" s="31"/>
      <c r="AH227" s="31"/>
      <c r="AI227" s="32"/>
      <c r="AJ227" s="32"/>
      <c r="AK227" s="32"/>
      <c r="AL227" s="32"/>
      <c r="AM227" s="32">
        <v>19050</v>
      </c>
      <c r="AN227" s="32">
        <v>19050</v>
      </c>
      <c r="AO227" s="32">
        <v>19050</v>
      </c>
      <c r="AP227" s="32">
        <v>19050</v>
      </c>
      <c r="AQ227" s="32">
        <v>19050</v>
      </c>
      <c r="AR227" s="32">
        <v>19050</v>
      </c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CR227">
        <v>834800</v>
      </c>
      <c r="CS227">
        <v>6</v>
      </c>
    </row>
    <row r="228" spans="1:97" x14ac:dyDescent="0.4">
      <c r="A228" t="s">
        <v>700</v>
      </c>
      <c r="D228" t="s">
        <v>2370</v>
      </c>
      <c r="E228" t="s">
        <v>2371</v>
      </c>
      <c r="F228" t="s">
        <v>701</v>
      </c>
      <c r="G228" t="s">
        <v>3371</v>
      </c>
      <c r="H228">
        <v>9039231196</v>
      </c>
      <c r="I228" t="s">
        <v>702</v>
      </c>
      <c r="J228" t="s">
        <v>2433</v>
      </c>
      <c r="L228" t="s">
        <v>2999</v>
      </c>
      <c r="M228" t="s">
        <v>2444</v>
      </c>
      <c r="N228" t="s">
        <v>3000</v>
      </c>
      <c r="O228" t="s">
        <v>3372</v>
      </c>
      <c r="Q228" t="s">
        <v>2438</v>
      </c>
      <c r="R228" s="30">
        <v>45343</v>
      </c>
      <c r="S228" t="s">
        <v>44</v>
      </c>
      <c r="T228" s="30">
        <v>45828</v>
      </c>
      <c r="U228" s="20">
        <v>114300</v>
      </c>
      <c r="V228" s="31"/>
      <c r="W228" s="31"/>
      <c r="X228" s="31"/>
      <c r="Y228" s="31"/>
      <c r="Z228" s="31">
        <f t="shared" si="35"/>
        <v>114300</v>
      </c>
      <c r="AA228" s="31"/>
      <c r="AB228" s="31"/>
      <c r="AC228" s="31"/>
      <c r="AD228" s="31"/>
      <c r="AE228" s="31"/>
      <c r="AF228" s="31"/>
      <c r="AG228" s="31"/>
      <c r="AH228" s="31"/>
      <c r="AI228" s="32"/>
      <c r="AJ228" s="32"/>
      <c r="AK228" s="32"/>
      <c r="AL228" s="32"/>
      <c r="AM228" s="32">
        <v>19050</v>
      </c>
      <c r="AN228" s="32">
        <v>19050</v>
      </c>
      <c r="AO228" s="32">
        <v>19050</v>
      </c>
      <c r="AP228" s="32">
        <v>19050</v>
      </c>
      <c r="AQ228" s="32">
        <v>19050</v>
      </c>
      <c r="AR228" s="32">
        <v>19050</v>
      </c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CR228">
        <v>546600</v>
      </c>
      <c r="CS228">
        <v>2</v>
      </c>
    </row>
    <row r="229" spans="1:97" x14ac:dyDescent="0.4">
      <c r="A229" t="s">
        <v>703</v>
      </c>
      <c r="D229" t="s">
        <v>2370</v>
      </c>
      <c r="E229" t="s">
        <v>2371</v>
      </c>
      <c r="F229" t="s">
        <v>704</v>
      </c>
      <c r="G229" t="s">
        <v>3373</v>
      </c>
      <c r="H229">
        <v>9044238793</v>
      </c>
      <c r="I229" t="s">
        <v>705</v>
      </c>
      <c r="J229" t="s">
        <v>2433</v>
      </c>
      <c r="L229" t="s">
        <v>3374</v>
      </c>
      <c r="M229" t="s">
        <v>2444</v>
      </c>
      <c r="N229" t="s">
        <v>3375</v>
      </c>
      <c r="O229" t="s">
        <v>3376</v>
      </c>
      <c r="Q229" t="s">
        <v>2438</v>
      </c>
      <c r="R229" s="30">
        <v>45343</v>
      </c>
      <c r="S229" t="s">
        <v>44</v>
      </c>
      <c r="T229" s="30">
        <v>45828</v>
      </c>
      <c r="U229" s="20">
        <v>114300</v>
      </c>
      <c r="V229" s="31"/>
      <c r="W229" s="31"/>
      <c r="X229" s="31"/>
      <c r="Y229" s="31"/>
      <c r="Z229" s="31">
        <f t="shared" si="35"/>
        <v>114300</v>
      </c>
      <c r="AA229" s="31"/>
      <c r="AB229" s="31"/>
      <c r="AC229" s="31"/>
      <c r="AD229" s="31"/>
      <c r="AE229" s="31"/>
      <c r="AF229" s="31"/>
      <c r="AG229" s="31"/>
      <c r="AH229" s="31"/>
      <c r="AI229" s="32"/>
      <c r="AJ229" s="32"/>
      <c r="AK229" s="32"/>
      <c r="AL229" s="32"/>
      <c r="AM229" s="32">
        <v>19050</v>
      </c>
      <c r="AN229" s="32">
        <v>19050</v>
      </c>
      <c r="AO229" s="32">
        <v>19050</v>
      </c>
      <c r="AP229" s="32">
        <v>19050</v>
      </c>
      <c r="AQ229" s="32">
        <v>19050</v>
      </c>
      <c r="AR229" s="32">
        <v>19050</v>
      </c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CR229">
        <v>546600</v>
      </c>
      <c r="CS229">
        <v>2</v>
      </c>
    </row>
    <row r="230" spans="1:97" x14ac:dyDescent="0.4">
      <c r="A230" t="s">
        <v>706</v>
      </c>
      <c r="D230" t="s">
        <v>2370</v>
      </c>
      <c r="E230" t="s">
        <v>2371</v>
      </c>
      <c r="F230" t="s">
        <v>707</v>
      </c>
      <c r="G230" t="s">
        <v>3377</v>
      </c>
      <c r="H230">
        <v>9041227316</v>
      </c>
      <c r="I230" t="s">
        <v>708</v>
      </c>
      <c r="J230" t="s">
        <v>2433</v>
      </c>
      <c r="L230" t="s">
        <v>3378</v>
      </c>
      <c r="M230" t="s">
        <v>2518</v>
      </c>
      <c r="N230" t="s">
        <v>3379</v>
      </c>
      <c r="O230" t="s">
        <v>3380</v>
      </c>
      <c r="Q230" t="s">
        <v>2438</v>
      </c>
      <c r="R230" s="30">
        <v>45343</v>
      </c>
      <c r="S230" t="s">
        <v>44</v>
      </c>
      <c r="T230" s="30">
        <v>45828</v>
      </c>
      <c r="U230" s="20">
        <v>114300</v>
      </c>
      <c r="V230" s="31"/>
      <c r="W230" s="31"/>
      <c r="X230" s="31"/>
      <c r="Y230" s="31"/>
      <c r="Z230" s="31">
        <f t="shared" si="35"/>
        <v>114300</v>
      </c>
      <c r="AA230" s="31"/>
      <c r="AB230" s="31"/>
      <c r="AC230" s="31"/>
      <c r="AD230" s="31"/>
      <c r="AE230" s="31"/>
      <c r="AF230" s="31"/>
      <c r="AG230" s="31"/>
      <c r="AH230" s="31"/>
      <c r="AI230" s="32"/>
      <c r="AJ230" s="32"/>
      <c r="AK230" s="32"/>
      <c r="AL230" s="32"/>
      <c r="AM230" s="32">
        <v>19050</v>
      </c>
      <c r="AN230" s="32">
        <v>19050</v>
      </c>
      <c r="AO230" s="32">
        <v>19050</v>
      </c>
      <c r="AP230" s="32">
        <v>19050</v>
      </c>
      <c r="AQ230" s="32">
        <v>19050</v>
      </c>
      <c r="AR230" s="32">
        <v>19050</v>
      </c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CR230">
        <v>546600</v>
      </c>
      <c r="CS230">
        <v>2</v>
      </c>
    </row>
    <row r="231" spans="1:97" x14ac:dyDescent="0.4">
      <c r="A231" t="s">
        <v>709</v>
      </c>
      <c r="D231" t="s">
        <v>2370</v>
      </c>
      <c r="E231" t="s">
        <v>2371</v>
      </c>
      <c r="F231" t="s">
        <v>710</v>
      </c>
      <c r="G231" t="s">
        <v>3381</v>
      </c>
      <c r="H231">
        <v>9084898960</v>
      </c>
      <c r="I231" t="s">
        <v>711</v>
      </c>
      <c r="J231" t="s">
        <v>2433</v>
      </c>
      <c r="L231" t="s">
        <v>3382</v>
      </c>
      <c r="M231" t="s">
        <v>2483</v>
      </c>
      <c r="N231" t="s">
        <v>3383</v>
      </c>
      <c r="O231" t="s">
        <v>3384</v>
      </c>
      <c r="Q231" t="s">
        <v>2438</v>
      </c>
      <c r="R231" s="30">
        <v>45343</v>
      </c>
      <c r="S231" t="s">
        <v>44</v>
      </c>
      <c r="T231" s="30">
        <v>45828</v>
      </c>
      <c r="U231" s="20">
        <v>114300</v>
      </c>
      <c r="V231" s="31"/>
      <c r="W231" s="31"/>
      <c r="X231" s="31"/>
      <c r="Y231" s="31"/>
      <c r="Z231" s="31">
        <f t="shared" si="35"/>
        <v>114300</v>
      </c>
      <c r="AA231" s="31"/>
      <c r="AB231" s="31"/>
      <c r="AC231" s="31"/>
      <c r="AD231" s="31"/>
      <c r="AE231" s="31"/>
      <c r="AF231" s="31"/>
      <c r="AG231" s="31"/>
      <c r="AH231" s="31"/>
      <c r="AI231" s="32"/>
      <c r="AJ231" s="32"/>
      <c r="AK231" s="32"/>
      <c r="AL231" s="32"/>
      <c r="AM231" s="32">
        <v>19050</v>
      </c>
      <c r="AN231" s="32">
        <v>19050</v>
      </c>
      <c r="AO231" s="32">
        <v>19050</v>
      </c>
      <c r="AP231" s="32">
        <v>19050</v>
      </c>
      <c r="AQ231" s="32">
        <v>19050</v>
      </c>
      <c r="AR231" s="32">
        <v>19050</v>
      </c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CR231">
        <v>762750</v>
      </c>
      <c r="CS231">
        <v>10</v>
      </c>
    </row>
    <row r="232" spans="1:97" x14ac:dyDescent="0.4">
      <c r="A232" t="s">
        <v>712</v>
      </c>
      <c r="D232" t="s">
        <v>2370</v>
      </c>
      <c r="E232" t="s">
        <v>2371</v>
      </c>
      <c r="F232" t="s">
        <v>713</v>
      </c>
      <c r="G232" t="s">
        <v>3385</v>
      </c>
      <c r="H232">
        <v>9057266304</v>
      </c>
      <c r="I232" t="s">
        <v>714</v>
      </c>
      <c r="J232" t="s">
        <v>2433</v>
      </c>
      <c r="L232" t="s">
        <v>3386</v>
      </c>
      <c r="M232" t="s">
        <v>2715</v>
      </c>
      <c r="N232" t="s">
        <v>3387</v>
      </c>
      <c r="O232" t="s">
        <v>3388</v>
      </c>
      <c r="Q232" t="s">
        <v>2438</v>
      </c>
      <c r="R232" s="30">
        <v>45343</v>
      </c>
      <c r="S232" t="s">
        <v>25</v>
      </c>
      <c r="T232" s="30">
        <v>45736</v>
      </c>
      <c r="U232">
        <v>59400</v>
      </c>
      <c r="V232" s="34"/>
      <c r="W232" s="34">
        <f>+U232</f>
        <v>59400</v>
      </c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5"/>
      <c r="AJ232" s="32">
        <v>19800</v>
      </c>
      <c r="AK232" s="32">
        <v>19800</v>
      </c>
      <c r="AL232" s="32">
        <v>19800</v>
      </c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CR232">
        <v>491700</v>
      </c>
      <c r="CS232">
        <v>3</v>
      </c>
    </row>
    <row r="233" spans="1:97" x14ac:dyDescent="0.4">
      <c r="A233" t="s">
        <v>715</v>
      </c>
      <c r="D233" t="s">
        <v>2370</v>
      </c>
      <c r="E233" t="s">
        <v>2371</v>
      </c>
      <c r="F233" t="s">
        <v>716</v>
      </c>
      <c r="G233" t="s">
        <v>3389</v>
      </c>
      <c r="H233">
        <v>482220897</v>
      </c>
      <c r="I233" t="s">
        <v>717</v>
      </c>
      <c r="J233" t="s">
        <v>2433</v>
      </c>
      <c r="L233" t="s">
        <v>3390</v>
      </c>
      <c r="M233" t="s">
        <v>2465</v>
      </c>
      <c r="N233" t="s">
        <v>3391</v>
      </c>
      <c r="O233" t="s">
        <v>3392</v>
      </c>
      <c r="Q233" t="s">
        <v>2438</v>
      </c>
      <c r="R233" s="30">
        <v>45343</v>
      </c>
      <c r="S233" t="s">
        <v>44</v>
      </c>
      <c r="T233" s="30">
        <v>45828</v>
      </c>
      <c r="U233" s="20">
        <v>114300</v>
      </c>
      <c r="V233" s="31"/>
      <c r="W233" s="31"/>
      <c r="X233" s="31"/>
      <c r="Y233" s="31"/>
      <c r="Z233" s="31">
        <f t="shared" ref="Z233:Z235" si="36">+U233</f>
        <v>114300</v>
      </c>
      <c r="AA233" s="31"/>
      <c r="AB233" s="31"/>
      <c r="AC233" s="31"/>
      <c r="AD233" s="31"/>
      <c r="AE233" s="31"/>
      <c r="AF233" s="31"/>
      <c r="AG233" s="31"/>
      <c r="AH233" s="31"/>
      <c r="AI233" s="32"/>
      <c r="AJ233" s="32"/>
      <c r="AK233" s="32"/>
      <c r="AL233" s="32"/>
      <c r="AM233" s="32">
        <v>19050</v>
      </c>
      <c r="AN233" s="32">
        <v>19050</v>
      </c>
      <c r="AO233" s="32">
        <v>19050</v>
      </c>
      <c r="AP233" s="32">
        <v>19050</v>
      </c>
      <c r="AQ233" s="32">
        <v>19050</v>
      </c>
      <c r="AR233" s="32">
        <v>19050</v>
      </c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CR233">
        <v>546600</v>
      </c>
      <c r="CS233">
        <v>2</v>
      </c>
    </row>
    <row r="234" spans="1:97" x14ac:dyDescent="0.4">
      <c r="A234" t="s">
        <v>718</v>
      </c>
      <c r="D234" t="s">
        <v>2370</v>
      </c>
      <c r="E234" t="s">
        <v>2371</v>
      </c>
      <c r="F234" t="s">
        <v>719</v>
      </c>
      <c r="G234" t="s">
        <v>3393</v>
      </c>
      <c r="H234">
        <v>9090814616</v>
      </c>
      <c r="I234" t="s">
        <v>720</v>
      </c>
      <c r="J234" t="s">
        <v>2433</v>
      </c>
      <c r="L234" t="s">
        <v>3394</v>
      </c>
      <c r="M234" t="s">
        <v>2444</v>
      </c>
      <c r="N234" t="s">
        <v>3395</v>
      </c>
      <c r="O234" t="s">
        <v>3396</v>
      </c>
      <c r="Q234" t="s">
        <v>2438</v>
      </c>
      <c r="R234" s="30">
        <v>45343</v>
      </c>
      <c r="S234" t="s">
        <v>44</v>
      </c>
      <c r="T234" s="30">
        <v>45828</v>
      </c>
      <c r="U234" s="20">
        <v>114300</v>
      </c>
      <c r="V234" s="31"/>
      <c r="W234" s="31"/>
      <c r="X234" s="31"/>
      <c r="Y234" s="31"/>
      <c r="Z234" s="31">
        <f t="shared" si="36"/>
        <v>114300</v>
      </c>
      <c r="AA234" s="31"/>
      <c r="AB234" s="31"/>
      <c r="AC234" s="31"/>
      <c r="AD234" s="31"/>
      <c r="AE234" s="31"/>
      <c r="AF234" s="31"/>
      <c r="AG234" s="31"/>
      <c r="AH234" s="31"/>
      <c r="AI234" s="32"/>
      <c r="AJ234" s="32"/>
      <c r="AK234" s="32"/>
      <c r="AL234" s="32"/>
      <c r="AM234" s="32">
        <v>19050</v>
      </c>
      <c r="AN234" s="32">
        <v>19050</v>
      </c>
      <c r="AO234" s="32">
        <v>19050</v>
      </c>
      <c r="AP234" s="32">
        <v>19050</v>
      </c>
      <c r="AQ234" s="32">
        <v>19050</v>
      </c>
      <c r="AR234" s="32">
        <v>19050</v>
      </c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CR234">
        <v>546600</v>
      </c>
      <c r="CS234">
        <v>2</v>
      </c>
    </row>
    <row r="235" spans="1:97" x14ac:dyDescent="0.4">
      <c r="A235" t="s">
        <v>721</v>
      </c>
      <c r="D235" t="s">
        <v>2370</v>
      </c>
      <c r="E235" t="s">
        <v>2371</v>
      </c>
      <c r="F235" t="s">
        <v>722</v>
      </c>
      <c r="G235" t="s">
        <v>3397</v>
      </c>
      <c r="H235">
        <v>9050053281</v>
      </c>
      <c r="I235" t="s">
        <v>723</v>
      </c>
      <c r="J235" t="s">
        <v>2433</v>
      </c>
      <c r="L235" t="s">
        <v>3398</v>
      </c>
      <c r="M235" t="s">
        <v>2541</v>
      </c>
      <c r="N235" t="s">
        <v>3399</v>
      </c>
      <c r="O235" t="s">
        <v>3400</v>
      </c>
      <c r="Q235" t="s">
        <v>2438</v>
      </c>
      <c r="R235" s="30">
        <v>45343</v>
      </c>
      <c r="S235" t="s">
        <v>44</v>
      </c>
      <c r="T235" s="30">
        <v>45828</v>
      </c>
      <c r="U235" s="20">
        <v>114300</v>
      </c>
      <c r="V235" s="31"/>
      <c r="W235" s="31"/>
      <c r="X235" s="31"/>
      <c r="Y235" s="31"/>
      <c r="Z235" s="31">
        <f t="shared" si="36"/>
        <v>114300</v>
      </c>
      <c r="AA235" s="31"/>
      <c r="AB235" s="31"/>
      <c r="AC235" s="31"/>
      <c r="AD235" s="31"/>
      <c r="AE235" s="31"/>
      <c r="AF235" s="31"/>
      <c r="AG235" s="31"/>
      <c r="AH235" s="31"/>
      <c r="AI235" s="32"/>
      <c r="AJ235" s="32"/>
      <c r="AK235" s="32"/>
      <c r="AL235" s="32"/>
      <c r="AM235" s="32">
        <v>19050</v>
      </c>
      <c r="AN235" s="32">
        <v>19050</v>
      </c>
      <c r="AO235" s="32">
        <v>19050</v>
      </c>
      <c r="AP235" s="32">
        <v>19050</v>
      </c>
      <c r="AQ235" s="32">
        <v>19050</v>
      </c>
      <c r="AR235" s="32">
        <v>19050</v>
      </c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CR235">
        <v>546600</v>
      </c>
      <c r="CS235">
        <v>2</v>
      </c>
    </row>
    <row r="236" spans="1:97" s="36" customFormat="1" x14ac:dyDescent="0.4">
      <c r="A236" s="36" t="s">
        <v>724</v>
      </c>
      <c r="D236" s="36" t="s">
        <v>2370</v>
      </c>
      <c r="E236" s="36" t="s">
        <v>2371</v>
      </c>
      <c r="F236" s="36" t="s">
        <v>725</v>
      </c>
      <c r="G236" s="36" t="s">
        <v>3401</v>
      </c>
      <c r="H236" s="36">
        <v>9021983895</v>
      </c>
      <c r="I236" s="36" t="s">
        <v>726</v>
      </c>
      <c r="J236" s="36" t="s">
        <v>2433</v>
      </c>
      <c r="L236" s="36" t="s">
        <v>3402</v>
      </c>
      <c r="M236" s="36" t="s">
        <v>2435</v>
      </c>
      <c r="N236" s="36" t="s">
        <v>3403</v>
      </c>
      <c r="O236" s="43">
        <v>20212</v>
      </c>
      <c r="Q236" s="36" t="s">
        <v>2438</v>
      </c>
      <c r="R236" s="37">
        <v>45342</v>
      </c>
      <c r="S236" s="36" t="s">
        <v>3191</v>
      </c>
      <c r="T236" s="37">
        <v>45736</v>
      </c>
      <c r="U236" s="37"/>
      <c r="V236" s="38"/>
      <c r="W236" s="34">
        <f>+U236</f>
        <v>0</v>
      </c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9"/>
      <c r="AJ236" s="35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5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CR236" s="36">
        <v>491700</v>
      </c>
      <c r="CS236" s="36">
        <v>2</v>
      </c>
    </row>
    <row r="237" spans="1:97" x14ac:dyDescent="0.4">
      <c r="A237" t="s">
        <v>727</v>
      </c>
      <c r="D237" t="s">
        <v>2370</v>
      </c>
      <c r="E237" t="s">
        <v>2371</v>
      </c>
      <c r="F237" t="s">
        <v>728</v>
      </c>
      <c r="G237" t="s">
        <v>3404</v>
      </c>
      <c r="H237">
        <v>9051360641</v>
      </c>
      <c r="I237" t="s">
        <v>729</v>
      </c>
      <c r="J237" t="s">
        <v>2433</v>
      </c>
      <c r="L237" t="s">
        <v>3405</v>
      </c>
      <c r="M237" t="s">
        <v>2460</v>
      </c>
      <c r="N237" t="s">
        <v>3406</v>
      </c>
      <c r="O237" t="s">
        <v>3407</v>
      </c>
      <c r="Q237" t="s">
        <v>2438</v>
      </c>
      <c r="R237" s="30">
        <v>45342</v>
      </c>
      <c r="S237" t="s">
        <v>44</v>
      </c>
      <c r="T237" s="30">
        <v>45828</v>
      </c>
      <c r="U237" s="20">
        <v>114300</v>
      </c>
      <c r="V237" s="31"/>
      <c r="W237" s="31"/>
      <c r="X237" s="31"/>
      <c r="Y237" s="31"/>
      <c r="Z237" s="31">
        <f t="shared" ref="Z237:Z241" si="37">+U237</f>
        <v>114300</v>
      </c>
      <c r="AA237" s="31"/>
      <c r="AB237" s="31"/>
      <c r="AC237" s="31"/>
      <c r="AD237" s="31"/>
      <c r="AE237" s="31"/>
      <c r="AF237" s="31"/>
      <c r="AG237" s="31"/>
      <c r="AH237" s="31"/>
      <c r="AI237" s="32"/>
      <c r="AJ237" s="32"/>
      <c r="AK237" s="32"/>
      <c r="AL237" s="32"/>
      <c r="AM237" s="32">
        <v>19050</v>
      </c>
      <c r="AN237" s="32">
        <v>19050</v>
      </c>
      <c r="AO237" s="32">
        <v>19050</v>
      </c>
      <c r="AP237" s="32">
        <v>19050</v>
      </c>
      <c r="AQ237" s="32">
        <v>19050</v>
      </c>
      <c r="AR237" s="32">
        <v>19050</v>
      </c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CR237">
        <v>664300</v>
      </c>
      <c r="CS237">
        <v>3</v>
      </c>
    </row>
    <row r="238" spans="1:97" x14ac:dyDescent="0.4">
      <c r="A238" t="s">
        <v>730</v>
      </c>
      <c r="D238" t="s">
        <v>2370</v>
      </c>
      <c r="E238" t="s">
        <v>2371</v>
      </c>
      <c r="F238" t="s">
        <v>731</v>
      </c>
      <c r="G238" t="s">
        <v>3408</v>
      </c>
      <c r="H238">
        <v>7085292626</v>
      </c>
      <c r="I238" t="s">
        <v>732</v>
      </c>
      <c r="J238" t="s">
        <v>2433</v>
      </c>
      <c r="L238" t="s">
        <v>3409</v>
      </c>
      <c r="M238" t="s">
        <v>2451</v>
      </c>
      <c r="N238" t="s">
        <v>3410</v>
      </c>
      <c r="O238" t="s">
        <v>3411</v>
      </c>
      <c r="Q238" t="s">
        <v>2438</v>
      </c>
      <c r="R238" s="30">
        <v>45342</v>
      </c>
      <c r="S238" t="s">
        <v>44</v>
      </c>
      <c r="T238" s="30">
        <v>45828</v>
      </c>
      <c r="U238" s="20">
        <v>114300</v>
      </c>
      <c r="V238" s="31"/>
      <c r="W238" s="31"/>
      <c r="X238" s="31"/>
      <c r="Y238" s="31"/>
      <c r="Z238" s="31">
        <f t="shared" si="37"/>
        <v>114300</v>
      </c>
      <c r="AA238" s="31"/>
      <c r="AB238" s="31"/>
      <c r="AC238" s="31"/>
      <c r="AD238" s="31"/>
      <c r="AE238" s="31"/>
      <c r="AF238" s="31"/>
      <c r="AG238" s="31"/>
      <c r="AH238" s="31"/>
      <c r="AI238" s="32"/>
      <c r="AJ238" s="32"/>
      <c r="AK238" s="32"/>
      <c r="AL238" s="32"/>
      <c r="AM238" s="32">
        <v>19050</v>
      </c>
      <c r="AN238" s="32">
        <v>19050</v>
      </c>
      <c r="AO238" s="32">
        <v>19050</v>
      </c>
      <c r="AP238" s="32">
        <v>19050</v>
      </c>
      <c r="AQ238" s="32">
        <v>19050</v>
      </c>
      <c r="AR238" s="32">
        <v>19050</v>
      </c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CR238">
        <v>546600</v>
      </c>
      <c r="CS238">
        <v>2</v>
      </c>
    </row>
    <row r="239" spans="1:97" x14ac:dyDescent="0.4">
      <c r="A239" t="s">
        <v>733</v>
      </c>
      <c r="D239" t="s">
        <v>2370</v>
      </c>
      <c r="E239" t="s">
        <v>2371</v>
      </c>
      <c r="F239" t="s">
        <v>734</v>
      </c>
      <c r="G239" t="s">
        <v>3412</v>
      </c>
      <c r="H239">
        <v>8070086720</v>
      </c>
      <c r="I239" t="s">
        <v>735</v>
      </c>
      <c r="J239" t="s">
        <v>2433</v>
      </c>
      <c r="L239" t="s">
        <v>3413</v>
      </c>
      <c r="M239" t="s">
        <v>2518</v>
      </c>
      <c r="N239" t="s">
        <v>3414</v>
      </c>
      <c r="O239" t="s">
        <v>3415</v>
      </c>
      <c r="Q239" t="s">
        <v>2438</v>
      </c>
      <c r="R239" s="30">
        <v>45342</v>
      </c>
      <c r="S239" t="s">
        <v>44</v>
      </c>
      <c r="T239" s="30">
        <v>45828</v>
      </c>
      <c r="U239" s="20">
        <v>114300</v>
      </c>
      <c r="V239" s="31"/>
      <c r="W239" s="31"/>
      <c r="X239" s="31"/>
      <c r="Y239" s="31"/>
      <c r="Z239" s="31">
        <f t="shared" si="37"/>
        <v>114300</v>
      </c>
      <c r="AA239" s="31"/>
      <c r="AB239" s="31"/>
      <c r="AC239" s="31"/>
      <c r="AD239" s="31"/>
      <c r="AE239" s="31"/>
      <c r="AF239" s="31"/>
      <c r="AG239" s="31"/>
      <c r="AH239" s="31"/>
      <c r="AI239" s="32"/>
      <c r="AJ239" s="32"/>
      <c r="AK239" s="32"/>
      <c r="AL239" s="32"/>
      <c r="AM239" s="32">
        <v>19050</v>
      </c>
      <c r="AN239" s="32">
        <v>19050</v>
      </c>
      <c r="AO239" s="32">
        <v>19050</v>
      </c>
      <c r="AP239" s="32">
        <v>19050</v>
      </c>
      <c r="AQ239" s="32">
        <v>19050</v>
      </c>
      <c r="AR239" s="32">
        <v>19050</v>
      </c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CR239">
        <v>546600</v>
      </c>
      <c r="CS239">
        <v>2</v>
      </c>
    </row>
    <row r="240" spans="1:97" x14ac:dyDescent="0.4">
      <c r="A240" t="s">
        <v>736</v>
      </c>
      <c r="D240" t="s">
        <v>2370</v>
      </c>
      <c r="E240" t="s">
        <v>2371</v>
      </c>
      <c r="F240" t="s">
        <v>737</v>
      </c>
      <c r="G240" t="s">
        <v>3416</v>
      </c>
      <c r="H240">
        <v>9030133573</v>
      </c>
      <c r="I240" t="s">
        <v>738</v>
      </c>
      <c r="J240" t="s">
        <v>2433</v>
      </c>
      <c r="L240" t="s">
        <v>3417</v>
      </c>
      <c r="M240" t="s">
        <v>2715</v>
      </c>
      <c r="N240" t="s">
        <v>3418</v>
      </c>
      <c r="O240" t="s">
        <v>3419</v>
      </c>
      <c r="Q240" t="s">
        <v>2438</v>
      </c>
      <c r="R240" s="30">
        <v>45342</v>
      </c>
      <c r="S240" t="s">
        <v>44</v>
      </c>
      <c r="T240" s="30">
        <v>45828</v>
      </c>
      <c r="U240" s="20">
        <v>114300</v>
      </c>
      <c r="V240" s="31"/>
      <c r="W240" s="31"/>
      <c r="X240" s="31"/>
      <c r="Y240" s="31"/>
      <c r="Z240" s="31">
        <f t="shared" si="37"/>
        <v>114300</v>
      </c>
      <c r="AA240" s="31"/>
      <c r="AB240" s="31"/>
      <c r="AC240" s="31"/>
      <c r="AD240" s="31"/>
      <c r="AE240" s="31"/>
      <c r="AF240" s="31"/>
      <c r="AG240" s="31"/>
      <c r="AH240" s="31"/>
      <c r="AI240" s="32"/>
      <c r="AJ240" s="32"/>
      <c r="AK240" s="32"/>
      <c r="AL240" s="32"/>
      <c r="AM240" s="32">
        <v>19050</v>
      </c>
      <c r="AN240" s="32">
        <v>19050</v>
      </c>
      <c r="AO240" s="32">
        <v>19050</v>
      </c>
      <c r="AP240" s="32">
        <v>19050</v>
      </c>
      <c r="AQ240" s="32">
        <v>19050</v>
      </c>
      <c r="AR240" s="32">
        <v>19050</v>
      </c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CR240">
        <v>664300</v>
      </c>
      <c r="CS240">
        <v>3</v>
      </c>
    </row>
    <row r="241" spans="1:97" x14ac:dyDescent="0.4">
      <c r="A241" t="s">
        <v>739</v>
      </c>
      <c r="D241" t="s">
        <v>2370</v>
      </c>
      <c r="E241" t="s">
        <v>2371</v>
      </c>
      <c r="F241" t="s">
        <v>740</v>
      </c>
      <c r="G241" t="s">
        <v>3420</v>
      </c>
      <c r="H241">
        <v>9076215713</v>
      </c>
      <c r="I241" t="s">
        <v>741</v>
      </c>
      <c r="J241" t="s">
        <v>2433</v>
      </c>
      <c r="L241" t="s">
        <v>3421</v>
      </c>
      <c r="M241" t="s">
        <v>3422</v>
      </c>
      <c r="N241" t="s">
        <v>3423</v>
      </c>
      <c r="O241" t="s">
        <v>3424</v>
      </c>
      <c r="Q241" t="s">
        <v>2438</v>
      </c>
      <c r="R241" s="30">
        <v>45342</v>
      </c>
      <c r="S241" t="s">
        <v>44</v>
      </c>
      <c r="T241" s="30">
        <v>45828</v>
      </c>
      <c r="U241" s="20">
        <v>114300</v>
      </c>
      <c r="V241" s="31"/>
      <c r="W241" s="31"/>
      <c r="X241" s="31"/>
      <c r="Y241" s="31"/>
      <c r="Z241" s="31">
        <f t="shared" si="37"/>
        <v>114300</v>
      </c>
      <c r="AA241" s="31"/>
      <c r="AB241" s="31"/>
      <c r="AC241" s="31"/>
      <c r="AD241" s="31"/>
      <c r="AE241" s="31"/>
      <c r="AF241" s="31"/>
      <c r="AG241" s="31"/>
      <c r="AH241" s="31"/>
      <c r="AI241" s="32"/>
      <c r="AJ241" s="32"/>
      <c r="AK241" s="32"/>
      <c r="AL241" s="32"/>
      <c r="AM241" s="32">
        <v>19050</v>
      </c>
      <c r="AN241" s="32">
        <v>19050</v>
      </c>
      <c r="AO241" s="32">
        <v>19050</v>
      </c>
      <c r="AP241" s="32">
        <v>19050</v>
      </c>
      <c r="AQ241" s="32">
        <v>19050</v>
      </c>
      <c r="AR241" s="32">
        <v>19050</v>
      </c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CR241">
        <v>546600</v>
      </c>
      <c r="CS241">
        <v>2</v>
      </c>
    </row>
    <row r="242" spans="1:97" x14ac:dyDescent="0.4">
      <c r="A242" t="s">
        <v>742</v>
      </c>
      <c r="D242" t="s">
        <v>2370</v>
      </c>
      <c r="E242" t="s">
        <v>2371</v>
      </c>
      <c r="F242" t="s">
        <v>743</v>
      </c>
      <c r="G242" t="s">
        <v>3425</v>
      </c>
      <c r="H242">
        <v>8051286020</v>
      </c>
      <c r="I242" t="s">
        <v>744</v>
      </c>
      <c r="J242" t="s">
        <v>2433</v>
      </c>
      <c r="L242" t="s">
        <v>3426</v>
      </c>
      <c r="M242" t="s">
        <v>3180</v>
      </c>
      <c r="N242" t="s">
        <v>3427</v>
      </c>
      <c r="O242" t="s">
        <v>3428</v>
      </c>
      <c r="Q242" t="s">
        <v>2438</v>
      </c>
      <c r="R242" s="30">
        <v>45342</v>
      </c>
      <c r="S242" t="s">
        <v>25</v>
      </c>
      <c r="T242" s="30">
        <v>45736</v>
      </c>
      <c r="U242">
        <v>59400</v>
      </c>
      <c r="V242" s="34"/>
      <c r="W242" s="34">
        <f>+U242</f>
        <v>59400</v>
      </c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5"/>
      <c r="AJ242" s="32">
        <v>19800</v>
      </c>
      <c r="AK242" s="32">
        <v>19800</v>
      </c>
      <c r="AL242" s="32">
        <v>19800</v>
      </c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CR242">
        <v>491700</v>
      </c>
      <c r="CS242">
        <v>2</v>
      </c>
    </row>
    <row r="243" spans="1:97" x14ac:dyDescent="0.4">
      <c r="A243" t="s">
        <v>745</v>
      </c>
      <c r="D243" t="s">
        <v>2370</v>
      </c>
      <c r="E243" t="s">
        <v>2371</v>
      </c>
      <c r="F243" t="s">
        <v>746</v>
      </c>
      <c r="G243" t="s">
        <v>3429</v>
      </c>
      <c r="H243">
        <v>9024167609</v>
      </c>
      <c r="I243" t="s">
        <v>747</v>
      </c>
      <c r="J243" t="s">
        <v>2433</v>
      </c>
      <c r="L243" t="s">
        <v>3430</v>
      </c>
      <c r="M243" t="s">
        <v>2771</v>
      </c>
      <c r="N243" t="s">
        <v>3431</v>
      </c>
      <c r="O243" s="41">
        <v>37931</v>
      </c>
      <c r="Q243" t="s">
        <v>2438</v>
      </c>
      <c r="R243" s="30">
        <v>45342</v>
      </c>
      <c r="S243" t="s">
        <v>44</v>
      </c>
      <c r="T243" s="30">
        <v>45858</v>
      </c>
      <c r="U243" s="20">
        <v>114300</v>
      </c>
      <c r="V243" s="31"/>
      <c r="W243" s="31"/>
      <c r="X243" s="31"/>
      <c r="Y243" s="31"/>
      <c r="Z243" s="31"/>
      <c r="AA243" s="31">
        <f>+U243</f>
        <v>114300</v>
      </c>
      <c r="AB243" s="31"/>
      <c r="AC243" s="31"/>
      <c r="AD243" s="31"/>
      <c r="AE243" s="31"/>
      <c r="AF243" s="31"/>
      <c r="AG243" s="31"/>
      <c r="AH243" s="31"/>
      <c r="AI243" s="32"/>
      <c r="AJ243" s="32"/>
      <c r="AK243" s="32"/>
      <c r="AL243" s="32"/>
      <c r="AM243" s="32"/>
      <c r="AN243" s="32">
        <v>19050</v>
      </c>
      <c r="AO243" s="32">
        <v>19050</v>
      </c>
      <c r="AP243" s="32">
        <v>19050</v>
      </c>
      <c r="AQ243" s="32">
        <v>19050</v>
      </c>
      <c r="AR243" s="32">
        <v>19050</v>
      </c>
      <c r="AS243" s="32">
        <v>19050</v>
      </c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CR243">
        <v>660900</v>
      </c>
      <c r="CS243">
        <v>3</v>
      </c>
    </row>
    <row r="244" spans="1:97" x14ac:dyDescent="0.4">
      <c r="A244" t="s">
        <v>749</v>
      </c>
      <c r="D244" t="s">
        <v>2370</v>
      </c>
      <c r="E244" t="s">
        <v>2371</v>
      </c>
      <c r="F244" t="s">
        <v>750</v>
      </c>
      <c r="G244" t="s">
        <v>3432</v>
      </c>
      <c r="H244">
        <v>9064504207</v>
      </c>
      <c r="I244" t="s">
        <v>751</v>
      </c>
      <c r="J244" t="s">
        <v>2433</v>
      </c>
      <c r="L244" t="s">
        <v>3433</v>
      </c>
      <c r="M244" t="s">
        <v>3434</v>
      </c>
      <c r="N244" t="s">
        <v>3435</v>
      </c>
      <c r="O244" t="s">
        <v>3436</v>
      </c>
      <c r="Q244" t="s">
        <v>2438</v>
      </c>
      <c r="R244" s="30">
        <v>45342</v>
      </c>
      <c r="S244" t="s">
        <v>50</v>
      </c>
      <c r="T244" s="30">
        <v>45828</v>
      </c>
      <c r="U244" s="20">
        <v>114300</v>
      </c>
      <c r="V244" s="31"/>
      <c r="W244" s="31"/>
      <c r="X244" s="31"/>
      <c r="Y244" s="31"/>
      <c r="Z244" s="31">
        <f t="shared" ref="Z244:Z250" si="38">+U244</f>
        <v>114300</v>
      </c>
      <c r="AA244" s="31"/>
      <c r="AB244" s="31"/>
      <c r="AC244" s="31"/>
      <c r="AD244" s="31"/>
      <c r="AE244" s="31"/>
      <c r="AF244" s="31"/>
      <c r="AG244" s="31"/>
      <c r="AH244" s="31"/>
      <c r="AI244" s="32"/>
      <c r="AJ244" s="32"/>
      <c r="AK244" s="32"/>
      <c r="AL244" s="32"/>
      <c r="AM244" s="32">
        <v>19050</v>
      </c>
      <c r="AN244" s="32">
        <v>19050</v>
      </c>
      <c r="AO244" s="32">
        <v>19050</v>
      </c>
      <c r="AP244" s="32">
        <v>19050</v>
      </c>
      <c r="AQ244" s="32">
        <v>19050</v>
      </c>
      <c r="AR244" s="32">
        <v>19050</v>
      </c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CR244">
        <v>546600</v>
      </c>
      <c r="CS244">
        <v>2</v>
      </c>
    </row>
    <row r="245" spans="1:97" x14ac:dyDescent="0.4">
      <c r="A245" t="s">
        <v>752</v>
      </c>
      <c r="D245" t="s">
        <v>2370</v>
      </c>
      <c r="E245" t="s">
        <v>2371</v>
      </c>
      <c r="F245" t="s">
        <v>753</v>
      </c>
      <c r="G245" t="s">
        <v>3437</v>
      </c>
      <c r="H245">
        <v>9053605434</v>
      </c>
      <c r="I245" t="s">
        <v>754</v>
      </c>
      <c r="J245" t="s">
        <v>2433</v>
      </c>
      <c r="L245" t="s">
        <v>3438</v>
      </c>
      <c r="M245" t="s">
        <v>2435</v>
      </c>
      <c r="N245" t="s">
        <v>3439</v>
      </c>
      <c r="O245" t="s">
        <v>3440</v>
      </c>
      <c r="Q245" t="s">
        <v>2438</v>
      </c>
      <c r="R245" s="30">
        <v>45342</v>
      </c>
      <c r="S245" t="s">
        <v>44</v>
      </c>
      <c r="T245" s="30">
        <v>45828</v>
      </c>
      <c r="U245" s="20">
        <v>114300</v>
      </c>
      <c r="V245" s="31"/>
      <c r="W245" s="31"/>
      <c r="X245" s="31"/>
      <c r="Y245" s="31"/>
      <c r="Z245" s="31">
        <f t="shared" si="38"/>
        <v>114300</v>
      </c>
      <c r="AA245" s="31"/>
      <c r="AB245" s="31"/>
      <c r="AC245" s="31"/>
      <c r="AD245" s="31"/>
      <c r="AE245" s="31"/>
      <c r="AF245" s="31"/>
      <c r="AG245" s="31"/>
      <c r="AH245" s="31"/>
      <c r="AI245" s="32"/>
      <c r="AJ245" s="32"/>
      <c r="AK245" s="32"/>
      <c r="AL245" s="32"/>
      <c r="AM245" s="32">
        <v>19050</v>
      </c>
      <c r="AN245" s="32">
        <v>19050</v>
      </c>
      <c r="AO245" s="32">
        <v>19050</v>
      </c>
      <c r="AP245" s="32">
        <v>19050</v>
      </c>
      <c r="AQ245" s="32">
        <v>19050</v>
      </c>
      <c r="AR245" s="32">
        <v>19050</v>
      </c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CR245">
        <v>546600</v>
      </c>
      <c r="CS245">
        <v>2</v>
      </c>
    </row>
    <row r="246" spans="1:97" x14ac:dyDescent="0.4">
      <c r="A246" t="s">
        <v>755</v>
      </c>
      <c r="D246" t="s">
        <v>2370</v>
      </c>
      <c r="E246" t="s">
        <v>2371</v>
      </c>
      <c r="F246" t="s">
        <v>756</v>
      </c>
      <c r="G246" t="s">
        <v>3441</v>
      </c>
      <c r="H246">
        <v>9054669665</v>
      </c>
      <c r="I246" t="s">
        <v>757</v>
      </c>
      <c r="J246" t="s">
        <v>2433</v>
      </c>
      <c r="L246" t="s">
        <v>3442</v>
      </c>
      <c r="M246" t="s">
        <v>2622</v>
      </c>
      <c r="N246" t="s">
        <v>3443</v>
      </c>
      <c r="O246" t="s">
        <v>3444</v>
      </c>
      <c r="Q246" t="s">
        <v>2438</v>
      </c>
      <c r="R246" s="30">
        <v>45341</v>
      </c>
      <c r="S246" t="s">
        <v>44</v>
      </c>
      <c r="T246" s="30">
        <v>45828</v>
      </c>
      <c r="U246" s="20">
        <v>114300</v>
      </c>
      <c r="V246" s="31"/>
      <c r="W246" s="31"/>
      <c r="X246" s="31"/>
      <c r="Y246" s="31"/>
      <c r="Z246" s="31">
        <f t="shared" si="38"/>
        <v>114300</v>
      </c>
      <c r="AA246" s="31"/>
      <c r="AB246" s="31"/>
      <c r="AC246" s="31"/>
      <c r="AD246" s="31"/>
      <c r="AE246" s="31"/>
      <c r="AF246" s="31"/>
      <c r="AG246" s="31"/>
      <c r="AH246" s="31"/>
      <c r="AI246" s="32"/>
      <c r="AJ246" s="32"/>
      <c r="AK246" s="32"/>
      <c r="AL246" s="32"/>
      <c r="AM246" s="32">
        <v>19050</v>
      </c>
      <c r="AN246" s="32">
        <v>19050</v>
      </c>
      <c r="AO246" s="32">
        <v>19050</v>
      </c>
      <c r="AP246" s="32">
        <v>19050</v>
      </c>
      <c r="AQ246" s="32">
        <v>19050</v>
      </c>
      <c r="AR246" s="32">
        <v>19050</v>
      </c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CR246">
        <v>546600</v>
      </c>
      <c r="CS246">
        <v>2</v>
      </c>
    </row>
    <row r="247" spans="1:97" x14ac:dyDescent="0.4">
      <c r="A247" t="s">
        <v>758</v>
      </c>
      <c r="D247" t="s">
        <v>2370</v>
      </c>
      <c r="E247" t="s">
        <v>2371</v>
      </c>
      <c r="F247" t="s">
        <v>759</v>
      </c>
      <c r="G247" t="s">
        <v>3445</v>
      </c>
      <c r="H247">
        <v>9069470609</v>
      </c>
      <c r="I247" t="s">
        <v>760</v>
      </c>
      <c r="J247" t="s">
        <v>2433</v>
      </c>
      <c r="L247" t="s">
        <v>3446</v>
      </c>
      <c r="M247" t="s">
        <v>2465</v>
      </c>
      <c r="N247" t="s">
        <v>3447</v>
      </c>
      <c r="O247" t="s">
        <v>3448</v>
      </c>
      <c r="Q247" t="s">
        <v>2438</v>
      </c>
      <c r="R247" s="30">
        <v>45341</v>
      </c>
      <c r="S247" t="s">
        <v>44</v>
      </c>
      <c r="T247" s="30">
        <v>45828</v>
      </c>
      <c r="U247" s="20">
        <v>114300</v>
      </c>
      <c r="V247" s="31"/>
      <c r="W247" s="31"/>
      <c r="X247" s="31"/>
      <c r="Y247" s="31"/>
      <c r="Z247" s="31">
        <f t="shared" si="38"/>
        <v>114300</v>
      </c>
      <c r="AA247" s="31"/>
      <c r="AB247" s="31"/>
      <c r="AC247" s="31"/>
      <c r="AD247" s="31"/>
      <c r="AE247" s="31"/>
      <c r="AF247" s="31"/>
      <c r="AG247" s="31"/>
      <c r="AH247" s="31"/>
      <c r="AI247" s="32"/>
      <c r="AJ247" s="32"/>
      <c r="AK247" s="32"/>
      <c r="AL247" s="32"/>
      <c r="AM247" s="32">
        <v>19050</v>
      </c>
      <c r="AN247" s="32">
        <v>19050</v>
      </c>
      <c r="AO247" s="32">
        <v>19050</v>
      </c>
      <c r="AP247" s="32">
        <v>19050</v>
      </c>
      <c r="AQ247" s="32">
        <v>19050</v>
      </c>
      <c r="AR247" s="32">
        <v>19050</v>
      </c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CR247">
        <v>546600</v>
      </c>
      <c r="CS247">
        <v>2</v>
      </c>
    </row>
    <row r="248" spans="1:97" x14ac:dyDescent="0.4">
      <c r="A248" t="s">
        <v>761</v>
      </c>
      <c r="D248" t="s">
        <v>2370</v>
      </c>
      <c r="E248" t="s">
        <v>2371</v>
      </c>
      <c r="F248" t="s">
        <v>762</v>
      </c>
      <c r="G248" t="s">
        <v>3449</v>
      </c>
      <c r="H248">
        <v>9080301614</v>
      </c>
      <c r="I248" t="s">
        <v>763</v>
      </c>
      <c r="J248" t="s">
        <v>2433</v>
      </c>
      <c r="L248" t="s">
        <v>3450</v>
      </c>
      <c r="M248" t="s">
        <v>2465</v>
      </c>
      <c r="N248" t="s">
        <v>3451</v>
      </c>
      <c r="O248" t="s">
        <v>3452</v>
      </c>
      <c r="Q248" t="s">
        <v>2438</v>
      </c>
      <c r="R248" s="30">
        <v>45341</v>
      </c>
      <c r="S248" t="s">
        <v>44</v>
      </c>
      <c r="T248" s="30">
        <v>45828</v>
      </c>
      <c r="U248" s="20">
        <v>114300</v>
      </c>
      <c r="V248" s="31"/>
      <c r="W248" s="31"/>
      <c r="X248" s="31"/>
      <c r="Y248" s="31"/>
      <c r="Z248" s="31">
        <f t="shared" si="38"/>
        <v>114300</v>
      </c>
      <c r="AA248" s="31"/>
      <c r="AB248" s="31"/>
      <c r="AC248" s="31"/>
      <c r="AD248" s="31"/>
      <c r="AE248" s="31"/>
      <c r="AF248" s="31"/>
      <c r="AG248" s="31"/>
      <c r="AH248" s="31"/>
      <c r="AI248" s="32"/>
      <c r="AJ248" s="32"/>
      <c r="AK248" s="32"/>
      <c r="AL248" s="32"/>
      <c r="AM248" s="32">
        <v>19050</v>
      </c>
      <c r="AN248" s="32">
        <v>19050</v>
      </c>
      <c r="AO248" s="32">
        <v>19050</v>
      </c>
      <c r="AP248" s="32">
        <v>19050</v>
      </c>
      <c r="AQ248" s="32">
        <v>19050</v>
      </c>
      <c r="AR248" s="32">
        <v>19050</v>
      </c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CR248">
        <v>546600</v>
      </c>
      <c r="CS248">
        <v>2</v>
      </c>
    </row>
    <row r="249" spans="1:97" x14ac:dyDescent="0.4">
      <c r="A249" t="s">
        <v>764</v>
      </c>
      <c r="D249" t="s">
        <v>2370</v>
      </c>
      <c r="E249" t="s">
        <v>2371</v>
      </c>
      <c r="F249" t="s">
        <v>765</v>
      </c>
      <c r="G249" t="s">
        <v>3453</v>
      </c>
      <c r="H249">
        <v>9021502907</v>
      </c>
      <c r="I249" t="s">
        <v>766</v>
      </c>
      <c r="J249" t="s">
        <v>2433</v>
      </c>
      <c r="L249" t="s">
        <v>3454</v>
      </c>
      <c r="M249" t="s">
        <v>2444</v>
      </c>
      <c r="N249" t="s">
        <v>3455</v>
      </c>
      <c r="O249" t="s">
        <v>3456</v>
      </c>
      <c r="Q249" t="s">
        <v>2438</v>
      </c>
      <c r="R249" s="30">
        <v>45341</v>
      </c>
      <c r="S249" t="s">
        <v>44</v>
      </c>
      <c r="T249" s="30">
        <v>45828</v>
      </c>
      <c r="U249" s="20">
        <v>114300</v>
      </c>
      <c r="V249" s="31"/>
      <c r="W249" s="31"/>
      <c r="X249" s="31"/>
      <c r="Y249" s="31"/>
      <c r="Z249" s="31">
        <f t="shared" si="38"/>
        <v>114300</v>
      </c>
      <c r="AA249" s="31"/>
      <c r="AB249" s="31"/>
      <c r="AC249" s="31"/>
      <c r="AD249" s="31"/>
      <c r="AE249" s="31"/>
      <c r="AF249" s="31"/>
      <c r="AG249" s="31"/>
      <c r="AH249" s="31"/>
      <c r="AI249" s="32"/>
      <c r="AJ249" s="32"/>
      <c r="AK249" s="32"/>
      <c r="AL249" s="32"/>
      <c r="AM249" s="32">
        <v>19050</v>
      </c>
      <c r="AN249" s="32">
        <v>19050</v>
      </c>
      <c r="AO249" s="32">
        <v>19050</v>
      </c>
      <c r="AP249" s="32">
        <v>19050</v>
      </c>
      <c r="AQ249" s="32">
        <v>19050</v>
      </c>
      <c r="AR249" s="32">
        <v>19050</v>
      </c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CR249">
        <v>959660</v>
      </c>
      <c r="CS249">
        <v>7</v>
      </c>
    </row>
    <row r="250" spans="1:97" x14ac:dyDescent="0.4">
      <c r="A250" t="s">
        <v>767</v>
      </c>
      <c r="D250" t="s">
        <v>2370</v>
      </c>
      <c r="E250" t="s">
        <v>2371</v>
      </c>
      <c r="F250" t="s">
        <v>768</v>
      </c>
      <c r="G250" t="s">
        <v>3457</v>
      </c>
      <c r="H250">
        <v>9073760160</v>
      </c>
      <c r="I250" t="s">
        <v>769</v>
      </c>
      <c r="J250" t="s">
        <v>2433</v>
      </c>
      <c r="L250" t="s">
        <v>3458</v>
      </c>
      <c r="M250" t="s">
        <v>2569</v>
      </c>
      <c r="N250" t="s">
        <v>3459</v>
      </c>
      <c r="O250" t="s">
        <v>3460</v>
      </c>
      <c r="Q250" t="s">
        <v>2438</v>
      </c>
      <c r="R250" s="30">
        <v>45341</v>
      </c>
      <c r="S250" t="s">
        <v>44</v>
      </c>
      <c r="T250" s="30">
        <v>45828</v>
      </c>
      <c r="U250" s="20">
        <v>114300</v>
      </c>
      <c r="V250" s="31"/>
      <c r="W250" s="31"/>
      <c r="X250" s="31"/>
      <c r="Y250" s="31"/>
      <c r="Z250" s="31">
        <f t="shared" si="38"/>
        <v>114300</v>
      </c>
      <c r="AA250" s="31"/>
      <c r="AB250" s="31"/>
      <c r="AC250" s="31"/>
      <c r="AD250" s="31"/>
      <c r="AE250" s="31"/>
      <c r="AF250" s="31"/>
      <c r="AG250" s="31"/>
      <c r="AH250" s="31"/>
      <c r="AI250" s="32"/>
      <c r="AJ250" s="32"/>
      <c r="AK250" s="32"/>
      <c r="AL250" s="32"/>
      <c r="AM250" s="32">
        <v>19050</v>
      </c>
      <c r="AN250" s="32">
        <v>19050</v>
      </c>
      <c r="AO250" s="32">
        <v>19050</v>
      </c>
      <c r="AP250" s="32">
        <v>19050</v>
      </c>
      <c r="AQ250" s="32">
        <v>19050</v>
      </c>
      <c r="AR250" s="32">
        <v>19050</v>
      </c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CR250">
        <v>546600</v>
      </c>
      <c r="CS250">
        <v>2</v>
      </c>
    </row>
    <row r="251" spans="1:97" x14ac:dyDescent="0.4">
      <c r="A251" t="s">
        <v>770</v>
      </c>
      <c r="D251" t="s">
        <v>2370</v>
      </c>
      <c r="E251" t="s">
        <v>2371</v>
      </c>
      <c r="F251" t="s">
        <v>771</v>
      </c>
      <c r="G251" t="s">
        <v>3461</v>
      </c>
      <c r="H251">
        <v>9087860468</v>
      </c>
      <c r="I251" t="s">
        <v>772</v>
      </c>
      <c r="J251" t="s">
        <v>2433</v>
      </c>
      <c r="L251" t="s">
        <v>3462</v>
      </c>
      <c r="M251" t="s">
        <v>2465</v>
      </c>
      <c r="N251" t="s">
        <v>3463</v>
      </c>
      <c r="O251" t="s">
        <v>3464</v>
      </c>
      <c r="Q251" t="s">
        <v>2438</v>
      </c>
      <c r="R251" s="30">
        <v>45341</v>
      </c>
      <c r="S251" t="s">
        <v>70</v>
      </c>
      <c r="T251" s="30">
        <v>45736</v>
      </c>
      <c r="U251">
        <v>59400</v>
      </c>
      <c r="V251" s="34"/>
      <c r="W251" s="34">
        <f t="shared" ref="W251:W252" si="39">+U251</f>
        <v>59400</v>
      </c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5"/>
      <c r="AJ251" s="32">
        <v>19800</v>
      </c>
      <c r="AK251" s="32">
        <v>19800</v>
      </c>
      <c r="AL251" s="32">
        <v>19800</v>
      </c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CR251">
        <v>491700</v>
      </c>
      <c r="CS251">
        <v>2</v>
      </c>
    </row>
    <row r="252" spans="1:97" x14ac:dyDescent="0.4">
      <c r="A252" t="s">
        <v>773</v>
      </c>
      <c r="D252" t="s">
        <v>2370</v>
      </c>
      <c r="E252" t="s">
        <v>2371</v>
      </c>
      <c r="F252" t="s">
        <v>774</v>
      </c>
      <c r="G252" t="s">
        <v>3465</v>
      </c>
      <c r="H252">
        <v>9019495932</v>
      </c>
      <c r="I252" t="s">
        <v>775</v>
      </c>
      <c r="J252" t="s">
        <v>2433</v>
      </c>
      <c r="L252" t="s">
        <v>3466</v>
      </c>
      <c r="M252" t="s">
        <v>3467</v>
      </c>
      <c r="N252" t="s">
        <v>3468</v>
      </c>
      <c r="O252" t="s">
        <v>3469</v>
      </c>
      <c r="Q252" t="s">
        <v>2438</v>
      </c>
      <c r="R252" s="30">
        <v>45341</v>
      </c>
      <c r="S252" t="s">
        <v>25</v>
      </c>
      <c r="T252" s="30">
        <v>45736</v>
      </c>
      <c r="U252">
        <v>59400</v>
      </c>
      <c r="V252" s="34"/>
      <c r="W252" s="34">
        <f t="shared" si="39"/>
        <v>59400</v>
      </c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5"/>
      <c r="AJ252" s="32">
        <v>19800</v>
      </c>
      <c r="AK252" s="32">
        <v>19800</v>
      </c>
      <c r="AL252" s="32">
        <v>19800</v>
      </c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CR252">
        <v>491700</v>
      </c>
      <c r="CS252">
        <v>2</v>
      </c>
    </row>
    <row r="253" spans="1:97" x14ac:dyDescent="0.4">
      <c r="A253" t="s">
        <v>776</v>
      </c>
      <c r="D253" t="s">
        <v>2370</v>
      </c>
      <c r="E253" t="s">
        <v>2371</v>
      </c>
      <c r="F253" t="s">
        <v>777</v>
      </c>
      <c r="G253" t="s">
        <v>3470</v>
      </c>
      <c r="H253">
        <v>8030838239</v>
      </c>
      <c r="I253" t="s">
        <v>778</v>
      </c>
      <c r="J253" t="s">
        <v>2433</v>
      </c>
      <c r="L253" t="s">
        <v>3471</v>
      </c>
      <c r="M253" t="s">
        <v>2444</v>
      </c>
      <c r="N253" t="s">
        <v>3472</v>
      </c>
      <c r="O253" t="s">
        <v>3473</v>
      </c>
      <c r="Q253" t="s">
        <v>2438</v>
      </c>
      <c r="R253" s="30">
        <v>45341</v>
      </c>
      <c r="S253" t="s">
        <v>44</v>
      </c>
      <c r="T253" s="30">
        <v>45828</v>
      </c>
      <c r="U253" s="20">
        <v>114300</v>
      </c>
      <c r="V253" s="31"/>
      <c r="W253" s="31"/>
      <c r="X253" s="31"/>
      <c r="Y253" s="31"/>
      <c r="Z253" s="31">
        <f>+U253</f>
        <v>114300</v>
      </c>
      <c r="AA253" s="31"/>
      <c r="AB253" s="31"/>
      <c r="AC253" s="31"/>
      <c r="AD253" s="31"/>
      <c r="AE253" s="31"/>
      <c r="AF253" s="31"/>
      <c r="AG253" s="31"/>
      <c r="AH253" s="31"/>
      <c r="AI253" s="32"/>
      <c r="AJ253" s="32"/>
      <c r="AK253" s="32"/>
      <c r="AL253" s="32"/>
      <c r="AM253" s="32">
        <v>19050</v>
      </c>
      <c r="AN253" s="32">
        <v>19050</v>
      </c>
      <c r="AO253" s="32">
        <v>19050</v>
      </c>
      <c r="AP253" s="32">
        <v>19050</v>
      </c>
      <c r="AQ253" s="32">
        <v>19050</v>
      </c>
      <c r="AR253" s="32">
        <v>19050</v>
      </c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CR253">
        <v>834800</v>
      </c>
      <c r="CS253">
        <v>6</v>
      </c>
    </row>
    <row r="254" spans="1:97" s="36" customFormat="1" x14ac:dyDescent="0.4">
      <c r="A254" s="36" t="s">
        <v>779</v>
      </c>
      <c r="D254" s="36" t="s">
        <v>2370</v>
      </c>
      <c r="E254" s="36" t="s">
        <v>2371</v>
      </c>
      <c r="F254" s="36" t="s">
        <v>780</v>
      </c>
      <c r="G254" s="36" t="s">
        <v>3474</v>
      </c>
      <c r="H254" s="36">
        <v>9047357307</v>
      </c>
      <c r="I254" s="36" t="s">
        <v>781</v>
      </c>
      <c r="J254" s="36" t="s">
        <v>2433</v>
      </c>
      <c r="L254" s="36" t="s">
        <v>3475</v>
      </c>
      <c r="M254" s="36" t="s">
        <v>2518</v>
      </c>
      <c r="N254" s="36" t="s">
        <v>3476</v>
      </c>
      <c r="O254" s="36" t="s">
        <v>3477</v>
      </c>
      <c r="Q254" s="36" t="s">
        <v>2438</v>
      </c>
      <c r="R254" s="37">
        <v>45341</v>
      </c>
      <c r="S254" s="36" t="s">
        <v>3191</v>
      </c>
      <c r="T254" s="37">
        <v>45736</v>
      </c>
      <c r="U254" s="37"/>
      <c r="V254" s="38"/>
      <c r="W254" s="34">
        <f>+U254</f>
        <v>0</v>
      </c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9"/>
      <c r="AJ254" s="35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5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CR254" s="36">
        <v>491700</v>
      </c>
      <c r="CS254" s="36">
        <v>2</v>
      </c>
    </row>
    <row r="255" spans="1:97" x14ac:dyDescent="0.4">
      <c r="A255" t="s">
        <v>782</v>
      </c>
      <c r="D255" t="s">
        <v>2370</v>
      </c>
      <c r="E255" t="s">
        <v>2371</v>
      </c>
      <c r="F255" t="s">
        <v>783</v>
      </c>
      <c r="G255" t="s">
        <v>3478</v>
      </c>
      <c r="H255">
        <v>9095276729</v>
      </c>
      <c r="I255" t="s">
        <v>784</v>
      </c>
      <c r="J255" t="s">
        <v>2433</v>
      </c>
      <c r="L255" t="s">
        <v>3479</v>
      </c>
      <c r="M255" t="s">
        <v>2676</v>
      </c>
      <c r="N255" t="s">
        <v>3480</v>
      </c>
      <c r="O255" t="s">
        <v>3481</v>
      </c>
      <c r="Q255" t="s">
        <v>2438</v>
      </c>
      <c r="R255" s="30">
        <v>45341</v>
      </c>
      <c r="S255" t="s">
        <v>44</v>
      </c>
      <c r="T255" s="30">
        <v>45828</v>
      </c>
      <c r="U255" s="20">
        <v>114300</v>
      </c>
      <c r="V255" s="31"/>
      <c r="W255" s="31"/>
      <c r="X255" s="31"/>
      <c r="Y255" s="31"/>
      <c r="Z255" s="31">
        <f t="shared" ref="Z255:Z267" si="40">+U255</f>
        <v>114300</v>
      </c>
      <c r="AA255" s="31"/>
      <c r="AB255" s="31"/>
      <c r="AC255" s="31"/>
      <c r="AD255" s="31"/>
      <c r="AE255" s="31"/>
      <c r="AF255" s="31"/>
      <c r="AG255" s="31"/>
      <c r="AH255" s="31"/>
      <c r="AI255" s="32"/>
      <c r="AJ255" s="32"/>
      <c r="AK255" s="32"/>
      <c r="AL255" s="32"/>
      <c r="AM255" s="32">
        <v>19050</v>
      </c>
      <c r="AN255" s="32">
        <v>19050</v>
      </c>
      <c r="AO255" s="32">
        <v>19050</v>
      </c>
      <c r="AP255" s="32">
        <v>19050</v>
      </c>
      <c r="AQ255" s="32">
        <v>19050</v>
      </c>
      <c r="AR255" s="32">
        <v>19050</v>
      </c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CR255">
        <v>546600</v>
      </c>
      <c r="CS255">
        <v>2</v>
      </c>
    </row>
    <row r="256" spans="1:97" x14ac:dyDescent="0.4">
      <c r="A256" t="s">
        <v>785</v>
      </c>
      <c r="D256" t="s">
        <v>2370</v>
      </c>
      <c r="E256" t="s">
        <v>2371</v>
      </c>
      <c r="F256" t="s">
        <v>786</v>
      </c>
      <c r="G256" t="s">
        <v>3482</v>
      </c>
      <c r="H256">
        <v>9011113252</v>
      </c>
      <c r="I256" t="s">
        <v>787</v>
      </c>
      <c r="J256" t="s">
        <v>2433</v>
      </c>
      <c r="L256" t="s">
        <v>3483</v>
      </c>
      <c r="M256" t="s">
        <v>2518</v>
      </c>
      <c r="N256" t="s">
        <v>3484</v>
      </c>
      <c r="O256" t="s">
        <v>3485</v>
      </c>
      <c r="Q256" t="s">
        <v>2438</v>
      </c>
      <c r="R256" s="30">
        <v>45341</v>
      </c>
      <c r="S256" t="s">
        <v>44</v>
      </c>
      <c r="T256" s="30">
        <v>45828</v>
      </c>
      <c r="U256" s="20">
        <v>114300</v>
      </c>
      <c r="V256" s="31"/>
      <c r="W256" s="31"/>
      <c r="X256" s="31"/>
      <c r="Y256" s="31"/>
      <c r="Z256" s="31">
        <f t="shared" si="40"/>
        <v>114300</v>
      </c>
      <c r="AA256" s="31"/>
      <c r="AB256" s="31"/>
      <c r="AC256" s="31"/>
      <c r="AD256" s="31"/>
      <c r="AE256" s="31"/>
      <c r="AF256" s="31"/>
      <c r="AG256" s="31"/>
      <c r="AH256" s="31"/>
      <c r="AI256" s="32"/>
      <c r="AJ256" s="32"/>
      <c r="AK256" s="32"/>
      <c r="AL256" s="32"/>
      <c r="AM256" s="32">
        <v>19050</v>
      </c>
      <c r="AN256" s="32">
        <v>19050</v>
      </c>
      <c r="AO256" s="32">
        <v>19050</v>
      </c>
      <c r="AP256" s="32">
        <v>19050</v>
      </c>
      <c r="AQ256" s="32">
        <v>19050</v>
      </c>
      <c r="AR256" s="32">
        <v>19050</v>
      </c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CR256">
        <v>546600</v>
      </c>
      <c r="CS256">
        <v>2</v>
      </c>
    </row>
    <row r="257" spans="1:98" x14ac:dyDescent="0.4">
      <c r="A257" t="s">
        <v>788</v>
      </c>
      <c r="D257" t="s">
        <v>2370</v>
      </c>
      <c r="E257" t="s">
        <v>2371</v>
      </c>
      <c r="F257" t="s">
        <v>789</v>
      </c>
      <c r="G257" t="s">
        <v>3486</v>
      </c>
      <c r="H257">
        <v>9081242016</v>
      </c>
      <c r="I257" t="s">
        <v>790</v>
      </c>
      <c r="J257" t="s">
        <v>2433</v>
      </c>
      <c r="L257" t="s">
        <v>3487</v>
      </c>
      <c r="M257" t="s">
        <v>3488</v>
      </c>
      <c r="N257" t="s">
        <v>3489</v>
      </c>
      <c r="O257" t="s">
        <v>3490</v>
      </c>
      <c r="Q257" t="s">
        <v>2438</v>
      </c>
      <c r="R257" s="30">
        <v>45341</v>
      </c>
      <c r="S257" t="s">
        <v>50</v>
      </c>
      <c r="T257" s="30">
        <v>45828</v>
      </c>
      <c r="U257" s="20">
        <v>114300</v>
      </c>
      <c r="V257" s="31"/>
      <c r="W257" s="31"/>
      <c r="X257" s="31"/>
      <c r="Y257" s="31"/>
      <c r="Z257" s="31">
        <f t="shared" si="40"/>
        <v>114300</v>
      </c>
      <c r="AA257" s="31"/>
      <c r="AB257" s="31"/>
      <c r="AC257" s="31"/>
      <c r="AD257" s="31"/>
      <c r="AE257" s="31"/>
      <c r="AF257" s="31"/>
      <c r="AG257" s="31"/>
      <c r="AH257" s="31"/>
      <c r="AI257" s="32"/>
      <c r="AJ257" s="32"/>
      <c r="AK257" s="32"/>
      <c r="AL257" s="32"/>
      <c r="AM257" s="32">
        <v>19050</v>
      </c>
      <c r="AN257" s="32">
        <v>19050</v>
      </c>
      <c r="AO257" s="32">
        <v>19050</v>
      </c>
      <c r="AP257" s="32">
        <v>19050</v>
      </c>
      <c r="AQ257" s="32">
        <v>19050</v>
      </c>
      <c r="AR257" s="32">
        <v>19050</v>
      </c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CR257">
        <v>546600</v>
      </c>
      <c r="CS257">
        <v>2</v>
      </c>
    </row>
    <row r="258" spans="1:98" x14ac:dyDescent="0.4">
      <c r="A258" t="s">
        <v>791</v>
      </c>
      <c r="D258" t="s">
        <v>2370</v>
      </c>
      <c r="E258" t="s">
        <v>2371</v>
      </c>
      <c r="F258" t="s">
        <v>792</v>
      </c>
      <c r="G258" t="s">
        <v>3491</v>
      </c>
      <c r="H258">
        <v>9031884869</v>
      </c>
      <c r="I258" t="s">
        <v>793</v>
      </c>
      <c r="J258" t="s">
        <v>2433</v>
      </c>
      <c r="L258" t="s">
        <v>3492</v>
      </c>
      <c r="M258" t="s">
        <v>3141</v>
      </c>
      <c r="N258" t="s">
        <v>3493</v>
      </c>
      <c r="O258" t="s">
        <v>3494</v>
      </c>
      <c r="Q258" t="s">
        <v>2637</v>
      </c>
      <c r="R258" s="30">
        <v>45341</v>
      </c>
      <c r="S258" t="s">
        <v>44</v>
      </c>
      <c r="T258" s="30">
        <v>45828</v>
      </c>
      <c r="U258" s="20">
        <v>114300</v>
      </c>
      <c r="V258" s="31"/>
      <c r="W258" s="31"/>
      <c r="X258" s="31"/>
      <c r="Y258" s="31"/>
      <c r="Z258" s="31">
        <f t="shared" si="40"/>
        <v>114300</v>
      </c>
      <c r="AA258" s="31"/>
      <c r="AB258" s="31"/>
      <c r="AC258" s="31"/>
      <c r="AD258" s="31"/>
      <c r="AE258" s="31"/>
      <c r="AF258" s="31"/>
      <c r="AG258" s="31"/>
      <c r="AH258" s="31"/>
      <c r="AI258" s="32"/>
      <c r="AJ258" s="32"/>
      <c r="AK258" s="32"/>
      <c r="AL258" s="32"/>
      <c r="AM258" s="32">
        <v>19050</v>
      </c>
      <c r="AN258" s="32">
        <v>19050</v>
      </c>
      <c r="AO258" s="32">
        <v>19050</v>
      </c>
      <c r="AP258" s="32">
        <v>19050</v>
      </c>
      <c r="AQ258" s="32">
        <v>19050</v>
      </c>
      <c r="AR258" s="32">
        <v>19050</v>
      </c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CR258">
        <v>664300</v>
      </c>
      <c r="CS258">
        <v>3</v>
      </c>
    </row>
    <row r="259" spans="1:98" x14ac:dyDescent="0.4">
      <c r="A259" t="s">
        <v>794</v>
      </c>
      <c r="D259" t="s">
        <v>2370</v>
      </c>
      <c r="E259" t="s">
        <v>2371</v>
      </c>
      <c r="F259" t="s">
        <v>795</v>
      </c>
      <c r="G259" t="s">
        <v>3495</v>
      </c>
      <c r="H259">
        <v>8043419792</v>
      </c>
      <c r="I259" t="s">
        <v>796</v>
      </c>
      <c r="J259" t="s">
        <v>2433</v>
      </c>
      <c r="L259" t="s">
        <v>3496</v>
      </c>
      <c r="M259" t="s">
        <v>2518</v>
      </c>
      <c r="N259" t="s">
        <v>3497</v>
      </c>
      <c r="O259" t="s">
        <v>3498</v>
      </c>
      <c r="Q259" t="s">
        <v>2468</v>
      </c>
      <c r="R259" s="30">
        <v>45340</v>
      </c>
      <c r="S259" t="s">
        <v>44</v>
      </c>
      <c r="T259" s="30">
        <v>45828</v>
      </c>
      <c r="U259" s="20">
        <v>114300</v>
      </c>
      <c r="V259" s="31"/>
      <c r="W259" s="31"/>
      <c r="X259" s="31"/>
      <c r="Y259" s="31"/>
      <c r="Z259" s="31">
        <f t="shared" si="40"/>
        <v>114300</v>
      </c>
      <c r="AA259" s="31"/>
      <c r="AB259" s="31"/>
      <c r="AC259" s="31"/>
      <c r="AD259" s="31"/>
      <c r="AE259" s="31"/>
      <c r="AF259" s="31"/>
      <c r="AG259" s="31"/>
      <c r="AH259" s="31"/>
      <c r="AI259" s="32"/>
      <c r="AJ259" s="32"/>
      <c r="AK259" s="32"/>
      <c r="AL259" s="32"/>
      <c r="AM259" s="32">
        <v>19050</v>
      </c>
      <c r="AN259" s="32">
        <v>19050</v>
      </c>
      <c r="AO259" s="32">
        <v>19050</v>
      </c>
      <c r="AP259" s="32">
        <v>19050</v>
      </c>
      <c r="AQ259" s="32">
        <v>19050</v>
      </c>
      <c r="AR259" s="32">
        <v>19050</v>
      </c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CR259">
        <v>880450</v>
      </c>
      <c r="CS259">
        <v>11</v>
      </c>
      <c r="CT259">
        <v>110</v>
      </c>
    </row>
    <row r="260" spans="1:98" x14ac:dyDescent="0.4">
      <c r="A260" t="s">
        <v>797</v>
      </c>
      <c r="D260" t="s">
        <v>2370</v>
      </c>
      <c r="E260" t="s">
        <v>2371</v>
      </c>
      <c r="F260" t="s">
        <v>798</v>
      </c>
      <c r="G260" t="s">
        <v>3499</v>
      </c>
      <c r="H260">
        <v>9074266522</v>
      </c>
      <c r="I260" t="s">
        <v>799</v>
      </c>
      <c r="J260" t="s">
        <v>2433</v>
      </c>
      <c r="L260">
        <v>167</v>
      </c>
      <c r="M260" t="s">
        <v>2444</v>
      </c>
      <c r="N260" t="s">
        <v>3500</v>
      </c>
      <c r="O260" t="s">
        <v>3501</v>
      </c>
      <c r="Q260" t="s">
        <v>2468</v>
      </c>
      <c r="R260" s="30">
        <v>45337</v>
      </c>
      <c r="S260" t="s">
        <v>44</v>
      </c>
      <c r="T260" s="30">
        <v>45828</v>
      </c>
      <c r="U260" s="20">
        <v>114300</v>
      </c>
      <c r="V260" s="31"/>
      <c r="W260" s="31"/>
      <c r="X260" s="31"/>
      <c r="Y260" s="31"/>
      <c r="Z260" s="31">
        <f t="shared" si="40"/>
        <v>114300</v>
      </c>
      <c r="AA260" s="31"/>
      <c r="AB260" s="31"/>
      <c r="AC260" s="31"/>
      <c r="AD260" s="31"/>
      <c r="AE260" s="31"/>
      <c r="AF260" s="31"/>
      <c r="AG260" s="31"/>
      <c r="AH260" s="31"/>
      <c r="AI260" s="32"/>
      <c r="AJ260" s="32"/>
      <c r="AK260" s="32"/>
      <c r="AL260" s="32"/>
      <c r="AM260" s="32">
        <v>19050</v>
      </c>
      <c r="AN260" s="32">
        <v>19050</v>
      </c>
      <c r="AO260" s="32">
        <v>19050</v>
      </c>
      <c r="AP260" s="32">
        <v>19050</v>
      </c>
      <c r="AQ260" s="32">
        <v>19050</v>
      </c>
      <c r="AR260" s="32">
        <v>19050</v>
      </c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CR260">
        <v>546600</v>
      </c>
      <c r="CS260">
        <v>2</v>
      </c>
    </row>
    <row r="261" spans="1:98" x14ac:dyDescent="0.4">
      <c r="A261" t="s">
        <v>800</v>
      </c>
      <c r="D261" t="s">
        <v>2370</v>
      </c>
      <c r="E261" t="s">
        <v>2371</v>
      </c>
      <c r="F261" t="s">
        <v>801</v>
      </c>
      <c r="G261" t="s">
        <v>3502</v>
      </c>
      <c r="H261">
        <v>728455598</v>
      </c>
      <c r="I261" t="s">
        <v>802</v>
      </c>
      <c r="J261" t="s">
        <v>2433</v>
      </c>
      <c r="L261" t="s">
        <v>3503</v>
      </c>
      <c r="M261" t="s">
        <v>2435</v>
      </c>
      <c r="N261" t="s">
        <v>3176</v>
      </c>
      <c r="O261" t="s">
        <v>3504</v>
      </c>
      <c r="Q261" t="s">
        <v>2468</v>
      </c>
      <c r="R261" s="30">
        <v>45337</v>
      </c>
      <c r="S261" t="s">
        <v>44</v>
      </c>
      <c r="T261" s="30">
        <v>45828</v>
      </c>
      <c r="U261" s="20">
        <v>114300</v>
      </c>
      <c r="V261" s="31"/>
      <c r="W261" s="31"/>
      <c r="X261" s="31"/>
      <c r="Y261" s="31"/>
      <c r="Z261" s="31">
        <f t="shared" si="40"/>
        <v>114300</v>
      </c>
      <c r="AA261" s="31"/>
      <c r="AB261" s="31"/>
      <c r="AC261" s="31"/>
      <c r="AD261" s="31"/>
      <c r="AE261" s="31"/>
      <c r="AF261" s="31"/>
      <c r="AG261" s="31"/>
      <c r="AH261" s="31"/>
      <c r="AI261" s="32"/>
      <c r="AJ261" s="32"/>
      <c r="AK261" s="32"/>
      <c r="AL261" s="32"/>
      <c r="AM261" s="32">
        <v>19050</v>
      </c>
      <c r="AN261" s="32">
        <v>19050</v>
      </c>
      <c r="AO261" s="32">
        <v>19050</v>
      </c>
      <c r="AP261" s="32">
        <v>19050</v>
      </c>
      <c r="AQ261" s="32">
        <v>19050</v>
      </c>
      <c r="AR261" s="32">
        <v>19050</v>
      </c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CR261">
        <v>546600</v>
      </c>
      <c r="CS261">
        <v>2</v>
      </c>
    </row>
    <row r="262" spans="1:98" x14ac:dyDescent="0.4">
      <c r="A262" t="s">
        <v>803</v>
      </c>
      <c r="D262" t="s">
        <v>2370</v>
      </c>
      <c r="E262" t="s">
        <v>2371</v>
      </c>
      <c r="F262" t="s">
        <v>804</v>
      </c>
      <c r="G262" t="s">
        <v>3505</v>
      </c>
      <c r="H262">
        <v>8056260358</v>
      </c>
      <c r="I262" t="s">
        <v>805</v>
      </c>
      <c r="J262" t="s">
        <v>2433</v>
      </c>
      <c r="L262" t="s">
        <v>3506</v>
      </c>
      <c r="M262" t="s">
        <v>2444</v>
      </c>
      <c r="N262" t="s">
        <v>3507</v>
      </c>
      <c r="O262" t="s">
        <v>3508</v>
      </c>
      <c r="Q262" t="s">
        <v>2468</v>
      </c>
      <c r="R262" s="30">
        <v>45337</v>
      </c>
      <c r="S262" t="s">
        <v>44</v>
      </c>
      <c r="T262" s="30">
        <v>45828</v>
      </c>
      <c r="U262" s="20">
        <v>114300</v>
      </c>
      <c r="V262" s="31"/>
      <c r="W262" s="31"/>
      <c r="X262" s="31"/>
      <c r="Y262" s="31"/>
      <c r="Z262" s="31">
        <f t="shared" si="40"/>
        <v>114300</v>
      </c>
      <c r="AA262" s="31"/>
      <c r="AB262" s="31"/>
      <c r="AC262" s="31"/>
      <c r="AD262" s="31"/>
      <c r="AE262" s="31"/>
      <c r="AF262" s="31"/>
      <c r="AG262" s="31"/>
      <c r="AH262" s="31"/>
      <c r="AI262" s="32"/>
      <c r="AJ262" s="32"/>
      <c r="AK262" s="32"/>
      <c r="AL262" s="32"/>
      <c r="AM262" s="32">
        <v>19050</v>
      </c>
      <c r="AN262" s="32">
        <v>19050</v>
      </c>
      <c r="AO262" s="32">
        <v>19050</v>
      </c>
      <c r="AP262" s="32">
        <v>19050</v>
      </c>
      <c r="AQ262" s="32">
        <v>19050</v>
      </c>
      <c r="AR262" s="32">
        <v>19050</v>
      </c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CR262">
        <v>546600</v>
      </c>
      <c r="CS262">
        <v>2</v>
      </c>
    </row>
    <row r="263" spans="1:98" x14ac:dyDescent="0.4">
      <c r="A263" t="s">
        <v>806</v>
      </c>
      <c r="D263" t="s">
        <v>2370</v>
      </c>
      <c r="E263" t="s">
        <v>2371</v>
      </c>
      <c r="F263" t="s">
        <v>807</v>
      </c>
      <c r="G263" t="s">
        <v>3509</v>
      </c>
      <c r="H263">
        <v>8051397713</v>
      </c>
      <c r="I263" t="s">
        <v>808</v>
      </c>
      <c r="J263" t="s">
        <v>2433</v>
      </c>
      <c r="L263" t="s">
        <v>3510</v>
      </c>
      <c r="M263" t="s">
        <v>2598</v>
      </c>
      <c r="N263" t="s">
        <v>3511</v>
      </c>
      <c r="O263" t="s">
        <v>3512</v>
      </c>
      <c r="Q263" t="s">
        <v>2438</v>
      </c>
      <c r="R263" s="30">
        <v>45336</v>
      </c>
      <c r="S263" t="s">
        <v>44</v>
      </c>
      <c r="T263" s="30">
        <v>45828</v>
      </c>
      <c r="U263" s="20">
        <v>114300</v>
      </c>
      <c r="V263" s="31"/>
      <c r="W263" s="31"/>
      <c r="X263" s="31"/>
      <c r="Y263" s="31"/>
      <c r="Z263" s="31">
        <f t="shared" si="40"/>
        <v>114300</v>
      </c>
      <c r="AA263" s="31"/>
      <c r="AB263" s="31"/>
      <c r="AC263" s="31"/>
      <c r="AD263" s="31"/>
      <c r="AE263" s="31"/>
      <c r="AF263" s="31"/>
      <c r="AG263" s="31"/>
      <c r="AH263" s="31"/>
      <c r="AI263" s="32"/>
      <c r="AJ263" s="32"/>
      <c r="AK263" s="32"/>
      <c r="AL263" s="32"/>
      <c r="AM263" s="32">
        <v>19050</v>
      </c>
      <c r="AN263" s="32">
        <v>19050</v>
      </c>
      <c r="AO263" s="32">
        <v>19050</v>
      </c>
      <c r="AP263" s="32">
        <v>19050</v>
      </c>
      <c r="AQ263" s="32">
        <v>19050</v>
      </c>
      <c r="AR263" s="32">
        <v>19050</v>
      </c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CR263">
        <v>546600</v>
      </c>
      <c r="CS263">
        <v>2</v>
      </c>
    </row>
    <row r="264" spans="1:98" x14ac:dyDescent="0.4">
      <c r="A264" t="s">
        <v>809</v>
      </c>
      <c r="D264" t="s">
        <v>2370</v>
      </c>
      <c r="E264" t="s">
        <v>2371</v>
      </c>
      <c r="F264" t="s">
        <v>810</v>
      </c>
      <c r="G264" t="s">
        <v>3513</v>
      </c>
      <c r="H264">
        <v>9052199560</v>
      </c>
      <c r="I264" t="s">
        <v>811</v>
      </c>
      <c r="J264" t="s">
        <v>2433</v>
      </c>
      <c r="L264" t="s">
        <v>3514</v>
      </c>
      <c r="M264" t="s">
        <v>2444</v>
      </c>
      <c r="N264" t="s">
        <v>3515</v>
      </c>
      <c r="O264" t="s">
        <v>3516</v>
      </c>
      <c r="Q264" t="s">
        <v>2468</v>
      </c>
      <c r="R264" s="30">
        <v>45335</v>
      </c>
      <c r="S264" t="s">
        <v>44</v>
      </c>
      <c r="T264" s="30">
        <v>45828</v>
      </c>
      <c r="U264" s="20">
        <v>114300</v>
      </c>
      <c r="V264" s="31"/>
      <c r="W264" s="31"/>
      <c r="X264" s="31"/>
      <c r="Y264" s="31"/>
      <c r="Z264" s="31">
        <f t="shared" si="40"/>
        <v>114300</v>
      </c>
      <c r="AA264" s="31"/>
      <c r="AB264" s="31"/>
      <c r="AC264" s="31"/>
      <c r="AD264" s="31"/>
      <c r="AE264" s="31"/>
      <c r="AF264" s="31"/>
      <c r="AG264" s="31"/>
      <c r="AH264" s="31"/>
      <c r="AI264" s="32"/>
      <c r="AJ264" s="32"/>
      <c r="AK264" s="32"/>
      <c r="AL264" s="32"/>
      <c r="AM264" s="32">
        <v>19050</v>
      </c>
      <c r="AN264" s="32">
        <v>19050</v>
      </c>
      <c r="AO264" s="32">
        <v>19050</v>
      </c>
      <c r="AP264" s="32">
        <v>19050</v>
      </c>
      <c r="AQ264" s="32">
        <v>19050</v>
      </c>
      <c r="AR264" s="32">
        <v>19050</v>
      </c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CR264">
        <v>546600</v>
      </c>
      <c r="CS264">
        <v>2</v>
      </c>
    </row>
    <row r="265" spans="1:98" x14ac:dyDescent="0.4">
      <c r="A265" t="s">
        <v>812</v>
      </c>
      <c r="D265" t="s">
        <v>2370</v>
      </c>
      <c r="E265" t="s">
        <v>2371</v>
      </c>
      <c r="F265" t="s">
        <v>813</v>
      </c>
      <c r="G265" t="s">
        <v>3517</v>
      </c>
      <c r="H265">
        <v>8065449173</v>
      </c>
      <c r="I265" t="s">
        <v>814</v>
      </c>
      <c r="J265" t="s">
        <v>2433</v>
      </c>
      <c r="L265" t="s">
        <v>3518</v>
      </c>
      <c r="M265" t="s">
        <v>2598</v>
      </c>
      <c r="N265" t="s">
        <v>3519</v>
      </c>
      <c r="O265" t="s">
        <v>3520</v>
      </c>
      <c r="Q265" t="s">
        <v>3521</v>
      </c>
      <c r="R265" s="30">
        <v>45328</v>
      </c>
      <c r="S265" t="s">
        <v>44</v>
      </c>
      <c r="T265" s="30">
        <v>45828</v>
      </c>
      <c r="U265" s="20">
        <v>114300</v>
      </c>
      <c r="V265" s="31"/>
      <c r="W265" s="31"/>
      <c r="X265" s="31"/>
      <c r="Y265" s="31"/>
      <c r="Z265" s="31">
        <f t="shared" si="40"/>
        <v>114300</v>
      </c>
      <c r="AA265" s="31"/>
      <c r="AB265" s="31"/>
      <c r="AC265" s="31"/>
      <c r="AD265" s="31"/>
      <c r="AE265" s="31"/>
      <c r="AF265" s="31"/>
      <c r="AG265" s="31"/>
      <c r="AH265" s="31"/>
      <c r="AI265" s="32"/>
      <c r="AJ265" s="32"/>
      <c r="AK265" s="32"/>
      <c r="AL265" s="32"/>
      <c r="AM265" s="32">
        <v>19050</v>
      </c>
      <c r="AN265" s="32">
        <v>19050</v>
      </c>
      <c r="AO265" s="32">
        <v>19050</v>
      </c>
      <c r="AP265" s="32">
        <v>19050</v>
      </c>
      <c r="AQ265" s="32">
        <v>19050</v>
      </c>
      <c r="AR265" s="32">
        <v>19050</v>
      </c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CR265">
        <v>762750</v>
      </c>
      <c r="CS265">
        <v>10</v>
      </c>
    </row>
    <row r="266" spans="1:98" x14ac:dyDescent="0.4">
      <c r="A266" t="s">
        <v>815</v>
      </c>
      <c r="D266" t="s">
        <v>2370</v>
      </c>
      <c r="E266" t="s">
        <v>2371</v>
      </c>
      <c r="F266" t="s">
        <v>816</v>
      </c>
      <c r="G266" t="s">
        <v>3522</v>
      </c>
      <c r="H266">
        <v>7041540126</v>
      </c>
      <c r="I266" t="s">
        <v>817</v>
      </c>
      <c r="J266" t="s">
        <v>2433</v>
      </c>
      <c r="L266" t="s">
        <v>3523</v>
      </c>
      <c r="M266" t="s">
        <v>2960</v>
      </c>
      <c r="N266" t="s">
        <v>3524</v>
      </c>
      <c r="O266" t="s">
        <v>3525</v>
      </c>
      <c r="Q266" t="s">
        <v>3521</v>
      </c>
      <c r="R266" s="30">
        <v>45328</v>
      </c>
      <c r="S266" t="s">
        <v>44</v>
      </c>
      <c r="T266" s="30">
        <v>45828</v>
      </c>
      <c r="U266" s="20">
        <v>114300</v>
      </c>
      <c r="V266" s="31"/>
      <c r="W266" s="31"/>
      <c r="X266" s="31"/>
      <c r="Y266" s="31"/>
      <c r="Z266" s="31">
        <f t="shared" si="40"/>
        <v>114300</v>
      </c>
      <c r="AA266" s="31"/>
      <c r="AB266" s="31"/>
      <c r="AC266" s="31"/>
      <c r="AD266" s="31"/>
      <c r="AE266" s="31"/>
      <c r="AF266" s="31"/>
      <c r="AG266" s="31"/>
      <c r="AH266" s="31"/>
      <c r="AI266" s="32"/>
      <c r="AJ266" s="32"/>
      <c r="AK266" s="32"/>
      <c r="AL266" s="32"/>
      <c r="AM266" s="32">
        <v>19050</v>
      </c>
      <c r="AN266" s="32">
        <v>19050</v>
      </c>
      <c r="AO266" s="32">
        <v>19050</v>
      </c>
      <c r="AP266" s="32">
        <v>19050</v>
      </c>
      <c r="AQ266" s="32">
        <v>19050</v>
      </c>
      <c r="AR266" s="32">
        <v>19050</v>
      </c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CR266">
        <v>114300</v>
      </c>
      <c r="CS266">
        <v>1</v>
      </c>
    </row>
    <row r="267" spans="1:98" x14ac:dyDescent="0.4">
      <c r="A267" t="s">
        <v>818</v>
      </c>
      <c r="D267" t="s">
        <v>2370</v>
      </c>
      <c r="E267" t="s">
        <v>2371</v>
      </c>
      <c r="F267" t="s">
        <v>819</v>
      </c>
      <c r="G267" t="s">
        <v>3526</v>
      </c>
      <c r="H267">
        <v>9019121095</v>
      </c>
      <c r="I267" t="s">
        <v>820</v>
      </c>
      <c r="J267" t="s">
        <v>2433</v>
      </c>
      <c r="L267" t="s">
        <v>3527</v>
      </c>
      <c r="M267" t="s">
        <v>2435</v>
      </c>
      <c r="N267" t="s">
        <v>3528</v>
      </c>
      <c r="O267" s="41">
        <v>37113</v>
      </c>
      <c r="Q267" t="s">
        <v>3521</v>
      </c>
      <c r="R267" s="30">
        <v>45328</v>
      </c>
      <c r="S267" t="s">
        <v>44</v>
      </c>
      <c r="T267" s="30">
        <v>45828</v>
      </c>
      <c r="U267" s="20">
        <v>114300</v>
      </c>
      <c r="V267" s="31"/>
      <c r="W267" s="31"/>
      <c r="X267" s="31"/>
      <c r="Y267" s="31"/>
      <c r="Z267" s="31">
        <f t="shared" si="40"/>
        <v>114300</v>
      </c>
      <c r="AA267" s="31"/>
      <c r="AB267" s="31"/>
      <c r="AC267" s="31"/>
      <c r="AD267" s="31"/>
      <c r="AE267" s="31"/>
      <c r="AF267" s="31"/>
      <c r="AG267" s="31"/>
      <c r="AH267" s="31"/>
      <c r="AI267" s="32"/>
      <c r="AJ267" s="32"/>
      <c r="AK267" s="32"/>
      <c r="AL267" s="32"/>
      <c r="AM267" s="32">
        <v>19050</v>
      </c>
      <c r="AN267" s="32">
        <v>19050</v>
      </c>
      <c r="AO267" s="32">
        <v>19050</v>
      </c>
      <c r="AP267" s="32">
        <v>19050</v>
      </c>
      <c r="AQ267" s="32">
        <v>19050</v>
      </c>
      <c r="AR267" s="32">
        <v>19050</v>
      </c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CR267">
        <v>952500</v>
      </c>
      <c r="CS267">
        <v>7</v>
      </c>
    </row>
    <row r="268" spans="1:98" x14ac:dyDescent="0.4">
      <c r="A268" t="s">
        <v>821</v>
      </c>
      <c r="D268" t="s">
        <v>2370</v>
      </c>
      <c r="E268" t="s">
        <v>2371</v>
      </c>
      <c r="F268" t="s">
        <v>822</v>
      </c>
      <c r="G268" t="s">
        <v>3529</v>
      </c>
      <c r="H268">
        <v>9061624448</v>
      </c>
      <c r="I268" t="s">
        <v>823</v>
      </c>
      <c r="J268" t="s">
        <v>2433</v>
      </c>
      <c r="L268" t="s">
        <v>3530</v>
      </c>
      <c r="M268" t="s">
        <v>2444</v>
      </c>
      <c r="N268" t="s">
        <v>3531</v>
      </c>
      <c r="O268" t="s">
        <v>3532</v>
      </c>
      <c r="Q268" t="s">
        <v>3533</v>
      </c>
      <c r="R268" s="30">
        <v>45332</v>
      </c>
      <c r="S268" t="s">
        <v>25</v>
      </c>
      <c r="T268" s="30">
        <v>45736</v>
      </c>
      <c r="U268">
        <v>59400</v>
      </c>
      <c r="V268" s="34"/>
      <c r="W268" s="34">
        <f>+U268</f>
        <v>59400</v>
      </c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5"/>
      <c r="AJ268" s="32">
        <v>19800</v>
      </c>
      <c r="AK268" s="32">
        <v>19800</v>
      </c>
      <c r="AL268" s="32">
        <v>19800</v>
      </c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CR268">
        <v>491700</v>
      </c>
      <c r="CS268">
        <v>2</v>
      </c>
    </row>
    <row r="269" spans="1:98" x14ac:dyDescent="0.4">
      <c r="A269" t="s">
        <v>824</v>
      </c>
      <c r="D269" t="s">
        <v>2370</v>
      </c>
      <c r="E269" t="s">
        <v>2371</v>
      </c>
      <c r="F269" t="s">
        <v>825</v>
      </c>
      <c r="G269" t="s">
        <v>3534</v>
      </c>
      <c r="H269">
        <v>8052607151</v>
      </c>
      <c r="I269" t="s">
        <v>826</v>
      </c>
      <c r="J269" t="s">
        <v>2433</v>
      </c>
      <c r="L269" t="s">
        <v>3535</v>
      </c>
      <c r="M269" t="s">
        <v>2732</v>
      </c>
      <c r="N269" t="s">
        <v>3536</v>
      </c>
      <c r="O269" t="s">
        <v>3537</v>
      </c>
      <c r="Q269" t="s">
        <v>2468</v>
      </c>
      <c r="R269" s="30">
        <v>45331</v>
      </c>
      <c r="S269" t="s">
        <v>44</v>
      </c>
      <c r="T269" s="30">
        <v>45828</v>
      </c>
      <c r="U269" s="20">
        <v>114300</v>
      </c>
      <c r="V269" s="31"/>
      <c r="W269" s="31"/>
      <c r="X269" s="31"/>
      <c r="Y269" s="31"/>
      <c r="Z269" s="31">
        <f t="shared" ref="Z269:Z270" si="41">+U269</f>
        <v>114300</v>
      </c>
      <c r="AA269" s="31"/>
      <c r="AB269" s="31"/>
      <c r="AC269" s="31"/>
      <c r="AD269" s="31"/>
      <c r="AE269" s="31"/>
      <c r="AF269" s="31"/>
      <c r="AG269" s="31"/>
      <c r="AH269" s="31"/>
      <c r="AI269" s="32"/>
      <c r="AJ269" s="32"/>
      <c r="AK269" s="32"/>
      <c r="AL269" s="32"/>
      <c r="AM269" s="32">
        <v>19050</v>
      </c>
      <c r="AN269" s="32">
        <v>19050</v>
      </c>
      <c r="AO269" s="32">
        <v>19050</v>
      </c>
      <c r="AP269" s="32">
        <v>19050</v>
      </c>
      <c r="AQ269" s="32">
        <v>19050</v>
      </c>
      <c r="AR269" s="32">
        <v>19050</v>
      </c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CR269">
        <v>546600</v>
      </c>
      <c r="CS269">
        <v>2</v>
      </c>
    </row>
    <row r="270" spans="1:98" x14ac:dyDescent="0.4">
      <c r="A270" t="s">
        <v>827</v>
      </c>
      <c r="D270" t="s">
        <v>2370</v>
      </c>
      <c r="E270" t="s">
        <v>2371</v>
      </c>
      <c r="F270" t="s">
        <v>828</v>
      </c>
      <c r="G270" t="s">
        <v>3538</v>
      </c>
      <c r="H270">
        <v>8033984100</v>
      </c>
      <c r="I270" t="s">
        <v>829</v>
      </c>
      <c r="J270" t="s">
        <v>2433</v>
      </c>
      <c r="L270" t="s">
        <v>3539</v>
      </c>
      <c r="M270" t="s">
        <v>2444</v>
      </c>
      <c r="N270" t="s">
        <v>3540</v>
      </c>
      <c r="O270" t="s">
        <v>3541</v>
      </c>
      <c r="Q270" t="s">
        <v>2468</v>
      </c>
      <c r="R270" s="30">
        <v>45328</v>
      </c>
      <c r="S270" t="s">
        <v>44</v>
      </c>
      <c r="T270" s="30">
        <v>45828</v>
      </c>
      <c r="U270" s="20">
        <v>114300</v>
      </c>
      <c r="V270" s="31"/>
      <c r="W270" s="31"/>
      <c r="X270" s="31"/>
      <c r="Y270" s="31"/>
      <c r="Z270" s="31">
        <f t="shared" si="41"/>
        <v>114300</v>
      </c>
      <c r="AA270" s="31"/>
      <c r="AB270" s="31"/>
      <c r="AC270" s="31"/>
      <c r="AD270" s="31"/>
      <c r="AE270" s="31"/>
      <c r="AF270" s="31"/>
      <c r="AG270" s="31"/>
      <c r="AH270" s="31"/>
      <c r="AI270" s="32"/>
      <c r="AJ270" s="32"/>
      <c r="AK270" s="32"/>
      <c r="AL270" s="32"/>
      <c r="AM270" s="32">
        <v>19050</v>
      </c>
      <c r="AN270" s="32">
        <v>19050</v>
      </c>
      <c r="AO270" s="32">
        <v>19050</v>
      </c>
      <c r="AP270" s="32">
        <v>19050</v>
      </c>
      <c r="AQ270" s="32">
        <v>19050</v>
      </c>
      <c r="AR270" s="32">
        <v>19050</v>
      </c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CR270">
        <v>852300</v>
      </c>
      <c r="CS270">
        <v>4</v>
      </c>
    </row>
    <row r="271" spans="1:98" x14ac:dyDescent="0.4">
      <c r="A271" t="s">
        <v>830</v>
      </c>
      <c r="D271" t="s">
        <v>2370</v>
      </c>
      <c r="E271" t="s">
        <v>2371</v>
      </c>
      <c r="F271" t="s">
        <v>831</v>
      </c>
      <c r="G271" t="s">
        <v>3542</v>
      </c>
      <c r="H271">
        <v>9045475050</v>
      </c>
      <c r="I271" t="s">
        <v>832</v>
      </c>
      <c r="J271" t="s">
        <v>2433</v>
      </c>
      <c r="L271" t="s">
        <v>3543</v>
      </c>
      <c r="M271" t="s">
        <v>2444</v>
      </c>
      <c r="N271" t="s">
        <v>3544</v>
      </c>
      <c r="O271" t="s">
        <v>3545</v>
      </c>
      <c r="Q271" t="s">
        <v>3533</v>
      </c>
      <c r="R271" s="30">
        <v>45319</v>
      </c>
      <c r="S271" t="s">
        <v>25</v>
      </c>
      <c r="T271" s="30">
        <v>45736</v>
      </c>
      <c r="U271">
        <v>59400</v>
      </c>
      <c r="V271" s="34"/>
      <c r="W271" s="34">
        <f t="shared" ref="W271:W272" si="42">+U271</f>
        <v>59400</v>
      </c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5"/>
      <c r="AJ271" s="32">
        <v>19800</v>
      </c>
      <c r="AK271" s="32">
        <v>19800</v>
      </c>
      <c r="AL271" s="32">
        <v>19800</v>
      </c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CR271">
        <v>707850</v>
      </c>
      <c r="CS271">
        <v>10</v>
      </c>
    </row>
    <row r="272" spans="1:98" x14ac:dyDescent="0.4">
      <c r="A272" t="s">
        <v>833</v>
      </c>
      <c r="D272" t="s">
        <v>2370</v>
      </c>
      <c r="E272" t="s">
        <v>2371</v>
      </c>
      <c r="F272" t="s">
        <v>834</v>
      </c>
      <c r="G272" t="s">
        <v>3546</v>
      </c>
      <c r="H272">
        <v>9041896728</v>
      </c>
      <c r="I272" t="s">
        <v>835</v>
      </c>
      <c r="J272" t="s">
        <v>2433</v>
      </c>
      <c r="L272" t="s">
        <v>3547</v>
      </c>
      <c r="M272" t="s">
        <v>2444</v>
      </c>
      <c r="N272" t="s">
        <v>3548</v>
      </c>
      <c r="O272" t="s">
        <v>3549</v>
      </c>
      <c r="Q272" t="s">
        <v>2468</v>
      </c>
      <c r="R272" s="30">
        <v>45314</v>
      </c>
      <c r="S272" t="s">
        <v>25</v>
      </c>
      <c r="T272" s="30">
        <v>45736</v>
      </c>
      <c r="U272">
        <v>59400</v>
      </c>
      <c r="V272" s="34"/>
      <c r="W272" s="34">
        <f t="shared" si="42"/>
        <v>59400</v>
      </c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5"/>
      <c r="AJ272" s="32">
        <v>19800</v>
      </c>
      <c r="AK272" s="32">
        <v>19800</v>
      </c>
      <c r="AL272" s="32">
        <v>19800</v>
      </c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CR272">
        <v>491700</v>
      </c>
      <c r="CS272">
        <v>4</v>
      </c>
    </row>
    <row r="273" spans="1:97" x14ac:dyDescent="0.4">
      <c r="A273" t="s">
        <v>836</v>
      </c>
      <c r="D273" t="s">
        <v>2370</v>
      </c>
      <c r="E273" t="s">
        <v>2371</v>
      </c>
      <c r="F273" t="s">
        <v>837</v>
      </c>
      <c r="G273" t="s">
        <v>3550</v>
      </c>
      <c r="H273">
        <v>9017970948</v>
      </c>
      <c r="I273" t="s">
        <v>838</v>
      </c>
      <c r="J273" t="s">
        <v>2433</v>
      </c>
      <c r="L273" t="s">
        <v>3551</v>
      </c>
      <c r="M273" t="s">
        <v>2444</v>
      </c>
      <c r="N273" t="s">
        <v>3552</v>
      </c>
      <c r="O273" t="s">
        <v>3553</v>
      </c>
      <c r="Q273" t="s">
        <v>2438</v>
      </c>
      <c r="R273" s="30">
        <v>45309</v>
      </c>
      <c r="S273" t="s">
        <v>44</v>
      </c>
      <c r="T273" s="30">
        <v>45828</v>
      </c>
      <c r="U273" s="20">
        <v>114300</v>
      </c>
      <c r="V273" s="31"/>
      <c r="W273" s="31"/>
      <c r="X273" s="31"/>
      <c r="Y273" s="31"/>
      <c r="Z273" s="31">
        <f>+U273</f>
        <v>114300</v>
      </c>
      <c r="AA273" s="31"/>
      <c r="AB273" s="31"/>
      <c r="AC273" s="31"/>
      <c r="AD273" s="31"/>
      <c r="AE273" s="31"/>
      <c r="AF273" s="31"/>
      <c r="AG273" s="31"/>
      <c r="AH273" s="31"/>
      <c r="AI273" s="32"/>
      <c r="AJ273" s="32"/>
      <c r="AK273" s="32"/>
      <c r="AL273" s="32"/>
      <c r="AM273" s="32">
        <v>19050</v>
      </c>
      <c r="AN273" s="32">
        <v>19050</v>
      </c>
      <c r="AO273" s="32">
        <v>19050</v>
      </c>
      <c r="AP273" s="32">
        <v>19050</v>
      </c>
      <c r="AQ273" s="32">
        <v>19050</v>
      </c>
      <c r="AR273" s="32">
        <v>19050</v>
      </c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CR273">
        <v>767640</v>
      </c>
      <c r="CS273">
        <v>5</v>
      </c>
    </row>
    <row r="274" spans="1:97" x14ac:dyDescent="0.4">
      <c r="A274" t="s">
        <v>839</v>
      </c>
      <c r="D274" t="s">
        <v>2370</v>
      </c>
      <c r="E274" t="s">
        <v>2371</v>
      </c>
      <c r="F274" t="s">
        <v>840</v>
      </c>
      <c r="G274" t="s">
        <v>3554</v>
      </c>
      <c r="H274">
        <v>9025923270</v>
      </c>
      <c r="I274" t="s">
        <v>841</v>
      </c>
      <c r="J274" t="s">
        <v>2433</v>
      </c>
      <c r="L274" t="s">
        <v>3555</v>
      </c>
      <c r="M274" t="s">
        <v>2460</v>
      </c>
      <c r="N274" t="s">
        <v>3556</v>
      </c>
      <c r="O274" s="41">
        <v>37130</v>
      </c>
      <c r="Q274" t="s">
        <v>2438</v>
      </c>
      <c r="R274" s="30">
        <v>45309</v>
      </c>
      <c r="S274" t="s">
        <v>25</v>
      </c>
      <c r="T274" s="30">
        <v>45736</v>
      </c>
      <c r="U274">
        <v>59400</v>
      </c>
      <c r="V274" s="34"/>
      <c r="W274" s="34">
        <f t="shared" ref="W274:W275" si="43">+U274</f>
        <v>59400</v>
      </c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5"/>
      <c r="AJ274" s="32">
        <v>19800</v>
      </c>
      <c r="AK274" s="32">
        <v>19800</v>
      </c>
      <c r="AL274" s="32">
        <v>19800</v>
      </c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CR274">
        <v>496590</v>
      </c>
      <c r="CS274">
        <v>3</v>
      </c>
    </row>
    <row r="275" spans="1:97" x14ac:dyDescent="0.4">
      <c r="A275" t="s">
        <v>842</v>
      </c>
      <c r="D275" t="s">
        <v>2370</v>
      </c>
      <c r="E275" t="s">
        <v>2371</v>
      </c>
      <c r="F275" t="s">
        <v>843</v>
      </c>
      <c r="G275" t="s">
        <v>3557</v>
      </c>
      <c r="H275">
        <v>9043741217</v>
      </c>
      <c r="I275" t="s">
        <v>844</v>
      </c>
      <c r="J275" t="s">
        <v>2433</v>
      </c>
      <c r="L275" t="s">
        <v>3558</v>
      </c>
      <c r="M275" t="s">
        <v>2598</v>
      </c>
      <c r="N275" t="s">
        <v>3559</v>
      </c>
      <c r="O275" t="s">
        <v>3560</v>
      </c>
      <c r="Q275" t="s">
        <v>3561</v>
      </c>
      <c r="R275" s="30">
        <v>45308</v>
      </c>
      <c r="S275" t="s">
        <v>70</v>
      </c>
      <c r="T275" s="30">
        <v>45736</v>
      </c>
      <c r="U275">
        <v>59400</v>
      </c>
      <c r="V275" s="34"/>
      <c r="W275" s="34">
        <f t="shared" si="43"/>
        <v>59400</v>
      </c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5"/>
      <c r="AJ275" s="32">
        <v>19800</v>
      </c>
      <c r="AK275" s="32">
        <v>19800</v>
      </c>
      <c r="AL275" s="32">
        <v>19800</v>
      </c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CR275">
        <v>432300</v>
      </c>
      <c r="CS275">
        <v>1</v>
      </c>
    </row>
    <row r="276" spans="1:97" x14ac:dyDescent="0.4">
      <c r="A276" t="s">
        <v>846</v>
      </c>
      <c r="D276" t="s">
        <v>2370</v>
      </c>
      <c r="E276" t="s">
        <v>2371</v>
      </c>
      <c r="F276" t="s">
        <v>847</v>
      </c>
      <c r="G276" t="s">
        <v>3562</v>
      </c>
      <c r="H276">
        <v>9088351909</v>
      </c>
      <c r="I276" t="s">
        <v>848</v>
      </c>
      <c r="J276" t="s">
        <v>2433</v>
      </c>
      <c r="L276" t="s">
        <v>3563</v>
      </c>
      <c r="M276" t="s">
        <v>2715</v>
      </c>
      <c r="N276" t="s">
        <v>3564</v>
      </c>
      <c r="O276" t="s">
        <v>3565</v>
      </c>
      <c r="Q276" t="s">
        <v>2957</v>
      </c>
      <c r="R276" s="30">
        <v>45292</v>
      </c>
      <c r="S276" t="s">
        <v>44</v>
      </c>
      <c r="T276" s="30">
        <v>45828</v>
      </c>
      <c r="U276" s="20">
        <v>114300</v>
      </c>
      <c r="V276" s="31"/>
      <c r="W276" s="31"/>
      <c r="X276" s="31"/>
      <c r="Y276" s="31"/>
      <c r="Z276" s="31">
        <f t="shared" ref="Z276:Z277" si="44">+U276</f>
        <v>114300</v>
      </c>
      <c r="AA276" s="31"/>
      <c r="AB276" s="31"/>
      <c r="AC276" s="31"/>
      <c r="AD276" s="31"/>
      <c r="AE276" s="31"/>
      <c r="AF276" s="31"/>
      <c r="AG276" s="31"/>
      <c r="AH276" s="31"/>
      <c r="AI276" s="32"/>
      <c r="AJ276" s="32"/>
      <c r="AK276" s="32"/>
      <c r="AL276" s="32"/>
      <c r="AM276" s="32">
        <v>19050</v>
      </c>
      <c r="AN276" s="32">
        <v>19050</v>
      </c>
      <c r="AO276" s="32">
        <v>19050</v>
      </c>
      <c r="AP276" s="32">
        <v>19050</v>
      </c>
      <c r="AQ276" s="32">
        <v>19050</v>
      </c>
      <c r="AR276" s="32">
        <v>19050</v>
      </c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CR276">
        <v>546600</v>
      </c>
      <c r="CS276">
        <v>2</v>
      </c>
    </row>
    <row r="277" spans="1:97" x14ac:dyDescent="0.4">
      <c r="A277" t="s">
        <v>849</v>
      </c>
      <c r="D277" t="s">
        <v>2370</v>
      </c>
      <c r="E277" t="s">
        <v>2371</v>
      </c>
      <c r="F277" t="s">
        <v>850</v>
      </c>
      <c r="G277" t="s">
        <v>3566</v>
      </c>
      <c r="H277">
        <v>9082317928</v>
      </c>
      <c r="I277" t="s">
        <v>851</v>
      </c>
      <c r="J277" t="s">
        <v>2433</v>
      </c>
      <c r="L277" t="s">
        <v>3567</v>
      </c>
      <c r="M277" t="s">
        <v>2460</v>
      </c>
      <c r="N277" t="s">
        <v>3568</v>
      </c>
      <c r="O277" t="s">
        <v>3569</v>
      </c>
      <c r="Q277" t="s">
        <v>3570</v>
      </c>
      <c r="R277" s="30">
        <v>45297</v>
      </c>
      <c r="S277" t="s">
        <v>44</v>
      </c>
      <c r="T277" s="30">
        <v>45828</v>
      </c>
      <c r="U277" s="20">
        <v>114300</v>
      </c>
      <c r="V277" s="31"/>
      <c r="W277" s="31"/>
      <c r="X277" s="31"/>
      <c r="Y277" s="31"/>
      <c r="Z277" s="31">
        <f t="shared" si="44"/>
        <v>114300</v>
      </c>
      <c r="AA277" s="31"/>
      <c r="AB277" s="31"/>
      <c r="AC277" s="31"/>
      <c r="AD277" s="31"/>
      <c r="AE277" s="31"/>
      <c r="AF277" s="31"/>
      <c r="AG277" s="31"/>
      <c r="AH277" s="31"/>
      <c r="AI277" s="32"/>
      <c r="AJ277" s="32"/>
      <c r="AK277" s="32"/>
      <c r="AL277" s="32"/>
      <c r="AM277" s="32">
        <v>19050</v>
      </c>
      <c r="AN277" s="32">
        <v>19050</v>
      </c>
      <c r="AO277" s="32">
        <v>19050</v>
      </c>
      <c r="AP277" s="32">
        <v>19050</v>
      </c>
      <c r="AQ277" s="32">
        <v>19050</v>
      </c>
      <c r="AR277" s="32">
        <v>19050</v>
      </c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CR277">
        <v>762750</v>
      </c>
      <c r="CS277">
        <v>10</v>
      </c>
    </row>
    <row r="278" spans="1:97" x14ac:dyDescent="0.4">
      <c r="A278" t="s">
        <v>852</v>
      </c>
      <c r="D278" t="s">
        <v>2370</v>
      </c>
      <c r="E278" t="s">
        <v>2371</v>
      </c>
      <c r="F278" t="s">
        <v>853</v>
      </c>
      <c r="G278" t="s">
        <v>3571</v>
      </c>
      <c r="H278">
        <v>8019181843</v>
      </c>
      <c r="I278" t="s">
        <v>854</v>
      </c>
      <c r="J278" t="s">
        <v>2433</v>
      </c>
      <c r="L278" t="s">
        <v>3572</v>
      </c>
      <c r="M278" t="s">
        <v>2569</v>
      </c>
      <c r="N278" t="s">
        <v>3573</v>
      </c>
      <c r="O278" t="s">
        <v>3574</v>
      </c>
      <c r="Q278" t="s">
        <v>3570</v>
      </c>
      <c r="R278" s="30">
        <v>45302</v>
      </c>
      <c r="S278" t="s">
        <v>25</v>
      </c>
      <c r="T278" s="30">
        <v>45736</v>
      </c>
      <c r="U278">
        <v>59400</v>
      </c>
      <c r="V278" s="34"/>
      <c r="W278" s="34">
        <f>+U278</f>
        <v>59400</v>
      </c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5"/>
      <c r="AJ278" s="32">
        <v>19800</v>
      </c>
      <c r="AK278" s="32">
        <v>19800</v>
      </c>
      <c r="AL278" s="32">
        <v>19800</v>
      </c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CR278">
        <v>491700</v>
      </c>
      <c r="CS278">
        <v>2</v>
      </c>
    </row>
    <row r="279" spans="1:97" x14ac:dyDescent="0.4">
      <c r="A279" t="s">
        <v>855</v>
      </c>
      <c r="D279" t="s">
        <v>2370</v>
      </c>
      <c r="E279" t="s">
        <v>2371</v>
      </c>
      <c r="F279" t="s">
        <v>856</v>
      </c>
      <c r="G279" t="s">
        <v>3575</v>
      </c>
      <c r="H279">
        <v>9012321289</v>
      </c>
      <c r="I279" t="s">
        <v>857</v>
      </c>
      <c r="J279" t="s">
        <v>2433</v>
      </c>
      <c r="L279" t="s">
        <v>3576</v>
      </c>
      <c r="M279" t="s">
        <v>2451</v>
      </c>
      <c r="N279" t="s">
        <v>3577</v>
      </c>
      <c r="O279" t="s">
        <v>3578</v>
      </c>
      <c r="Q279" t="s">
        <v>3579</v>
      </c>
      <c r="R279" s="30">
        <v>45301</v>
      </c>
      <c r="S279" t="s">
        <v>44</v>
      </c>
      <c r="T279" s="30">
        <v>45828</v>
      </c>
      <c r="U279" s="20">
        <v>114300</v>
      </c>
      <c r="V279" s="31"/>
      <c r="W279" s="31"/>
      <c r="X279" s="31"/>
      <c r="Y279" s="31"/>
      <c r="Z279" s="31">
        <f t="shared" ref="Z279:Z281" si="45">+U279</f>
        <v>114300</v>
      </c>
      <c r="AA279" s="31"/>
      <c r="AB279" s="31"/>
      <c r="AC279" s="31"/>
      <c r="AD279" s="31"/>
      <c r="AE279" s="31"/>
      <c r="AF279" s="31"/>
      <c r="AG279" s="31"/>
      <c r="AH279" s="31"/>
      <c r="AI279" s="32"/>
      <c r="AJ279" s="32"/>
      <c r="AK279" s="32"/>
      <c r="AL279" s="32"/>
      <c r="AM279" s="32">
        <v>19050</v>
      </c>
      <c r="AN279" s="32">
        <v>19050</v>
      </c>
      <c r="AO279" s="32">
        <v>19050</v>
      </c>
      <c r="AP279" s="32">
        <v>19050</v>
      </c>
      <c r="AQ279" s="32">
        <v>19050</v>
      </c>
      <c r="AR279" s="32">
        <v>19050</v>
      </c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CR279">
        <v>546600</v>
      </c>
      <c r="CS279">
        <v>2</v>
      </c>
    </row>
    <row r="280" spans="1:97" x14ac:dyDescent="0.4">
      <c r="A280" t="s">
        <v>858</v>
      </c>
      <c r="D280" t="s">
        <v>2370</v>
      </c>
      <c r="E280" t="s">
        <v>2371</v>
      </c>
      <c r="F280" t="s">
        <v>859</v>
      </c>
      <c r="G280" t="s">
        <v>3580</v>
      </c>
      <c r="H280">
        <v>9083751261</v>
      </c>
      <c r="I280" t="s">
        <v>860</v>
      </c>
      <c r="J280" t="s">
        <v>2433</v>
      </c>
      <c r="K280" t="s">
        <v>3581</v>
      </c>
      <c r="L280" t="s">
        <v>3582</v>
      </c>
      <c r="M280" t="s">
        <v>2460</v>
      </c>
      <c r="N280" t="s">
        <v>3583</v>
      </c>
      <c r="O280" t="s">
        <v>3584</v>
      </c>
      <c r="Q280" t="s">
        <v>2468</v>
      </c>
      <c r="R280" s="30">
        <v>45284</v>
      </c>
      <c r="S280" t="s">
        <v>44</v>
      </c>
      <c r="T280" s="30">
        <v>45828</v>
      </c>
      <c r="U280" s="20">
        <v>114300</v>
      </c>
      <c r="V280" s="31"/>
      <c r="W280" s="31"/>
      <c r="X280" s="31"/>
      <c r="Y280" s="31"/>
      <c r="Z280" s="31">
        <f t="shared" si="45"/>
        <v>114300</v>
      </c>
      <c r="AA280" s="31"/>
      <c r="AB280" s="31"/>
      <c r="AC280" s="31"/>
      <c r="AD280" s="31"/>
      <c r="AE280" s="31"/>
      <c r="AF280" s="31"/>
      <c r="AG280" s="31"/>
      <c r="AH280" s="31"/>
      <c r="AI280" s="32"/>
      <c r="AJ280" s="32"/>
      <c r="AK280" s="32"/>
      <c r="AL280" s="32"/>
      <c r="AM280" s="32">
        <v>19050</v>
      </c>
      <c r="AN280" s="32">
        <v>19050</v>
      </c>
      <c r="AO280" s="32">
        <v>19050</v>
      </c>
      <c r="AP280" s="32">
        <v>19050</v>
      </c>
      <c r="AQ280" s="32">
        <v>19050</v>
      </c>
      <c r="AR280" s="32">
        <v>19050</v>
      </c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CR280">
        <v>690700</v>
      </c>
      <c r="CS280">
        <v>9</v>
      </c>
    </row>
    <row r="281" spans="1:97" x14ac:dyDescent="0.4">
      <c r="A281" t="s">
        <v>861</v>
      </c>
      <c r="D281" t="s">
        <v>2370</v>
      </c>
      <c r="E281" t="s">
        <v>2371</v>
      </c>
      <c r="F281" t="s">
        <v>862</v>
      </c>
      <c r="G281" t="s">
        <v>3585</v>
      </c>
      <c r="H281">
        <v>9073737811</v>
      </c>
      <c r="I281" t="s">
        <v>863</v>
      </c>
      <c r="J281" t="s">
        <v>2433</v>
      </c>
      <c r="L281" t="s">
        <v>3586</v>
      </c>
      <c r="M281" t="s">
        <v>3587</v>
      </c>
      <c r="N281" t="s">
        <v>3588</v>
      </c>
      <c r="O281" t="s">
        <v>3589</v>
      </c>
      <c r="Q281" t="s">
        <v>3533</v>
      </c>
      <c r="R281" s="30">
        <v>45283</v>
      </c>
      <c r="S281" t="s">
        <v>44</v>
      </c>
      <c r="T281" s="30">
        <v>45828</v>
      </c>
      <c r="U281" s="20">
        <v>114300</v>
      </c>
      <c r="V281" s="31"/>
      <c r="W281" s="31"/>
      <c r="X281" s="31"/>
      <c r="Y281" s="31"/>
      <c r="Z281" s="31">
        <f t="shared" si="45"/>
        <v>114300</v>
      </c>
      <c r="AA281" s="31"/>
      <c r="AB281" s="31"/>
      <c r="AC281" s="31"/>
      <c r="AD281" s="31"/>
      <c r="AE281" s="31"/>
      <c r="AF281" s="31"/>
      <c r="AG281" s="31"/>
      <c r="AH281" s="31"/>
      <c r="AI281" s="32"/>
      <c r="AJ281" s="32"/>
      <c r="AK281" s="32"/>
      <c r="AL281" s="32"/>
      <c r="AM281" s="32">
        <v>19050</v>
      </c>
      <c r="AN281" s="32">
        <v>19050</v>
      </c>
      <c r="AO281" s="32">
        <v>19050</v>
      </c>
      <c r="AP281" s="32">
        <v>19050</v>
      </c>
      <c r="AQ281" s="32">
        <v>19050</v>
      </c>
      <c r="AR281" s="32">
        <v>19050</v>
      </c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CR281">
        <v>767640</v>
      </c>
      <c r="CS281">
        <v>11</v>
      </c>
    </row>
    <row r="282" spans="1:97" x14ac:dyDescent="0.4">
      <c r="A282" t="s">
        <v>864</v>
      </c>
      <c r="D282" t="s">
        <v>2370</v>
      </c>
      <c r="E282" t="s">
        <v>2371</v>
      </c>
      <c r="F282" t="s">
        <v>865</v>
      </c>
      <c r="G282" t="s">
        <v>3590</v>
      </c>
      <c r="H282">
        <v>9065318041</v>
      </c>
      <c r="I282" t="s">
        <v>866</v>
      </c>
      <c r="J282" t="s">
        <v>2433</v>
      </c>
      <c r="L282" t="s">
        <v>3591</v>
      </c>
      <c r="M282" t="s">
        <v>2444</v>
      </c>
      <c r="N282" t="s">
        <v>3592</v>
      </c>
      <c r="O282" t="s">
        <v>3593</v>
      </c>
      <c r="R282" s="30">
        <v>45279</v>
      </c>
      <c r="S282" t="s">
        <v>44</v>
      </c>
      <c r="T282" s="30">
        <v>45767</v>
      </c>
      <c r="U282" s="20">
        <v>114300</v>
      </c>
      <c r="V282" s="31"/>
      <c r="W282" s="34"/>
      <c r="X282" s="34">
        <f>+U282</f>
        <v>114300</v>
      </c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2"/>
      <c r="AJ282" s="35"/>
      <c r="AK282" s="32">
        <v>19050</v>
      </c>
      <c r="AL282" s="32">
        <v>19050</v>
      </c>
      <c r="AM282" s="32">
        <v>19050</v>
      </c>
      <c r="AN282" s="32">
        <v>19050</v>
      </c>
      <c r="AO282" s="32">
        <v>19050</v>
      </c>
      <c r="AP282" s="32">
        <v>19050</v>
      </c>
      <c r="AQ282" s="32"/>
      <c r="AR282" s="32"/>
      <c r="AS282" s="32"/>
      <c r="AT282" s="32"/>
      <c r="AU282" s="32"/>
      <c r="AV282" s="35"/>
      <c r="AW282" s="35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CR282">
        <v>661900</v>
      </c>
      <c r="CS282">
        <v>4</v>
      </c>
    </row>
    <row r="283" spans="1:97" x14ac:dyDescent="0.4">
      <c r="A283" t="s">
        <v>869</v>
      </c>
      <c r="D283" t="s">
        <v>2370</v>
      </c>
      <c r="E283" t="s">
        <v>2371</v>
      </c>
      <c r="F283" t="s">
        <v>870</v>
      </c>
      <c r="G283" t="s">
        <v>3594</v>
      </c>
      <c r="H283">
        <v>9066436230</v>
      </c>
      <c r="I283" t="s">
        <v>871</v>
      </c>
      <c r="J283" t="s">
        <v>2433</v>
      </c>
      <c r="L283" t="s">
        <v>3595</v>
      </c>
      <c r="M283" t="s">
        <v>2451</v>
      </c>
      <c r="N283" t="s">
        <v>3596</v>
      </c>
      <c r="O283" t="s">
        <v>3597</v>
      </c>
      <c r="Q283" t="s">
        <v>2438</v>
      </c>
      <c r="R283" s="30">
        <v>45272</v>
      </c>
      <c r="S283" t="s">
        <v>44</v>
      </c>
      <c r="T283" s="30">
        <v>45828</v>
      </c>
      <c r="U283" s="20">
        <v>114300</v>
      </c>
      <c r="V283" s="31"/>
      <c r="W283" s="31"/>
      <c r="X283" s="31"/>
      <c r="Y283" s="31"/>
      <c r="Z283" s="31">
        <f t="shared" ref="Z283:Z287" si="46">+U283</f>
        <v>114300</v>
      </c>
      <c r="AA283" s="31"/>
      <c r="AB283" s="31"/>
      <c r="AC283" s="31"/>
      <c r="AD283" s="31"/>
      <c r="AE283" s="31"/>
      <c r="AF283" s="31"/>
      <c r="AG283" s="31"/>
      <c r="AH283" s="31"/>
      <c r="AI283" s="32"/>
      <c r="AJ283" s="32"/>
      <c r="AK283" s="32"/>
      <c r="AL283" s="32"/>
      <c r="AM283" s="32">
        <v>19050</v>
      </c>
      <c r="AN283" s="32">
        <v>19050</v>
      </c>
      <c r="AO283" s="32">
        <v>19050</v>
      </c>
      <c r="AP283" s="32">
        <v>19050</v>
      </c>
      <c r="AQ283" s="32">
        <v>19050</v>
      </c>
      <c r="AR283" s="32">
        <v>19050</v>
      </c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CR283">
        <v>160660</v>
      </c>
      <c r="CS283">
        <v>3</v>
      </c>
    </row>
    <row r="284" spans="1:97" x14ac:dyDescent="0.4">
      <c r="A284" t="s">
        <v>872</v>
      </c>
      <c r="D284" t="s">
        <v>2370</v>
      </c>
      <c r="E284" t="s">
        <v>2371</v>
      </c>
      <c r="F284" t="s">
        <v>873</v>
      </c>
      <c r="G284" t="s">
        <v>3598</v>
      </c>
      <c r="H284">
        <v>9071373204</v>
      </c>
      <c r="I284" t="s">
        <v>874</v>
      </c>
      <c r="J284" t="s">
        <v>2433</v>
      </c>
      <c r="L284" t="s">
        <v>3599</v>
      </c>
      <c r="M284" t="s">
        <v>2935</v>
      </c>
      <c r="N284" t="s">
        <v>3600</v>
      </c>
      <c r="O284">
        <v>139</v>
      </c>
      <c r="Q284" t="s">
        <v>2438</v>
      </c>
      <c r="R284" s="30">
        <v>45270</v>
      </c>
      <c r="S284" t="s">
        <v>44</v>
      </c>
      <c r="T284" s="30">
        <v>45828</v>
      </c>
      <c r="U284" s="20">
        <v>114300</v>
      </c>
      <c r="V284" s="31"/>
      <c r="W284" s="31"/>
      <c r="X284" s="31"/>
      <c r="Y284" s="31"/>
      <c r="Z284" s="31">
        <f t="shared" si="46"/>
        <v>114300</v>
      </c>
      <c r="AA284" s="31"/>
      <c r="AB284" s="31"/>
      <c r="AC284" s="31"/>
      <c r="AD284" s="31"/>
      <c r="AE284" s="31"/>
      <c r="AF284" s="31"/>
      <c r="AG284" s="31"/>
      <c r="AH284" s="31"/>
      <c r="AI284" s="32"/>
      <c r="AJ284" s="32"/>
      <c r="AK284" s="32"/>
      <c r="AL284" s="32"/>
      <c r="AM284" s="32">
        <v>19050</v>
      </c>
      <c r="AN284" s="32">
        <v>19050</v>
      </c>
      <c r="AO284" s="32">
        <v>19050</v>
      </c>
      <c r="AP284" s="32">
        <v>19050</v>
      </c>
      <c r="AQ284" s="32">
        <v>19050</v>
      </c>
      <c r="AR284" s="32">
        <v>19050</v>
      </c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CR284">
        <v>804220</v>
      </c>
      <c r="CS284">
        <v>11</v>
      </c>
    </row>
    <row r="285" spans="1:97" x14ac:dyDescent="0.4">
      <c r="A285" t="s">
        <v>875</v>
      </c>
      <c r="D285" t="s">
        <v>2370</v>
      </c>
      <c r="E285" t="s">
        <v>2371</v>
      </c>
      <c r="F285" t="s">
        <v>876</v>
      </c>
      <c r="G285" t="s">
        <v>3601</v>
      </c>
      <c r="H285">
        <v>9040859700</v>
      </c>
      <c r="I285" t="s">
        <v>877</v>
      </c>
      <c r="J285" t="s">
        <v>2433</v>
      </c>
      <c r="L285" t="s">
        <v>3602</v>
      </c>
      <c r="M285" t="s">
        <v>2451</v>
      </c>
      <c r="N285" t="s">
        <v>3603</v>
      </c>
      <c r="O285" s="40">
        <v>17533</v>
      </c>
      <c r="Q285" t="s">
        <v>2438</v>
      </c>
      <c r="R285" s="30">
        <v>45270</v>
      </c>
      <c r="S285" t="s">
        <v>44</v>
      </c>
      <c r="T285" s="30">
        <v>45828</v>
      </c>
      <c r="U285" s="20">
        <v>114300</v>
      </c>
      <c r="V285" s="31"/>
      <c r="W285" s="31"/>
      <c r="X285" s="31"/>
      <c r="Y285" s="31"/>
      <c r="Z285" s="31">
        <f t="shared" si="46"/>
        <v>114300</v>
      </c>
      <c r="AA285" s="31"/>
      <c r="AB285" s="31"/>
      <c r="AC285" s="31"/>
      <c r="AD285" s="31"/>
      <c r="AE285" s="31"/>
      <c r="AF285" s="31"/>
      <c r="AG285" s="31"/>
      <c r="AH285" s="31"/>
      <c r="AI285" s="32"/>
      <c r="AJ285" s="32"/>
      <c r="AK285" s="32"/>
      <c r="AL285" s="32"/>
      <c r="AM285" s="32">
        <v>19050</v>
      </c>
      <c r="AN285" s="32">
        <v>19050</v>
      </c>
      <c r="AO285" s="32">
        <v>19050</v>
      </c>
      <c r="AP285" s="32">
        <v>19050</v>
      </c>
      <c r="AQ285" s="32">
        <v>19050</v>
      </c>
      <c r="AR285" s="32">
        <v>19050</v>
      </c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CR285">
        <v>588070</v>
      </c>
      <c r="CS285">
        <v>3</v>
      </c>
    </row>
    <row r="286" spans="1:97" x14ac:dyDescent="0.4">
      <c r="A286" t="s">
        <v>878</v>
      </c>
      <c r="D286" t="s">
        <v>2370</v>
      </c>
      <c r="E286" t="s">
        <v>2371</v>
      </c>
      <c r="F286" t="s">
        <v>879</v>
      </c>
      <c r="G286" t="s">
        <v>3604</v>
      </c>
      <c r="H286">
        <v>8034266715</v>
      </c>
      <c r="I286" t="s">
        <v>880</v>
      </c>
      <c r="J286" t="s">
        <v>2433</v>
      </c>
      <c r="L286" t="s">
        <v>3605</v>
      </c>
      <c r="M286" t="s">
        <v>2460</v>
      </c>
      <c r="N286" t="s">
        <v>3606</v>
      </c>
      <c r="O286" t="s">
        <v>3607</v>
      </c>
      <c r="Q286" t="s">
        <v>2438</v>
      </c>
      <c r="R286" s="30">
        <v>45270</v>
      </c>
      <c r="S286" t="s">
        <v>44</v>
      </c>
      <c r="T286" s="30">
        <v>45828</v>
      </c>
      <c r="U286" s="20">
        <v>114300</v>
      </c>
      <c r="V286" s="31"/>
      <c r="W286" s="31"/>
      <c r="X286" s="31"/>
      <c r="Y286" s="31"/>
      <c r="Z286" s="31">
        <f t="shared" si="46"/>
        <v>114300</v>
      </c>
      <c r="AA286" s="31"/>
      <c r="AB286" s="31"/>
      <c r="AC286" s="31"/>
      <c r="AD286" s="31"/>
      <c r="AE286" s="31"/>
      <c r="AF286" s="31"/>
      <c r="AG286" s="31"/>
      <c r="AH286" s="31"/>
      <c r="AI286" s="32"/>
      <c r="AJ286" s="32"/>
      <c r="AK286" s="32"/>
      <c r="AL286" s="32"/>
      <c r="AM286" s="32">
        <v>19050</v>
      </c>
      <c r="AN286" s="32">
        <v>19050</v>
      </c>
      <c r="AO286" s="32">
        <v>19050</v>
      </c>
      <c r="AP286" s="32">
        <v>19050</v>
      </c>
      <c r="AQ286" s="32">
        <v>19050</v>
      </c>
      <c r="AR286" s="32">
        <v>19050</v>
      </c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CR286">
        <v>588070</v>
      </c>
      <c r="CS286">
        <v>3</v>
      </c>
    </row>
    <row r="287" spans="1:97" x14ac:dyDescent="0.4">
      <c r="A287" t="s">
        <v>881</v>
      </c>
      <c r="D287" t="s">
        <v>2370</v>
      </c>
      <c r="E287" t="s">
        <v>2371</v>
      </c>
      <c r="F287" t="s">
        <v>882</v>
      </c>
      <c r="G287" t="s">
        <v>3608</v>
      </c>
      <c r="H287">
        <v>9086217600</v>
      </c>
      <c r="I287" t="s">
        <v>883</v>
      </c>
      <c r="J287" t="s">
        <v>2433</v>
      </c>
      <c r="L287" t="s">
        <v>3609</v>
      </c>
      <c r="M287" t="s">
        <v>3194</v>
      </c>
      <c r="N287" t="s">
        <v>3610</v>
      </c>
      <c r="O287" t="s">
        <v>3611</v>
      </c>
      <c r="Q287" t="s">
        <v>2438</v>
      </c>
      <c r="R287" s="30">
        <v>45270</v>
      </c>
      <c r="S287" t="s">
        <v>44</v>
      </c>
      <c r="T287" s="30">
        <v>45828</v>
      </c>
      <c r="U287" s="20">
        <v>114300</v>
      </c>
      <c r="V287" s="31"/>
      <c r="W287" s="31"/>
      <c r="X287" s="31"/>
      <c r="Y287" s="31"/>
      <c r="Z287" s="31">
        <f t="shared" si="46"/>
        <v>114300</v>
      </c>
      <c r="AA287" s="31"/>
      <c r="AB287" s="31"/>
      <c r="AC287" s="31"/>
      <c r="AD287" s="31"/>
      <c r="AE287" s="31"/>
      <c r="AF287" s="31"/>
      <c r="AG287" s="31"/>
      <c r="AH287" s="31"/>
      <c r="AI287" s="32"/>
      <c r="AJ287" s="32"/>
      <c r="AK287" s="32"/>
      <c r="AL287" s="32"/>
      <c r="AM287" s="32">
        <v>19050</v>
      </c>
      <c r="AN287" s="32">
        <v>19050</v>
      </c>
      <c r="AO287" s="32">
        <v>19050</v>
      </c>
      <c r="AP287" s="32">
        <v>19050</v>
      </c>
      <c r="AQ287" s="32">
        <v>19050</v>
      </c>
      <c r="AR287" s="32">
        <v>19050</v>
      </c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CR287">
        <v>588070</v>
      </c>
      <c r="CS287">
        <v>3</v>
      </c>
    </row>
    <row r="288" spans="1:97" s="36" customFormat="1" x14ac:dyDescent="0.4">
      <c r="A288" s="36" t="s">
        <v>884</v>
      </c>
      <c r="D288" s="36" t="s">
        <v>2370</v>
      </c>
      <c r="E288" s="36" t="s">
        <v>2371</v>
      </c>
      <c r="F288" s="36" t="s">
        <v>885</v>
      </c>
      <c r="G288" s="36" t="s">
        <v>3612</v>
      </c>
      <c r="H288" s="36">
        <v>488841636</v>
      </c>
      <c r="I288" s="36" t="s">
        <v>886</v>
      </c>
      <c r="J288" s="36" t="s">
        <v>2433</v>
      </c>
      <c r="L288" s="36" t="s">
        <v>3613</v>
      </c>
      <c r="M288" s="36" t="s">
        <v>2465</v>
      </c>
      <c r="N288" s="36" t="s">
        <v>3614</v>
      </c>
      <c r="O288" s="36" t="s">
        <v>3615</v>
      </c>
      <c r="Q288" s="36" t="s">
        <v>2637</v>
      </c>
      <c r="R288" s="37">
        <v>45270</v>
      </c>
      <c r="S288" s="36" t="s">
        <v>3191</v>
      </c>
      <c r="T288" s="37">
        <v>45736</v>
      </c>
      <c r="U288" s="37"/>
      <c r="V288" s="38"/>
      <c r="W288" s="34">
        <f>+U288</f>
        <v>0</v>
      </c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9"/>
      <c r="AJ288" s="35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5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CR288" s="36">
        <v>774202</v>
      </c>
      <c r="CS288" s="36">
        <v>18</v>
      </c>
    </row>
    <row r="289" spans="1:97" x14ac:dyDescent="0.4">
      <c r="A289" t="s">
        <v>887</v>
      </c>
      <c r="D289" t="s">
        <v>2370</v>
      </c>
      <c r="E289" t="s">
        <v>2371</v>
      </c>
      <c r="F289" t="s">
        <v>888</v>
      </c>
      <c r="G289" t="s">
        <v>3616</v>
      </c>
      <c r="H289">
        <v>9014829134</v>
      </c>
      <c r="I289" t="s">
        <v>889</v>
      </c>
      <c r="J289" t="s">
        <v>2433</v>
      </c>
      <c r="L289" t="s">
        <v>3617</v>
      </c>
      <c r="M289" t="s">
        <v>2460</v>
      </c>
      <c r="N289" t="s">
        <v>3618</v>
      </c>
      <c r="O289" t="s">
        <v>3619</v>
      </c>
      <c r="Q289" t="s">
        <v>2637</v>
      </c>
      <c r="R289" s="30">
        <v>45270</v>
      </c>
      <c r="S289" t="s">
        <v>44</v>
      </c>
      <c r="T289" s="30">
        <v>45828</v>
      </c>
      <c r="U289" s="20">
        <v>114300</v>
      </c>
      <c r="V289" s="31"/>
      <c r="W289" s="31"/>
      <c r="X289" s="31"/>
      <c r="Y289" s="31"/>
      <c r="Z289" s="31">
        <f t="shared" ref="Z289:Z292" si="47">+U289</f>
        <v>114300</v>
      </c>
      <c r="AA289" s="31"/>
      <c r="AB289" s="31"/>
      <c r="AC289" s="31"/>
      <c r="AD289" s="31"/>
      <c r="AE289" s="31"/>
      <c r="AF289" s="31"/>
      <c r="AG289" s="31"/>
      <c r="AH289" s="31"/>
      <c r="AI289" s="32"/>
      <c r="AJ289" s="32"/>
      <c r="AK289" s="32"/>
      <c r="AL289" s="32"/>
      <c r="AM289" s="32">
        <v>19050</v>
      </c>
      <c r="AN289" s="32">
        <v>19050</v>
      </c>
      <c r="AO289" s="32">
        <v>19050</v>
      </c>
      <c r="AP289" s="32">
        <v>19050</v>
      </c>
      <c r="AQ289" s="32">
        <v>19050</v>
      </c>
      <c r="AR289" s="32">
        <v>19050</v>
      </c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CR289">
        <v>592960</v>
      </c>
      <c r="CS289">
        <v>4</v>
      </c>
    </row>
    <row r="290" spans="1:97" x14ac:dyDescent="0.4">
      <c r="A290" t="s">
        <v>890</v>
      </c>
      <c r="D290" t="s">
        <v>2370</v>
      </c>
      <c r="E290" t="s">
        <v>2371</v>
      </c>
      <c r="F290" t="s">
        <v>891</v>
      </c>
      <c r="G290" t="s">
        <v>3620</v>
      </c>
      <c r="H290">
        <v>9049501712</v>
      </c>
      <c r="I290" t="s">
        <v>892</v>
      </c>
      <c r="J290" t="s">
        <v>2433</v>
      </c>
      <c r="L290" t="s">
        <v>3621</v>
      </c>
      <c r="M290" t="s">
        <v>2444</v>
      </c>
      <c r="N290" t="s">
        <v>3622</v>
      </c>
      <c r="O290" t="s">
        <v>3623</v>
      </c>
      <c r="R290" s="30">
        <v>45270</v>
      </c>
      <c r="S290" t="s">
        <v>44</v>
      </c>
      <c r="T290" s="30">
        <v>45828</v>
      </c>
      <c r="U290" s="20">
        <v>114300</v>
      </c>
      <c r="V290" s="31"/>
      <c r="W290" s="31"/>
      <c r="X290" s="31"/>
      <c r="Y290" s="31"/>
      <c r="Z290" s="31">
        <f t="shared" si="47"/>
        <v>114300</v>
      </c>
      <c r="AA290" s="31"/>
      <c r="AB290" s="31"/>
      <c r="AC290" s="31"/>
      <c r="AD290" s="31"/>
      <c r="AE290" s="31"/>
      <c r="AF290" s="31"/>
      <c r="AG290" s="31"/>
      <c r="AH290" s="31"/>
      <c r="AI290" s="32"/>
      <c r="AJ290" s="32"/>
      <c r="AK290" s="32"/>
      <c r="AL290" s="32"/>
      <c r="AM290" s="32">
        <v>19050</v>
      </c>
      <c r="AN290" s="32">
        <v>19050</v>
      </c>
      <c r="AO290" s="32">
        <v>19050</v>
      </c>
      <c r="AP290" s="32">
        <v>19050</v>
      </c>
      <c r="AQ290" s="32">
        <v>19050</v>
      </c>
      <c r="AR290" s="32">
        <v>19050</v>
      </c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CR290">
        <v>588070</v>
      </c>
      <c r="CS290">
        <v>3</v>
      </c>
    </row>
    <row r="291" spans="1:97" x14ac:dyDescent="0.4">
      <c r="A291" t="s">
        <v>893</v>
      </c>
      <c r="D291" t="s">
        <v>2370</v>
      </c>
      <c r="E291" t="s">
        <v>2371</v>
      </c>
      <c r="F291" t="s">
        <v>894</v>
      </c>
      <c r="G291" t="s">
        <v>3624</v>
      </c>
      <c r="H291">
        <v>9027765964</v>
      </c>
      <c r="I291" t="s">
        <v>895</v>
      </c>
      <c r="J291" t="s">
        <v>2433</v>
      </c>
      <c r="L291" t="s">
        <v>3625</v>
      </c>
      <c r="M291" t="s">
        <v>2500</v>
      </c>
      <c r="N291" t="s">
        <v>3626</v>
      </c>
      <c r="O291" t="s">
        <v>3627</v>
      </c>
      <c r="Q291" t="s">
        <v>2438</v>
      </c>
      <c r="R291" s="30">
        <v>45270</v>
      </c>
      <c r="S291" t="s">
        <v>44</v>
      </c>
      <c r="T291" s="30">
        <v>45828</v>
      </c>
      <c r="U291" s="20">
        <v>114300</v>
      </c>
      <c r="V291" s="31"/>
      <c r="W291" s="31"/>
      <c r="X291" s="31"/>
      <c r="Y291" s="31"/>
      <c r="Z291" s="31">
        <f t="shared" si="47"/>
        <v>114300</v>
      </c>
      <c r="AA291" s="31"/>
      <c r="AB291" s="31"/>
      <c r="AC291" s="31"/>
      <c r="AD291" s="31"/>
      <c r="AE291" s="31"/>
      <c r="AF291" s="31"/>
      <c r="AG291" s="31"/>
      <c r="AH291" s="31"/>
      <c r="AI291" s="32"/>
      <c r="AJ291" s="32"/>
      <c r="AK291" s="32"/>
      <c r="AL291" s="32"/>
      <c r="AM291" s="32">
        <v>19050</v>
      </c>
      <c r="AN291" s="32">
        <v>19050</v>
      </c>
      <c r="AO291" s="32">
        <v>19050</v>
      </c>
      <c r="AP291" s="32">
        <v>19050</v>
      </c>
      <c r="AQ291" s="32">
        <v>19050</v>
      </c>
      <c r="AR291" s="32">
        <v>19050</v>
      </c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CR291">
        <v>804220</v>
      </c>
      <c r="CS291">
        <v>5</v>
      </c>
    </row>
    <row r="292" spans="1:97" x14ac:dyDescent="0.4">
      <c r="A292" t="s">
        <v>896</v>
      </c>
      <c r="D292" t="s">
        <v>2370</v>
      </c>
      <c r="E292" t="s">
        <v>2371</v>
      </c>
      <c r="F292" t="s">
        <v>897</v>
      </c>
      <c r="G292" t="s">
        <v>3628</v>
      </c>
      <c r="H292">
        <v>9015733718</v>
      </c>
      <c r="I292" t="s">
        <v>898</v>
      </c>
      <c r="J292" t="s">
        <v>2433</v>
      </c>
      <c r="L292" t="s">
        <v>3629</v>
      </c>
      <c r="M292" t="s">
        <v>2435</v>
      </c>
      <c r="N292" t="s">
        <v>3630</v>
      </c>
      <c r="O292" t="s">
        <v>3631</v>
      </c>
      <c r="Q292" t="s">
        <v>2438</v>
      </c>
      <c r="R292" s="30">
        <v>45270</v>
      </c>
      <c r="S292" t="s">
        <v>44</v>
      </c>
      <c r="T292" s="30">
        <v>45828</v>
      </c>
      <c r="U292" s="20">
        <v>114300</v>
      </c>
      <c r="V292" s="31"/>
      <c r="W292" s="31"/>
      <c r="X292" s="31"/>
      <c r="Y292" s="31"/>
      <c r="Z292" s="31">
        <f t="shared" si="47"/>
        <v>114300</v>
      </c>
      <c r="AA292" s="31"/>
      <c r="AB292" s="31"/>
      <c r="AC292" s="31"/>
      <c r="AD292" s="31"/>
      <c r="AE292" s="31"/>
      <c r="AF292" s="31"/>
      <c r="AG292" s="31"/>
      <c r="AH292" s="31"/>
      <c r="AI292" s="32"/>
      <c r="AJ292" s="32"/>
      <c r="AK292" s="32"/>
      <c r="AL292" s="32"/>
      <c r="AM292" s="32">
        <v>19050</v>
      </c>
      <c r="AN292" s="32">
        <v>19050</v>
      </c>
      <c r="AO292" s="32">
        <v>19050</v>
      </c>
      <c r="AP292" s="32">
        <v>19050</v>
      </c>
      <c r="AQ292" s="32">
        <v>19050</v>
      </c>
      <c r="AR292" s="32">
        <v>19050</v>
      </c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CR292">
        <v>588070</v>
      </c>
      <c r="CS292">
        <v>3</v>
      </c>
    </row>
    <row r="293" spans="1:97" x14ac:dyDescent="0.4">
      <c r="A293" t="s">
        <v>3632</v>
      </c>
      <c r="D293" t="s">
        <v>2370</v>
      </c>
      <c r="E293" t="s">
        <v>2371</v>
      </c>
      <c r="F293" t="s">
        <v>3633</v>
      </c>
      <c r="G293" t="s">
        <v>3634</v>
      </c>
      <c r="H293">
        <v>9043296886</v>
      </c>
      <c r="I293" t="s">
        <v>3635</v>
      </c>
      <c r="J293" t="s">
        <v>2433</v>
      </c>
      <c r="L293" t="s">
        <v>3636</v>
      </c>
      <c r="M293" t="s">
        <v>2541</v>
      </c>
      <c r="N293" t="s">
        <v>3637</v>
      </c>
      <c r="O293" t="s">
        <v>3638</v>
      </c>
      <c r="Q293" t="s">
        <v>2438</v>
      </c>
      <c r="R293" s="30">
        <v>45270</v>
      </c>
      <c r="S293" t="s">
        <v>44</v>
      </c>
      <c r="T293" s="30">
        <v>45889</v>
      </c>
      <c r="U293" s="20">
        <v>114300</v>
      </c>
      <c r="V293" s="31"/>
      <c r="W293" s="31"/>
      <c r="X293" s="31"/>
      <c r="Y293" s="31"/>
      <c r="Z293" s="31"/>
      <c r="AA293" s="31"/>
      <c r="AB293" s="31">
        <f>+U293</f>
        <v>114300</v>
      </c>
      <c r="AC293" s="31"/>
      <c r="AD293" s="31"/>
      <c r="AE293" s="31"/>
      <c r="AF293" s="31"/>
      <c r="AG293" s="31"/>
      <c r="AH293" s="31"/>
      <c r="AI293" s="32"/>
      <c r="AJ293" s="32"/>
      <c r="AK293" s="32"/>
      <c r="AL293" s="32"/>
      <c r="AM293" s="32"/>
      <c r="AN293" s="32"/>
      <c r="AO293" s="32">
        <v>19050</v>
      </c>
      <c r="AP293" s="32">
        <v>19050</v>
      </c>
      <c r="AQ293" s="32">
        <v>19050</v>
      </c>
      <c r="AR293" s="32">
        <v>19050</v>
      </c>
      <c r="AS293" s="32">
        <v>19050</v>
      </c>
      <c r="AT293" s="32">
        <v>19050</v>
      </c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CR293">
        <v>702060</v>
      </c>
      <c r="CS293">
        <v>11</v>
      </c>
    </row>
    <row r="294" spans="1:97" x14ac:dyDescent="0.4">
      <c r="A294" t="s">
        <v>899</v>
      </c>
      <c r="D294" t="s">
        <v>2370</v>
      </c>
      <c r="E294" t="s">
        <v>2371</v>
      </c>
      <c r="F294" t="s">
        <v>900</v>
      </c>
      <c r="G294" t="s">
        <v>3639</v>
      </c>
      <c r="H294">
        <v>9089077554</v>
      </c>
      <c r="I294" t="s">
        <v>901</v>
      </c>
      <c r="J294" t="s">
        <v>2433</v>
      </c>
      <c r="L294" t="s">
        <v>3640</v>
      </c>
      <c r="M294" t="s">
        <v>2455</v>
      </c>
      <c r="N294" t="s">
        <v>3641</v>
      </c>
      <c r="O294" t="s">
        <v>3642</v>
      </c>
      <c r="Q294" t="s">
        <v>2438</v>
      </c>
      <c r="R294" s="30">
        <v>45270</v>
      </c>
      <c r="S294" t="s">
        <v>50</v>
      </c>
      <c r="T294" s="30">
        <v>45828</v>
      </c>
      <c r="U294" s="20">
        <v>114300</v>
      </c>
      <c r="V294" s="31"/>
      <c r="W294" s="31"/>
      <c r="X294" s="31"/>
      <c r="Y294" s="31"/>
      <c r="Z294" s="31">
        <f t="shared" ref="Z294:Z297" si="48">+U294</f>
        <v>114300</v>
      </c>
      <c r="AA294" s="31"/>
      <c r="AB294" s="31"/>
      <c r="AC294" s="31"/>
      <c r="AD294" s="31"/>
      <c r="AE294" s="31"/>
      <c r="AF294" s="31"/>
      <c r="AG294" s="31"/>
      <c r="AH294" s="31"/>
      <c r="AI294" s="32"/>
      <c r="AJ294" s="32"/>
      <c r="AK294" s="32"/>
      <c r="AL294" s="32"/>
      <c r="AM294" s="32">
        <v>19050</v>
      </c>
      <c r="AN294" s="32">
        <v>19050</v>
      </c>
      <c r="AO294" s="32">
        <v>19050</v>
      </c>
      <c r="AP294" s="32">
        <v>19050</v>
      </c>
      <c r="AQ294" s="32">
        <v>19050</v>
      </c>
      <c r="AR294" s="32">
        <v>19050</v>
      </c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CR294">
        <v>588070</v>
      </c>
      <c r="CS294">
        <v>3</v>
      </c>
    </row>
    <row r="295" spans="1:97" x14ac:dyDescent="0.4">
      <c r="A295" t="s">
        <v>902</v>
      </c>
      <c r="D295" t="s">
        <v>2370</v>
      </c>
      <c r="E295" t="s">
        <v>2371</v>
      </c>
      <c r="F295" t="s">
        <v>903</v>
      </c>
      <c r="G295" t="s">
        <v>3643</v>
      </c>
      <c r="H295">
        <v>9072156049</v>
      </c>
      <c r="I295" t="s">
        <v>904</v>
      </c>
      <c r="J295" t="s">
        <v>2433</v>
      </c>
      <c r="L295" t="s">
        <v>3644</v>
      </c>
      <c r="M295" t="s">
        <v>2483</v>
      </c>
      <c r="N295" t="s">
        <v>3645</v>
      </c>
      <c r="O295" s="42">
        <v>45919</v>
      </c>
      <c r="Q295" t="s">
        <v>2438</v>
      </c>
      <c r="R295" s="30">
        <v>45270</v>
      </c>
      <c r="S295" t="s">
        <v>44</v>
      </c>
      <c r="T295" s="30">
        <v>45828</v>
      </c>
      <c r="U295" s="20">
        <v>114300</v>
      </c>
      <c r="V295" s="31"/>
      <c r="W295" s="31"/>
      <c r="X295" s="31"/>
      <c r="Y295" s="31"/>
      <c r="Z295" s="31">
        <f t="shared" si="48"/>
        <v>114300</v>
      </c>
      <c r="AA295" s="31"/>
      <c r="AB295" s="31"/>
      <c r="AC295" s="31"/>
      <c r="AD295" s="31"/>
      <c r="AE295" s="31"/>
      <c r="AF295" s="31"/>
      <c r="AG295" s="31"/>
      <c r="AH295" s="31"/>
      <c r="AI295" s="32"/>
      <c r="AJ295" s="32"/>
      <c r="AK295" s="32"/>
      <c r="AL295" s="32"/>
      <c r="AM295" s="32">
        <v>19050</v>
      </c>
      <c r="AN295" s="32">
        <v>19050</v>
      </c>
      <c r="AO295" s="32">
        <v>19050</v>
      </c>
      <c r="AP295" s="32">
        <v>19050</v>
      </c>
      <c r="AQ295" s="32">
        <v>19050</v>
      </c>
      <c r="AR295" s="32">
        <v>19050</v>
      </c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CR295">
        <v>612952</v>
      </c>
      <c r="CS295">
        <v>10</v>
      </c>
    </row>
    <row r="296" spans="1:97" x14ac:dyDescent="0.4">
      <c r="A296" t="s">
        <v>905</v>
      </c>
      <c r="D296" t="s">
        <v>2370</v>
      </c>
      <c r="E296" t="s">
        <v>2371</v>
      </c>
      <c r="F296" t="s">
        <v>906</v>
      </c>
      <c r="G296" t="s">
        <v>3646</v>
      </c>
      <c r="H296">
        <v>9030068954</v>
      </c>
      <c r="I296" t="s">
        <v>907</v>
      </c>
      <c r="J296" t="s">
        <v>2433</v>
      </c>
      <c r="L296" t="s">
        <v>3647</v>
      </c>
      <c r="M296" t="s">
        <v>2444</v>
      </c>
      <c r="N296" t="s">
        <v>3648</v>
      </c>
      <c r="O296" s="41">
        <v>38691</v>
      </c>
      <c r="Q296" t="s">
        <v>2438</v>
      </c>
      <c r="R296" s="30">
        <v>45270</v>
      </c>
      <c r="S296" t="s">
        <v>44</v>
      </c>
      <c r="T296" s="30">
        <v>45828</v>
      </c>
      <c r="U296" s="20">
        <v>114300</v>
      </c>
      <c r="V296" s="31"/>
      <c r="W296" s="31"/>
      <c r="X296" s="31"/>
      <c r="Y296" s="31"/>
      <c r="Z296" s="31">
        <f t="shared" si="48"/>
        <v>114300</v>
      </c>
      <c r="AA296" s="31"/>
      <c r="AB296" s="31"/>
      <c r="AC296" s="31"/>
      <c r="AD296" s="31"/>
      <c r="AE296" s="31"/>
      <c r="AF296" s="31"/>
      <c r="AG296" s="31"/>
      <c r="AH296" s="31"/>
      <c r="AI296" s="32"/>
      <c r="AJ296" s="32"/>
      <c r="AK296" s="32"/>
      <c r="AL296" s="32"/>
      <c r="AM296" s="32">
        <v>19050</v>
      </c>
      <c r="AN296" s="32">
        <v>19050</v>
      </c>
      <c r="AO296" s="32">
        <v>19050</v>
      </c>
      <c r="AP296" s="32">
        <v>19050</v>
      </c>
      <c r="AQ296" s="32">
        <v>19050</v>
      </c>
      <c r="AR296" s="32">
        <v>19050</v>
      </c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CR296">
        <v>809110</v>
      </c>
      <c r="CS296">
        <v>12</v>
      </c>
    </row>
    <row r="297" spans="1:97" x14ac:dyDescent="0.4">
      <c r="A297" t="s">
        <v>908</v>
      </c>
      <c r="D297" t="s">
        <v>2370</v>
      </c>
      <c r="E297" t="s">
        <v>2371</v>
      </c>
      <c r="F297" t="s">
        <v>909</v>
      </c>
      <c r="G297" t="s">
        <v>3649</v>
      </c>
      <c r="H297">
        <v>8053065856</v>
      </c>
      <c r="I297" t="s">
        <v>910</v>
      </c>
      <c r="J297" t="s">
        <v>2433</v>
      </c>
      <c r="L297" t="s">
        <v>3650</v>
      </c>
      <c r="M297" t="s">
        <v>2435</v>
      </c>
      <c r="N297" t="s">
        <v>3651</v>
      </c>
      <c r="O297" s="41">
        <v>37688</v>
      </c>
      <c r="Q297" t="s">
        <v>2438</v>
      </c>
      <c r="R297" s="30">
        <v>45270</v>
      </c>
      <c r="S297" t="s">
        <v>44</v>
      </c>
      <c r="T297" s="30">
        <v>45828</v>
      </c>
      <c r="U297" s="20">
        <v>114300</v>
      </c>
      <c r="V297" s="31"/>
      <c r="W297" s="31"/>
      <c r="X297" s="31"/>
      <c r="Y297" s="31"/>
      <c r="Z297" s="31">
        <f t="shared" si="48"/>
        <v>114300</v>
      </c>
      <c r="AA297" s="31"/>
      <c r="AB297" s="31"/>
      <c r="AC297" s="31"/>
      <c r="AD297" s="31"/>
      <c r="AE297" s="31"/>
      <c r="AF297" s="31"/>
      <c r="AG297" s="31"/>
      <c r="AH297" s="31"/>
      <c r="AI297" s="32"/>
      <c r="AJ297" s="32"/>
      <c r="AK297" s="32"/>
      <c r="AL297" s="32"/>
      <c r="AM297" s="32">
        <v>19050</v>
      </c>
      <c r="AN297" s="32">
        <v>19050</v>
      </c>
      <c r="AO297" s="32">
        <v>19050</v>
      </c>
      <c r="AP297" s="32">
        <v>19050</v>
      </c>
      <c r="AQ297" s="32">
        <v>19050</v>
      </c>
      <c r="AR297" s="32">
        <v>19050</v>
      </c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CR297">
        <v>588070</v>
      </c>
      <c r="CS297">
        <v>3</v>
      </c>
    </row>
    <row r="298" spans="1:97" x14ac:dyDescent="0.4">
      <c r="A298" t="s">
        <v>911</v>
      </c>
      <c r="D298" t="s">
        <v>2370</v>
      </c>
      <c r="E298" t="s">
        <v>2371</v>
      </c>
      <c r="F298" t="s">
        <v>912</v>
      </c>
      <c r="G298" t="s">
        <v>3652</v>
      </c>
      <c r="H298">
        <v>9020968044</v>
      </c>
      <c r="I298" t="s">
        <v>913</v>
      </c>
      <c r="J298" t="s">
        <v>2433</v>
      </c>
      <c r="L298" t="s">
        <v>3653</v>
      </c>
      <c r="M298" t="s">
        <v>2715</v>
      </c>
      <c r="N298" t="s">
        <v>3654</v>
      </c>
      <c r="O298" s="41">
        <v>37449</v>
      </c>
      <c r="Q298" t="s">
        <v>2438</v>
      </c>
      <c r="R298" s="30">
        <v>45270</v>
      </c>
      <c r="S298" t="s">
        <v>25</v>
      </c>
      <c r="T298" s="30">
        <v>45736</v>
      </c>
      <c r="U298">
        <v>59400</v>
      </c>
      <c r="V298" s="34"/>
      <c r="W298" s="34">
        <f>+U298</f>
        <v>59400</v>
      </c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5"/>
      <c r="AJ298" s="32">
        <v>19800</v>
      </c>
      <c r="AK298" s="32">
        <v>19800</v>
      </c>
      <c r="AL298" s="32">
        <v>19800</v>
      </c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CR298">
        <v>749320</v>
      </c>
      <c r="CS298">
        <v>11</v>
      </c>
    </row>
    <row r="299" spans="1:97" x14ac:dyDescent="0.4">
      <c r="A299" t="s">
        <v>914</v>
      </c>
      <c r="D299" t="s">
        <v>2370</v>
      </c>
      <c r="E299" t="s">
        <v>2371</v>
      </c>
      <c r="F299" t="s">
        <v>915</v>
      </c>
      <c r="G299" t="s">
        <v>3655</v>
      </c>
      <c r="H299">
        <v>9021781569</v>
      </c>
      <c r="I299" t="s">
        <v>916</v>
      </c>
      <c r="J299" t="s">
        <v>2433</v>
      </c>
      <c r="L299" t="s">
        <v>3656</v>
      </c>
      <c r="M299" t="s">
        <v>2444</v>
      </c>
      <c r="N299" t="s">
        <v>3657</v>
      </c>
      <c r="O299" t="s">
        <v>3658</v>
      </c>
      <c r="Q299" t="s">
        <v>2438</v>
      </c>
      <c r="R299" s="30">
        <v>45270</v>
      </c>
      <c r="S299" t="s">
        <v>44</v>
      </c>
      <c r="T299" s="30">
        <v>45828</v>
      </c>
      <c r="U299" s="20">
        <v>114300</v>
      </c>
      <c r="V299" s="31"/>
      <c r="W299" s="31"/>
      <c r="X299" s="31"/>
      <c r="Y299" s="31"/>
      <c r="Z299" s="31">
        <f>+U299</f>
        <v>114300</v>
      </c>
      <c r="AA299" s="31"/>
      <c r="AB299" s="31"/>
      <c r="AC299" s="31"/>
      <c r="AD299" s="31"/>
      <c r="AE299" s="31"/>
      <c r="AF299" s="31"/>
      <c r="AG299" s="31"/>
      <c r="AH299" s="31"/>
      <c r="AI299" s="32"/>
      <c r="AJ299" s="32"/>
      <c r="AK299" s="32"/>
      <c r="AL299" s="32"/>
      <c r="AM299" s="32">
        <v>19050</v>
      </c>
      <c r="AN299" s="32">
        <v>19050</v>
      </c>
      <c r="AO299" s="32">
        <v>19050</v>
      </c>
      <c r="AP299" s="32">
        <v>19050</v>
      </c>
      <c r="AQ299" s="32">
        <v>19050</v>
      </c>
      <c r="AR299" s="32">
        <v>19050</v>
      </c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CR299">
        <v>592960</v>
      </c>
      <c r="CS299">
        <v>4</v>
      </c>
    </row>
    <row r="300" spans="1:97" x14ac:dyDescent="0.4">
      <c r="A300" t="s">
        <v>917</v>
      </c>
      <c r="D300" t="s">
        <v>2370</v>
      </c>
      <c r="E300" t="s">
        <v>2371</v>
      </c>
      <c r="F300" t="s">
        <v>918</v>
      </c>
      <c r="G300" t="s">
        <v>3659</v>
      </c>
      <c r="H300">
        <v>9076845095</v>
      </c>
      <c r="I300" t="s">
        <v>919</v>
      </c>
      <c r="J300" t="s">
        <v>2433</v>
      </c>
      <c r="L300" t="s">
        <v>3660</v>
      </c>
      <c r="M300" t="s">
        <v>2500</v>
      </c>
      <c r="N300" t="s">
        <v>3661</v>
      </c>
      <c r="O300" t="s">
        <v>3662</v>
      </c>
      <c r="Q300" t="s">
        <v>2438</v>
      </c>
      <c r="R300" s="30">
        <v>45270</v>
      </c>
      <c r="S300" t="s">
        <v>44</v>
      </c>
      <c r="T300" s="30">
        <v>45767</v>
      </c>
      <c r="U300" s="20">
        <v>114300</v>
      </c>
      <c r="V300" s="31"/>
      <c r="W300" s="34"/>
      <c r="X300" s="34">
        <f t="shared" ref="X300:X303" si="49">+U300</f>
        <v>114300</v>
      </c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2"/>
      <c r="AJ300" s="35"/>
      <c r="AK300" s="32">
        <v>19050</v>
      </c>
      <c r="AL300" s="32">
        <v>19050</v>
      </c>
      <c r="AM300" s="32">
        <v>19050</v>
      </c>
      <c r="AN300" s="32">
        <v>19050</v>
      </c>
      <c r="AO300" s="32">
        <v>19050</v>
      </c>
      <c r="AP300" s="32">
        <v>19050</v>
      </c>
      <c r="AQ300" s="32"/>
      <c r="AR300" s="32"/>
      <c r="AS300" s="32"/>
      <c r="AT300" s="32"/>
      <c r="AU300" s="32"/>
      <c r="AV300" s="35"/>
      <c r="AW300" s="35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CR300">
        <v>806000</v>
      </c>
      <c r="CS300">
        <v>19</v>
      </c>
    </row>
    <row r="301" spans="1:97" x14ac:dyDescent="0.4">
      <c r="A301" t="s">
        <v>921</v>
      </c>
      <c r="D301" t="s">
        <v>2370</v>
      </c>
      <c r="E301" t="s">
        <v>2371</v>
      </c>
      <c r="F301" t="s">
        <v>922</v>
      </c>
      <c r="G301" t="s">
        <v>3663</v>
      </c>
      <c r="H301">
        <v>9072965477</v>
      </c>
      <c r="I301" t="s">
        <v>923</v>
      </c>
      <c r="J301" t="s">
        <v>2433</v>
      </c>
      <c r="L301" t="s">
        <v>3664</v>
      </c>
      <c r="M301" t="s">
        <v>3221</v>
      </c>
      <c r="N301" t="s">
        <v>3665</v>
      </c>
      <c r="O301" t="s">
        <v>3666</v>
      </c>
      <c r="Q301" t="s">
        <v>2438</v>
      </c>
      <c r="R301" s="30">
        <v>45268</v>
      </c>
      <c r="S301" t="s">
        <v>44</v>
      </c>
      <c r="T301" s="30">
        <v>45767</v>
      </c>
      <c r="U301" s="20">
        <v>114300</v>
      </c>
      <c r="V301" s="31"/>
      <c r="W301" s="34"/>
      <c r="X301" s="34">
        <f t="shared" si="49"/>
        <v>114300</v>
      </c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2"/>
      <c r="AJ301" s="35"/>
      <c r="AK301" s="32">
        <v>19050</v>
      </c>
      <c r="AL301" s="32">
        <v>19050</v>
      </c>
      <c r="AM301" s="32">
        <v>19050</v>
      </c>
      <c r="AN301" s="32">
        <v>19050</v>
      </c>
      <c r="AO301" s="32">
        <v>19050</v>
      </c>
      <c r="AP301" s="32">
        <v>19050</v>
      </c>
      <c r="AQ301" s="32"/>
      <c r="AR301" s="32"/>
      <c r="AS301" s="32"/>
      <c r="AT301" s="32"/>
      <c r="AU301" s="32"/>
      <c r="AV301" s="35"/>
      <c r="AW301" s="35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CR301">
        <v>660900</v>
      </c>
      <c r="CS301">
        <v>3</v>
      </c>
    </row>
    <row r="302" spans="1:97" x14ac:dyDescent="0.4">
      <c r="A302" t="s">
        <v>925</v>
      </c>
      <c r="D302" t="s">
        <v>2370</v>
      </c>
      <c r="E302" t="s">
        <v>2371</v>
      </c>
      <c r="F302" t="s">
        <v>926</v>
      </c>
      <c r="G302" t="s">
        <v>3667</v>
      </c>
      <c r="H302">
        <v>9017125108</v>
      </c>
      <c r="I302" t="s">
        <v>927</v>
      </c>
      <c r="J302" t="s">
        <v>2433</v>
      </c>
      <c r="L302" t="s">
        <v>3668</v>
      </c>
      <c r="M302" t="s">
        <v>2460</v>
      </c>
      <c r="N302" t="s">
        <v>3669</v>
      </c>
      <c r="O302" t="s">
        <v>3670</v>
      </c>
      <c r="Q302" t="s">
        <v>2438</v>
      </c>
      <c r="R302" s="30">
        <v>45263</v>
      </c>
      <c r="S302" t="s">
        <v>44</v>
      </c>
      <c r="T302" s="30">
        <v>45767</v>
      </c>
      <c r="U302" s="20">
        <v>114300</v>
      </c>
      <c r="V302" s="31"/>
      <c r="W302" s="34"/>
      <c r="X302" s="34">
        <f t="shared" si="49"/>
        <v>114300</v>
      </c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2"/>
      <c r="AJ302" s="35"/>
      <c r="AK302" s="32">
        <v>19050</v>
      </c>
      <c r="AL302" s="32">
        <v>19050</v>
      </c>
      <c r="AM302" s="32">
        <v>19050</v>
      </c>
      <c r="AN302" s="32">
        <v>19050</v>
      </c>
      <c r="AO302" s="32">
        <v>19050</v>
      </c>
      <c r="AP302" s="32">
        <v>19050</v>
      </c>
      <c r="AQ302" s="32"/>
      <c r="AR302" s="32"/>
      <c r="AS302" s="32"/>
      <c r="AT302" s="32"/>
      <c r="AU302" s="32"/>
      <c r="AV302" s="35"/>
      <c r="AW302" s="35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CR302">
        <v>661900</v>
      </c>
      <c r="CS302">
        <v>4</v>
      </c>
    </row>
    <row r="303" spans="1:97" x14ac:dyDescent="0.4">
      <c r="A303" t="s">
        <v>929</v>
      </c>
      <c r="D303" t="s">
        <v>2370</v>
      </c>
      <c r="E303" t="s">
        <v>2371</v>
      </c>
      <c r="F303" t="s">
        <v>930</v>
      </c>
      <c r="G303" t="s">
        <v>3671</v>
      </c>
      <c r="H303">
        <v>9071170202</v>
      </c>
      <c r="I303" t="s">
        <v>931</v>
      </c>
      <c r="J303" t="s">
        <v>2433</v>
      </c>
      <c r="L303" t="s">
        <v>3672</v>
      </c>
      <c r="M303" t="s">
        <v>2435</v>
      </c>
      <c r="N303" t="s">
        <v>3673</v>
      </c>
      <c r="O303" t="s">
        <v>3674</v>
      </c>
      <c r="Q303" t="s">
        <v>2438</v>
      </c>
      <c r="R303" s="30">
        <v>45262</v>
      </c>
      <c r="S303" t="s">
        <v>44</v>
      </c>
      <c r="T303" s="30">
        <v>45767</v>
      </c>
      <c r="U303" s="20">
        <v>114300</v>
      </c>
      <c r="V303" s="31"/>
      <c r="W303" s="34"/>
      <c r="X303" s="34">
        <f t="shared" si="49"/>
        <v>114300</v>
      </c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2"/>
      <c r="AJ303" s="35"/>
      <c r="AK303" s="32">
        <v>19050</v>
      </c>
      <c r="AL303" s="32">
        <v>19050</v>
      </c>
      <c r="AM303" s="32">
        <v>19050</v>
      </c>
      <c r="AN303" s="32">
        <v>19050</v>
      </c>
      <c r="AO303" s="32">
        <v>19050</v>
      </c>
      <c r="AP303" s="32">
        <v>19050</v>
      </c>
      <c r="AQ303" s="32"/>
      <c r="AR303" s="32"/>
      <c r="AS303" s="32"/>
      <c r="AT303" s="32"/>
      <c r="AU303" s="32"/>
      <c r="AV303" s="35"/>
      <c r="AW303" s="35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CR303">
        <v>806000</v>
      </c>
      <c r="CS303">
        <v>19</v>
      </c>
    </row>
    <row r="304" spans="1:97" x14ac:dyDescent="0.4">
      <c r="A304" t="s">
        <v>933</v>
      </c>
      <c r="D304" t="s">
        <v>2370</v>
      </c>
      <c r="E304" t="s">
        <v>2371</v>
      </c>
      <c r="F304" t="s">
        <v>934</v>
      </c>
      <c r="G304" t="s">
        <v>3675</v>
      </c>
      <c r="H304">
        <v>9098368300</v>
      </c>
      <c r="I304" t="s">
        <v>935</v>
      </c>
      <c r="J304" t="s">
        <v>2433</v>
      </c>
      <c r="L304" t="s">
        <v>3676</v>
      </c>
      <c r="M304" t="s">
        <v>2444</v>
      </c>
      <c r="N304" t="s">
        <v>3677</v>
      </c>
      <c r="O304" t="s">
        <v>3678</v>
      </c>
      <c r="Q304" t="s">
        <v>2468</v>
      </c>
      <c r="R304" s="30">
        <v>45262</v>
      </c>
      <c r="S304" t="s">
        <v>44</v>
      </c>
      <c r="T304" s="30">
        <v>45828</v>
      </c>
      <c r="U304" s="20">
        <v>114300</v>
      </c>
      <c r="V304" s="31"/>
      <c r="W304" s="31"/>
      <c r="X304" s="31"/>
      <c r="Y304" s="31"/>
      <c r="Z304" s="31">
        <f t="shared" ref="Z304:Z307" si="50">+U304</f>
        <v>114300</v>
      </c>
      <c r="AA304" s="31"/>
      <c r="AB304" s="31"/>
      <c r="AC304" s="31"/>
      <c r="AD304" s="31"/>
      <c r="AE304" s="31"/>
      <c r="AF304" s="31"/>
      <c r="AG304" s="31"/>
      <c r="AH304" s="31"/>
      <c r="AI304" s="32"/>
      <c r="AJ304" s="32"/>
      <c r="AK304" s="32"/>
      <c r="AL304" s="32"/>
      <c r="AM304" s="32">
        <v>19050</v>
      </c>
      <c r="AN304" s="32">
        <v>19050</v>
      </c>
      <c r="AO304" s="32">
        <v>19050</v>
      </c>
      <c r="AP304" s="32">
        <v>19050</v>
      </c>
      <c r="AQ304" s="32">
        <v>19050</v>
      </c>
      <c r="AR304" s="32">
        <v>19050</v>
      </c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CR304">
        <v>546600</v>
      </c>
      <c r="CS304">
        <v>2</v>
      </c>
    </row>
    <row r="305" spans="1:97" x14ac:dyDescent="0.4">
      <c r="A305" t="s">
        <v>936</v>
      </c>
      <c r="D305" t="s">
        <v>2370</v>
      </c>
      <c r="E305" t="s">
        <v>2371</v>
      </c>
      <c r="F305" t="s">
        <v>937</v>
      </c>
      <c r="G305" t="s">
        <v>3679</v>
      </c>
      <c r="H305">
        <v>8052262907</v>
      </c>
      <c r="I305" t="s">
        <v>938</v>
      </c>
      <c r="J305" t="s">
        <v>2433</v>
      </c>
      <c r="L305" t="s">
        <v>3680</v>
      </c>
      <c r="M305" t="s">
        <v>2444</v>
      </c>
      <c r="N305" t="s">
        <v>3681</v>
      </c>
      <c r="O305" t="s">
        <v>3682</v>
      </c>
      <c r="Q305" t="s">
        <v>2468</v>
      </c>
      <c r="R305" s="30">
        <v>45259</v>
      </c>
      <c r="S305" t="s">
        <v>44</v>
      </c>
      <c r="T305" s="30">
        <v>45828</v>
      </c>
      <c r="U305" s="20">
        <v>114300</v>
      </c>
      <c r="V305" s="31"/>
      <c r="W305" s="31"/>
      <c r="X305" s="31"/>
      <c r="Y305" s="31"/>
      <c r="Z305" s="31">
        <f t="shared" si="50"/>
        <v>114300</v>
      </c>
      <c r="AA305" s="31"/>
      <c r="AB305" s="31"/>
      <c r="AC305" s="31"/>
      <c r="AD305" s="31"/>
      <c r="AE305" s="31"/>
      <c r="AF305" s="31"/>
      <c r="AG305" s="31"/>
      <c r="AH305" s="31"/>
      <c r="AI305" s="32"/>
      <c r="AJ305" s="32"/>
      <c r="AK305" s="32"/>
      <c r="AL305" s="32"/>
      <c r="AM305" s="32">
        <v>19050</v>
      </c>
      <c r="AN305" s="32">
        <v>19050</v>
      </c>
      <c r="AO305" s="32">
        <v>19050</v>
      </c>
      <c r="AP305" s="32">
        <v>19050</v>
      </c>
      <c r="AQ305" s="32">
        <v>19050</v>
      </c>
      <c r="AR305" s="32">
        <v>19050</v>
      </c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CR305">
        <v>592960</v>
      </c>
      <c r="CS305">
        <v>4</v>
      </c>
    </row>
    <row r="306" spans="1:97" x14ac:dyDescent="0.4">
      <c r="A306" t="s">
        <v>939</v>
      </c>
      <c r="D306" t="s">
        <v>2370</v>
      </c>
      <c r="E306" t="s">
        <v>2371</v>
      </c>
      <c r="F306" t="s">
        <v>940</v>
      </c>
      <c r="G306" t="s">
        <v>3683</v>
      </c>
      <c r="H306">
        <v>9078944317</v>
      </c>
      <c r="I306" t="s">
        <v>941</v>
      </c>
      <c r="J306" t="s">
        <v>2433</v>
      </c>
      <c r="L306" t="s">
        <v>3684</v>
      </c>
      <c r="M306" t="s">
        <v>2569</v>
      </c>
      <c r="N306" t="s">
        <v>3685</v>
      </c>
      <c r="O306" t="s">
        <v>3686</v>
      </c>
      <c r="Q306" t="s">
        <v>2957</v>
      </c>
      <c r="R306" s="30">
        <v>45233</v>
      </c>
      <c r="S306" t="s">
        <v>44</v>
      </c>
      <c r="T306" s="30">
        <v>45828</v>
      </c>
      <c r="U306" s="20">
        <v>114300</v>
      </c>
      <c r="V306" s="31"/>
      <c r="W306" s="31"/>
      <c r="X306" s="31"/>
      <c r="Y306" s="31"/>
      <c r="Z306" s="31">
        <f t="shared" si="50"/>
        <v>114300</v>
      </c>
      <c r="AA306" s="31"/>
      <c r="AB306" s="31"/>
      <c r="AC306" s="31"/>
      <c r="AD306" s="31"/>
      <c r="AE306" s="31"/>
      <c r="AF306" s="31"/>
      <c r="AG306" s="31"/>
      <c r="AH306" s="31"/>
      <c r="AI306" s="32"/>
      <c r="AJ306" s="32"/>
      <c r="AK306" s="32"/>
      <c r="AL306" s="32"/>
      <c r="AM306" s="32">
        <v>19050</v>
      </c>
      <c r="AN306" s="32">
        <v>19050</v>
      </c>
      <c r="AO306" s="32">
        <v>19050</v>
      </c>
      <c r="AP306" s="32">
        <v>19050</v>
      </c>
      <c r="AQ306" s="32">
        <v>19050</v>
      </c>
      <c r="AR306" s="32">
        <v>19050</v>
      </c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CR306">
        <v>762750</v>
      </c>
      <c r="CS306">
        <v>10</v>
      </c>
    </row>
    <row r="307" spans="1:97" x14ac:dyDescent="0.4">
      <c r="A307" t="s">
        <v>942</v>
      </c>
      <c r="D307" t="s">
        <v>2370</v>
      </c>
      <c r="E307" t="s">
        <v>2371</v>
      </c>
      <c r="F307" t="s">
        <v>943</v>
      </c>
      <c r="G307" t="s">
        <v>3687</v>
      </c>
      <c r="H307">
        <v>9057035561</v>
      </c>
      <c r="I307" t="s">
        <v>944</v>
      </c>
      <c r="J307" t="s">
        <v>2433</v>
      </c>
      <c r="L307" t="s">
        <v>3688</v>
      </c>
      <c r="M307" t="s">
        <v>3221</v>
      </c>
      <c r="N307" t="s">
        <v>3689</v>
      </c>
      <c r="O307" t="s">
        <v>3690</v>
      </c>
      <c r="Q307" t="s">
        <v>2468</v>
      </c>
      <c r="R307" s="30">
        <v>45234</v>
      </c>
      <c r="S307" t="s">
        <v>44</v>
      </c>
      <c r="T307" s="30">
        <v>45828</v>
      </c>
      <c r="U307" s="20">
        <v>114300</v>
      </c>
      <c r="V307" s="31"/>
      <c r="W307" s="31"/>
      <c r="X307" s="31"/>
      <c r="Y307" s="31"/>
      <c r="Z307" s="31">
        <f t="shared" si="50"/>
        <v>114300</v>
      </c>
      <c r="AA307" s="31"/>
      <c r="AB307" s="31"/>
      <c r="AC307" s="31"/>
      <c r="AD307" s="31"/>
      <c r="AE307" s="31"/>
      <c r="AF307" s="31"/>
      <c r="AG307" s="31"/>
      <c r="AH307" s="31"/>
      <c r="AI307" s="32"/>
      <c r="AJ307" s="32"/>
      <c r="AK307" s="32"/>
      <c r="AL307" s="32"/>
      <c r="AM307" s="32">
        <v>19050</v>
      </c>
      <c r="AN307" s="32">
        <v>19050</v>
      </c>
      <c r="AO307" s="32">
        <v>19050</v>
      </c>
      <c r="AP307" s="32">
        <v>19050</v>
      </c>
      <c r="AQ307" s="32">
        <v>19050</v>
      </c>
      <c r="AR307" s="32">
        <v>19050</v>
      </c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CR307">
        <v>546600</v>
      </c>
      <c r="CS307">
        <v>2</v>
      </c>
    </row>
    <row r="308" spans="1:97" x14ac:dyDescent="0.4">
      <c r="A308" t="s">
        <v>945</v>
      </c>
      <c r="D308" t="s">
        <v>2370</v>
      </c>
      <c r="E308" t="s">
        <v>2371</v>
      </c>
      <c r="F308" t="s">
        <v>946</v>
      </c>
      <c r="G308" t="s">
        <v>3691</v>
      </c>
      <c r="H308">
        <v>9090616951</v>
      </c>
      <c r="I308" t="s">
        <v>947</v>
      </c>
      <c r="J308" t="s">
        <v>2433</v>
      </c>
      <c r="L308" t="s">
        <v>3692</v>
      </c>
      <c r="M308" t="s">
        <v>3587</v>
      </c>
      <c r="N308" t="s">
        <v>3693</v>
      </c>
      <c r="O308">
        <v>3379</v>
      </c>
      <c r="Q308" t="s">
        <v>2468</v>
      </c>
      <c r="R308" s="30">
        <v>45227</v>
      </c>
      <c r="S308" t="s">
        <v>25</v>
      </c>
      <c r="T308" s="30">
        <v>45736</v>
      </c>
      <c r="U308">
        <v>59400</v>
      </c>
      <c r="V308" s="34"/>
      <c r="W308" s="34">
        <f>+U308</f>
        <v>59400</v>
      </c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5"/>
      <c r="AJ308" s="32">
        <v>19800</v>
      </c>
      <c r="AK308" s="32">
        <v>19800</v>
      </c>
      <c r="AL308" s="32">
        <v>19800</v>
      </c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CR308">
        <v>707850</v>
      </c>
      <c r="CS308">
        <v>4</v>
      </c>
    </row>
    <row r="309" spans="1:97" x14ac:dyDescent="0.4">
      <c r="A309" t="s">
        <v>948</v>
      </c>
      <c r="D309" t="s">
        <v>2370</v>
      </c>
      <c r="E309" t="s">
        <v>2371</v>
      </c>
      <c r="F309" t="s">
        <v>949</v>
      </c>
      <c r="G309" t="s">
        <v>3694</v>
      </c>
      <c r="H309">
        <v>9088772768</v>
      </c>
      <c r="I309" t="s">
        <v>950</v>
      </c>
      <c r="J309" t="s">
        <v>2433</v>
      </c>
      <c r="L309" t="s">
        <v>3695</v>
      </c>
      <c r="M309" t="s">
        <v>2465</v>
      </c>
      <c r="N309" t="s">
        <v>3696</v>
      </c>
      <c r="O309" t="s">
        <v>3697</v>
      </c>
      <c r="Q309" t="s">
        <v>2468</v>
      </c>
      <c r="R309" s="30">
        <v>45227</v>
      </c>
      <c r="S309" t="s">
        <v>44</v>
      </c>
      <c r="T309" s="30">
        <v>45828</v>
      </c>
      <c r="U309" s="20">
        <v>114300</v>
      </c>
      <c r="V309" s="31"/>
      <c r="W309" s="31"/>
      <c r="X309" s="31"/>
      <c r="Y309" s="31"/>
      <c r="Z309" s="31">
        <f>+U309</f>
        <v>114300</v>
      </c>
      <c r="AA309" s="31"/>
      <c r="AB309" s="31"/>
      <c r="AC309" s="31"/>
      <c r="AD309" s="31"/>
      <c r="AE309" s="31"/>
      <c r="AF309" s="31"/>
      <c r="AG309" s="31"/>
      <c r="AH309" s="31"/>
      <c r="AI309" s="32"/>
      <c r="AJ309" s="32"/>
      <c r="AK309" s="32"/>
      <c r="AL309" s="32"/>
      <c r="AM309" s="32">
        <v>19050</v>
      </c>
      <c r="AN309" s="32">
        <v>19050</v>
      </c>
      <c r="AO309" s="32">
        <v>19050</v>
      </c>
      <c r="AP309" s="32">
        <v>19050</v>
      </c>
      <c r="AQ309" s="32">
        <v>19050</v>
      </c>
      <c r="AR309" s="32">
        <v>19050</v>
      </c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CR309">
        <v>478660</v>
      </c>
      <c r="CS309">
        <v>3</v>
      </c>
    </row>
    <row r="310" spans="1:97" x14ac:dyDescent="0.4">
      <c r="A310" t="s">
        <v>951</v>
      </c>
      <c r="D310" t="s">
        <v>2370</v>
      </c>
      <c r="E310" t="s">
        <v>2371</v>
      </c>
      <c r="F310" t="s">
        <v>952</v>
      </c>
      <c r="G310" t="s">
        <v>3698</v>
      </c>
      <c r="H310">
        <v>9052035536</v>
      </c>
      <c r="I310" t="s">
        <v>953</v>
      </c>
      <c r="J310" t="s">
        <v>2433</v>
      </c>
      <c r="L310" t="s">
        <v>3699</v>
      </c>
      <c r="M310" t="s">
        <v>2598</v>
      </c>
      <c r="N310" t="s">
        <v>3700</v>
      </c>
      <c r="O310" t="s">
        <v>3701</v>
      </c>
      <c r="Q310" t="s">
        <v>2468</v>
      </c>
      <c r="R310" s="30">
        <v>45225</v>
      </c>
      <c r="S310" t="s">
        <v>25</v>
      </c>
      <c r="T310" s="30">
        <v>45736</v>
      </c>
      <c r="U310">
        <v>59400</v>
      </c>
      <c r="V310" s="34"/>
      <c r="W310" s="34">
        <f>+U310</f>
        <v>59400</v>
      </c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5"/>
      <c r="AJ310" s="32">
        <v>19800</v>
      </c>
      <c r="AK310" s="32">
        <v>19800</v>
      </c>
      <c r="AL310" s="32">
        <v>19800</v>
      </c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CR310">
        <v>491700</v>
      </c>
      <c r="CS310">
        <v>2</v>
      </c>
    </row>
    <row r="311" spans="1:97" x14ac:dyDescent="0.4">
      <c r="A311" t="s">
        <v>954</v>
      </c>
      <c r="D311" t="s">
        <v>2370</v>
      </c>
      <c r="E311" t="s">
        <v>2371</v>
      </c>
      <c r="F311" t="s">
        <v>955</v>
      </c>
      <c r="G311" t="s">
        <v>3702</v>
      </c>
      <c r="H311">
        <v>8043351962</v>
      </c>
      <c r="I311" t="s">
        <v>956</v>
      </c>
      <c r="J311" t="s">
        <v>2433</v>
      </c>
      <c r="L311" t="s">
        <v>3703</v>
      </c>
      <c r="M311" t="s">
        <v>2465</v>
      </c>
      <c r="N311" t="s">
        <v>3704</v>
      </c>
      <c r="O311" s="41">
        <v>36953</v>
      </c>
      <c r="Q311" t="s">
        <v>2438</v>
      </c>
      <c r="R311" s="30">
        <v>45208</v>
      </c>
      <c r="S311" t="s">
        <v>44</v>
      </c>
      <c r="T311" s="30">
        <v>45828</v>
      </c>
      <c r="U311" s="20">
        <v>114300</v>
      </c>
      <c r="V311" s="31"/>
      <c r="W311" s="31"/>
      <c r="X311" s="31"/>
      <c r="Y311" s="31"/>
      <c r="Z311" s="31">
        <f t="shared" ref="Z311:Z320" si="51">+U311</f>
        <v>114300</v>
      </c>
      <c r="AA311" s="31"/>
      <c r="AB311" s="31"/>
      <c r="AC311" s="31"/>
      <c r="AD311" s="31"/>
      <c r="AE311" s="31"/>
      <c r="AF311" s="31"/>
      <c r="AG311" s="31"/>
      <c r="AH311" s="31"/>
      <c r="AI311" s="32"/>
      <c r="AJ311" s="32"/>
      <c r="AK311" s="32"/>
      <c r="AL311" s="32"/>
      <c r="AM311" s="32">
        <v>19050</v>
      </c>
      <c r="AN311" s="32">
        <v>19050</v>
      </c>
      <c r="AO311" s="32">
        <v>19050</v>
      </c>
      <c r="AP311" s="32">
        <v>19050</v>
      </c>
      <c r="AQ311" s="32">
        <v>19050</v>
      </c>
      <c r="AR311" s="32">
        <v>19050</v>
      </c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CR311">
        <v>669190</v>
      </c>
      <c r="CS311">
        <v>4</v>
      </c>
    </row>
    <row r="312" spans="1:97" x14ac:dyDescent="0.4">
      <c r="A312" t="s">
        <v>957</v>
      </c>
      <c r="D312" t="s">
        <v>2370</v>
      </c>
      <c r="E312" t="s">
        <v>2371</v>
      </c>
      <c r="F312" t="s">
        <v>958</v>
      </c>
      <c r="G312" t="s">
        <v>3705</v>
      </c>
      <c r="H312">
        <v>8079831239</v>
      </c>
      <c r="I312" t="s">
        <v>959</v>
      </c>
      <c r="J312" t="s">
        <v>2433</v>
      </c>
      <c r="L312" t="s">
        <v>3706</v>
      </c>
      <c r="M312" t="s">
        <v>3085</v>
      </c>
      <c r="N312" t="s">
        <v>3707</v>
      </c>
      <c r="O312" t="s">
        <v>3708</v>
      </c>
      <c r="Q312" t="s">
        <v>2438</v>
      </c>
      <c r="R312" s="30">
        <v>45208</v>
      </c>
      <c r="S312" t="s">
        <v>44</v>
      </c>
      <c r="T312" s="30">
        <v>45828</v>
      </c>
      <c r="U312" s="20">
        <v>114300</v>
      </c>
      <c r="V312" s="31"/>
      <c r="W312" s="31"/>
      <c r="X312" s="31"/>
      <c r="Y312" s="31"/>
      <c r="Z312" s="31">
        <f t="shared" si="51"/>
        <v>114300</v>
      </c>
      <c r="AA312" s="31"/>
      <c r="AB312" s="31"/>
      <c r="AC312" s="31"/>
      <c r="AD312" s="31"/>
      <c r="AE312" s="31"/>
      <c r="AF312" s="31"/>
      <c r="AG312" s="31"/>
      <c r="AH312" s="31"/>
      <c r="AI312" s="32"/>
      <c r="AJ312" s="32"/>
      <c r="AK312" s="32"/>
      <c r="AL312" s="32"/>
      <c r="AM312" s="32">
        <v>19050</v>
      </c>
      <c r="AN312" s="32">
        <v>19050</v>
      </c>
      <c r="AO312" s="32">
        <v>19050</v>
      </c>
      <c r="AP312" s="32">
        <v>19050</v>
      </c>
      <c r="AQ312" s="32">
        <v>19050</v>
      </c>
      <c r="AR312" s="32">
        <v>19050</v>
      </c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CR312">
        <v>762750</v>
      </c>
      <c r="CS312">
        <v>10</v>
      </c>
    </row>
    <row r="313" spans="1:97" x14ac:dyDescent="0.4">
      <c r="A313" t="s">
        <v>960</v>
      </c>
      <c r="D313" t="s">
        <v>2370</v>
      </c>
      <c r="E313" t="s">
        <v>2371</v>
      </c>
      <c r="F313" t="s">
        <v>961</v>
      </c>
      <c r="G313" t="s">
        <v>3709</v>
      </c>
      <c r="H313">
        <v>9039243969</v>
      </c>
      <c r="I313" t="s">
        <v>962</v>
      </c>
      <c r="J313" t="s">
        <v>2433</v>
      </c>
      <c r="L313" t="s">
        <v>3710</v>
      </c>
      <c r="M313" t="s">
        <v>2460</v>
      </c>
      <c r="N313" t="s">
        <v>3711</v>
      </c>
      <c r="O313" t="s">
        <v>3712</v>
      </c>
      <c r="Q313" t="s">
        <v>2438</v>
      </c>
      <c r="R313" s="30">
        <v>45208</v>
      </c>
      <c r="S313" t="s">
        <v>44</v>
      </c>
      <c r="T313" s="30">
        <v>45828</v>
      </c>
      <c r="U313" s="20">
        <v>114300</v>
      </c>
      <c r="V313" s="31"/>
      <c r="W313" s="31"/>
      <c r="X313" s="31"/>
      <c r="Y313" s="31"/>
      <c r="Z313" s="31">
        <f t="shared" si="51"/>
        <v>114300</v>
      </c>
      <c r="AA313" s="31"/>
      <c r="AB313" s="31"/>
      <c r="AC313" s="31"/>
      <c r="AD313" s="31"/>
      <c r="AE313" s="31"/>
      <c r="AF313" s="31"/>
      <c r="AG313" s="31"/>
      <c r="AH313" s="31"/>
      <c r="AI313" s="32"/>
      <c r="AJ313" s="32"/>
      <c r="AK313" s="32"/>
      <c r="AL313" s="32"/>
      <c r="AM313" s="32">
        <v>19050</v>
      </c>
      <c r="AN313" s="32">
        <v>19050</v>
      </c>
      <c r="AO313" s="32">
        <v>19050</v>
      </c>
      <c r="AP313" s="32">
        <v>19050</v>
      </c>
      <c r="AQ313" s="32">
        <v>19050</v>
      </c>
      <c r="AR313" s="32">
        <v>19050</v>
      </c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CR313">
        <v>546600</v>
      </c>
      <c r="CS313">
        <v>2</v>
      </c>
    </row>
    <row r="314" spans="1:97" x14ac:dyDescent="0.4">
      <c r="A314" t="s">
        <v>963</v>
      </c>
      <c r="D314" t="s">
        <v>2370</v>
      </c>
      <c r="E314" t="s">
        <v>2371</v>
      </c>
      <c r="F314" t="s">
        <v>964</v>
      </c>
      <c r="G314" t="s">
        <v>3713</v>
      </c>
      <c r="H314">
        <v>299939960</v>
      </c>
      <c r="I314" t="s">
        <v>965</v>
      </c>
      <c r="J314" t="s">
        <v>2433</v>
      </c>
      <c r="L314" t="s">
        <v>3714</v>
      </c>
      <c r="M314" t="s">
        <v>2483</v>
      </c>
      <c r="N314" t="s">
        <v>2484</v>
      </c>
      <c r="O314" t="s">
        <v>3715</v>
      </c>
      <c r="Q314" t="s">
        <v>2438</v>
      </c>
      <c r="R314" s="30">
        <v>45208</v>
      </c>
      <c r="S314" t="s">
        <v>44</v>
      </c>
      <c r="T314" s="30">
        <v>45828</v>
      </c>
      <c r="U314" s="20">
        <v>114300</v>
      </c>
      <c r="V314" s="31"/>
      <c r="W314" s="31"/>
      <c r="X314" s="31"/>
      <c r="Y314" s="31"/>
      <c r="Z314" s="31">
        <f t="shared" si="51"/>
        <v>114300</v>
      </c>
      <c r="AA314" s="31"/>
      <c r="AB314" s="31"/>
      <c r="AC314" s="31"/>
      <c r="AD314" s="31"/>
      <c r="AE314" s="31"/>
      <c r="AF314" s="31"/>
      <c r="AG314" s="31"/>
      <c r="AH314" s="31"/>
      <c r="AI314" s="32"/>
      <c r="AJ314" s="32"/>
      <c r="AK314" s="32"/>
      <c r="AL314" s="32"/>
      <c r="AM314" s="32">
        <v>19050</v>
      </c>
      <c r="AN314" s="32">
        <v>19050</v>
      </c>
      <c r="AO314" s="32">
        <v>19050</v>
      </c>
      <c r="AP314" s="32">
        <v>19050</v>
      </c>
      <c r="AQ314" s="32">
        <v>19050</v>
      </c>
      <c r="AR314" s="32">
        <v>19050</v>
      </c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CR314">
        <v>546600</v>
      </c>
      <c r="CS314">
        <v>7</v>
      </c>
    </row>
    <row r="315" spans="1:97" x14ac:dyDescent="0.4">
      <c r="A315" t="s">
        <v>966</v>
      </c>
      <c r="D315" t="s">
        <v>2370</v>
      </c>
      <c r="E315" t="s">
        <v>2371</v>
      </c>
      <c r="F315" t="s">
        <v>967</v>
      </c>
      <c r="G315" t="s">
        <v>3716</v>
      </c>
      <c r="H315">
        <v>9036310234</v>
      </c>
      <c r="I315" t="s">
        <v>968</v>
      </c>
      <c r="J315" t="s">
        <v>2433</v>
      </c>
      <c r="L315" t="s">
        <v>3717</v>
      </c>
      <c r="M315" t="s">
        <v>2569</v>
      </c>
      <c r="N315" t="s">
        <v>3718</v>
      </c>
      <c r="O315" t="s">
        <v>3719</v>
      </c>
      <c r="Q315" t="s">
        <v>2438</v>
      </c>
      <c r="R315" s="30">
        <v>45208</v>
      </c>
      <c r="S315" t="s">
        <v>44</v>
      </c>
      <c r="T315" s="30">
        <v>45828</v>
      </c>
      <c r="U315" s="20">
        <v>114300</v>
      </c>
      <c r="V315" s="31"/>
      <c r="W315" s="31"/>
      <c r="X315" s="31"/>
      <c r="Y315" s="31"/>
      <c r="Z315" s="31">
        <f t="shared" si="51"/>
        <v>114300</v>
      </c>
      <c r="AA315" s="31"/>
      <c r="AB315" s="31"/>
      <c r="AC315" s="31"/>
      <c r="AD315" s="31"/>
      <c r="AE315" s="31"/>
      <c r="AF315" s="31"/>
      <c r="AG315" s="31"/>
      <c r="AH315" s="31"/>
      <c r="AI315" s="32"/>
      <c r="AJ315" s="32"/>
      <c r="AK315" s="32"/>
      <c r="AL315" s="32"/>
      <c r="AM315" s="32">
        <v>19050</v>
      </c>
      <c r="AN315" s="32">
        <v>19050</v>
      </c>
      <c r="AO315" s="32">
        <v>19050</v>
      </c>
      <c r="AP315" s="32">
        <v>19050</v>
      </c>
      <c r="AQ315" s="32">
        <v>19050</v>
      </c>
      <c r="AR315" s="32">
        <v>19050</v>
      </c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CR315">
        <v>762750</v>
      </c>
      <c r="CS315">
        <v>10</v>
      </c>
    </row>
    <row r="316" spans="1:97" x14ac:dyDescent="0.4">
      <c r="A316" t="s">
        <v>969</v>
      </c>
      <c r="D316" t="s">
        <v>2370</v>
      </c>
      <c r="E316" t="s">
        <v>2371</v>
      </c>
      <c r="F316" t="s">
        <v>970</v>
      </c>
      <c r="G316" t="s">
        <v>3720</v>
      </c>
      <c r="H316">
        <v>8012762035</v>
      </c>
      <c r="I316" t="s">
        <v>971</v>
      </c>
      <c r="J316" t="s">
        <v>2433</v>
      </c>
      <c r="L316" t="s">
        <v>3721</v>
      </c>
      <c r="M316" t="s">
        <v>2444</v>
      </c>
      <c r="N316" t="s">
        <v>3722</v>
      </c>
      <c r="O316" t="s">
        <v>3723</v>
      </c>
      <c r="Q316" t="s">
        <v>2438</v>
      </c>
      <c r="R316" s="30">
        <v>45208</v>
      </c>
      <c r="S316" t="s">
        <v>44</v>
      </c>
      <c r="T316" s="30">
        <v>45828</v>
      </c>
      <c r="U316" s="20">
        <v>114300</v>
      </c>
      <c r="V316" s="31"/>
      <c r="W316" s="31"/>
      <c r="X316" s="31"/>
      <c r="Y316" s="31"/>
      <c r="Z316" s="31">
        <f t="shared" si="51"/>
        <v>114300</v>
      </c>
      <c r="AA316" s="31"/>
      <c r="AB316" s="31"/>
      <c r="AC316" s="31"/>
      <c r="AD316" s="31"/>
      <c r="AE316" s="31"/>
      <c r="AF316" s="31"/>
      <c r="AG316" s="31"/>
      <c r="AH316" s="31"/>
      <c r="AI316" s="32"/>
      <c r="AJ316" s="32"/>
      <c r="AK316" s="32"/>
      <c r="AL316" s="32"/>
      <c r="AM316" s="32">
        <v>19050</v>
      </c>
      <c r="AN316" s="32">
        <v>19050</v>
      </c>
      <c r="AO316" s="32">
        <v>19050</v>
      </c>
      <c r="AP316" s="32">
        <v>19050</v>
      </c>
      <c r="AQ316" s="32">
        <v>19050</v>
      </c>
      <c r="AR316" s="32">
        <v>19050</v>
      </c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CR316">
        <v>546600</v>
      </c>
      <c r="CS316">
        <v>2</v>
      </c>
    </row>
    <row r="317" spans="1:97" x14ac:dyDescent="0.4">
      <c r="A317" t="s">
        <v>972</v>
      </c>
      <c r="D317" t="s">
        <v>2370</v>
      </c>
      <c r="E317" t="s">
        <v>2371</v>
      </c>
      <c r="F317" t="s">
        <v>973</v>
      </c>
      <c r="G317" t="s">
        <v>3724</v>
      </c>
      <c r="H317">
        <v>9080119812</v>
      </c>
      <c r="I317" t="s">
        <v>974</v>
      </c>
      <c r="J317" t="s">
        <v>2433</v>
      </c>
      <c r="L317" t="s">
        <v>3725</v>
      </c>
      <c r="M317" t="s">
        <v>2500</v>
      </c>
      <c r="N317" t="s">
        <v>3333</v>
      </c>
      <c r="O317" t="s">
        <v>3726</v>
      </c>
      <c r="Q317" t="s">
        <v>2438</v>
      </c>
      <c r="R317" s="30">
        <v>45208</v>
      </c>
      <c r="S317" t="s">
        <v>50</v>
      </c>
      <c r="T317" s="30">
        <v>45828</v>
      </c>
      <c r="U317" s="20">
        <v>114300</v>
      </c>
      <c r="V317" s="31"/>
      <c r="W317" s="31"/>
      <c r="X317" s="31"/>
      <c r="Y317" s="31"/>
      <c r="Z317" s="31">
        <f t="shared" si="51"/>
        <v>114300</v>
      </c>
      <c r="AA317" s="31"/>
      <c r="AB317" s="31"/>
      <c r="AC317" s="31"/>
      <c r="AD317" s="31"/>
      <c r="AE317" s="31"/>
      <c r="AF317" s="31"/>
      <c r="AG317" s="31"/>
      <c r="AH317" s="31"/>
      <c r="AI317" s="32"/>
      <c r="AJ317" s="32"/>
      <c r="AK317" s="32"/>
      <c r="AL317" s="32"/>
      <c r="AM317" s="32">
        <v>19050</v>
      </c>
      <c r="AN317" s="32">
        <v>19050</v>
      </c>
      <c r="AO317" s="32">
        <v>19050</v>
      </c>
      <c r="AP317" s="32">
        <v>19050</v>
      </c>
      <c r="AQ317" s="32">
        <v>19050</v>
      </c>
      <c r="AR317" s="32">
        <v>19050</v>
      </c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CR317">
        <v>546600</v>
      </c>
      <c r="CS317">
        <v>2</v>
      </c>
    </row>
    <row r="318" spans="1:97" x14ac:dyDescent="0.4">
      <c r="A318" t="s">
        <v>975</v>
      </c>
      <c r="D318" t="s">
        <v>2370</v>
      </c>
      <c r="E318" t="s">
        <v>2371</v>
      </c>
      <c r="F318" t="s">
        <v>976</v>
      </c>
      <c r="G318" t="s">
        <v>3727</v>
      </c>
      <c r="H318">
        <v>9029951535</v>
      </c>
      <c r="I318" t="s">
        <v>977</v>
      </c>
      <c r="J318" t="s">
        <v>2433</v>
      </c>
      <c r="L318" t="s">
        <v>3728</v>
      </c>
      <c r="M318" t="s">
        <v>2565</v>
      </c>
      <c r="N318" t="s">
        <v>3729</v>
      </c>
      <c r="O318" t="s">
        <v>3730</v>
      </c>
      <c r="Q318" t="s">
        <v>2438</v>
      </c>
      <c r="R318" s="30">
        <v>45208</v>
      </c>
      <c r="S318" t="s">
        <v>44</v>
      </c>
      <c r="T318" s="30">
        <v>45828</v>
      </c>
      <c r="U318" s="20">
        <v>114300</v>
      </c>
      <c r="V318" s="31"/>
      <c r="W318" s="31"/>
      <c r="X318" s="31"/>
      <c r="Y318" s="31"/>
      <c r="Z318" s="31">
        <f t="shared" si="51"/>
        <v>114300</v>
      </c>
      <c r="AA318" s="31"/>
      <c r="AB318" s="31"/>
      <c r="AC318" s="31"/>
      <c r="AD318" s="31"/>
      <c r="AE318" s="31"/>
      <c r="AF318" s="31"/>
      <c r="AG318" s="31"/>
      <c r="AH318" s="31"/>
      <c r="AI318" s="32"/>
      <c r="AJ318" s="32"/>
      <c r="AK318" s="32"/>
      <c r="AL318" s="32"/>
      <c r="AM318" s="32">
        <v>19050</v>
      </c>
      <c r="AN318" s="32">
        <v>19050</v>
      </c>
      <c r="AO318" s="32">
        <v>19050</v>
      </c>
      <c r="AP318" s="32">
        <v>19050</v>
      </c>
      <c r="AQ318" s="32">
        <v>19050</v>
      </c>
      <c r="AR318" s="32">
        <v>19050</v>
      </c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CR318">
        <v>762750</v>
      </c>
      <c r="CS318">
        <v>10</v>
      </c>
    </row>
    <row r="319" spans="1:97" x14ac:dyDescent="0.4">
      <c r="A319" t="s">
        <v>978</v>
      </c>
      <c r="D319" t="s">
        <v>2370</v>
      </c>
      <c r="E319" t="s">
        <v>2371</v>
      </c>
      <c r="F319" t="s">
        <v>979</v>
      </c>
      <c r="G319" t="s">
        <v>3731</v>
      </c>
      <c r="H319">
        <v>7044551431</v>
      </c>
      <c r="I319" t="s">
        <v>980</v>
      </c>
      <c r="J319" t="s">
        <v>2433</v>
      </c>
      <c r="L319" t="s">
        <v>3732</v>
      </c>
      <c r="M319" t="s">
        <v>2460</v>
      </c>
      <c r="N319" t="s">
        <v>3733</v>
      </c>
      <c r="O319" t="s">
        <v>3734</v>
      </c>
      <c r="Q319" t="s">
        <v>2438</v>
      </c>
      <c r="R319" s="30">
        <v>45208</v>
      </c>
      <c r="S319" t="s">
        <v>44</v>
      </c>
      <c r="T319" s="30">
        <v>45828</v>
      </c>
      <c r="U319" s="20">
        <v>114300</v>
      </c>
      <c r="V319" s="31"/>
      <c r="W319" s="31"/>
      <c r="X319" s="31"/>
      <c r="Y319" s="31"/>
      <c r="Z319" s="31">
        <f t="shared" si="51"/>
        <v>114300</v>
      </c>
      <c r="AA319" s="31"/>
      <c r="AB319" s="31"/>
      <c r="AC319" s="31"/>
      <c r="AD319" s="31"/>
      <c r="AE319" s="31"/>
      <c r="AF319" s="31"/>
      <c r="AG319" s="31"/>
      <c r="AH319" s="31"/>
      <c r="AI319" s="32"/>
      <c r="AJ319" s="32"/>
      <c r="AK319" s="32"/>
      <c r="AL319" s="32"/>
      <c r="AM319" s="32">
        <v>19050</v>
      </c>
      <c r="AN319" s="32">
        <v>19050</v>
      </c>
      <c r="AO319" s="32">
        <v>19050</v>
      </c>
      <c r="AP319" s="32">
        <v>19050</v>
      </c>
      <c r="AQ319" s="32">
        <v>19050</v>
      </c>
      <c r="AR319" s="32">
        <v>19050</v>
      </c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CR319">
        <v>546600</v>
      </c>
      <c r="CS319">
        <v>2</v>
      </c>
    </row>
    <row r="320" spans="1:97" x14ac:dyDescent="0.4">
      <c r="A320" t="s">
        <v>981</v>
      </c>
      <c r="D320" t="s">
        <v>2370</v>
      </c>
      <c r="E320" t="s">
        <v>2371</v>
      </c>
      <c r="F320" t="s">
        <v>982</v>
      </c>
      <c r="G320" t="s">
        <v>3735</v>
      </c>
      <c r="H320">
        <v>7036640886</v>
      </c>
      <c r="I320" t="s">
        <v>983</v>
      </c>
      <c r="J320" t="s">
        <v>2433</v>
      </c>
      <c r="L320" t="s">
        <v>3736</v>
      </c>
      <c r="M320" t="s">
        <v>2598</v>
      </c>
      <c r="N320" t="s">
        <v>3737</v>
      </c>
      <c r="O320" t="s">
        <v>3738</v>
      </c>
      <c r="Q320" t="s">
        <v>2438</v>
      </c>
      <c r="R320" s="30">
        <v>45208</v>
      </c>
      <c r="S320" t="s">
        <v>44</v>
      </c>
      <c r="T320" s="30">
        <v>45828</v>
      </c>
      <c r="U320" s="20">
        <v>114300</v>
      </c>
      <c r="V320" s="31"/>
      <c r="W320" s="31"/>
      <c r="X320" s="31"/>
      <c r="Y320" s="31"/>
      <c r="Z320" s="31">
        <f t="shared" si="51"/>
        <v>114300</v>
      </c>
      <c r="AA320" s="31"/>
      <c r="AB320" s="31"/>
      <c r="AC320" s="31"/>
      <c r="AD320" s="31"/>
      <c r="AE320" s="31"/>
      <c r="AF320" s="31"/>
      <c r="AG320" s="31"/>
      <c r="AH320" s="31"/>
      <c r="AI320" s="32"/>
      <c r="AJ320" s="32"/>
      <c r="AK320" s="32"/>
      <c r="AL320" s="32"/>
      <c r="AM320" s="32">
        <v>19050</v>
      </c>
      <c r="AN320" s="32">
        <v>19050</v>
      </c>
      <c r="AO320" s="32">
        <v>19050</v>
      </c>
      <c r="AP320" s="32">
        <v>19050</v>
      </c>
      <c r="AQ320" s="32">
        <v>19050</v>
      </c>
      <c r="AR320" s="32">
        <v>19050</v>
      </c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CR320">
        <v>664300</v>
      </c>
      <c r="CS320">
        <v>2</v>
      </c>
    </row>
    <row r="321" spans="1:97" x14ac:dyDescent="0.4">
      <c r="A321" t="s">
        <v>984</v>
      </c>
      <c r="D321" t="s">
        <v>2370</v>
      </c>
      <c r="E321" t="s">
        <v>2371</v>
      </c>
      <c r="F321" t="s">
        <v>985</v>
      </c>
      <c r="G321" t="s">
        <v>3739</v>
      </c>
      <c r="H321">
        <v>9011276220</v>
      </c>
      <c r="I321" t="s">
        <v>986</v>
      </c>
      <c r="J321" t="s">
        <v>2433</v>
      </c>
      <c r="L321" t="s">
        <v>3740</v>
      </c>
      <c r="M321" t="s">
        <v>2518</v>
      </c>
      <c r="N321" t="s">
        <v>3741</v>
      </c>
      <c r="O321" t="s">
        <v>3742</v>
      </c>
      <c r="Q321" t="s">
        <v>2438</v>
      </c>
      <c r="R321" s="30">
        <v>45209</v>
      </c>
      <c r="S321" t="s">
        <v>25</v>
      </c>
      <c r="T321" s="30">
        <v>45736</v>
      </c>
      <c r="U321">
        <v>59400</v>
      </c>
      <c r="V321" s="34"/>
      <c r="W321" s="34">
        <f>+U321</f>
        <v>59400</v>
      </c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5"/>
      <c r="AJ321" s="32">
        <v>19800</v>
      </c>
      <c r="AK321" s="32">
        <v>19800</v>
      </c>
      <c r="AL321" s="32">
        <v>19800</v>
      </c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CR321">
        <v>707850</v>
      </c>
      <c r="CS321">
        <v>10</v>
      </c>
    </row>
    <row r="322" spans="1:97" x14ac:dyDescent="0.4">
      <c r="A322" t="s">
        <v>987</v>
      </c>
      <c r="D322" t="s">
        <v>2370</v>
      </c>
      <c r="E322" t="s">
        <v>2371</v>
      </c>
      <c r="F322" t="s">
        <v>988</v>
      </c>
      <c r="G322" t="s">
        <v>3743</v>
      </c>
      <c r="H322">
        <v>9052668353</v>
      </c>
      <c r="I322" t="s">
        <v>989</v>
      </c>
      <c r="J322" t="s">
        <v>2433</v>
      </c>
      <c r="L322" t="s">
        <v>3744</v>
      </c>
      <c r="M322" t="s">
        <v>2465</v>
      </c>
      <c r="N322" t="s">
        <v>3031</v>
      </c>
      <c r="O322" t="s">
        <v>3745</v>
      </c>
      <c r="Q322" t="s">
        <v>2438</v>
      </c>
      <c r="R322" s="30">
        <v>45209</v>
      </c>
      <c r="S322" t="s">
        <v>50</v>
      </c>
      <c r="T322" s="30">
        <v>45828</v>
      </c>
      <c r="U322" s="20">
        <v>114300</v>
      </c>
      <c r="V322" s="31"/>
      <c r="W322" s="31"/>
      <c r="X322" s="31"/>
      <c r="Y322" s="31"/>
      <c r="Z322" s="31">
        <f t="shared" ref="Z322:Z325" si="52">+U322</f>
        <v>114300</v>
      </c>
      <c r="AA322" s="31"/>
      <c r="AB322" s="31"/>
      <c r="AC322" s="31"/>
      <c r="AD322" s="31"/>
      <c r="AE322" s="31"/>
      <c r="AF322" s="31"/>
      <c r="AG322" s="31"/>
      <c r="AH322" s="31"/>
      <c r="AI322" s="32"/>
      <c r="AJ322" s="32"/>
      <c r="AK322" s="32"/>
      <c r="AL322" s="32"/>
      <c r="AM322" s="32">
        <v>19050</v>
      </c>
      <c r="AN322" s="32">
        <v>19050</v>
      </c>
      <c r="AO322" s="32">
        <v>19050</v>
      </c>
      <c r="AP322" s="32">
        <v>19050</v>
      </c>
      <c r="AQ322" s="32">
        <v>19050</v>
      </c>
      <c r="AR322" s="32">
        <v>19050</v>
      </c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CR322">
        <v>546600</v>
      </c>
      <c r="CS322">
        <v>2</v>
      </c>
    </row>
    <row r="323" spans="1:97" x14ac:dyDescent="0.4">
      <c r="A323" t="s">
        <v>990</v>
      </c>
      <c r="D323" t="s">
        <v>2370</v>
      </c>
      <c r="E323" t="s">
        <v>2371</v>
      </c>
      <c r="F323" t="s">
        <v>991</v>
      </c>
      <c r="G323" t="s">
        <v>3746</v>
      </c>
      <c r="H323">
        <v>9089817339</v>
      </c>
      <c r="I323" t="s">
        <v>992</v>
      </c>
      <c r="J323" t="s">
        <v>2433</v>
      </c>
      <c r="L323" t="s">
        <v>3747</v>
      </c>
      <c r="M323" t="s">
        <v>2435</v>
      </c>
      <c r="N323" t="s">
        <v>3748</v>
      </c>
      <c r="O323" t="s">
        <v>3749</v>
      </c>
      <c r="Q323" t="s">
        <v>2438</v>
      </c>
      <c r="R323" s="30">
        <v>45209</v>
      </c>
      <c r="S323" t="s">
        <v>44</v>
      </c>
      <c r="T323" s="30">
        <v>45828</v>
      </c>
      <c r="U323" s="20">
        <v>114300</v>
      </c>
      <c r="V323" s="31"/>
      <c r="W323" s="31"/>
      <c r="X323" s="31"/>
      <c r="Y323" s="31"/>
      <c r="Z323" s="31">
        <f t="shared" si="52"/>
        <v>114300</v>
      </c>
      <c r="AA323" s="31"/>
      <c r="AB323" s="31"/>
      <c r="AC323" s="31"/>
      <c r="AD323" s="31"/>
      <c r="AE323" s="31"/>
      <c r="AF323" s="31"/>
      <c r="AG323" s="31"/>
      <c r="AH323" s="31"/>
      <c r="AI323" s="32"/>
      <c r="AJ323" s="32"/>
      <c r="AK323" s="32"/>
      <c r="AL323" s="32"/>
      <c r="AM323" s="32">
        <v>19050</v>
      </c>
      <c r="AN323" s="32">
        <v>19050</v>
      </c>
      <c r="AO323" s="32">
        <v>19050</v>
      </c>
      <c r="AP323" s="32">
        <v>19050</v>
      </c>
      <c r="AQ323" s="32">
        <v>19050</v>
      </c>
      <c r="AR323" s="32">
        <v>19050</v>
      </c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CR323">
        <v>551490</v>
      </c>
      <c r="CS323">
        <v>3</v>
      </c>
    </row>
    <row r="324" spans="1:97" x14ac:dyDescent="0.4">
      <c r="A324" t="s">
        <v>993</v>
      </c>
      <c r="D324" t="s">
        <v>2370</v>
      </c>
      <c r="E324" t="s">
        <v>2371</v>
      </c>
      <c r="F324" t="s">
        <v>994</v>
      </c>
      <c r="G324" t="s">
        <v>3750</v>
      </c>
      <c r="H324">
        <v>9019262009</v>
      </c>
      <c r="I324" t="s">
        <v>995</v>
      </c>
      <c r="J324" t="s">
        <v>2433</v>
      </c>
      <c r="L324" t="s">
        <v>3751</v>
      </c>
      <c r="M324" t="s">
        <v>3221</v>
      </c>
      <c r="N324" t="s">
        <v>3752</v>
      </c>
      <c r="O324">
        <v>133</v>
      </c>
      <c r="Q324" t="s">
        <v>2438</v>
      </c>
      <c r="R324" s="30">
        <v>45209</v>
      </c>
      <c r="S324" t="s">
        <v>44</v>
      </c>
      <c r="T324" s="30">
        <v>45828</v>
      </c>
      <c r="U324" s="20">
        <v>114300</v>
      </c>
      <c r="V324" s="31"/>
      <c r="W324" s="31"/>
      <c r="X324" s="31"/>
      <c r="Y324" s="31"/>
      <c r="Z324" s="31">
        <f t="shared" si="52"/>
        <v>114300</v>
      </c>
      <c r="AA324" s="31"/>
      <c r="AB324" s="31"/>
      <c r="AC324" s="31"/>
      <c r="AD324" s="31"/>
      <c r="AE324" s="31"/>
      <c r="AF324" s="31"/>
      <c r="AG324" s="31"/>
      <c r="AH324" s="31"/>
      <c r="AI324" s="32"/>
      <c r="AJ324" s="32"/>
      <c r="AK324" s="32"/>
      <c r="AL324" s="32"/>
      <c r="AM324" s="32">
        <v>19050</v>
      </c>
      <c r="AN324" s="32">
        <v>19050</v>
      </c>
      <c r="AO324" s="32">
        <v>19050</v>
      </c>
      <c r="AP324" s="32">
        <v>19050</v>
      </c>
      <c r="AQ324" s="32">
        <v>19050</v>
      </c>
      <c r="AR324" s="32">
        <v>19050</v>
      </c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CR324">
        <v>762750</v>
      </c>
      <c r="CS324">
        <v>10</v>
      </c>
    </row>
    <row r="325" spans="1:97" x14ac:dyDescent="0.4">
      <c r="A325" t="s">
        <v>996</v>
      </c>
      <c r="D325" t="s">
        <v>2370</v>
      </c>
      <c r="E325" t="s">
        <v>2371</v>
      </c>
      <c r="F325" t="s">
        <v>997</v>
      </c>
      <c r="G325" t="s">
        <v>3753</v>
      </c>
      <c r="H325">
        <v>425456408</v>
      </c>
      <c r="I325" t="s">
        <v>998</v>
      </c>
      <c r="J325" t="s">
        <v>2433</v>
      </c>
      <c r="L325" t="s">
        <v>3754</v>
      </c>
      <c r="M325" t="s">
        <v>2444</v>
      </c>
      <c r="N325" t="s">
        <v>3755</v>
      </c>
      <c r="O325" t="s">
        <v>3756</v>
      </c>
      <c r="Q325" t="s">
        <v>2438</v>
      </c>
      <c r="R325" s="30">
        <v>45210</v>
      </c>
      <c r="S325" t="s">
        <v>44</v>
      </c>
      <c r="T325" s="30">
        <v>45828</v>
      </c>
      <c r="U325" s="20">
        <v>114300</v>
      </c>
      <c r="V325" s="31"/>
      <c r="W325" s="31"/>
      <c r="X325" s="31"/>
      <c r="Y325" s="31"/>
      <c r="Z325" s="31">
        <f t="shared" si="52"/>
        <v>114300</v>
      </c>
      <c r="AA325" s="31"/>
      <c r="AB325" s="31"/>
      <c r="AC325" s="31"/>
      <c r="AD325" s="31"/>
      <c r="AE325" s="31"/>
      <c r="AF325" s="31"/>
      <c r="AG325" s="31"/>
      <c r="AH325" s="31"/>
      <c r="AI325" s="32"/>
      <c r="AJ325" s="32"/>
      <c r="AK325" s="32"/>
      <c r="AL325" s="32"/>
      <c r="AM325" s="32">
        <v>19050</v>
      </c>
      <c r="AN325" s="32">
        <v>19050</v>
      </c>
      <c r="AO325" s="32">
        <v>19050</v>
      </c>
      <c r="AP325" s="32">
        <v>19050</v>
      </c>
      <c r="AQ325" s="32">
        <v>19050</v>
      </c>
      <c r="AR325" s="32">
        <v>19050</v>
      </c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CR325">
        <v>546600</v>
      </c>
      <c r="CS325">
        <v>2</v>
      </c>
    </row>
    <row r="326" spans="1:97" s="36" customFormat="1" x14ac:dyDescent="0.4">
      <c r="A326" s="36" t="s">
        <v>999</v>
      </c>
      <c r="D326" s="36" t="s">
        <v>2370</v>
      </c>
      <c r="E326" s="36" t="s">
        <v>2371</v>
      </c>
      <c r="F326" s="36" t="s">
        <v>1000</v>
      </c>
      <c r="G326" s="36" t="s">
        <v>3757</v>
      </c>
      <c r="H326" s="36">
        <v>8088082615</v>
      </c>
      <c r="I326" s="36" t="s">
        <v>1001</v>
      </c>
      <c r="J326" s="36" t="s">
        <v>2433</v>
      </c>
      <c r="L326" s="36" t="s">
        <v>3758</v>
      </c>
      <c r="M326" s="36" t="s">
        <v>2455</v>
      </c>
      <c r="N326" s="36" t="s">
        <v>2789</v>
      </c>
      <c r="O326" s="36" t="s">
        <v>3759</v>
      </c>
      <c r="Q326" s="36" t="s">
        <v>2438</v>
      </c>
      <c r="R326" s="37">
        <v>45210</v>
      </c>
      <c r="S326" s="36" t="s">
        <v>3191</v>
      </c>
      <c r="T326" s="37">
        <v>45736</v>
      </c>
      <c r="U326" s="37"/>
      <c r="V326" s="38"/>
      <c r="W326" s="34">
        <f>+U326</f>
        <v>0</v>
      </c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9"/>
      <c r="AJ326" s="35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5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CR326" s="36">
        <v>491700</v>
      </c>
      <c r="CS326" s="36">
        <v>2</v>
      </c>
    </row>
    <row r="327" spans="1:97" x14ac:dyDescent="0.4">
      <c r="A327" t="s">
        <v>1002</v>
      </c>
      <c r="D327" t="s">
        <v>2370</v>
      </c>
      <c r="E327" t="s">
        <v>2371</v>
      </c>
      <c r="F327" t="s">
        <v>1003</v>
      </c>
      <c r="G327" t="s">
        <v>3760</v>
      </c>
      <c r="H327">
        <v>8050903012</v>
      </c>
      <c r="I327" t="s">
        <v>1004</v>
      </c>
      <c r="J327" t="s">
        <v>2433</v>
      </c>
      <c r="L327" t="s">
        <v>3761</v>
      </c>
      <c r="M327" t="s">
        <v>2465</v>
      </c>
      <c r="N327" t="s">
        <v>3762</v>
      </c>
      <c r="O327" s="41">
        <v>38826</v>
      </c>
      <c r="Q327" t="s">
        <v>2438</v>
      </c>
      <c r="R327" s="30">
        <v>45213</v>
      </c>
      <c r="S327" t="s">
        <v>44</v>
      </c>
      <c r="T327" s="30">
        <v>45828</v>
      </c>
      <c r="U327" s="20">
        <v>114300</v>
      </c>
      <c r="V327" s="31"/>
      <c r="W327" s="31"/>
      <c r="X327" s="31"/>
      <c r="Y327" s="31"/>
      <c r="Z327" s="31">
        <f t="shared" ref="Z327:Z328" si="53">+U327</f>
        <v>114300</v>
      </c>
      <c r="AA327" s="31"/>
      <c r="AB327" s="31"/>
      <c r="AC327" s="31"/>
      <c r="AD327" s="31"/>
      <c r="AE327" s="31"/>
      <c r="AF327" s="31"/>
      <c r="AG327" s="31"/>
      <c r="AH327" s="31"/>
      <c r="AI327" s="32"/>
      <c r="AJ327" s="32"/>
      <c r="AK327" s="32"/>
      <c r="AL327" s="32"/>
      <c r="AM327" s="32">
        <v>19050</v>
      </c>
      <c r="AN327" s="32">
        <v>19050</v>
      </c>
      <c r="AO327" s="32">
        <v>19050</v>
      </c>
      <c r="AP327" s="32">
        <v>19050</v>
      </c>
      <c r="AQ327" s="32">
        <v>19050</v>
      </c>
      <c r="AR327" s="32">
        <v>19050</v>
      </c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CR327">
        <v>546600</v>
      </c>
      <c r="CS327">
        <v>2</v>
      </c>
    </row>
    <row r="328" spans="1:97" x14ac:dyDescent="0.4">
      <c r="A328" t="s">
        <v>1005</v>
      </c>
      <c r="D328" t="s">
        <v>2370</v>
      </c>
      <c r="E328" t="s">
        <v>2371</v>
      </c>
      <c r="F328" t="s">
        <v>1006</v>
      </c>
      <c r="G328" t="s">
        <v>3763</v>
      </c>
      <c r="H328">
        <v>8014756168</v>
      </c>
      <c r="I328" t="s">
        <v>1007</v>
      </c>
      <c r="J328" t="s">
        <v>2433</v>
      </c>
      <c r="L328" t="s">
        <v>3764</v>
      </c>
      <c r="M328" t="s">
        <v>2451</v>
      </c>
      <c r="N328" t="s">
        <v>3765</v>
      </c>
      <c r="O328" s="33">
        <v>45806</v>
      </c>
      <c r="Q328" t="s">
        <v>2438</v>
      </c>
      <c r="R328" s="30">
        <v>45213</v>
      </c>
      <c r="S328" t="s">
        <v>50</v>
      </c>
      <c r="T328" s="30">
        <v>45828</v>
      </c>
      <c r="U328" s="20">
        <v>114300</v>
      </c>
      <c r="V328" s="31"/>
      <c r="W328" s="31"/>
      <c r="X328" s="31"/>
      <c r="Y328" s="31"/>
      <c r="Z328" s="31">
        <f t="shared" si="53"/>
        <v>114300</v>
      </c>
      <c r="AA328" s="31"/>
      <c r="AB328" s="31"/>
      <c r="AC328" s="31"/>
      <c r="AD328" s="31"/>
      <c r="AE328" s="31"/>
      <c r="AF328" s="31"/>
      <c r="AG328" s="31"/>
      <c r="AH328" s="31"/>
      <c r="AI328" s="32"/>
      <c r="AJ328" s="32"/>
      <c r="AK328" s="32"/>
      <c r="AL328" s="32"/>
      <c r="AM328" s="32">
        <v>19050</v>
      </c>
      <c r="AN328" s="32">
        <v>19050</v>
      </c>
      <c r="AO328" s="32">
        <v>19050</v>
      </c>
      <c r="AP328" s="32">
        <v>19050</v>
      </c>
      <c r="AQ328" s="32">
        <v>19050</v>
      </c>
      <c r="AR328" s="32">
        <v>19050</v>
      </c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CR328">
        <v>546600</v>
      </c>
      <c r="CS328">
        <v>2</v>
      </c>
    </row>
    <row r="329" spans="1:97" x14ac:dyDescent="0.4">
      <c r="A329" t="s">
        <v>1008</v>
      </c>
      <c r="D329" t="s">
        <v>2370</v>
      </c>
      <c r="E329" t="s">
        <v>2371</v>
      </c>
      <c r="F329" t="s">
        <v>1009</v>
      </c>
      <c r="G329" t="s">
        <v>3766</v>
      </c>
      <c r="H329">
        <v>9018895271</v>
      </c>
      <c r="I329" t="s">
        <v>1010</v>
      </c>
      <c r="J329" t="s">
        <v>2433</v>
      </c>
      <c r="L329" t="s">
        <v>3767</v>
      </c>
      <c r="M329" t="s">
        <v>2444</v>
      </c>
      <c r="N329" t="s">
        <v>2725</v>
      </c>
      <c r="O329" s="41">
        <v>37446</v>
      </c>
      <c r="Q329" t="s">
        <v>2438</v>
      </c>
      <c r="R329" s="30">
        <v>45214</v>
      </c>
      <c r="S329" t="s">
        <v>44</v>
      </c>
      <c r="T329" s="30">
        <v>45767</v>
      </c>
      <c r="U329" s="20">
        <v>114300</v>
      </c>
      <c r="V329" s="31"/>
      <c r="W329" s="34"/>
      <c r="X329" s="34">
        <f>+U329</f>
        <v>114300</v>
      </c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2"/>
      <c r="AJ329" s="35"/>
      <c r="AK329" s="32">
        <v>19050</v>
      </c>
      <c r="AL329" s="32">
        <v>19050</v>
      </c>
      <c r="AM329" s="32">
        <v>19050</v>
      </c>
      <c r="AN329" s="32">
        <v>19050</v>
      </c>
      <c r="AO329" s="32">
        <v>19050</v>
      </c>
      <c r="AP329" s="32">
        <v>19050</v>
      </c>
      <c r="AQ329" s="32"/>
      <c r="AR329" s="32"/>
      <c r="AS329" s="32"/>
      <c r="AT329" s="32"/>
      <c r="AU329" s="32"/>
      <c r="AV329" s="35"/>
      <c r="AW329" s="35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CR329">
        <v>661900</v>
      </c>
      <c r="CS329">
        <v>4</v>
      </c>
    </row>
    <row r="330" spans="1:97" x14ac:dyDescent="0.4">
      <c r="A330" t="s">
        <v>1011</v>
      </c>
      <c r="D330" t="s">
        <v>2370</v>
      </c>
      <c r="E330" t="s">
        <v>2371</v>
      </c>
      <c r="F330" t="s">
        <v>1012</v>
      </c>
      <c r="G330" t="s">
        <v>3768</v>
      </c>
      <c r="H330">
        <v>9047502479</v>
      </c>
      <c r="I330" t="s">
        <v>1013</v>
      </c>
      <c r="J330" t="s">
        <v>2433</v>
      </c>
      <c r="L330" t="s">
        <v>3769</v>
      </c>
      <c r="M330" t="s">
        <v>2518</v>
      </c>
      <c r="N330" t="s">
        <v>3770</v>
      </c>
      <c r="O330" t="s">
        <v>3771</v>
      </c>
      <c r="Q330" t="s">
        <v>2438</v>
      </c>
      <c r="R330" s="30">
        <v>45215</v>
      </c>
      <c r="S330" t="s">
        <v>44</v>
      </c>
      <c r="T330" s="30">
        <v>45828</v>
      </c>
      <c r="U330" s="20">
        <v>114300</v>
      </c>
      <c r="V330" s="31"/>
      <c r="W330" s="31"/>
      <c r="X330" s="31"/>
      <c r="Y330" s="31"/>
      <c r="Z330" s="31">
        <f t="shared" ref="Z330:Z333" si="54">+U330</f>
        <v>114300</v>
      </c>
      <c r="AA330" s="31"/>
      <c r="AB330" s="31"/>
      <c r="AC330" s="31"/>
      <c r="AD330" s="31"/>
      <c r="AE330" s="31"/>
      <c r="AF330" s="31"/>
      <c r="AG330" s="31"/>
      <c r="AH330" s="31"/>
      <c r="AI330" s="32"/>
      <c r="AJ330" s="32"/>
      <c r="AK330" s="32"/>
      <c r="AL330" s="32"/>
      <c r="AM330" s="32">
        <v>19050</v>
      </c>
      <c r="AN330" s="32">
        <v>19050</v>
      </c>
      <c r="AO330" s="32">
        <v>19050</v>
      </c>
      <c r="AP330" s="32">
        <v>19050</v>
      </c>
      <c r="AQ330" s="32">
        <v>19050</v>
      </c>
      <c r="AR330" s="32">
        <v>19050</v>
      </c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CR330">
        <v>546600</v>
      </c>
      <c r="CS330">
        <v>2</v>
      </c>
    </row>
    <row r="331" spans="1:97" x14ac:dyDescent="0.4">
      <c r="A331" t="s">
        <v>1014</v>
      </c>
      <c r="D331" t="s">
        <v>2370</v>
      </c>
      <c r="E331" t="s">
        <v>2371</v>
      </c>
      <c r="F331" t="s">
        <v>1015</v>
      </c>
      <c r="G331" t="s">
        <v>3772</v>
      </c>
      <c r="H331">
        <v>9030324581</v>
      </c>
      <c r="I331" t="s">
        <v>1016</v>
      </c>
      <c r="J331" t="s">
        <v>2433</v>
      </c>
      <c r="L331" t="s">
        <v>3773</v>
      </c>
      <c r="M331" t="s">
        <v>2435</v>
      </c>
      <c r="N331" t="s">
        <v>3774</v>
      </c>
      <c r="O331" t="s">
        <v>3775</v>
      </c>
      <c r="Q331" t="s">
        <v>2438</v>
      </c>
      <c r="R331" s="30">
        <v>45215</v>
      </c>
      <c r="S331" t="s">
        <v>44</v>
      </c>
      <c r="T331" s="30">
        <v>45828</v>
      </c>
      <c r="U331" s="20">
        <v>114300</v>
      </c>
      <c r="V331" s="31"/>
      <c r="W331" s="31"/>
      <c r="X331" s="31"/>
      <c r="Y331" s="31"/>
      <c r="Z331" s="31">
        <f t="shared" si="54"/>
        <v>114300</v>
      </c>
      <c r="AA331" s="31"/>
      <c r="AB331" s="31"/>
      <c r="AC331" s="31"/>
      <c r="AD331" s="31"/>
      <c r="AE331" s="31"/>
      <c r="AF331" s="31"/>
      <c r="AG331" s="31"/>
      <c r="AH331" s="31"/>
      <c r="AI331" s="32"/>
      <c r="AJ331" s="32"/>
      <c r="AK331" s="32"/>
      <c r="AL331" s="32"/>
      <c r="AM331" s="32">
        <v>19050</v>
      </c>
      <c r="AN331" s="32">
        <v>19050</v>
      </c>
      <c r="AO331" s="32">
        <v>19050</v>
      </c>
      <c r="AP331" s="32">
        <v>19050</v>
      </c>
      <c r="AQ331" s="32">
        <v>19050</v>
      </c>
      <c r="AR331" s="32">
        <v>19050</v>
      </c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CR331">
        <v>546600</v>
      </c>
      <c r="CS331">
        <v>2</v>
      </c>
    </row>
    <row r="332" spans="1:97" x14ac:dyDescent="0.4">
      <c r="A332" t="s">
        <v>1017</v>
      </c>
      <c r="D332" t="s">
        <v>2370</v>
      </c>
      <c r="E332" t="s">
        <v>2371</v>
      </c>
      <c r="F332" t="s">
        <v>1018</v>
      </c>
      <c r="G332" t="s">
        <v>3776</v>
      </c>
      <c r="H332">
        <v>9057036161</v>
      </c>
      <c r="I332" t="s">
        <v>1019</v>
      </c>
      <c r="J332" t="s">
        <v>2433</v>
      </c>
      <c r="L332" t="s">
        <v>3777</v>
      </c>
      <c r="M332" t="s">
        <v>2569</v>
      </c>
      <c r="N332" t="s">
        <v>3778</v>
      </c>
      <c r="O332" t="s">
        <v>3779</v>
      </c>
      <c r="Q332" t="s">
        <v>2438</v>
      </c>
      <c r="R332" s="30">
        <v>45216</v>
      </c>
      <c r="S332" t="s">
        <v>44</v>
      </c>
      <c r="T332" s="30">
        <v>45828</v>
      </c>
      <c r="U332" s="20">
        <v>114300</v>
      </c>
      <c r="V332" s="31"/>
      <c r="W332" s="31"/>
      <c r="X332" s="31"/>
      <c r="Y332" s="31"/>
      <c r="Z332" s="31">
        <f t="shared" si="54"/>
        <v>114300</v>
      </c>
      <c r="AA332" s="31"/>
      <c r="AB332" s="31"/>
      <c r="AC332" s="31"/>
      <c r="AD332" s="31"/>
      <c r="AE332" s="31"/>
      <c r="AF332" s="31"/>
      <c r="AG332" s="31"/>
      <c r="AH332" s="31"/>
      <c r="AI332" s="32"/>
      <c r="AJ332" s="32"/>
      <c r="AK332" s="32"/>
      <c r="AL332" s="32"/>
      <c r="AM332" s="32">
        <v>19050</v>
      </c>
      <c r="AN332" s="32">
        <v>19050</v>
      </c>
      <c r="AO332" s="32">
        <v>19050</v>
      </c>
      <c r="AP332" s="32">
        <v>19050</v>
      </c>
      <c r="AQ332" s="32">
        <v>19050</v>
      </c>
      <c r="AR332" s="32">
        <v>19050</v>
      </c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CR332">
        <v>809110</v>
      </c>
      <c r="CS332">
        <v>12</v>
      </c>
    </row>
    <row r="333" spans="1:97" s="36" customFormat="1" x14ac:dyDescent="0.4">
      <c r="A333" s="36" t="s">
        <v>1020</v>
      </c>
      <c r="D333" s="36" t="s">
        <v>2370</v>
      </c>
      <c r="E333" s="36" t="s">
        <v>2371</v>
      </c>
      <c r="F333" s="36" t="s">
        <v>1021</v>
      </c>
      <c r="G333" s="36" t="s">
        <v>3780</v>
      </c>
      <c r="H333" s="36">
        <v>8036535494</v>
      </c>
      <c r="I333" s="36" t="s">
        <v>1022</v>
      </c>
      <c r="J333" s="36" t="s">
        <v>2433</v>
      </c>
      <c r="L333" s="36" t="s">
        <v>3781</v>
      </c>
      <c r="M333" s="36" t="s">
        <v>2598</v>
      </c>
      <c r="N333" s="36" t="s">
        <v>3782</v>
      </c>
      <c r="O333" s="36" t="s">
        <v>3783</v>
      </c>
      <c r="Q333" s="36" t="s">
        <v>2438</v>
      </c>
      <c r="R333" s="37">
        <v>45209</v>
      </c>
      <c r="S333" s="36" t="s">
        <v>3784</v>
      </c>
      <c r="T333" s="37">
        <v>45828</v>
      </c>
      <c r="U333" s="37"/>
      <c r="V333" s="38"/>
      <c r="W333" s="38"/>
      <c r="X333" s="38"/>
      <c r="Y333" s="38"/>
      <c r="Z333" s="31">
        <f t="shared" si="54"/>
        <v>0</v>
      </c>
      <c r="AA333" s="38"/>
      <c r="AB333" s="38"/>
      <c r="AC333" s="38"/>
      <c r="AD333" s="38"/>
      <c r="AE333" s="38"/>
      <c r="AF333" s="38"/>
      <c r="AG333" s="38"/>
      <c r="AH333" s="38"/>
      <c r="AI333" s="39"/>
      <c r="AJ333" s="39"/>
      <c r="AK333" s="39"/>
      <c r="AL333" s="39"/>
      <c r="AM333" s="32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2"/>
      <c r="AZ333" s="39"/>
      <c r="BA333" s="39"/>
      <c r="BB333" s="39"/>
      <c r="BC333" s="39"/>
      <c r="BD333" s="39"/>
      <c r="BE333" s="39"/>
      <c r="BF333" s="39"/>
      <c r="BG333" s="39"/>
      <c r="CR333" s="36">
        <v>546600</v>
      </c>
      <c r="CS333" s="36">
        <v>2</v>
      </c>
    </row>
    <row r="334" spans="1:97" s="36" customFormat="1" x14ac:dyDescent="0.4">
      <c r="A334" s="36" t="s">
        <v>3785</v>
      </c>
      <c r="D334" s="36" t="s">
        <v>2370</v>
      </c>
      <c r="E334" s="36" t="s">
        <v>2371</v>
      </c>
      <c r="F334" s="36" t="s">
        <v>3786</v>
      </c>
      <c r="G334" s="36" t="s">
        <v>3787</v>
      </c>
      <c r="H334" s="36">
        <v>8070148370</v>
      </c>
      <c r="I334" s="36" t="s">
        <v>3788</v>
      </c>
      <c r="J334" s="36" t="s">
        <v>2433</v>
      </c>
      <c r="L334" s="36" t="s">
        <v>3789</v>
      </c>
      <c r="M334" s="36" t="s">
        <v>2500</v>
      </c>
      <c r="N334" s="36" t="s">
        <v>3790</v>
      </c>
      <c r="O334" s="43">
        <v>37625</v>
      </c>
      <c r="Q334" s="36" t="s">
        <v>2438</v>
      </c>
      <c r="R334" s="37">
        <v>45209</v>
      </c>
      <c r="S334" s="36" t="s">
        <v>3191</v>
      </c>
      <c r="T334" s="37">
        <v>45736</v>
      </c>
      <c r="U334" s="37"/>
      <c r="V334" s="38"/>
      <c r="W334" s="34">
        <f>+U334</f>
        <v>0</v>
      </c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9"/>
      <c r="AJ334" s="35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5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CR334" s="36">
        <v>491700</v>
      </c>
      <c r="CS334" s="36">
        <v>2</v>
      </c>
    </row>
    <row r="335" spans="1:97" x14ac:dyDescent="0.4">
      <c r="A335" t="s">
        <v>1023</v>
      </c>
      <c r="D335" t="s">
        <v>2370</v>
      </c>
      <c r="E335" t="s">
        <v>2371</v>
      </c>
      <c r="F335" t="s">
        <v>1024</v>
      </c>
      <c r="G335" t="s">
        <v>3791</v>
      </c>
      <c r="H335">
        <v>8054884515</v>
      </c>
      <c r="I335" t="s">
        <v>1025</v>
      </c>
      <c r="J335" t="s">
        <v>2433</v>
      </c>
      <c r="L335" t="s">
        <v>3792</v>
      </c>
      <c r="M335" t="s">
        <v>3488</v>
      </c>
      <c r="N335" t="s">
        <v>3793</v>
      </c>
      <c r="O335" t="s">
        <v>3794</v>
      </c>
      <c r="Q335" t="s">
        <v>2438</v>
      </c>
      <c r="R335" s="30">
        <v>45209</v>
      </c>
      <c r="S335" t="s">
        <v>44</v>
      </c>
      <c r="T335" s="30">
        <v>45828</v>
      </c>
      <c r="U335" s="20">
        <v>114300</v>
      </c>
      <c r="V335" s="31"/>
      <c r="W335" s="31"/>
      <c r="X335" s="31"/>
      <c r="Y335" s="31"/>
      <c r="Z335" s="31">
        <f>+U335</f>
        <v>114300</v>
      </c>
      <c r="AA335" s="31"/>
      <c r="AB335" s="31"/>
      <c r="AC335" s="31"/>
      <c r="AD335" s="31"/>
      <c r="AE335" s="31"/>
      <c r="AF335" s="31"/>
      <c r="AG335" s="31"/>
      <c r="AH335" s="31"/>
      <c r="AI335" s="32"/>
      <c r="AJ335" s="32"/>
      <c r="AK335" s="32"/>
      <c r="AL335" s="32"/>
      <c r="AM335" s="32">
        <v>19050</v>
      </c>
      <c r="AN335" s="32">
        <v>19050</v>
      </c>
      <c r="AO335" s="32">
        <v>19050</v>
      </c>
      <c r="AP335" s="32">
        <v>19050</v>
      </c>
      <c r="AQ335" s="32">
        <v>19050</v>
      </c>
      <c r="AR335" s="32">
        <v>19050</v>
      </c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CR335">
        <v>546600</v>
      </c>
      <c r="CS335">
        <v>2</v>
      </c>
    </row>
    <row r="336" spans="1:97" x14ac:dyDescent="0.4">
      <c r="A336" t="s">
        <v>1026</v>
      </c>
      <c r="D336" t="s">
        <v>2370</v>
      </c>
      <c r="E336" t="s">
        <v>2371</v>
      </c>
      <c r="F336" t="s">
        <v>1027</v>
      </c>
      <c r="G336" t="s">
        <v>3795</v>
      </c>
      <c r="H336">
        <v>9037025838</v>
      </c>
      <c r="I336" t="s">
        <v>1028</v>
      </c>
      <c r="J336" t="s">
        <v>2433</v>
      </c>
      <c r="L336" t="s">
        <v>3796</v>
      </c>
      <c r="M336" t="s">
        <v>2435</v>
      </c>
      <c r="N336" t="s">
        <v>3797</v>
      </c>
      <c r="O336" t="s">
        <v>3798</v>
      </c>
      <c r="Q336" t="s">
        <v>2438</v>
      </c>
      <c r="R336" s="30">
        <v>45209</v>
      </c>
      <c r="S336" t="s">
        <v>25</v>
      </c>
      <c r="T336" s="30">
        <v>45736</v>
      </c>
      <c r="U336">
        <v>59400</v>
      </c>
      <c r="V336" s="34"/>
      <c r="W336" s="34">
        <f>+U336</f>
        <v>59400</v>
      </c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5"/>
      <c r="AJ336" s="32">
        <v>19800</v>
      </c>
      <c r="AK336" s="32">
        <v>19800</v>
      </c>
      <c r="AL336" s="32">
        <v>19800</v>
      </c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CR336">
        <v>648450</v>
      </c>
      <c r="CS336">
        <v>9</v>
      </c>
    </row>
    <row r="337" spans="1:97" x14ac:dyDescent="0.4">
      <c r="A337" t="s">
        <v>1029</v>
      </c>
      <c r="D337" t="s">
        <v>2370</v>
      </c>
      <c r="E337" t="s">
        <v>2371</v>
      </c>
      <c r="F337" t="s">
        <v>1030</v>
      </c>
      <c r="G337" t="s">
        <v>3799</v>
      </c>
      <c r="H337">
        <v>9081809252</v>
      </c>
      <c r="I337" t="s">
        <v>1031</v>
      </c>
      <c r="J337" t="s">
        <v>2433</v>
      </c>
      <c r="L337" t="s">
        <v>3800</v>
      </c>
      <c r="M337" t="s">
        <v>3180</v>
      </c>
      <c r="N337" t="s">
        <v>3801</v>
      </c>
      <c r="O337" t="s">
        <v>3802</v>
      </c>
      <c r="Q337" t="s">
        <v>2438</v>
      </c>
      <c r="R337" s="30">
        <v>45210</v>
      </c>
      <c r="S337" t="s">
        <v>44</v>
      </c>
      <c r="T337" s="30">
        <v>45828</v>
      </c>
      <c r="U337" s="20">
        <v>114300</v>
      </c>
      <c r="V337" s="31"/>
      <c r="W337" s="31"/>
      <c r="X337" s="31"/>
      <c r="Y337" s="31"/>
      <c r="Z337" s="31">
        <f t="shared" ref="Z337:Z346" si="55">+U337</f>
        <v>114300</v>
      </c>
      <c r="AA337" s="31"/>
      <c r="AB337" s="31"/>
      <c r="AC337" s="31"/>
      <c r="AD337" s="31"/>
      <c r="AE337" s="31"/>
      <c r="AF337" s="31"/>
      <c r="AG337" s="31"/>
      <c r="AH337" s="31"/>
      <c r="AI337" s="32"/>
      <c r="AJ337" s="32"/>
      <c r="AK337" s="32"/>
      <c r="AL337" s="32"/>
      <c r="AM337" s="32">
        <v>19050</v>
      </c>
      <c r="AN337" s="32">
        <v>19050</v>
      </c>
      <c r="AO337" s="32">
        <v>19050</v>
      </c>
      <c r="AP337" s="32">
        <v>19050</v>
      </c>
      <c r="AQ337" s="32">
        <v>19050</v>
      </c>
      <c r="AR337" s="32">
        <v>19050</v>
      </c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CR337">
        <v>762750</v>
      </c>
      <c r="CS337">
        <v>10</v>
      </c>
    </row>
    <row r="338" spans="1:97" x14ac:dyDescent="0.4">
      <c r="A338" t="s">
        <v>1032</v>
      </c>
      <c r="D338" t="s">
        <v>2370</v>
      </c>
      <c r="E338" t="s">
        <v>2371</v>
      </c>
      <c r="F338" t="s">
        <v>1033</v>
      </c>
      <c r="G338" t="s">
        <v>3803</v>
      </c>
      <c r="H338">
        <v>8051377671</v>
      </c>
      <c r="I338" t="s">
        <v>1034</v>
      </c>
      <c r="J338" t="s">
        <v>2433</v>
      </c>
      <c r="L338" t="s">
        <v>3804</v>
      </c>
      <c r="M338" t="s">
        <v>2451</v>
      </c>
      <c r="N338" t="s">
        <v>3805</v>
      </c>
      <c r="O338" t="s">
        <v>3806</v>
      </c>
      <c r="Q338" t="s">
        <v>2438</v>
      </c>
      <c r="R338" s="30">
        <v>45211</v>
      </c>
      <c r="S338" t="s">
        <v>44</v>
      </c>
      <c r="T338" s="30">
        <v>45828</v>
      </c>
      <c r="U338" s="20">
        <v>114300</v>
      </c>
      <c r="V338" s="31"/>
      <c r="W338" s="31"/>
      <c r="X338" s="31"/>
      <c r="Y338" s="31"/>
      <c r="Z338" s="31">
        <f t="shared" si="55"/>
        <v>114300</v>
      </c>
      <c r="AA338" s="31"/>
      <c r="AB338" s="31"/>
      <c r="AC338" s="31"/>
      <c r="AD338" s="31"/>
      <c r="AE338" s="31"/>
      <c r="AF338" s="31"/>
      <c r="AG338" s="31"/>
      <c r="AH338" s="31"/>
      <c r="AI338" s="32"/>
      <c r="AJ338" s="32"/>
      <c r="AK338" s="32"/>
      <c r="AL338" s="32"/>
      <c r="AM338" s="32">
        <v>19050</v>
      </c>
      <c r="AN338" s="32">
        <v>19050</v>
      </c>
      <c r="AO338" s="32">
        <v>19050</v>
      </c>
      <c r="AP338" s="32">
        <v>19050</v>
      </c>
      <c r="AQ338" s="32">
        <v>19050</v>
      </c>
      <c r="AR338" s="32">
        <v>19050</v>
      </c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CR338">
        <v>767640</v>
      </c>
      <c r="CS338">
        <v>11</v>
      </c>
    </row>
    <row r="339" spans="1:97" x14ac:dyDescent="0.4">
      <c r="A339" t="s">
        <v>1035</v>
      </c>
      <c r="D339" t="s">
        <v>2370</v>
      </c>
      <c r="E339" t="s">
        <v>2371</v>
      </c>
      <c r="F339" t="s">
        <v>1036</v>
      </c>
      <c r="G339" t="s">
        <v>3807</v>
      </c>
      <c r="H339">
        <v>9046763091</v>
      </c>
      <c r="I339" t="s">
        <v>1037</v>
      </c>
      <c r="J339" t="s">
        <v>2433</v>
      </c>
      <c r="L339" t="s">
        <v>3808</v>
      </c>
      <c r="M339" t="s">
        <v>2444</v>
      </c>
      <c r="N339" t="s">
        <v>3809</v>
      </c>
      <c r="O339" s="41">
        <v>36957</v>
      </c>
      <c r="Q339" t="s">
        <v>2438</v>
      </c>
      <c r="R339" s="30">
        <v>45211</v>
      </c>
      <c r="S339" t="s">
        <v>44</v>
      </c>
      <c r="T339" s="30">
        <v>45828</v>
      </c>
      <c r="U339" s="20">
        <v>114300</v>
      </c>
      <c r="V339" s="31"/>
      <c r="W339" s="31"/>
      <c r="X339" s="31"/>
      <c r="Y339" s="31"/>
      <c r="Z339" s="31">
        <f t="shared" si="55"/>
        <v>114300</v>
      </c>
      <c r="AA339" s="31"/>
      <c r="AB339" s="31"/>
      <c r="AC339" s="31"/>
      <c r="AD339" s="31"/>
      <c r="AE339" s="31"/>
      <c r="AF339" s="31"/>
      <c r="AG339" s="31"/>
      <c r="AH339" s="31"/>
      <c r="AI339" s="32"/>
      <c r="AJ339" s="32"/>
      <c r="AK339" s="32"/>
      <c r="AL339" s="32"/>
      <c r="AM339" s="32">
        <v>19050</v>
      </c>
      <c r="AN339" s="32">
        <v>19050</v>
      </c>
      <c r="AO339" s="32">
        <v>19050</v>
      </c>
      <c r="AP339" s="32">
        <v>19050</v>
      </c>
      <c r="AQ339" s="32">
        <v>19050</v>
      </c>
      <c r="AR339" s="32">
        <v>19050</v>
      </c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CR339">
        <v>546600</v>
      </c>
      <c r="CS339">
        <v>2</v>
      </c>
    </row>
    <row r="340" spans="1:97" x14ac:dyDescent="0.4">
      <c r="A340" t="s">
        <v>1038</v>
      </c>
      <c r="D340" t="s">
        <v>2370</v>
      </c>
      <c r="E340" t="s">
        <v>2371</v>
      </c>
      <c r="F340" t="s">
        <v>1039</v>
      </c>
      <c r="G340" t="s">
        <v>3810</v>
      </c>
      <c r="H340">
        <v>9062718115</v>
      </c>
      <c r="I340" t="s">
        <v>1040</v>
      </c>
      <c r="J340" t="s">
        <v>2433</v>
      </c>
      <c r="L340" t="s">
        <v>3811</v>
      </c>
      <c r="M340" t="s">
        <v>2541</v>
      </c>
      <c r="N340" t="s">
        <v>3812</v>
      </c>
      <c r="O340" t="s">
        <v>3813</v>
      </c>
      <c r="Q340" t="s">
        <v>2438</v>
      </c>
      <c r="R340" s="30">
        <v>45212</v>
      </c>
      <c r="S340" t="s">
        <v>44</v>
      </c>
      <c r="T340" s="30">
        <v>45828</v>
      </c>
      <c r="U340" s="20">
        <v>114300</v>
      </c>
      <c r="V340" s="31"/>
      <c r="W340" s="31"/>
      <c r="X340" s="31"/>
      <c r="Y340" s="31"/>
      <c r="Z340" s="31">
        <f t="shared" si="55"/>
        <v>114300</v>
      </c>
      <c r="AA340" s="31"/>
      <c r="AB340" s="31"/>
      <c r="AC340" s="31"/>
      <c r="AD340" s="31"/>
      <c r="AE340" s="31"/>
      <c r="AF340" s="31"/>
      <c r="AG340" s="31"/>
      <c r="AH340" s="31"/>
      <c r="AI340" s="32"/>
      <c r="AJ340" s="32"/>
      <c r="AK340" s="32"/>
      <c r="AL340" s="32"/>
      <c r="AM340" s="32">
        <v>19050</v>
      </c>
      <c r="AN340" s="32">
        <v>19050</v>
      </c>
      <c r="AO340" s="32">
        <v>19050</v>
      </c>
      <c r="AP340" s="32">
        <v>19050</v>
      </c>
      <c r="AQ340" s="32">
        <v>19050</v>
      </c>
      <c r="AR340" s="32">
        <v>19050</v>
      </c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CR340">
        <v>546600</v>
      </c>
      <c r="CS340">
        <v>7</v>
      </c>
    </row>
    <row r="341" spans="1:97" x14ac:dyDescent="0.4">
      <c r="A341" t="s">
        <v>1041</v>
      </c>
      <c r="D341" t="s">
        <v>2370</v>
      </c>
      <c r="E341" t="s">
        <v>2371</v>
      </c>
      <c r="F341" t="s">
        <v>1042</v>
      </c>
      <c r="G341" t="s">
        <v>3814</v>
      </c>
      <c r="H341">
        <v>8098887072</v>
      </c>
      <c r="I341" t="s">
        <v>1043</v>
      </c>
      <c r="J341" t="s">
        <v>2433</v>
      </c>
      <c r="L341" t="s">
        <v>3815</v>
      </c>
      <c r="M341" t="s">
        <v>2444</v>
      </c>
      <c r="N341" t="s">
        <v>3816</v>
      </c>
      <c r="O341" s="41">
        <v>37628</v>
      </c>
      <c r="Q341" t="s">
        <v>2438</v>
      </c>
      <c r="R341" s="30">
        <v>45212</v>
      </c>
      <c r="S341" t="s">
        <v>44</v>
      </c>
      <c r="T341" s="30">
        <v>45828</v>
      </c>
      <c r="U341" s="20">
        <v>114300</v>
      </c>
      <c r="V341" s="31"/>
      <c r="W341" s="31"/>
      <c r="X341" s="31"/>
      <c r="Y341" s="31"/>
      <c r="Z341" s="31">
        <f t="shared" si="55"/>
        <v>114300</v>
      </c>
      <c r="AA341" s="31"/>
      <c r="AB341" s="31"/>
      <c r="AC341" s="31"/>
      <c r="AD341" s="31"/>
      <c r="AE341" s="31"/>
      <c r="AF341" s="31"/>
      <c r="AG341" s="31"/>
      <c r="AH341" s="31"/>
      <c r="AI341" s="32"/>
      <c r="AJ341" s="32"/>
      <c r="AK341" s="32"/>
      <c r="AL341" s="32"/>
      <c r="AM341" s="32">
        <v>19050</v>
      </c>
      <c r="AN341" s="32">
        <v>19050</v>
      </c>
      <c r="AO341" s="32">
        <v>19050</v>
      </c>
      <c r="AP341" s="32">
        <v>19050</v>
      </c>
      <c r="AQ341" s="32">
        <v>19050</v>
      </c>
      <c r="AR341" s="32">
        <v>19050</v>
      </c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CF341" t="s">
        <v>3817</v>
      </c>
      <c r="CG341" s="41">
        <v>45385</v>
      </c>
      <c r="CR341">
        <v>555600</v>
      </c>
      <c r="CS341">
        <v>5</v>
      </c>
    </row>
    <row r="342" spans="1:97" x14ac:dyDescent="0.4">
      <c r="A342" t="s">
        <v>1044</v>
      </c>
      <c r="D342" t="s">
        <v>2370</v>
      </c>
      <c r="E342" t="s">
        <v>2371</v>
      </c>
      <c r="F342" t="s">
        <v>1045</v>
      </c>
      <c r="G342" t="s">
        <v>3818</v>
      </c>
      <c r="H342">
        <v>9044614998</v>
      </c>
      <c r="I342" t="s">
        <v>1046</v>
      </c>
      <c r="J342" t="s">
        <v>2433</v>
      </c>
      <c r="L342" t="s">
        <v>3819</v>
      </c>
      <c r="M342" t="s">
        <v>2640</v>
      </c>
      <c r="N342" t="s">
        <v>3077</v>
      </c>
      <c r="O342" t="s">
        <v>3820</v>
      </c>
      <c r="Q342" t="s">
        <v>2438</v>
      </c>
      <c r="R342" s="30">
        <v>45212</v>
      </c>
      <c r="S342" t="s">
        <v>44</v>
      </c>
      <c r="T342" s="30">
        <v>45828</v>
      </c>
      <c r="U342" s="20">
        <v>114300</v>
      </c>
      <c r="V342" s="31"/>
      <c r="W342" s="31"/>
      <c r="X342" s="31"/>
      <c r="Y342" s="31"/>
      <c r="Z342" s="31">
        <f t="shared" si="55"/>
        <v>114300</v>
      </c>
      <c r="AA342" s="31"/>
      <c r="AB342" s="31"/>
      <c r="AC342" s="31"/>
      <c r="AD342" s="31"/>
      <c r="AE342" s="31"/>
      <c r="AF342" s="31"/>
      <c r="AG342" s="31"/>
      <c r="AH342" s="31"/>
      <c r="AI342" s="32"/>
      <c r="AJ342" s="32"/>
      <c r="AK342" s="32"/>
      <c r="AL342" s="32"/>
      <c r="AM342" s="32">
        <v>19050</v>
      </c>
      <c r="AN342" s="32">
        <v>19050</v>
      </c>
      <c r="AO342" s="32">
        <v>19050</v>
      </c>
      <c r="AP342" s="32">
        <v>19050</v>
      </c>
      <c r="AQ342" s="32">
        <v>19050</v>
      </c>
      <c r="AR342" s="32">
        <v>19050</v>
      </c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CR342">
        <v>546600</v>
      </c>
      <c r="CS342">
        <v>2</v>
      </c>
    </row>
    <row r="343" spans="1:97" x14ac:dyDescent="0.4">
      <c r="A343" t="s">
        <v>1047</v>
      </c>
      <c r="D343" t="s">
        <v>2370</v>
      </c>
      <c r="E343" t="s">
        <v>2371</v>
      </c>
      <c r="F343" t="s">
        <v>1048</v>
      </c>
      <c r="G343" t="s">
        <v>3821</v>
      </c>
      <c r="H343">
        <v>9057498293</v>
      </c>
      <c r="I343" t="s">
        <v>1049</v>
      </c>
      <c r="J343" t="s">
        <v>2433</v>
      </c>
      <c r="L343" t="s">
        <v>3822</v>
      </c>
      <c r="M343" t="s">
        <v>2715</v>
      </c>
      <c r="N343" t="s">
        <v>3823</v>
      </c>
      <c r="O343" t="s">
        <v>3824</v>
      </c>
      <c r="Q343" t="s">
        <v>2438</v>
      </c>
      <c r="R343" s="30">
        <v>45212</v>
      </c>
      <c r="S343" t="s">
        <v>44</v>
      </c>
      <c r="T343" s="30">
        <v>45828</v>
      </c>
      <c r="U343" s="20">
        <v>114300</v>
      </c>
      <c r="V343" s="31"/>
      <c r="W343" s="31"/>
      <c r="X343" s="31"/>
      <c r="Y343" s="31"/>
      <c r="Z343" s="31">
        <f t="shared" si="55"/>
        <v>114300</v>
      </c>
      <c r="AA343" s="31"/>
      <c r="AB343" s="31"/>
      <c r="AC343" s="31"/>
      <c r="AD343" s="31"/>
      <c r="AE343" s="31"/>
      <c r="AF343" s="31"/>
      <c r="AG343" s="31"/>
      <c r="AH343" s="31"/>
      <c r="AI343" s="32"/>
      <c r="AJ343" s="32"/>
      <c r="AK343" s="32"/>
      <c r="AL343" s="32"/>
      <c r="AM343" s="32">
        <v>19050</v>
      </c>
      <c r="AN343" s="32">
        <v>19050</v>
      </c>
      <c r="AO343" s="32">
        <v>19050</v>
      </c>
      <c r="AP343" s="32">
        <v>19050</v>
      </c>
      <c r="AQ343" s="32">
        <v>19050</v>
      </c>
      <c r="AR343" s="32">
        <v>19050</v>
      </c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CR343">
        <v>546600</v>
      </c>
      <c r="CS343">
        <v>2</v>
      </c>
    </row>
    <row r="344" spans="1:97" x14ac:dyDescent="0.4">
      <c r="A344" t="s">
        <v>1050</v>
      </c>
      <c r="D344" t="s">
        <v>2370</v>
      </c>
      <c r="E344" t="s">
        <v>2371</v>
      </c>
      <c r="F344" t="s">
        <v>1051</v>
      </c>
      <c r="G344" t="s">
        <v>3825</v>
      </c>
      <c r="H344">
        <v>8063118512</v>
      </c>
      <c r="I344" t="s">
        <v>1052</v>
      </c>
      <c r="J344" t="s">
        <v>2433</v>
      </c>
      <c r="L344" t="s">
        <v>3826</v>
      </c>
      <c r="M344" t="s">
        <v>2732</v>
      </c>
      <c r="N344" t="s">
        <v>3827</v>
      </c>
      <c r="O344" t="s">
        <v>3828</v>
      </c>
      <c r="Q344" t="s">
        <v>2438</v>
      </c>
      <c r="R344" s="30">
        <v>45212</v>
      </c>
      <c r="S344" t="s">
        <v>44</v>
      </c>
      <c r="T344" s="30">
        <v>45828</v>
      </c>
      <c r="U344" s="20">
        <v>114300</v>
      </c>
      <c r="V344" s="31"/>
      <c r="W344" s="31"/>
      <c r="X344" s="31"/>
      <c r="Y344" s="31"/>
      <c r="Z344" s="31">
        <f t="shared" si="55"/>
        <v>114300</v>
      </c>
      <c r="AA344" s="31"/>
      <c r="AB344" s="31"/>
      <c r="AC344" s="31"/>
      <c r="AD344" s="31"/>
      <c r="AE344" s="31"/>
      <c r="AF344" s="31"/>
      <c r="AG344" s="31"/>
      <c r="AH344" s="31"/>
      <c r="AI344" s="32"/>
      <c r="AJ344" s="32"/>
      <c r="AK344" s="32"/>
      <c r="AL344" s="32"/>
      <c r="AM344" s="32">
        <v>19050</v>
      </c>
      <c r="AN344" s="32">
        <v>19050</v>
      </c>
      <c r="AO344" s="32">
        <v>19050</v>
      </c>
      <c r="AP344" s="32">
        <v>19050</v>
      </c>
      <c r="AQ344" s="32">
        <v>19050</v>
      </c>
      <c r="AR344" s="32">
        <v>19050</v>
      </c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CR344">
        <v>829102</v>
      </c>
      <c r="CS344">
        <v>18</v>
      </c>
    </row>
    <row r="345" spans="1:97" x14ac:dyDescent="0.4">
      <c r="A345" t="s">
        <v>1053</v>
      </c>
      <c r="D345" t="s">
        <v>2370</v>
      </c>
      <c r="E345" t="s">
        <v>2371</v>
      </c>
      <c r="F345" t="s">
        <v>1054</v>
      </c>
      <c r="G345" t="s">
        <v>3829</v>
      </c>
      <c r="H345">
        <v>9085897387</v>
      </c>
      <c r="I345" t="s">
        <v>1055</v>
      </c>
      <c r="J345" t="s">
        <v>2433</v>
      </c>
      <c r="L345" t="s">
        <v>3830</v>
      </c>
      <c r="M345" t="s">
        <v>2518</v>
      </c>
      <c r="N345" t="s">
        <v>3831</v>
      </c>
      <c r="O345" t="s">
        <v>3832</v>
      </c>
      <c r="Q345" t="s">
        <v>2438</v>
      </c>
      <c r="R345" s="30">
        <v>45212</v>
      </c>
      <c r="S345" t="s">
        <v>44</v>
      </c>
      <c r="T345" s="30">
        <v>45828</v>
      </c>
      <c r="U345" s="20">
        <v>114300</v>
      </c>
      <c r="V345" s="31"/>
      <c r="W345" s="31"/>
      <c r="X345" s="31"/>
      <c r="Y345" s="31"/>
      <c r="Z345" s="31">
        <f t="shared" si="55"/>
        <v>114300</v>
      </c>
      <c r="AA345" s="31"/>
      <c r="AB345" s="31"/>
      <c r="AC345" s="31"/>
      <c r="AD345" s="31"/>
      <c r="AE345" s="31"/>
      <c r="AF345" s="31"/>
      <c r="AG345" s="31"/>
      <c r="AH345" s="31"/>
      <c r="AI345" s="32"/>
      <c r="AJ345" s="32"/>
      <c r="AK345" s="32"/>
      <c r="AL345" s="32"/>
      <c r="AM345" s="32">
        <v>19050</v>
      </c>
      <c r="AN345" s="32">
        <v>19050</v>
      </c>
      <c r="AO345" s="32">
        <v>19050</v>
      </c>
      <c r="AP345" s="32">
        <v>19050</v>
      </c>
      <c r="AQ345" s="32">
        <v>19050</v>
      </c>
      <c r="AR345" s="32">
        <v>19050</v>
      </c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CR345">
        <v>588070</v>
      </c>
      <c r="CS345">
        <v>3</v>
      </c>
    </row>
    <row r="346" spans="1:97" x14ac:dyDescent="0.4">
      <c r="A346" t="s">
        <v>1056</v>
      </c>
      <c r="D346" t="s">
        <v>2370</v>
      </c>
      <c r="E346" t="s">
        <v>2371</v>
      </c>
      <c r="F346" t="s">
        <v>1057</v>
      </c>
      <c r="G346" t="s">
        <v>3833</v>
      </c>
      <c r="H346">
        <v>9096774920</v>
      </c>
      <c r="I346" t="s">
        <v>1058</v>
      </c>
      <c r="J346" t="s">
        <v>2433</v>
      </c>
      <c r="L346" t="s">
        <v>3834</v>
      </c>
      <c r="M346" t="s">
        <v>3835</v>
      </c>
      <c r="N346" t="s">
        <v>3836</v>
      </c>
      <c r="O346" t="s">
        <v>3837</v>
      </c>
      <c r="Q346" t="s">
        <v>2438</v>
      </c>
      <c r="R346" s="30">
        <v>45212</v>
      </c>
      <c r="S346" t="s">
        <v>44</v>
      </c>
      <c r="T346" s="30">
        <v>45828</v>
      </c>
      <c r="U346" s="20">
        <v>114300</v>
      </c>
      <c r="V346" s="31"/>
      <c r="W346" s="31"/>
      <c r="X346" s="31"/>
      <c r="Y346" s="31"/>
      <c r="Z346" s="31">
        <f t="shared" si="55"/>
        <v>114300</v>
      </c>
      <c r="AA346" s="31"/>
      <c r="AB346" s="31"/>
      <c r="AC346" s="31"/>
      <c r="AD346" s="31"/>
      <c r="AE346" s="31"/>
      <c r="AF346" s="31"/>
      <c r="AG346" s="31"/>
      <c r="AH346" s="31"/>
      <c r="AI346" s="32"/>
      <c r="AJ346" s="32"/>
      <c r="AK346" s="32"/>
      <c r="AL346" s="32"/>
      <c r="AM346" s="32">
        <v>19050</v>
      </c>
      <c r="AN346" s="32">
        <v>19050</v>
      </c>
      <c r="AO346" s="32">
        <v>19050</v>
      </c>
      <c r="AP346" s="32">
        <v>19050</v>
      </c>
      <c r="AQ346" s="32">
        <v>19050</v>
      </c>
      <c r="AR346" s="32">
        <v>19050</v>
      </c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CR346">
        <v>432300</v>
      </c>
      <c r="CS346">
        <v>1</v>
      </c>
    </row>
    <row r="347" spans="1:97" x14ac:dyDescent="0.4">
      <c r="A347" t="s">
        <v>1059</v>
      </c>
      <c r="D347" t="s">
        <v>2370</v>
      </c>
      <c r="E347" t="s">
        <v>2371</v>
      </c>
      <c r="F347" t="s">
        <v>1060</v>
      </c>
      <c r="G347" t="s">
        <v>3838</v>
      </c>
      <c r="H347">
        <v>9059365027</v>
      </c>
      <c r="I347" t="s">
        <v>1061</v>
      </c>
      <c r="J347" t="s">
        <v>2433</v>
      </c>
      <c r="L347" t="s">
        <v>3839</v>
      </c>
      <c r="M347" t="s">
        <v>2500</v>
      </c>
      <c r="N347" t="s">
        <v>3840</v>
      </c>
      <c r="O347" t="s">
        <v>3841</v>
      </c>
      <c r="Q347" t="s">
        <v>2438</v>
      </c>
      <c r="R347" s="30">
        <v>45212</v>
      </c>
      <c r="S347" t="s">
        <v>25</v>
      </c>
      <c r="T347" s="30">
        <v>45736</v>
      </c>
      <c r="U347">
        <v>59400</v>
      </c>
      <c r="V347" s="34"/>
      <c r="W347" s="34">
        <f>+U347</f>
        <v>59400</v>
      </c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5"/>
      <c r="AJ347" s="32">
        <v>19800</v>
      </c>
      <c r="AK347" s="32">
        <v>19800</v>
      </c>
      <c r="AL347" s="32">
        <v>19800</v>
      </c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CR347">
        <v>491700</v>
      </c>
      <c r="CS347">
        <v>2</v>
      </c>
    </row>
    <row r="348" spans="1:97" x14ac:dyDescent="0.4">
      <c r="A348" t="s">
        <v>1062</v>
      </c>
      <c r="D348" t="s">
        <v>2370</v>
      </c>
      <c r="E348" t="s">
        <v>2371</v>
      </c>
      <c r="F348" t="s">
        <v>1063</v>
      </c>
      <c r="G348" t="s">
        <v>3842</v>
      </c>
      <c r="H348">
        <v>8054086854</v>
      </c>
      <c r="I348" t="s">
        <v>1064</v>
      </c>
      <c r="J348" t="s">
        <v>2433</v>
      </c>
      <c r="L348" t="s">
        <v>3843</v>
      </c>
      <c r="M348" t="s">
        <v>2518</v>
      </c>
      <c r="N348" t="s">
        <v>3844</v>
      </c>
      <c r="O348" t="s">
        <v>3845</v>
      </c>
      <c r="Q348" t="s">
        <v>2438</v>
      </c>
      <c r="R348" s="30">
        <v>45212</v>
      </c>
      <c r="S348" t="s">
        <v>44</v>
      </c>
      <c r="T348" s="30">
        <v>45828</v>
      </c>
      <c r="U348" s="20">
        <v>114300</v>
      </c>
      <c r="V348" s="31"/>
      <c r="W348" s="31"/>
      <c r="X348" s="31"/>
      <c r="Y348" s="31"/>
      <c r="Z348" s="31">
        <f t="shared" ref="Z348:Z349" si="56">+U348</f>
        <v>114300</v>
      </c>
      <c r="AA348" s="31"/>
      <c r="AB348" s="31"/>
      <c r="AC348" s="31"/>
      <c r="AD348" s="31"/>
      <c r="AE348" s="31"/>
      <c r="AF348" s="31"/>
      <c r="AG348" s="31"/>
      <c r="AH348" s="31"/>
      <c r="AI348" s="32"/>
      <c r="AJ348" s="32"/>
      <c r="AK348" s="32"/>
      <c r="AL348" s="32"/>
      <c r="AM348" s="32">
        <v>19050</v>
      </c>
      <c r="AN348" s="32">
        <v>19050</v>
      </c>
      <c r="AO348" s="32">
        <v>19050</v>
      </c>
      <c r="AP348" s="32">
        <v>19050</v>
      </c>
      <c r="AQ348" s="32">
        <v>19050</v>
      </c>
      <c r="AR348" s="32">
        <v>19050</v>
      </c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CR348">
        <v>546600</v>
      </c>
      <c r="CS348">
        <v>4</v>
      </c>
    </row>
    <row r="349" spans="1:97" x14ac:dyDescent="0.4">
      <c r="A349" t="s">
        <v>1065</v>
      </c>
      <c r="D349" t="s">
        <v>2370</v>
      </c>
      <c r="E349" t="s">
        <v>2371</v>
      </c>
      <c r="F349" t="s">
        <v>1066</v>
      </c>
      <c r="G349" t="s">
        <v>3846</v>
      </c>
      <c r="H349">
        <v>9054074477</v>
      </c>
      <c r="I349" t="s">
        <v>1067</v>
      </c>
      <c r="J349" t="s">
        <v>2433</v>
      </c>
      <c r="L349" t="s">
        <v>3847</v>
      </c>
      <c r="M349" t="s">
        <v>2444</v>
      </c>
      <c r="N349" t="s">
        <v>3848</v>
      </c>
      <c r="O349" t="s">
        <v>3849</v>
      </c>
      <c r="Q349" t="s">
        <v>2438</v>
      </c>
      <c r="R349" s="30">
        <v>45212</v>
      </c>
      <c r="S349" t="s">
        <v>44</v>
      </c>
      <c r="T349" s="30">
        <v>45828</v>
      </c>
      <c r="U349" s="20">
        <v>114300</v>
      </c>
      <c r="V349" s="31"/>
      <c r="W349" s="31"/>
      <c r="X349" s="31"/>
      <c r="Y349" s="31"/>
      <c r="Z349" s="31">
        <f t="shared" si="56"/>
        <v>114300</v>
      </c>
      <c r="AA349" s="31"/>
      <c r="AB349" s="31"/>
      <c r="AC349" s="31"/>
      <c r="AD349" s="31"/>
      <c r="AE349" s="31"/>
      <c r="AF349" s="31"/>
      <c r="AG349" s="31"/>
      <c r="AH349" s="31"/>
      <c r="AI349" s="32"/>
      <c r="AJ349" s="32"/>
      <c r="AK349" s="32"/>
      <c r="AL349" s="32"/>
      <c r="AM349" s="32">
        <v>19050</v>
      </c>
      <c r="AN349" s="32">
        <v>19050</v>
      </c>
      <c r="AO349" s="32">
        <v>19050</v>
      </c>
      <c r="AP349" s="32">
        <v>19050</v>
      </c>
      <c r="AQ349" s="32">
        <v>19050</v>
      </c>
      <c r="AR349" s="32">
        <v>19050</v>
      </c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CR349">
        <v>546600</v>
      </c>
      <c r="CS349">
        <v>2</v>
      </c>
    </row>
    <row r="350" spans="1:97" x14ac:dyDescent="0.4">
      <c r="A350" t="s">
        <v>1068</v>
      </c>
      <c r="D350" t="s">
        <v>2370</v>
      </c>
      <c r="E350" t="s">
        <v>2371</v>
      </c>
      <c r="F350" t="s">
        <v>1069</v>
      </c>
      <c r="G350" t="s">
        <v>3850</v>
      </c>
      <c r="H350">
        <v>9070962142</v>
      </c>
      <c r="I350" t="s">
        <v>1070</v>
      </c>
      <c r="J350" t="s">
        <v>2433</v>
      </c>
      <c r="L350" t="s">
        <v>3851</v>
      </c>
      <c r="M350" t="s">
        <v>2479</v>
      </c>
      <c r="N350" t="s">
        <v>3852</v>
      </c>
      <c r="O350" s="33">
        <v>45800</v>
      </c>
      <c r="Q350" t="s">
        <v>2438</v>
      </c>
      <c r="R350" s="30">
        <v>45213</v>
      </c>
      <c r="S350" t="s">
        <v>25</v>
      </c>
      <c r="T350" s="30">
        <v>45736</v>
      </c>
      <c r="U350">
        <v>59400</v>
      </c>
      <c r="V350" s="34"/>
      <c r="W350" s="34">
        <f t="shared" ref="W350:W351" si="57">+U350</f>
        <v>59400</v>
      </c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5"/>
      <c r="AJ350" s="32">
        <v>19800</v>
      </c>
      <c r="AK350" s="32">
        <v>19800</v>
      </c>
      <c r="AL350" s="32">
        <v>19800</v>
      </c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CR350">
        <v>707850</v>
      </c>
      <c r="CS350">
        <v>4</v>
      </c>
    </row>
    <row r="351" spans="1:97" x14ac:dyDescent="0.4">
      <c r="A351" t="s">
        <v>1071</v>
      </c>
      <c r="D351" t="s">
        <v>2370</v>
      </c>
      <c r="E351" t="s">
        <v>2371</v>
      </c>
      <c r="F351" t="s">
        <v>1072</v>
      </c>
      <c r="G351" t="s">
        <v>3853</v>
      </c>
      <c r="H351">
        <v>9073652718</v>
      </c>
      <c r="I351" t="s">
        <v>1073</v>
      </c>
      <c r="J351" t="s">
        <v>2433</v>
      </c>
      <c r="L351" t="s">
        <v>3854</v>
      </c>
      <c r="M351" t="s">
        <v>2460</v>
      </c>
      <c r="N351" t="s">
        <v>3855</v>
      </c>
      <c r="O351" t="s">
        <v>3856</v>
      </c>
      <c r="Q351" t="s">
        <v>2438</v>
      </c>
      <c r="R351" s="30">
        <v>45213</v>
      </c>
      <c r="S351" t="s">
        <v>25</v>
      </c>
      <c r="T351" s="30">
        <v>45736</v>
      </c>
      <c r="U351">
        <v>59400</v>
      </c>
      <c r="V351" s="34"/>
      <c r="W351" s="34">
        <f t="shared" si="57"/>
        <v>59400</v>
      </c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5"/>
      <c r="AJ351" s="32">
        <v>19800</v>
      </c>
      <c r="AK351" s="32">
        <v>19800</v>
      </c>
      <c r="AL351" s="32">
        <v>19800</v>
      </c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CR351">
        <v>491700</v>
      </c>
      <c r="CS351">
        <v>2</v>
      </c>
    </row>
    <row r="352" spans="1:97" x14ac:dyDescent="0.4">
      <c r="A352" t="s">
        <v>1074</v>
      </c>
      <c r="D352" t="s">
        <v>2370</v>
      </c>
      <c r="E352" t="s">
        <v>2371</v>
      </c>
      <c r="F352" t="s">
        <v>1075</v>
      </c>
      <c r="G352" t="s">
        <v>3857</v>
      </c>
      <c r="H352">
        <v>9093863065</v>
      </c>
      <c r="I352" t="s">
        <v>1076</v>
      </c>
      <c r="J352" t="s">
        <v>2433</v>
      </c>
      <c r="L352" t="s">
        <v>3858</v>
      </c>
      <c r="M352" t="s">
        <v>2465</v>
      </c>
      <c r="N352" t="s">
        <v>3859</v>
      </c>
      <c r="O352" t="s">
        <v>3860</v>
      </c>
      <c r="Q352" t="s">
        <v>2438</v>
      </c>
      <c r="R352" s="30">
        <v>45213</v>
      </c>
      <c r="S352" t="s">
        <v>44</v>
      </c>
      <c r="T352" s="30">
        <v>45828</v>
      </c>
      <c r="U352" s="20">
        <v>114300</v>
      </c>
      <c r="V352" s="31"/>
      <c r="W352" s="31"/>
      <c r="X352" s="31"/>
      <c r="Y352" s="31"/>
      <c r="Z352" s="31">
        <f t="shared" ref="Z352:Z354" si="58">+U352</f>
        <v>114300</v>
      </c>
      <c r="AA352" s="31"/>
      <c r="AB352" s="31"/>
      <c r="AC352" s="31"/>
      <c r="AD352" s="31"/>
      <c r="AE352" s="31"/>
      <c r="AF352" s="31"/>
      <c r="AG352" s="31"/>
      <c r="AH352" s="31"/>
      <c r="AI352" s="32"/>
      <c r="AJ352" s="32"/>
      <c r="AK352" s="32"/>
      <c r="AL352" s="32"/>
      <c r="AM352" s="32">
        <v>19050</v>
      </c>
      <c r="AN352" s="32">
        <v>19050</v>
      </c>
      <c r="AO352" s="32">
        <v>19050</v>
      </c>
      <c r="AP352" s="32">
        <v>19050</v>
      </c>
      <c r="AQ352" s="32">
        <v>19050</v>
      </c>
      <c r="AR352" s="32">
        <v>19050</v>
      </c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CR352">
        <v>705770</v>
      </c>
      <c r="CS352">
        <v>4</v>
      </c>
    </row>
    <row r="353" spans="1:97" x14ac:dyDescent="0.4">
      <c r="A353" t="s">
        <v>1077</v>
      </c>
      <c r="D353" t="s">
        <v>2370</v>
      </c>
      <c r="E353" t="s">
        <v>2371</v>
      </c>
      <c r="F353" t="s">
        <v>1078</v>
      </c>
      <c r="G353" t="s">
        <v>3861</v>
      </c>
      <c r="H353">
        <v>9096164924</v>
      </c>
      <c r="I353" t="s">
        <v>1079</v>
      </c>
      <c r="J353" t="s">
        <v>2433</v>
      </c>
      <c r="L353" t="s">
        <v>3862</v>
      </c>
      <c r="M353" t="s">
        <v>2630</v>
      </c>
      <c r="N353" t="s">
        <v>3863</v>
      </c>
      <c r="O353" t="s">
        <v>3864</v>
      </c>
      <c r="Q353" t="s">
        <v>2438</v>
      </c>
      <c r="R353" s="30">
        <v>45213</v>
      </c>
      <c r="S353" t="s">
        <v>44</v>
      </c>
      <c r="T353" s="30">
        <v>45828</v>
      </c>
      <c r="U353" s="20">
        <v>114300</v>
      </c>
      <c r="V353" s="31"/>
      <c r="W353" s="31"/>
      <c r="X353" s="31"/>
      <c r="Y353" s="31"/>
      <c r="Z353" s="31">
        <f t="shared" si="58"/>
        <v>114300</v>
      </c>
      <c r="AA353" s="31"/>
      <c r="AB353" s="31"/>
      <c r="AC353" s="31"/>
      <c r="AD353" s="31"/>
      <c r="AE353" s="31"/>
      <c r="AF353" s="31"/>
      <c r="AG353" s="31"/>
      <c r="AH353" s="31"/>
      <c r="AI353" s="32"/>
      <c r="AJ353" s="32"/>
      <c r="AK353" s="32"/>
      <c r="AL353" s="32"/>
      <c r="AM353" s="32">
        <v>19050</v>
      </c>
      <c r="AN353" s="32">
        <v>19050</v>
      </c>
      <c r="AO353" s="32">
        <v>19050</v>
      </c>
      <c r="AP353" s="32">
        <v>19050</v>
      </c>
      <c r="AQ353" s="32">
        <v>19050</v>
      </c>
      <c r="AR353" s="32">
        <v>19050</v>
      </c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CR353">
        <v>546600</v>
      </c>
      <c r="CS353">
        <v>2</v>
      </c>
    </row>
    <row r="354" spans="1:97" x14ac:dyDescent="0.4">
      <c r="A354" t="s">
        <v>1080</v>
      </c>
      <c r="D354" t="s">
        <v>2370</v>
      </c>
      <c r="E354" t="s">
        <v>2371</v>
      </c>
      <c r="F354" t="s">
        <v>1081</v>
      </c>
      <c r="G354" t="s">
        <v>3865</v>
      </c>
      <c r="H354">
        <v>7040051499</v>
      </c>
      <c r="I354" t="s">
        <v>1082</v>
      </c>
      <c r="J354" t="s">
        <v>2433</v>
      </c>
      <c r="L354" t="s">
        <v>3866</v>
      </c>
      <c r="M354" t="s">
        <v>2444</v>
      </c>
      <c r="N354" t="s">
        <v>3867</v>
      </c>
      <c r="O354" t="s">
        <v>3868</v>
      </c>
      <c r="Q354" t="s">
        <v>2438</v>
      </c>
      <c r="R354" s="30">
        <v>45213</v>
      </c>
      <c r="S354" t="s">
        <v>44</v>
      </c>
      <c r="T354" s="30">
        <v>45828</v>
      </c>
      <c r="U354" s="20">
        <v>114300</v>
      </c>
      <c r="V354" s="31"/>
      <c r="W354" s="31"/>
      <c r="X354" s="31"/>
      <c r="Y354" s="31"/>
      <c r="Z354" s="31">
        <f t="shared" si="58"/>
        <v>114300</v>
      </c>
      <c r="AA354" s="31"/>
      <c r="AB354" s="31"/>
      <c r="AC354" s="31"/>
      <c r="AD354" s="31"/>
      <c r="AE354" s="31"/>
      <c r="AF354" s="31"/>
      <c r="AG354" s="31"/>
      <c r="AH354" s="31"/>
      <c r="AI354" s="32"/>
      <c r="AJ354" s="32"/>
      <c r="AK354" s="32"/>
      <c r="AL354" s="32"/>
      <c r="AM354" s="32">
        <v>19050</v>
      </c>
      <c r="AN354" s="32">
        <v>19050</v>
      </c>
      <c r="AO354" s="32">
        <v>19050</v>
      </c>
      <c r="AP354" s="32">
        <v>19050</v>
      </c>
      <c r="AQ354" s="32">
        <v>19050</v>
      </c>
      <c r="AR354" s="32">
        <v>19050</v>
      </c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CR354">
        <v>546600</v>
      </c>
      <c r="CS354">
        <v>7</v>
      </c>
    </row>
    <row r="355" spans="1:97" x14ac:dyDescent="0.4">
      <c r="A355" t="s">
        <v>1083</v>
      </c>
      <c r="D355" t="s">
        <v>2370</v>
      </c>
      <c r="E355" t="s">
        <v>2371</v>
      </c>
      <c r="F355" t="s">
        <v>1084</v>
      </c>
      <c r="G355" t="s">
        <v>3869</v>
      </c>
      <c r="H355">
        <v>9050520462</v>
      </c>
      <c r="I355" t="s">
        <v>1085</v>
      </c>
      <c r="J355" t="s">
        <v>2433</v>
      </c>
      <c r="L355" t="s">
        <v>3870</v>
      </c>
      <c r="M355" t="s">
        <v>2444</v>
      </c>
      <c r="N355" t="s">
        <v>3871</v>
      </c>
      <c r="O355" s="41">
        <v>38616</v>
      </c>
      <c r="Q355" t="s">
        <v>2438</v>
      </c>
      <c r="R355" s="30">
        <v>45215</v>
      </c>
      <c r="S355" t="s">
        <v>25</v>
      </c>
      <c r="T355" s="30">
        <v>45736</v>
      </c>
      <c r="U355">
        <v>59400</v>
      </c>
      <c r="V355" s="34"/>
      <c r="W355" s="34">
        <f>+U355</f>
        <v>59400</v>
      </c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5"/>
      <c r="AJ355" s="32">
        <v>19800</v>
      </c>
      <c r="AK355" s="32">
        <v>19800</v>
      </c>
      <c r="AL355" s="32">
        <v>19800</v>
      </c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CR355">
        <v>707850</v>
      </c>
      <c r="CS355">
        <v>10</v>
      </c>
    </row>
    <row r="356" spans="1:97" x14ac:dyDescent="0.4">
      <c r="A356" t="s">
        <v>1086</v>
      </c>
      <c r="D356" t="s">
        <v>2370</v>
      </c>
      <c r="E356" t="s">
        <v>2371</v>
      </c>
      <c r="F356" t="s">
        <v>1087</v>
      </c>
      <c r="G356" t="s">
        <v>3872</v>
      </c>
      <c r="H356">
        <v>9046688014</v>
      </c>
      <c r="I356" t="s">
        <v>1088</v>
      </c>
      <c r="J356" t="s">
        <v>2433</v>
      </c>
      <c r="L356" t="s">
        <v>3873</v>
      </c>
      <c r="M356" t="s">
        <v>2598</v>
      </c>
      <c r="N356" t="s">
        <v>3874</v>
      </c>
      <c r="O356" t="s">
        <v>3875</v>
      </c>
      <c r="Q356" t="s">
        <v>2438</v>
      </c>
      <c r="R356" s="30">
        <v>45215</v>
      </c>
      <c r="S356" t="s">
        <v>44</v>
      </c>
      <c r="T356" s="30">
        <v>45828</v>
      </c>
      <c r="U356" s="20">
        <v>114300</v>
      </c>
      <c r="V356" s="31"/>
      <c r="W356" s="31"/>
      <c r="X356" s="31"/>
      <c r="Y356" s="31"/>
      <c r="Z356" s="31">
        <f>+U356</f>
        <v>114300</v>
      </c>
      <c r="AA356" s="31"/>
      <c r="AB356" s="31"/>
      <c r="AC356" s="31"/>
      <c r="AD356" s="31"/>
      <c r="AE356" s="31"/>
      <c r="AF356" s="31"/>
      <c r="AG356" s="31"/>
      <c r="AH356" s="31"/>
      <c r="AI356" s="32"/>
      <c r="AJ356" s="32"/>
      <c r="AK356" s="32"/>
      <c r="AL356" s="32"/>
      <c r="AM356" s="32">
        <v>19050</v>
      </c>
      <c r="AN356" s="32">
        <v>19050</v>
      </c>
      <c r="AO356" s="32">
        <v>19050</v>
      </c>
      <c r="AP356" s="32">
        <v>19050</v>
      </c>
      <c r="AQ356" s="32">
        <v>19050</v>
      </c>
      <c r="AR356" s="32">
        <v>19050</v>
      </c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CR356">
        <v>767640</v>
      </c>
      <c r="CS356">
        <v>11</v>
      </c>
    </row>
    <row r="357" spans="1:97" x14ac:dyDescent="0.4">
      <c r="A357" t="s">
        <v>1089</v>
      </c>
      <c r="D357" t="s">
        <v>2370</v>
      </c>
      <c r="E357" t="s">
        <v>2371</v>
      </c>
      <c r="F357" t="s">
        <v>1090</v>
      </c>
      <c r="G357" t="s">
        <v>3876</v>
      </c>
      <c r="H357">
        <v>8033000247</v>
      </c>
      <c r="I357" t="s">
        <v>1091</v>
      </c>
      <c r="J357" t="s">
        <v>2433</v>
      </c>
      <c r="L357" t="s">
        <v>3877</v>
      </c>
      <c r="M357" t="s">
        <v>2451</v>
      </c>
      <c r="N357" t="s">
        <v>3878</v>
      </c>
      <c r="O357" t="s">
        <v>3879</v>
      </c>
      <c r="Q357" t="s">
        <v>3561</v>
      </c>
      <c r="R357" s="30">
        <v>45223</v>
      </c>
      <c r="S357" t="s">
        <v>25</v>
      </c>
      <c r="T357" s="30">
        <v>45736</v>
      </c>
      <c r="U357">
        <v>59400</v>
      </c>
      <c r="V357" s="34"/>
      <c r="W357" s="34">
        <f t="shared" ref="W357:W358" si="59">+U357</f>
        <v>59400</v>
      </c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5"/>
      <c r="AJ357" s="32">
        <v>19800</v>
      </c>
      <c r="AK357" s="32">
        <v>19800</v>
      </c>
      <c r="AL357" s="32">
        <v>19800</v>
      </c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CR357">
        <v>707850</v>
      </c>
      <c r="CS357">
        <v>10</v>
      </c>
    </row>
    <row r="358" spans="1:97" x14ac:dyDescent="0.4">
      <c r="A358" t="s">
        <v>1092</v>
      </c>
      <c r="D358" t="s">
        <v>2370</v>
      </c>
      <c r="E358" t="s">
        <v>2371</v>
      </c>
      <c r="F358" t="s">
        <v>1093</v>
      </c>
      <c r="G358" t="s">
        <v>3880</v>
      </c>
      <c r="H358">
        <v>9077621996</v>
      </c>
      <c r="I358" t="s">
        <v>1094</v>
      </c>
      <c r="J358" t="s">
        <v>2433</v>
      </c>
      <c r="L358" t="s">
        <v>3881</v>
      </c>
      <c r="M358" t="s">
        <v>2598</v>
      </c>
      <c r="N358" t="s">
        <v>3882</v>
      </c>
      <c r="O358" t="s">
        <v>3883</v>
      </c>
      <c r="Q358" t="s">
        <v>3561</v>
      </c>
      <c r="R358" s="30">
        <v>45223</v>
      </c>
      <c r="S358" t="s">
        <v>25</v>
      </c>
      <c r="T358" s="30">
        <v>45736</v>
      </c>
      <c r="U358">
        <v>59400</v>
      </c>
      <c r="V358" s="34"/>
      <c r="W358" s="34">
        <f t="shared" si="59"/>
        <v>59400</v>
      </c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5"/>
      <c r="AJ358" s="32">
        <v>19800</v>
      </c>
      <c r="AK358" s="32">
        <v>19800</v>
      </c>
      <c r="AL358" s="32">
        <v>19800</v>
      </c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CR358">
        <v>491700</v>
      </c>
      <c r="CS358">
        <v>2</v>
      </c>
    </row>
    <row r="359" spans="1:97" x14ac:dyDescent="0.4">
      <c r="A359" t="s">
        <v>1095</v>
      </c>
      <c r="D359" t="s">
        <v>2370</v>
      </c>
      <c r="E359" t="s">
        <v>2371</v>
      </c>
      <c r="F359" t="s">
        <v>1096</v>
      </c>
      <c r="G359" t="s">
        <v>3884</v>
      </c>
      <c r="H359">
        <v>9014374135</v>
      </c>
      <c r="I359" t="s">
        <v>1097</v>
      </c>
      <c r="J359" t="s">
        <v>2433</v>
      </c>
      <c r="L359" t="s">
        <v>3885</v>
      </c>
      <c r="M359" t="s">
        <v>2444</v>
      </c>
      <c r="N359" t="s">
        <v>2725</v>
      </c>
      <c r="O359" t="s">
        <v>3886</v>
      </c>
      <c r="Q359" t="s">
        <v>3561</v>
      </c>
      <c r="R359" s="30">
        <v>45222</v>
      </c>
      <c r="S359" t="s">
        <v>44</v>
      </c>
      <c r="T359" s="30">
        <v>45828</v>
      </c>
      <c r="U359" s="20">
        <v>114300</v>
      </c>
      <c r="V359" s="31"/>
      <c r="W359" s="31"/>
      <c r="X359" s="31"/>
      <c r="Y359" s="31"/>
      <c r="Z359" s="31">
        <f>+U359</f>
        <v>114300</v>
      </c>
      <c r="AA359" s="31"/>
      <c r="AB359" s="31"/>
      <c r="AC359" s="31"/>
      <c r="AD359" s="31"/>
      <c r="AE359" s="31"/>
      <c r="AF359" s="31"/>
      <c r="AG359" s="31"/>
      <c r="AH359" s="31"/>
      <c r="AI359" s="32"/>
      <c r="AJ359" s="32"/>
      <c r="AK359" s="32"/>
      <c r="AL359" s="32"/>
      <c r="AM359" s="32">
        <v>19050</v>
      </c>
      <c r="AN359" s="32">
        <v>19050</v>
      </c>
      <c r="AO359" s="32">
        <v>19050</v>
      </c>
      <c r="AP359" s="32">
        <v>19050</v>
      </c>
      <c r="AQ359" s="32">
        <v>19050</v>
      </c>
      <c r="AR359" s="32">
        <v>19050</v>
      </c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CR359">
        <v>834800</v>
      </c>
      <c r="CS359">
        <v>6</v>
      </c>
    </row>
    <row r="360" spans="1:97" x14ac:dyDescent="0.4">
      <c r="A360" t="s">
        <v>1098</v>
      </c>
      <c r="D360" t="s">
        <v>2370</v>
      </c>
      <c r="E360" t="s">
        <v>2371</v>
      </c>
      <c r="F360" t="s">
        <v>1099</v>
      </c>
      <c r="G360" t="s">
        <v>3887</v>
      </c>
      <c r="H360">
        <v>9023860679</v>
      </c>
      <c r="I360" t="s">
        <v>1100</v>
      </c>
      <c r="J360" t="s">
        <v>2433</v>
      </c>
      <c r="L360" t="s">
        <v>3888</v>
      </c>
      <c r="M360" t="s">
        <v>2460</v>
      </c>
      <c r="N360" t="s">
        <v>3889</v>
      </c>
      <c r="O360" t="s">
        <v>3890</v>
      </c>
      <c r="Q360" t="s">
        <v>3561</v>
      </c>
      <c r="R360" s="30">
        <v>45222</v>
      </c>
      <c r="S360" t="s">
        <v>25</v>
      </c>
      <c r="T360" s="30">
        <v>45736</v>
      </c>
      <c r="U360">
        <v>59400</v>
      </c>
      <c r="V360" s="34"/>
      <c r="W360" s="34">
        <f>+U360</f>
        <v>59400</v>
      </c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5"/>
      <c r="AJ360" s="32">
        <v>19800</v>
      </c>
      <c r="AK360" s="32">
        <v>19800</v>
      </c>
      <c r="AL360" s="32">
        <v>19800</v>
      </c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CR360">
        <v>491700</v>
      </c>
      <c r="CS360">
        <v>2</v>
      </c>
    </row>
    <row r="361" spans="1:97" x14ac:dyDescent="0.4">
      <c r="A361" t="s">
        <v>1101</v>
      </c>
      <c r="D361" t="s">
        <v>2370</v>
      </c>
      <c r="E361" t="s">
        <v>2371</v>
      </c>
      <c r="F361" t="s">
        <v>1102</v>
      </c>
      <c r="G361" t="s">
        <v>3891</v>
      </c>
      <c r="H361">
        <v>8032732159</v>
      </c>
      <c r="I361" t="s">
        <v>1103</v>
      </c>
      <c r="J361" t="s">
        <v>2433</v>
      </c>
      <c r="L361" t="s">
        <v>3892</v>
      </c>
      <c r="M361" t="s">
        <v>2518</v>
      </c>
      <c r="N361" t="s">
        <v>3893</v>
      </c>
      <c r="O361" s="41">
        <v>36984</v>
      </c>
      <c r="Q361" t="s">
        <v>3561</v>
      </c>
      <c r="R361" s="30">
        <v>45222</v>
      </c>
      <c r="S361" t="s">
        <v>44</v>
      </c>
      <c r="T361" s="30">
        <v>45828</v>
      </c>
      <c r="U361" s="20">
        <v>114300</v>
      </c>
      <c r="V361" s="31"/>
      <c r="W361" s="31"/>
      <c r="X361" s="31"/>
      <c r="Y361" s="31"/>
      <c r="Z361" s="31">
        <f>+U361</f>
        <v>114300</v>
      </c>
      <c r="AA361" s="31"/>
      <c r="AB361" s="31"/>
      <c r="AC361" s="31"/>
      <c r="AD361" s="31"/>
      <c r="AE361" s="31"/>
      <c r="AF361" s="31"/>
      <c r="AG361" s="31"/>
      <c r="AH361" s="31"/>
      <c r="AI361" s="32"/>
      <c r="AJ361" s="32"/>
      <c r="AK361" s="32"/>
      <c r="AL361" s="32"/>
      <c r="AM361" s="32">
        <v>19050</v>
      </c>
      <c r="AN361" s="32">
        <v>19050</v>
      </c>
      <c r="AO361" s="32">
        <v>19050</v>
      </c>
      <c r="AP361" s="32">
        <v>19050</v>
      </c>
      <c r="AQ361" s="32">
        <v>19050</v>
      </c>
      <c r="AR361" s="32">
        <v>19050</v>
      </c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CR361">
        <v>551490</v>
      </c>
      <c r="CS361">
        <v>3</v>
      </c>
    </row>
    <row r="362" spans="1:97" s="36" customFormat="1" x14ac:dyDescent="0.4">
      <c r="A362" s="36" t="s">
        <v>1104</v>
      </c>
      <c r="D362" s="36" t="s">
        <v>2370</v>
      </c>
      <c r="E362" s="36" t="s">
        <v>2371</v>
      </c>
      <c r="F362" s="36" t="s">
        <v>1105</v>
      </c>
      <c r="G362" s="36" t="s">
        <v>3894</v>
      </c>
      <c r="H362" s="36">
        <v>9045880874</v>
      </c>
      <c r="I362" s="36" t="s">
        <v>1106</v>
      </c>
      <c r="J362" s="36" t="s">
        <v>2433</v>
      </c>
      <c r="L362" s="36" t="s">
        <v>3895</v>
      </c>
      <c r="M362" s="36" t="s">
        <v>3221</v>
      </c>
      <c r="N362" s="36" t="s">
        <v>3896</v>
      </c>
      <c r="O362" s="36" t="s">
        <v>3897</v>
      </c>
      <c r="Q362" s="36" t="s">
        <v>3561</v>
      </c>
      <c r="R362" s="37">
        <v>45222</v>
      </c>
      <c r="S362" s="36" t="s">
        <v>3191</v>
      </c>
      <c r="T362" s="37">
        <v>45736</v>
      </c>
      <c r="U362" s="37"/>
      <c r="V362" s="38"/>
      <c r="W362" s="34">
        <f>+U362</f>
        <v>0</v>
      </c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9"/>
      <c r="AJ362" s="35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5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CR362" s="36">
        <v>533170</v>
      </c>
      <c r="CS362" s="36">
        <v>3</v>
      </c>
    </row>
    <row r="363" spans="1:97" x14ac:dyDescent="0.4">
      <c r="A363" t="s">
        <v>1107</v>
      </c>
      <c r="D363" t="s">
        <v>2370</v>
      </c>
      <c r="E363" t="s">
        <v>2371</v>
      </c>
      <c r="F363" t="s">
        <v>1108</v>
      </c>
      <c r="G363" t="s">
        <v>3898</v>
      </c>
      <c r="H363">
        <v>9069029480</v>
      </c>
      <c r="I363" t="s">
        <v>1109</v>
      </c>
      <c r="J363" t="s">
        <v>2433</v>
      </c>
      <c r="L363" t="s">
        <v>3899</v>
      </c>
      <c r="M363" t="s">
        <v>2465</v>
      </c>
      <c r="N363" t="s">
        <v>3900</v>
      </c>
      <c r="O363" t="s">
        <v>3901</v>
      </c>
      <c r="Q363" t="s">
        <v>2468</v>
      </c>
      <c r="R363" s="30">
        <v>45222</v>
      </c>
      <c r="S363" t="s">
        <v>44</v>
      </c>
      <c r="T363" s="30">
        <v>45828</v>
      </c>
      <c r="U363" s="20">
        <v>114300</v>
      </c>
      <c r="V363" s="31"/>
      <c r="W363" s="31"/>
      <c r="X363" s="31"/>
      <c r="Y363" s="31"/>
      <c r="Z363" s="31">
        <f t="shared" ref="Z363:Z364" si="60">+U363</f>
        <v>114300</v>
      </c>
      <c r="AA363" s="31"/>
      <c r="AB363" s="31"/>
      <c r="AC363" s="31"/>
      <c r="AD363" s="31"/>
      <c r="AE363" s="31"/>
      <c r="AF363" s="31"/>
      <c r="AG363" s="31"/>
      <c r="AH363" s="31"/>
      <c r="AI363" s="32"/>
      <c r="AJ363" s="32"/>
      <c r="AK363" s="32"/>
      <c r="AL363" s="32"/>
      <c r="AM363" s="32">
        <v>19050</v>
      </c>
      <c r="AN363" s="32">
        <v>19050</v>
      </c>
      <c r="AO363" s="32">
        <v>19050</v>
      </c>
      <c r="AP363" s="32">
        <v>19050</v>
      </c>
      <c r="AQ363" s="32">
        <v>19050</v>
      </c>
      <c r="AR363" s="32">
        <v>19050</v>
      </c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CR363">
        <v>767640</v>
      </c>
      <c r="CS363">
        <v>11</v>
      </c>
    </row>
    <row r="364" spans="1:97" x14ac:dyDescent="0.4">
      <c r="A364" t="s">
        <v>1110</v>
      </c>
      <c r="D364" t="s">
        <v>2370</v>
      </c>
      <c r="E364" t="s">
        <v>2371</v>
      </c>
      <c r="F364" t="s">
        <v>1111</v>
      </c>
      <c r="G364" t="s">
        <v>3902</v>
      </c>
      <c r="H364">
        <v>8084242870</v>
      </c>
      <c r="I364" t="s">
        <v>1112</v>
      </c>
      <c r="J364" t="s">
        <v>2433</v>
      </c>
      <c r="L364" t="s">
        <v>3903</v>
      </c>
      <c r="M364" t="s">
        <v>2518</v>
      </c>
      <c r="N364" t="s">
        <v>3904</v>
      </c>
      <c r="O364" t="s">
        <v>3905</v>
      </c>
      <c r="Q364" t="s">
        <v>3561</v>
      </c>
      <c r="R364" s="30">
        <v>45222</v>
      </c>
      <c r="S364" t="s">
        <v>44</v>
      </c>
      <c r="T364" s="30">
        <v>45828</v>
      </c>
      <c r="U364" s="20">
        <v>114300</v>
      </c>
      <c r="V364" s="31"/>
      <c r="W364" s="31"/>
      <c r="X364" s="31"/>
      <c r="Y364" s="31"/>
      <c r="Z364" s="31">
        <f t="shared" si="60"/>
        <v>114300</v>
      </c>
      <c r="AA364" s="31"/>
      <c r="AB364" s="31"/>
      <c r="AC364" s="31"/>
      <c r="AD364" s="31"/>
      <c r="AE364" s="31"/>
      <c r="AF364" s="31"/>
      <c r="AG364" s="31"/>
      <c r="AH364" s="31"/>
      <c r="AI364" s="32"/>
      <c r="AJ364" s="32"/>
      <c r="AK364" s="32"/>
      <c r="AL364" s="32"/>
      <c r="AM364" s="32">
        <v>19050</v>
      </c>
      <c r="AN364" s="32">
        <v>19050</v>
      </c>
      <c r="AO364" s="32">
        <v>19050</v>
      </c>
      <c r="AP364" s="32">
        <v>19050</v>
      </c>
      <c r="AQ364" s="32">
        <v>19050</v>
      </c>
      <c r="AR364" s="32">
        <v>19050</v>
      </c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CR364">
        <v>762750</v>
      </c>
      <c r="CS364">
        <v>10</v>
      </c>
    </row>
    <row r="365" spans="1:97" x14ac:dyDescent="0.4">
      <c r="A365" t="s">
        <v>1113</v>
      </c>
      <c r="D365" t="s">
        <v>2370</v>
      </c>
      <c r="E365" t="s">
        <v>2371</v>
      </c>
      <c r="F365" t="s">
        <v>1114</v>
      </c>
      <c r="G365" t="s">
        <v>3906</v>
      </c>
      <c r="H365">
        <v>9073544486</v>
      </c>
      <c r="I365" t="s">
        <v>1115</v>
      </c>
      <c r="J365" t="s">
        <v>2433</v>
      </c>
      <c r="L365" t="s">
        <v>3907</v>
      </c>
      <c r="M365" t="s">
        <v>2435</v>
      </c>
      <c r="N365" t="s">
        <v>3908</v>
      </c>
      <c r="O365" s="41">
        <v>37600</v>
      </c>
      <c r="Q365" t="s">
        <v>2468</v>
      </c>
      <c r="R365" s="30">
        <v>45220</v>
      </c>
      <c r="S365" t="s">
        <v>25</v>
      </c>
      <c r="T365" s="30">
        <v>45736</v>
      </c>
      <c r="U365">
        <v>59400</v>
      </c>
      <c r="V365" s="34"/>
      <c r="W365" s="34">
        <f>+U365</f>
        <v>59400</v>
      </c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5"/>
      <c r="AJ365" s="32">
        <v>19800</v>
      </c>
      <c r="AK365" s="32">
        <v>19800</v>
      </c>
      <c r="AL365" s="32">
        <v>19800</v>
      </c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CR365">
        <v>707850</v>
      </c>
      <c r="CS365">
        <v>10</v>
      </c>
    </row>
    <row r="366" spans="1:97" x14ac:dyDescent="0.4">
      <c r="A366" t="s">
        <v>1116</v>
      </c>
      <c r="D366" t="s">
        <v>2370</v>
      </c>
      <c r="E366" t="s">
        <v>2371</v>
      </c>
      <c r="F366" t="s">
        <v>1117</v>
      </c>
      <c r="G366" t="s">
        <v>3909</v>
      </c>
      <c r="H366">
        <v>9042127093</v>
      </c>
      <c r="I366" t="s">
        <v>1118</v>
      </c>
      <c r="J366" t="s">
        <v>2433</v>
      </c>
      <c r="L366" t="s">
        <v>3910</v>
      </c>
      <c r="M366" t="s">
        <v>2715</v>
      </c>
      <c r="N366" t="s">
        <v>3911</v>
      </c>
      <c r="O366" t="s">
        <v>3912</v>
      </c>
      <c r="Q366" t="s">
        <v>3561</v>
      </c>
      <c r="R366" s="30">
        <v>45220</v>
      </c>
      <c r="S366" t="s">
        <v>44</v>
      </c>
      <c r="T366" s="30">
        <v>45828</v>
      </c>
      <c r="U366" s="20">
        <v>114300</v>
      </c>
      <c r="V366" s="31"/>
      <c r="W366" s="31"/>
      <c r="X366" s="31"/>
      <c r="Y366" s="31"/>
      <c r="Z366" s="31">
        <f t="shared" ref="Z366:Z367" si="61">+U366</f>
        <v>114300</v>
      </c>
      <c r="AA366" s="31"/>
      <c r="AB366" s="31"/>
      <c r="AC366" s="31"/>
      <c r="AD366" s="31"/>
      <c r="AE366" s="31"/>
      <c r="AF366" s="31"/>
      <c r="AG366" s="31"/>
      <c r="AH366" s="31"/>
      <c r="AI366" s="32"/>
      <c r="AJ366" s="32"/>
      <c r="AK366" s="32"/>
      <c r="AL366" s="32"/>
      <c r="AM366" s="32">
        <v>19050</v>
      </c>
      <c r="AN366" s="32">
        <v>19050</v>
      </c>
      <c r="AO366" s="32">
        <v>19050</v>
      </c>
      <c r="AP366" s="32">
        <v>19050</v>
      </c>
      <c r="AQ366" s="32">
        <v>19050</v>
      </c>
      <c r="AR366" s="32">
        <v>19050</v>
      </c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CR366">
        <v>546600</v>
      </c>
      <c r="CS366">
        <v>2</v>
      </c>
    </row>
    <row r="367" spans="1:97" x14ac:dyDescent="0.4">
      <c r="A367" t="s">
        <v>1119</v>
      </c>
      <c r="D367" t="s">
        <v>2370</v>
      </c>
      <c r="E367" t="s">
        <v>2371</v>
      </c>
      <c r="F367" t="s">
        <v>1120</v>
      </c>
      <c r="G367" t="s">
        <v>3913</v>
      </c>
      <c r="H367">
        <v>8096558064</v>
      </c>
      <c r="I367" t="s">
        <v>1121</v>
      </c>
      <c r="J367" t="s">
        <v>2433</v>
      </c>
      <c r="L367" t="s">
        <v>3914</v>
      </c>
      <c r="M367" t="s">
        <v>2444</v>
      </c>
      <c r="N367" t="s">
        <v>3915</v>
      </c>
      <c r="O367" t="s">
        <v>3916</v>
      </c>
      <c r="Q367" t="s">
        <v>3561</v>
      </c>
      <c r="R367" s="30">
        <v>45220</v>
      </c>
      <c r="S367" t="s">
        <v>44</v>
      </c>
      <c r="T367" s="30">
        <v>45828</v>
      </c>
      <c r="U367" s="20">
        <v>114300</v>
      </c>
      <c r="V367" s="31"/>
      <c r="W367" s="31"/>
      <c r="X367" s="31"/>
      <c r="Y367" s="31"/>
      <c r="Z367" s="31">
        <f t="shared" si="61"/>
        <v>114300</v>
      </c>
      <c r="AA367" s="31"/>
      <c r="AB367" s="31"/>
      <c r="AC367" s="31"/>
      <c r="AD367" s="31"/>
      <c r="AE367" s="31"/>
      <c r="AF367" s="31"/>
      <c r="AG367" s="31"/>
      <c r="AH367" s="31"/>
      <c r="AI367" s="32"/>
      <c r="AJ367" s="32"/>
      <c r="AK367" s="32"/>
      <c r="AL367" s="32"/>
      <c r="AM367" s="32">
        <v>19050</v>
      </c>
      <c r="AN367" s="32">
        <v>19050</v>
      </c>
      <c r="AO367" s="32">
        <v>19050</v>
      </c>
      <c r="AP367" s="32">
        <v>19050</v>
      </c>
      <c r="AQ367" s="32">
        <v>19050</v>
      </c>
      <c r="AR367" s="32">
        <v>19050</v>
      </c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CR367">
        <v>546600</v>
      </c>
      <c r="CS367">
        <v>7</v>
      </c>
    </row>
    <row r="368" spans="1:97" x14ac:dyDescent="0.4">
      <c r="A368" t="s">
        <v>1122</v>
      </c>
      <c r="D368" t="s">
        <v>2370</v>
      </c>
      <c r="E368" t="s">
        <v>2371</v>
      </c>
      <c r="F368" t="s">
        <v>1123</v>
      </c>
      <c r="G368" t="s">
        <v>3917</v>
      </c>
      <c r="H368">
        <v>8056959548</v>
      </c>
      <c r="I368" t="s">
        <v>1124</v>
      </c>
      <c r="J368" t="s">
        <v>2433</v>
      </c>
      <c r="L368" t="s">
        <v>3918</v>
      </c>
      <c r="M368" t="s">
        <v>2518</v>
      </c>
      <c r="N368" t="s">
        <v>3919</v>
      </c>
      <c r="O368" t="s">
        <v>3920</v>
      </c>
      <c r="Q368" t="s">
        <v>2438</v>
      </c>
      <c r="R368" s="30">
        <v>45217</v>
      </c>
      <c r="S368" t="s">
        <v>50</v>
      </c>
      <c r="T368" s="30">
        <v>45767</v>
      </c>
      <c r="U368" s="20">
        <v>114300</v>
      </c>
      <c r="V368" s="31"/>
      <c r="W368" s="34"/>
      <c r="X368" s="34">
        <f>+U368</f>
        <v>114300</v>
      </c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2"/>
      <c r="AJ368" s="35"/>
      <c r="AK368" s="32">
        <v>19050</v>
      </c>
      <c r="AL368" s="32">
        <v>19050</v>
      </c>
      <c r="AM368" s="32">
        <v>19050</v>
      </c>
      <c r="AN368" s="32">
        <v>19050</v>
      </c>
      <c r="AO368" s="32">
        <v>19050</v>
      </c>
      <c r="AP368" s="32">
        <v>19050</v>
      </c>
      <c r="AQ368" s="32"/>
      <c r="AR368" s="32"/>
      <c r="AS368" s="32"/>
      <c r="AT368" s="32"/>
      <c r="AU368" s="32"/>
      <c r="AV368" s="35"/>
      <c r="AW368" s="35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CR368">
        <v>660900</v>
      </c>
      <c r="CS368">
        <v>3</v>
      </c>
    </row>
    <row r="369" spans="1:97" x14ac:dyDescent="0.4">
      <c r="A369" t="s">
        <v>1126</v>
      </c>
      <c r="D369" t="s">
        <v>2370</v>
      </c>
      <c r="E369" t="s">
        <v>2371</v>
      </c>
      <c r="F369" t="s">
        <v>1127</v>
      </c>
      <c r="G369" t="s">
        <v>3921</v>
      </c>
      <c r="H369">
        <v>8057279364</v>
      </c>
      <c r="I369" t="s">
        <v>1128</v>
      </c>
      <c r="J369" t="s">
        <v>2433</v>
      </c>
      <c r="L369" t="s">
        <v>3922</v>
      </c>
      <c r="M369" t="s">
        <v>2435</v>
      </c>
      <c r="N369" t="s">
        <v>3923</v>
      </c>
      <c r="O369" t="s">
        <v>3924</v>
      </c>
      <c r="Q369" t="s">
        <v>2438</v>
      </c>
      <c r="R369" s="30">
        <v>45216</v>
      </c>
      <c r="S369" t="s">
        <v>44</v>
      </c>
      <c r="T369" s="30">
        <v>45797</v>
      </c>
      <c r="U369" s="20">
        <v>114300</v>
      </c>
      <c r="V369" s="31"/>
      <c r="W369" s="31"/>
      <c r="X369" s="31"/>
      <c r="Y369" s="31">
        <f>+U369</f>
        <v>114300</v>
      </c>
      <c r="Z369" s="31"/>
      <c r="AA369" s="31"/>
      <c r="AB369" s="31"/>
      <c r="AC369" s="31"/>
      <c r="AD369" s="31"/>
      <c r="AE369" s="31"/>
      <c r="AF369" s="31"/>
      <c r="AG369" s="31"/>
      <c r="AH369" s="31"/>
      <c r="AI369" s="32"/>
      <c r="AJ369" s="32"/>
      <c r="AK369" s="32"/>
      <c r="AL369" s="32">
        <v>19050</v>
      </c>
      <c r="AM369" s="32">
        <v>19050</v>
      </c>
      <c r="AN369" s="32">
        <v>19050</v>
      </c>
      <c r="AO369" s="32">
        <v>19050</v>
      </c>
      <c r="AP369" s="32">
        <v>19050</v>
      </c>
      <c r="AQ369" s="32">
        <v>19050</v>
      </c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CR369">
        <v>682870</v>
      </c>
      <c r="CS369">
        <v>5</v>
      </c>
    </row>
    <row r="370" spans="1:97" x14ac:dyDescent="0.4">
      <c r="A370" t="s">
        <v>1131</v>
      </c>
      <c r="D370" t="s">
        <v>2370</v>
      </c>
      <c r="E370" t="s">
        <v>2371</v>
      </c>
      <c r="F370" t="s">
        <v>1132</v>
      </c>
      <c r="G370" t="s">
        <v>3925</v>
      </c>
      <c r="H370">
        <v>9012401066</v>
      </c>
      <c r="I370" t="s">
        <v>1133</v>
      </c>
      <c r="J370" t="s">
        <v>2433</v>
      </c>
      <c r="L370" t="s">
        <v>3926</v>
      </c>
      <c r="M370" t="s">
        <v>2435</v>
      </c>
      <c r="N370" t="s">
        <v>3927</v>
      </c>
      <c r="O370" t="s">
        <v>3928</v>
      </c>
      <c r="Q370" t="s">
        <v>2438</v>
      </c>
      <c r="R370" s="30">
        <v>45216</v>
      </c>
      <c r="S370" t="s">
        <v>44</v>
      </c>
      <c r="T370" s="30">
        <v>45828</v>
      </c>
      <c r="U370" s="20">
        <v>114300</v>
      </c>
      <c r="V370" s="31"/>
      <c r="W370" s="31"/>
      <c r="X370" s="31"/>
      <c r="Y370" s="31"/>
      <c r="Z370" s="31">
        <f>+U370</f>
        <v>114300</v>
      </c>
      <c r="AA370" s="31"/>
      <c r="AB370" s="31"/>
      <c r="AC370" s="31"/>
      <c r="AD370" s="31"/>
      <c r="AE370" s="31"/>
      <c r="AF370" s="31"/>
      <c r="AG370" s="31"/>
      <c r="AH370" s="31"/>
      <c r="AI370" s="32"/>
      <c r="AJ370" s="32"/>
      <c r="AK370" s="32"/>
      <c r="AL370" s="32"/>
      <c r="AM370" s="32">
        <v>19050</v>
      </c>
      <c r="AN370" s="32">
        <v>19050</v>
      </c>
      <c r="AO370" s="32">
        <v>19050</v>
      </c>
      <c r="AP370" s="32">
        <v>19050</v>
      </c>
      <c r="AQ370" s="32">
        <v>19050</v>
      </c>
      <c r="AR370" s="32">
        <v>19050</v>
      </c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CR370">
        <v>879430</v>
      </c>
      <c r="CS370">
        <v>26</v>
      </c>
    </row>
    <row r="371" spans="1:97" x14ac:dyDescent="0.4">
      <c r="A371" t="s">
        <v>1134</v>
      </c>
      <c r="D371" t="s">
        <v>2370</v>
      </c>
      <c r="E371" t="s">
        <v>2371</v>
      </c>
      <c r="F371" t="s">
        <v>1135</v>
      </c>
      <c r="G371" t="s">
        <v>3929</v>
      </c>
      <c r="H371">
        <v>9024181961</v>
      </c>
      <c r="I371" t="s">
        <v>1136</v>
      </c>
      <c r="J371" t="s">
        <v>2433</v>
      </c>
      <c r="L371" t="s">
        <v>3930</v>
      </c>
      <c r="M371" t="s">
        <v>2465</v>
      </c>
      <c r="N371" t="s">
        <v>3931</v>
      </c>
      <c r="O371" t="s">
        <v>3932</v>
      </c>
      <c r="R371" s="30">
        <v>45216</v>
      </c>
      <c r="S371" t="s">
        <v>44</v>
      </c>
      <c r="T371" s="30">
        <v>45767</v>
      </c>
      <c r="U371" s="20">
        <v>114300</v>
      </c>
      <c r="V371" s="31"/>
      <c r="W371" s="34"/>
      <c r="X371" s="34">
        <f t="shared" ref="X371:X373" si="62">+U371</f>
        <v>114300</v>
      </c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2"/>
      <c r="AJ371" s="35"/>
      <c r="AK371" s="32">
        <v>19050</v>
      </c>
      <c r="AL371" s="32">
        <v>19050</v>
      </c>
      <c r="AM371" s="32">
        <v>19050</v>
      </c>
      <c r="AN371" s="32">
        <v>19050</v>
      </c>
      <c r="AO371" s="32">
        <v>19050</v>
      </c>
      <c r="AP371" s="32">
        <v>19050</v>
      </c>
      <c r="AQ371" s="32"/>
      <c r="AR371" s="32"/>
      <c r="AS371" s="32"/>
      <c r="AT371" s="32"/>
      <c r="AU371" s="32"/>
      <c r="AV371" s="35"/>
      <c r="AW371" s="35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CR371">
        <v>660900</v>
      </c>
      <c r="CS371">
        <v>3</v>
      </c>
    </row>
    <row r="372" spans="1:97" x14ac:dyDescent="0.4">
      <c r="A372" t="s">
        <v>1138</v>
      </c>
      <c r="D372" t="s">
        <v>2370</v>
      </c>
      <c r="E372" t="s">
        <v>2371</v>
      </c>
      <c r="F372" t="s">
        <v>1139</v>
      </c>
      <c r="G372" t="s">
        <v>3933</v>
      </c>
      <c r="H372">
        <v>8017664152</v>
      </c>
      <c r="I372" t="s">
        <v>1140</v>
      </c>
      <c r="J372" t="s">
        <v>2433</v>
      </c>
      <c r="L372" t="s">
        <v>3934</v>
      </c>
      <c r="M372" t="s">
        <v>2715</v>
      </c>
      <c r="N372" t="s">
        <v>3935</v>
      </c>
      <c r="O372" t="s">
        <v>3936</v>
      </c>
      <c r="Q372" t="s">
        <v>2438</v>
      </c>
      <c r="R372" s="30">
        <v>45216</v>
      </c>
      <c r="S372" t="s">
        <v>44</v>
      </c>
      <c r="T372" s="30">
        <v>45767</v>
      </c>
      <c r="U372" s="20">
        <v>114300</v>
      </c>
      <c r="V372" s="31"/>
      <c r="W372" s="34"/>
      <c r="X372" s="34">
        <f t="shared" si="62"/>
        <v>114300</v>
      </c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2"/>
      <c r="AJ372" s="35"/>
      <c r="AK372" s="32">
        <v>19050</v>
      </c>
      <c r="AL372" s="32">
        <v>19050</v>
      </c>
      <c r="AM372" s="32">
        <v>19050</v>
      </c>
      <c r="AN372" s="32">
        <v>19050</v>
      </c>
      <c r="AO372" s="32">
        <v>19050</v>
      </c>
      <c r="AP372" s="32">
        <v>19050</v>
      </c>
      <c r="AQ372" s="32"/>
      <c r="AR372" s="32"/>
      <c r="AS372" s="32"/>
      <c r="AT372" s="32"/>
      <c r="AU372" s="32"/>
      <c r="AV372" s="35"/>
      <c r="AW372" s="35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CR372">
        <v>661900</v>
      </c>
      <c r="CS372">
        <v>4</v>
      </c>
    </row>
    <row r="373" spans="1:97" x14ac:dyDescent="0.4">
      <c r="A373" t="s">
        <v>1142</v>
      </c>
      <c r="D373" t="s">
        <v>2370</v>
      </c>
      <c r="E373" t="s">
        <v>2371</v>
      </c>
      <c r="F373" t="s">
        <v>1143</v>
      </c>
      <c r="G373" t="s">
        <v>3937</v>
      </c>
      <c r="H373">
        <v>9012195505</v>
      </c>
      <c r="I373" t="s">
        <v>1144</v>
      </c>
      <c r="J373" t="s">
        <v>2433</v>
      </c>
      <c r="L373" t="s">
        <v>3938</v>
      </c>
      <c r="M373" t="s">
        <v>2598</v>
      </c>
      <c r="N373" t="s">
        <v>3939</v>
      </c>
      <c r="O373" t="s">
        <v>3940</v>
      </c>
      <c r="Q373" t="s">
        <v>2438</v>
      </c>
      <c r="R373" s="30">
        <v>45216</v>
      </c>
      <c r="S373" t="s">
        <v>44</v>
      </c>
      <c r="T373" s="30">
        <v>45767</v>
      </c>
      <c r="U373" s="20">
        <v>114300</v>
      </c>
      <c r="V373" s="31"/>
      <c r="W373" s="34"/>
      <c r="X373" s="34">
        <f t="shared" si="62"/>
        <v>114300</v>
      </c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2"/>
      <c r="AJ373" s="35"/>
      <c r="AK373" s="32">
        <v>19050</v>
      </c>
      <c r="AL373" s="32">
        <v>19050</v>
      </c>
      <c r="AM373" s="32">
        <v>19050</v>
      </c>
      <c r="AN373" s="32">
        <v>19050</v>
      </c>
      <c r="AO373" s="32">
        <v>19050</v>
      </c>
      <c r="AP373" s="32">
        <v>19050</v>
      </c>
      <c r="AQ373" s="32"/>
      <c r="AR373" s="32"/>
      <c r="AS373" s="32"/>
      <c r="AT373" s="32"/>
      <c r="AU373" s="32"/>
      <c r="AV373" s="35"/>
      <c r="AW373" s="35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CR373">
        <v>661900</v>
      </c>
      <c r="CS373">
        <v>4</v>
      </c>
    </row>
    <row r="374" spans="1:97" x14ac:dyDescent="0.4">
      <c r="A374" t="s">
        <v>1145</v>
      </c>
      <c r="D374" t="s">
        <v>2370</v>
      </c>
      <c r="E374" t="s">
        <v>2371</v>
      </c>
      <c r="F374" t="s">
        <v>1146</v>
      </c>
      <c r="G374" t="s">
        <v>3941</v>
      </c>
      <c r="H374">
        <v>9073835670</v>
      </c>
      <c r="I374" t="s">
        <v>1147</v>
      </c>
      <c r="J374" t="s">
        <v>2433</v>
      </c>
      <c r="L374" t="s">
        <v>2593</v>
      </c>
      <c r="M374" t="s">
        <v>2435</v>
      </c>
      <c r="N374" t="s">
        <v>2594</v>
      </c>
      <c r="O374" s="33">
        <v>45693</v>
      </c>
      <c r="Q374" t="s">
        <v>2468</v>
      </c>
      <c r="R374" s="30">
        <v>45216</v>
      </c>
      <c r="S374" t="s">
        <v>44</v>
      </c>
      <c r="T374" s="30">
        <v>45828</v>
      </c>
      <c r="U374" s="20">
        <v>114300</v>
      </c>
      <c r="V374" s="31"/>
      <c r="W374" s="31"/>
      <c r="X374" s="31"/>
      <c r="Y374" s="31"/>
      <c r="Z374" s="31">
        <f>+U374</f>
        <v>114300</v>
      </c>
      <c r="AA374" s="31"/>
      <c r="AB374" s="31"/>
      <c r="AC374" s="31"/>
      <c r="AD374" s="31"/>
      <c r="AE374" s="31"/>
      <c r="AF374" s="31"/>
      <c r="AG374" s="31"/>
      <c r="AH374" s="31"/>
      <c r="AI374" s="32"/>
      <c r="AJ374" s="32"/>
      <c r="AK374" s="32"/>
      <c r="AL374" s="32"/>
      <c r="AM374" s="32">
        <v>19050</v>
      </c>
      <c r="AN374" s="32">
        <v>19050</v>
      </c>
      <c r="AO374" s="32">
        <v>19050</v>
      </c>
      <c r="AP374" s="32">
        <v>19050</v>
      </c>
      <c r="AQ374" s="32">
        <v>19050</v>
      </c>
      <c r="AR374" s="32">
        <v>19050</v>
      </c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CR374">
        <v>588070</v>
      </c>
      <c r="CS374">
        <v>3</v>
      </c>
    </row>
    <row r="375" spans="1:97" x14ac:dyDescent="0.4">
      <c r="A375" t="s">
        <v>1148</v>
      </c>
      <c r="D375" t="s">
        <v>2370</v>
      </c>
      <c r="E375" t="s">
        <v>2371</v>
      </c>
      <c r="F375" t="s">
        <v>1149</v>
      </c>
      <c r="G375" t="s">
        <v>3942</v>
      </c>
      <c r="H375">
        <v>9017718668</v>
      </c>
      <c r="I375" t="s">
        <v>1150</v>
      </c>
      <c r="J375" t="s">
        <v>2433</v>
      </c>
      <c r="L375" t="s">
        <v>3943</v>
      </c>
      <c r="M375" t="s">
        <v>2444</v>
      </c>
      <c r="N375" t="s">
        <v>3944</v>
      </c>
      <c r="O375" t="s">
        <v>3945</v>
      </c>
      <c r="Q375" t="s">
        <v>2438</v>
      </c>
      <c r="R375" s="30">
        <v>45216</v>
      </c>
      <c r="S375" t="s">
        <v>25</v>
      </c>
      <c r="T375" s="30">
        <v>45736</v>
      </c>
      <c r="U375">
        <v>59400</v>
      </c>
      <c r="V375" s="34"/>
      <c r="W375" s="34">
        <f>+U375</f>
        <v>59400</v>
      </c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5"/>
      <c r="AJ375" s="32">
        <v>19800</v>
      </c>
      <c r="AK375" s="32">
        <v>19800</v>
      </c>
      <c r="AL375" s="32">
        <v>19800</v>
      </c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CR375">
        <v>635800</v>
      </c>
      <c r="CS375">
        <v>17</v>
      </c>
    </row>
    <row r="376" spans="1:97" x14ac:dyDescent="0.4">
      <c r="A376" t="s">
        <v>1151</v>
      </c>
      <c r="D376" t="s">
        <v>2370</v>
      </c>
      <c r="E376" t="s">
        <v>2371</v>
      </c>
      <c r="F376" t="s">
        <v>1152</v>
      </c>
      <c r="G376" t="s">
        <v>3946</v>
      </c>
      <c r="H376">
        <v>9095307763</v>
      </c>
      <c r="I376" t="s">
        <v>1153</v>
      </c>
      <c r="J376" t="s">
        <v>2433</v>
      </c>
      <c r="L376" t="s">
        <v>3947</v>
      </c>
      <c r="M376" t="s">
        <v>2565</v>
      </c>
      <c r="N376" t="s">
        <v>3948</v>
      </c>
      <c r="O376" t="s">
        <v>3949</v>
      </c>
      <c r="Q376" t="s">
        <v>2438</v>
      </c>
      <c r="R376" s="30">
        <v>45216</v>
      </c>
      <c r="S376" t="s">
        <v>44</v>
      </c>
      <c r="T376" s="30">
        <v>45767</v>
      </c>
      <c r="U376" s="20">
        <v>114300</v>
      </c>
      <c r="V376" s="31"/>
      <c r="W376" s="34"/>
      <c r="X376" s="34">
        <f t="shared" ref="X376:X378" si="63">+U376</f>
        <v>114300</v>
      </c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2"/>
      <c r="AJ376" s="35"/>
      <c r="AK376" s="32">
        <v>19050</v>
      </c>
      <c r="AL376" s="32">
        <v>19050</v>
      </c>
      <c r="AM376" s="32">
        <v>19050</v>
      </c>
      <c r="AN376" s="32">
        <v>19050</v>
      </c>
      <c r="AO376" s="32">
        <v>19050</v>
      </c>
      <c r="AP376" s="32">
        <v>19050</v>
      </c>
      <c r="AQ376" s="32"/>
      <c r="AR376" s="32"/>
      <c r="AS376" s="32"/>
      <c r="AT376" s="32"/>
      <c r="AU376" s="32"/>
      <c r="AV376" s="35"/>
      <c r="AW376" s="35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CR376">
        <v>691700</v>
      </c>
      <c r="CS376">
        <v>18</v>
      </c>
    </row>
    <row r="377" spans="1:97" x14ac:dyDescent="0.4">
      <c r="A377" t="s">
        <v>1154</v>
      </c>
      <c r="D377" t="s">
        <v>2370</v>
      </c>
      <c r="E377" t="s">
        <v>2371</v>
      </c>
      <c r="F377" t="s">
        <v>1155</v>
      </c>
      <c r="G377" t="s">
        <v>3950</v>
      </c>
      <c r="H377">
        <v>8037370344</v>
      </c>
      <c r="I377" t="s">
        <v>1156</v>
      </c>
      <c r="J377" t="s">
        <v>2433</v>
      </c>
      <c r="L377" t="s">
        <v>3951</v>
      </c>
      <c r="M377" t="s">
        <v>2444</v>
      </c>
      <c r="N377" t="s">
        <v>3952</v>
      </c>
      <c r="O377" t="s">
        <v>3953</v>
      </c>
      <c r="Q377" t="s">
        <v>2438</v>
      </c>
      <c r="R377" s="30">
        <v>45216</v>
      </c>
      <c r="S377" t="s">
        <v>44</v>
      </c>
      <c r="T377" s="30">
        <v>45767</v>
      </c>
      <c r="U377" s="20">
        <v>114300</v>
      </c>
      <c r="V377" s="31"/>
      <c r="W377" s="34"/>
      <c r="X377" s="34">
        <f t="shared" si="63"/>
        <v>114300</v>
      </c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2"/>
      <c r="AJ377" s="35"/>
      <c r="AK377" s="32">
        <v>19050</v>
      </c>
      <c r="AL377" s="32">
        <v>19050</v>
      </c>
      <c r="AM377" s="32">
        <v>19050</v>
      </c>
      <c r="AN377" s="32">
        <v>19050</v>
      </c>
      <c r="AO377" s="32">
        <v>19050</v>
      </c>
      <c r="AP377" s="32">
        <v>19050</v>
      </c>
      <c r="AQ377" s="32"/>
      <c r="AR377" s="32"/>
      <c r="AS377" s="32"/>
      <c r="AT377" s="32"/>
      <c r="AU377" s="32"/>
      <c r="AV377" s="35"/>
      <c r="AW377" s="35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CR377">
        <v>806000</v>
      </c>
      <c r="CS377">
        <v>19</v>
      </c>
    </row>
    <row r="378" spans="1:97" x14ac:dyDescent="0.4">
      <c r="A378" t="s">
        <v>1158</v>
      </c>
      <c r="D378" t="s">
        <v>2370</v>
      </c>
      <c r="E378" t="s">
        <v>2371</v>
      </c>
      <c r="F378" t="s">
        <v>1159</v>
      </c>
      <c r="G378" t="s">
        <v>3954</v>
      </c>
      <c r="H378">
        <v>8011848191</v>
      </c>
      <c r="I378" t="s">
        <v>1160</v>
      </c>
      <c r="J378" t="s">
        <v>2433</v>
      </c>
      <c r="L378" t="s">
        <v>3955</v>
      </c>
      <c r="M378" t="s">
        <v>2444</v>
      </c>
      <c r="N378" t="s">
        <v>3956</v>
      </c>
      <c r="O378" t="s">
        <v>3957</v>
      </c>
      <c r="Q378" t="s">
        <v>2438</v>
      </c>
      <c r="R378" s="30">
        <v>45216</v>
      </c>
      <c r="S378" t="s">
        <v>44</v>
      </c>
      <c r="T378" s="30">
        <v>45767</v>
      </c>
      <c r="U378" s="20">
        <v>114300</v>
      </c>
      <c r="V378" s="31"/>
      <c r="W378" s="34"/>
      <c r="X378" s="34">
        <f t="shared" si="63"/>
        <v>114300</v>
      </c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2"/>
      <c r="AJ378" s="35"/>
      <c r="AK378" s="32">
        <v>19050</v>
      </c>
      <c r="AL378" s="32">
        <v>19050</v>
      </c>
      <c r="AM378" s="32">
        <v>19050</v>
      </c>
      <c r="AN378" s="32">
        <v>19050</v>
      </c>
      <c r="AO378" s="32">
        <v>19050</v>
      </c>
      <c r="AP378" s="32">
        <v>19050</v>
      </c>
      <c r="AQ378" s="32"/>
      <c r="AR378" s="32"/>
      <c r="AS378" s="32"/>
      <c r="AT378" s="32"/>
      <c r="AU378" s="32"/>
      <c r="AV378" s="35"/>
      <c r="AW378" s="35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CR378">
        <v>806000</v>
      </c>
      <c r="CS378">
        <v>19</v>
      </c>
    </row>
    <row r="379" spans="1:97" x14ac:dyDescent="0.4">
      <c r="A379" t="s">
        <v>1162</v>
      </c>
      <c r="D379" t="s">
        <v>2370</v>
      </c>
      <c r="E379" t="s">
        <v>2371</v>
      </c>
      <c r="F379" t="s">
        <v>1163</v>
      </c>
      <c r="G379" t="s">
        <v>3958</v>
      </c>
      <c r="H379">
        <v>9090733247</v>
      </c>
      <c r="I379" t="s">
        <v>1164</v>
      </c>
      <c r="J379" t="s">
        <v>2433</v>
      </c>
      <c r="L379" t="s">
        <v>3959</v>
      </c>
      <c r="M379" t="s">
        <v>3141</v>
      </c>
      <c r="N379" t="s">
        <v>3960</v>
      </c>
      <c r="O379" t="s">
        <v>3961</v>
      </c>
      <c r="Q379" t="s">
        <v>2438</v>
      </c>
      <c r="R379" s="30">
        <v>45216</v>
      </c>
      <c r="S379" t="s">
        <v>25</v>
      </c>
      <c r="T379" s="30">
        <v>45736</v>
      </c>
      <c r="U379">
        <v>59400</v>
      </c>
      <c r="V379" s="34"/>
      <c r="W379" s="34">
        <f>+U379</f>
        <v>59400</v>
      </c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5"/>
      <c r="AJ379" s="32">
        <v>19800</v>
      </c>
      <c r="AK379" s="32">
        <v>19800</v>
      </c>
      <c r="AL379" s="32">
        <v>19800</v>
      </c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CR379">
        <v>814010</v>
      </c>
      <c r="CS379">
        <v>22</v>
      </c>
    </row>
    <row r="380" spans="1:97" x14ac:dyDescent="0.4">
      <c r="A380" t="s">
        <v>1165</v>
      </c>
      <c r="D380" t="s">
        <v>2370</v>
      </c>
      <c r="E380" t="s">
        <v>2371</v>
      </c>
      <c r="F380" t="s">
        <v>1166</v>
      </c>
      <c r="G380" t="s">
        <v>3962</v>
      </c>
      <c r="H380">
        <v>9028656502</v>
      </c>
      <c r="I380" t="s">
        <v>1167</v>
      </c>
      <c r="J380" t="s">
        <v>2433</v>
      </c>
      <c r="L380" t="s">
        <v>3963</v>
      </c>
      <c r="M380" t="s">
        <v>2569</v>
      </c>
      <c r="N380" t="s">
        <v>3964</v>
      </c>
      <c r="O380" t="s">
        <v>3965</v>
      </c>
      <c r="Q380" t="s">
        <v>2438</v>
      </c>
      <c r="R380" s="30">
        <v>45216</v>
      </c>
      <c r="S380" t="s">
        <v>44</v>
      </c>
      <c r="T380" s="30">
        <v>45828</v>
      </c>
      <c r="U380" s="20">
        <v>114300</v>
      </c>
      <c r="V380" s="31"/>
      <c r="W380" s="31"/>
      <c r="X380" s="31"/>
      <c r="Y380" s="31"/>
      <c r="Z380" s="31">
        <f>+U380</f>
        <v>114300</v>
      </c>
      <c r="AA380" s="31"/>
      <c r="AB380" s="31"/>
      <c r="AC380" s="31"/>
      <c r="AD380" s="31"/>
      <c r="AE380" s="31"/>
      <c r="AF380" s="31"/>
      <c r="AG380" s="31"/>
      <c r="AH380" s="31"/>
      <c r="AI380" s="32"/>
      <c r="AJ380" s="32"/>
      <c r="AK380" s="32"/>
      <c r="AL380" s="32"/>
      <c r="AM380" s="32">
        <v>19050</v>
      </c>
      <c r="AN380" s="32">
        <v>19050</v>
      </c>
      <c r="AO380" s="32">
        <v>19050</v>
      </c>
      <c r="AP380" s="32">
        <v>19050</v>
      </c>
      <c r="AQ380" s="32">
        <v>19050</v>
      </c>
      <c r="AR380" s="32">
        <v>19050</v>
      </c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CR380">
        <v>661900</v>
      </c>
      <c r="CS380">
        <v>4</v>
      </c>
    </row>
    <row r="381" spans="1:97" x14ac:dyDescent="0.4">
      <c r="A381" t="s">
        <v>1169</v>
      </c>
      <c r="D381" t="s">
        <v>2370</v>
      </c>
      <c r="E381" t="s">
        <v>2371</v>
      </c>
      <c r="F381" t="s">
        <v>1170</v>
      </c>
      <c r="G381" t="s">
        <v>3966</v>
      </c>
      <c r="H381">
        <v>9035031207</v>
      </c>
      <c r="I381" t="s">
        <v>1171</v>
      </c>
      <c r="J381" t="s">
        <v>2433</v>
      </c>
      <c r="L381" t="s">
        <v>3967</v>
      </c>
      <c r="M381" t="s">
        <v>2444</v>
      </c>
      <c r="N381" t="s">
        <v>3968</v>
      </c>
      <c r="O381" t="s">
        <v>3969</v>
      </c>
      <c r="Q381" t="s">
        <v>2438</v>
      </c>
      <c r="R381" s="30">
        <v>45216</v>
      </c>
      <c r="S381" t="s">
        <v>25</v>
      </c>
      <c r="T381" s="30">
        <v>45767</v>
      </c>
      <c r="U381">
        <v>59400</v>
      </c>
      <c r="V381" s="34"/>
      <c r="W381" s="34"/>
      <c r="X381" s="34">
        <f t="shared" ref="X381:X388" si="64">+U381</f>
        <v>59400</v>
      </c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5"/>
      <c r="AJ381" s="35"/>
      <c r="AK381" s="32">
        <v>19800</v>
      </c>
      <c r="AL381" s="32">
        <v>19800</v>
      </c>
      <c r="AM381" s="32">
        <v>19800</v>
      </c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CR381">
        <v>670900</v>
      </c>
      <c r="CS381">
        <v>6</v>
      </c>
    </row>
    <row r="382" spans="1:97" x14ac:dyDescent="0.4">
      <c r="A382" t="s">
        <v>1173</v>
      </c>
      <c r="D382" t="s">
        <v>2370</v>
      </c>
      <c r="E382" t="s">
        <v>2371</v>
      </c>
      <c r="F382" t="s">
        <v>1174</v>
      </c>
      <c r="G382" t="s">
        <v>3970</v>
      </c>
      <c r="H382">
        <v>7065611610</v>
      </c>
      <c r="I382" t="s">
        <v>1175</v>
      </c>
      <c r="J382" t="s">
        <v>2433</v>
      </c>
      <c r="L382" t="s">
        <v>3971</v>
      </c>
      <c r="M382" t="s">
        <v>2518</v>
      </c>
      <c r="N382" t="s">
        <v>3972</v>
      </c>
      <c r="O382" t="s">
        <v>3973</v>
      </c>
      <c r="Q382" t="s">
        <v>2438</v>
      </c>
      <c r="R382" s="30">
        <v>45216</v>
      </c>
      <c r="S382" t="s">
        <v>44</v>
      </c>
      <c r="T382" s="30">
        <v>45767</v>
      </c>
      <c r="U382" s="20">
        <v>114300</v>
      </c>
      <c r="V382" s="31"/>
      <c r="W382" s="34"/>
      <c r="X382" s="34">
        <f t="shared" si="64"/>
        <v>114300</v>
      </c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2"/>
      <c r="AJ382" s="35"/>
      <c r="AK382" s="32">
        <v>19050</v>
      </c>
      <c r="AL382" s="32">
        <v>19050</v>
      </c>
      <c r="AM382" s="32">
        <v>19050</v>
      </c>
      <c r="AN382" s="32">
        <v>19050</v>
      </c>
      <c r="AO382" s="32">
        <v>19050</v>
      </c>
      <c r="AP382" s="32">
        <v>19050</v>
      </c>
      <c r="AQ382" s="32"/>
      <c r="AR382" s="32"/>
      <c r="AS382" s="32"/>
      <c r="AT382" s="32"/>
      <c r="AU382" s="32"/>
      <c r="AV382" s="35"/>
      <c r="AW382" s="35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CR382">
        <v>805000</v>
      </c>
      <c r="CS382">
        <v>18</v>
      </c>
    </row>
    <row r="383" spans="1:97" x14ac:dyDescent="0.4">
      <c r="A383" t="s">
        <v>1176</v>
      </c>
      <c r="D383" t="s">
        <v>2370</v>
      </c>
      <c r="E383" t="s">
        <v>2371</v>
      </c>
      <c r="F383" t="s">
        <v>1177</v>
      </c>
      <c r="G383" t="s">
        <v>3974</v>
      </c>
      <c r="H383">
        <v>9025556276</v>
      </c>
      <c r="I383" t="s">
        <v>1178</v>
      </c>
      <c r="J383" t="s">
        <v>2433</v>
      </c>
      <c r="L383" t="s">
        <v>3975</v>
      </c>
      <c r="M383" t="s">
        <v>2444</v>
      </c>
      <c r="N383" t="s">
        <v>3976</v>
      </c>
      <c r="O383" t="s">
        <v>3977</v>
      </c>
      <c r="Q383" t="s">
        <v>2438</v>
      </c>
      <c r="R383" s="30">
        <v>45216</v>
      </c>
      <c r="S383" t="s">
        <v>25</v>
      </c>
      <c r="T383" s="30">
        <v>45767</v>
      </c>
      <c r="U383">
        <v>59400</v>
      </c>
      <c r="V383" s="34"/>
      <c r="W383" s="34"/>
      <c r="X383" s="34">
        <f t="shared" si="64"/>
        <v>59400</v>
      </c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5"/>
      <c r="AJ383" s="35"/>
      <c r="AK383" s="32">
        <v>19800</v>
      </c>
      <c r="AL383" s="32">
        <v>19800</v>
      </c>
      <c r="AM383" s="32">
        <v>19800</v>
      </c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CR383">
        <v>814000</v>
      </c>
      <c r="CS383">
        <v>20</v>
      </c>
    </row>
    <row r="384" spans="1:97" x14ac:dyDescent="0.4">
      <c r="A384" t="s">
        <v>1179</v>
      </c>
      <c r="D384" t="s">
        <v>2370</v>
      </c>
      <c r="E384" t="s">
        <v>2371</v>
      </c>
      <c r="F384" t="s">
        <v>1180</v>
      </c>
      <c r="G384" t="s">
        <v>3978</v>
      </c>
      <c r="H384">
        <v>8028348877</v>
      </c>
      <c r="I384" t="s">
        <v>1181</v>
      </c>
      <c r="J384" t="s">
        <v>2433</v>
      </c>
      <c r="L384" t="s">
        <v>3979</v>
      </c>
      <c r="M384" t="s">
        <v>2518</v>
      </c>
      <c r="N384" t="s">
        <v>3980</v>
      </c>
      <c r="O384" t="s">
        <v>3981</v>
      </c>
      <c r="Q384" t="s">
        <v>2438</v>
      </c>
      <c r="R384" s="30">
        <v>45216</v>
      </c>
      <c r="S384" t="s">
        <v>44</v>
      </c>
      <c r="T384" s="30">
        <v>45767</v>
      </c>
      <c r="U384" s="20">
        <v>114300</v>
      </c>
      <c r="V384" s="31"/>
      <c r="W384" s="34"/>
      <c r="X384" s="34">
        <f t="shared" si="64"/>
        <v>114300</v>
      </c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2"/>
      <c r="AJ384" s="35"/>
      <c r="AK384" s="32">
        <v>19050</v>
      </c>
      <c r="AL384" s="32">
        <v>19050</v>
      </c>
      <c r="AM384" s="32">
        <v>19050</v>
      </c>
      <c r="AN384" s="32">
        <v>19050</v>
      </c>
      <c r="AO384" s="32">
        <v>19050</v>
      </c>
      <c r="AP384" s="32">
        <v>19050</v>
      </c>
      <c r="AQ384" s="32"/>
      <c r="AR384" s="32"/>
      <c r="AS384" s="32"/>
      <c r="AT384" s="32"/>
      <c r="AU384" s="32"/>
      <c r="AV384" s="35"/>
      <c r="AW384" s="35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CR384">
        <v>660900</v>
      </c>
      <c r="CS384">
        <v>3</v>
      </c>
    </row>
    <row r="385" spans="1:97" x14ac:dyDescent="0.4">
      <c r="A385" t="s">
        <v>1182</v>
      </c>
      <c r="D385" t="s">
        <v>2370</v>
      </c>
      <c r="E385" t="s">
        <v>2371</v>
      </c>
      <c r="F385" t="s">
        <v>1183</v>
      </c>
      <c r="G385" t="s">
        <v>3982</v>
      </c>
      <c r="H385">
        <v>9050435173</v>
      </c>
      <c r="I385" t="s">
        <v>1184</v>
      </c>
      <c r="J385" t="s">
        <v>2433</v>
      </c>
      <c r="L385" t="s">
        <v>3983</v>
      </c>
      <c r="M385" t="s">
        <v>2500</v>
      </c>
      <c r="N385" t="s">
        <v>3984</v>
      </c>
      <c r="O385" t="s">
        <v>3985</v>
      </c>
      <c r="Q385" t="s">
        <v>2438</v>
      </c>
      <c r="R385" s="30">
        <v>45216</v>
      </c>
      <c r="S385" t="s">
        <v>44</v>
      </c>
      <c r="T385" s="30">
        <v>45767</v>
      </c>
      <c r="U385" s="20">
        <v>114300</v>
      </c>
      <c r="V385" s="31"/>
      <c r="W385" s="34"/>
      <c r="X385" s="34">
        <f t="shared" si="64"/>
        <v>114300</v>
      </c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2"/>
      <c r="AJ385" s="35"/>
      <c r="AK385" s="32">
        <v>19050</v>
      </c>
      <c r="AL385" s="32">
        <v>19050</v>
      </c>
      <c r="AM385" s="32">
        <v>19050</v>
      </c>
      <c r="AN385" s="32">
        <v>19050</v>
      </c>
      <c r="AO385" s="32">
        <v>19050</v>
      </c>
      <c r="AP385" s="32">
        <v>19050</v>
      </c>
      <c r="AQ385" s="32"/>
      <c r="AR385" s="32"/>
      <c r="AS385" s="32"/>
      <c r="AT385" s="32"/>
      <c r="AU385" s="32"/>
      <c r="AV385" s="35"/>
      <c r="AW385" s="35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CR385">
        <v>806000</v>
      </c>
      <c r="CS385">
        <v>19</v>
      </c>
    </row>
    <row r="386" spans="1:97" x14ac:dyDescent="0.4">
      <c r="A386" t="s">
        <v>1185</v>
      </c>
      <c r="D386" t="s">
        <v>2370</v>
      </c>
      <c r="E386" t="s">
        <v>2371</v>
      </c>
      <c r="F386" t="s">
        <v>1186</v>
      </c>
      <c r="G386" t="s">
        <v>3986</v>
      </c>
      <c r="H386">
        <v>9034993941</v>
      </c>
      <c r="I386" t="s">
        <v>1187</v>
      </c>
      <c r="J386" t="s">
        <v>2433</v>
      </c>
      <c r="L386" t="s">
        <v>3987</v>
      </c>
      <c r="M386" t="s">
        <v>2444</v>
      </c>
      <c r="N386" t="s">
        <v>3988</v>
      </c>
      <c r="O386" t="s">
        <v>3989</v>
      </c>
      <c r="Q386" t="s">
        <v>2438</v>
      </c>
      <c r="R386" s="30">
        <v>45216</v>
      </c>
      <c r="S386" t="s">
        <v>44</v>
      </c>
      <c r="T386" s="30">
        <v>45767</v>
      </c>
      <c r="U386" s="20">
        <v>114300</v>
      </c>
      <c r="V386" s="31"/>
      <c r="W386" s="34"/>
      <c r="X386" s="34">
        <f t="shared" si="64"/>
        <v>114300</v>
      </c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2"/>
      <c r="AJ386" s="35"/>
      <c r="AK386" s="32">
        <v>19050</v>
      </c>
      <c r="AL386" s="32">
        <v>19050</v>
      </c>
      <c r="AM386" s="32">
        <v>19050</v>
      </c>
      <c r="AN386" s="32">
        <v>19050</v>
      </c>
      <c r="AO386" s="32">
        <v>19050</v>
      </c>
      <c r="AP386" s="32">
        <v>19050</v>
      </c>
      <c r="AQ386" s="32"/>
      <c r="AR386" s="32"/>
      <c r="AS386" s="32"/>
      <c r="AT386" s="32"/>
      <c r="AU386" s="32"/>
      <c r="AV386" s="35"/>
      <c r="AW386" s="35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CR386">
        <v>655675</v>
      </c>
      <c r="CS386">
        <v>17</v>
      </c>
    </row>
    <row r="387" spans="1:97" x14ac:dyDescent="0.4">
      <c r="A387" t="s">
        <v>1189</v>
      </c>
      <c r="D387" t="s">
        <v>2370</v>
      </c>
      <c r="E387" t="s">
        <v>2371</v>
      </c>
      <c r="F387" t="s">
        <v>1190</v>
      </c>
      <c r="G387" t="s">
        <v>3990</v>
      </c>
      <c r="H387">
        <v>7028345621</v>
      </c>
      <c r="I387" t="s">
        <v>1191</v>
      </c>
      <c r="J387" t="s">
        <v>2433</v>
      </c>
      <c r="L387" t="s">
        <v>3991</v>
      </c>
      <c r="M387" t="s">
        <v>2435</v>
      </c>
      <c r="N387" t="s">
        <v>3992</v>
      </c>
      <c r="O387" t="s">
        <v>3993</v>
      </c>
      <c r="R387" s="30">
        <v>45216</v>
      </c>
      <c r="S387" t="s">
        <v>44</v>
      </c>
      <c r="T387" s="30">
        <v>45767</v>
      </c>
      <c r="U387" s="20">
        <v>114300</v>
      </c>
      <c r="V387" s="31"/>
      <c r="W387" s="34"/>
      <c r="X387" s="34">
        <f t="shared" si="64"/>
        <v>114300</v>
      </c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2"/>
      <c r="AJ387" s="35"/>
      <c r="AK387" s="32">
        <v>19050</v>
      </c>
      <c r="AL387" s="32">
        <v>19050</v>
      </c>
      <c r="AM387" s="32">
        <v>19050</v>
      </c>
      <c r="AN387" s="32">
        <v>19050</v>
      </c>
      <c r="AO387" s="32">
        <v>19050</v>
      </c>
      <c r="AP387" s="32">
        <v>19050</v>
      </c>
      <c r="AQ387" s="32"/>
      <c r="AR387" s="32"/>
      <c r="AS387" s="32"/>
      <c r="AT387" s="32"/>
      <c r="AU387" s="32"/>
      <c r="AV387" s="35"/>
      <c r="AW387" s="35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CR387">
        <v>661900</v>
      </c>
      <c r="CS387">
        <v>4</v>
      </c>
    </row>
    <row r="388" spans="1:97" x14ac:dyDescent="0.4">
      <c r="A388" t="s">
        <v>1192</v>
      </c>
      <c r="D388" t="s">
        <v>2370</v>
      </c>
      <c r="E388" t="s">
        <v>2371</v>
      </c>
      <c r="F388" t="s">
        <v>1193</v>
      </c>
      <c r="G388" t="s">
        <v>3994</v>
      </c>
      <c r="H388">
        <v>9032179051</v>
      </c>
      <c r="I388" t="s">
        <v>1194</v>
      </c>
      <c r="J388" t="s">
        <v>2433</v>
      </c>
      <c r="L388" t="s">
        <v>3995</v>
      </c>
      <c r="M388" t="s">
        <v>2598</v>
      </c>
      <c r="N388" t="s">
        <v>3782</v>
      </c>
      <c r="O388" t="s">
        <v>3996</v>
      </c>
      <c r="Q388" t="s">
        <v>2438</v>
      </c>
      <c r="R388" s="30">
        <v>45216</v>
      </c>
      <c r="S388" t="s">
        <v>44</v>
      </c>
      <c r="T388" s="30">
        <v>45767</v>
      </c>
      <c r="U388" s="20">
        <v>114300</v>
      </c>
      <c r="V388" s="31"/>
      <c r="W388" s="34"/>
      <c r="X388" s="34">
        <f t="shared" si="64"/>
        <v>114300</v>
      </c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2"/>
      <c r="AJ388" s="35"/>
      <c r="AK388" s="32">
        <v>19050</v>
      </c>
      <c r="AL388" s="32">
        <v>19050</v>
      </c>
      <c r="AM388" s="32">
        <v>19050</v>
      </c>
      <c r="AN388" s="32">
        <v>19050</v>
      </c>
      <c r="AO388" s="32">
        <v>19050</v>
      </c>
      <c r="AP388" s="32">
        <v>19050</v>
      </c>
      <c r="AQ388" s="32"/>
      <c r="AR388" s="32"/>
      <c r="AS388" s="32"/>
      <c r="AT388" s="32"/>
      <c r="AU388" s="32"/>
      <c r="AV388" s="35"/>
      <c r="AW388" s="35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CR388">
        <v>660900</v>
      </c>
      <c r="CS388">
        <v>3</v>
      </c>
    </row>
    <row r="389" spans="1:97" x14ac:dyDescent="0.4">
      <c r="A389" t="s">
        <v>1196</v>
      </c>
      <c r="D389" t="s">
        <v>2370</v>
      </c>
      <c r="E389" t="s">
        <v>2371</v>
      </c>
      <c r="F389" t="s">
        <v>1197</v>
      </c>
      <c r="G389" t="s">
        <v>3997</v>
      </c>
      <c r="H389">
        <v>9036610474</v>
      </c>
      <c r="I389" t="s">
        <v>1198</v>
      </c>
      <c r="J389" t="s">
        <v>2433</v>
      </c>
      <c r="L389" t="s">
        <v>3998</v>
      </c>
      <c r="M389" t="s">
        <v>2715</v>
      </c>
      <c r="N389" t="s">
        <v>3999</v>
      </c>
      <c r="O389" t="s">
        <v>4000</v>
      </c>
      <c r="Q389" t="s">
        <v>2438</v>
      </c>
      <c r="R389" s="30">
        <v>45216</v>
      </c>
      <c r="S389" t="s">
        <v>44</v>
      </c>
      <c r="T389" s="30">
        <v>45858</v>
      </c>
      <c r="U389" s="20">
        <v>114300</v>
      </c>
      <c r="V389" s="31"/>
      <c r="W389" s="31"/>
      <c r="X389" s="31"/>
      <c r="Y389" s="31"/>
      <c r="Z389" s="31"/>
      <c r="AA389" s="31">
        <f>+U389</f>
        <v>114300</v>
      </c>
      <c r="AB389" s="31"/>
      <c r="AC389" s="31"/>
      <c r="AD389" s="31"/>
      <c r="AE389" s="31"/>
      <c r="AF389" s="31"/>
      <c r="AG389" s="31"/>
      <c r="AH389" s="31"/>
      <c r="AI389" s="32"/>
      <c r="AJ389" s="32"/>
      <c r="AK389" s="32"/>
      <c r="AL389" s="32"/>
      <c r="AM389" s="32"/>
      <c r="AN389" s="32">
        <v>19050</v>
      </c>
      <c r="AO389" s="32">
        <v>19050</v>
      </c>
      <c r="AP389" s="32">
        <v>19050</v>
      </c>
      <c r="AQ389" s="32">
        <v>19050</v>
      </c>
      <c r="AR389" s="32">
        <v>19050</v>
      </c>
      <c r="AS389" s="32">
        <v>19050</v>
      </c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CR389">
        <v>660900</v>
      </c>
      <c r="CS389">
        <v>3</v>
      </c>
    </row>
    <row r="390" spans="1:97" x14ac:dyDescent="0.4">
      <c r="A390" t="s">
        <v>1200</v>
      </c>
      <c r="D390" t="s">
        <v>2370</v>
      </c>
      <c r="E390" t="s">
        <v>2371</v>
      </c>
      <c r="F390" t="s">
        <v>1201</v>
      </c>
      <c r="G390" t="s">
        <v>4001</v>
      </c>
      <c r="H390">
        <v>455480677</v>
      </c>
      <c r="I390" t="s">
        <v>1202</v>
      </c>
      <c r="J390" t="s">
        <v>2433</v>
      </c>
      <c r="L390" t="s">
        <v>4002</v>
      </c>
      <c r="M390" t="s">
        <v>2518</v>
      </c>
      <c r="N390" t="s">
        <v>4003</v>
      </c>
      <c r="O390" t="s">
        <v>4004</v>
      </c>
      <c r="R390" s="30">
        <v>45216</v>
      </c>
      <c r="S390" t="s">
        <v>44</v>
      </c>
      <c r="T390" s="30">
        <v>45767</v>
      </c>
      <c r="U390" s="20">
        <v>114300</v>
      </c>
      <c r="V390" s="31"/>
      <c r="W390" s="34"/>
      <c r="X390" s="34">
        <f t="shared" ref="X390:X391" si="65">+U390</f>
        <v>114300</v>
      </c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2"/>
      <c r="AJ390" s="35"/>
      <c r="AK390" s="32">
        <v>19050</v>
      </c>
      <c r="AL390" s="32">
        <v>19050</v>
      </c>
      <c r="AM390" s="32">
        <v>19050</v>
      </c>
      <c r="AN390" s="32">
        <v>19050</v>
      </c>
      <c r="AO390" s="32">
        <v>19050</v>
      </c>
      <c r="AP390" s="32">
        <v>19050</v>
      </c>
      <c r="AQ390" s="32"/>
      <c r="AR390" s="32"/>
      <c r="AS390" s="32"/>
      <c r="AT390" s="32"/>
      <c r="AU390" s="32"/>
      <c r="AV390" s="35"/>
      <c r="AW390" s="35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CR390">
        <v>809500</v>
      </c>
      <c r="CS390">
        <v>19</v>
      </c>
    </row>
    <row r="391" spans="1:97" x14ac:dyDescent="0.4">
      <c r="A391" t="s">
        <v>1204</v>
      </c>
      <c r="D391" t="s">
        <v>2370</v>
      </c>
      <c r="E391" t="s">
        <v>2371</v>
      </c>
      <c r="F391" t="s">
        <v>1205</v>
      </c>
      <c r="G391" t="s">
        <v>4005</v>
      </c>
      <c r="H391">
        <v>9043291338</v>
      </c>
      <c r="I391" t="s">
        <v>1206</v>
      </c>
      <c r="J391" t="s">
        <v>2433</v>
      </c>
      <c r="L391" t="s">
        <v>4006</v>
      </c>
      <c r="M391" t="s">
        <v>3368</v>
      </c>
      <c r="N391" t="s">
        <v>4007</v>
      </c>
      <c r="O391" t="s">
        <v>4008</v>
      </c>
      <c r="Q391" t="s">
        <v>2438</v>
      </c>
      <c r="R391" s="30">
        <v>45216</v>
      </c>
      <c r="S391" t="s">
        <v>25</v>
      </c>
      <c r="T391" s="30">
        <v>45767</v>
      </c>
      <c r="U391">
        <v>59400</v>
      </c>
      <c r="V391" s="34"/>
      <c r="W391" s="34"/>
      <c r="X391" s="34">
        <f t="shared" si="65"/>
        <v>59400</v>
      </c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5"/>
      <c r="AJ391" s="35"/>
      <c r="AK391" s="32">
        <v>19800</v>
      </c>
      <c r="AL391" s="32">
        <v>19800</v>
      </c>
      <c r="AM391" s="32">
        <v>19800</v>
      </c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CR391">
        <v>666400</v>
      </c>
      <c r="CS391">
        <v>5</v>
      </c>
    </row>
    <row r="392" spans="1:97" s="36" customFormat="1" x14ac:dyDescent="0.4">
      <c r="A392" s="36" t="s">
        <v>4009</v>
      </c>
      <c r="D392" s="36" t="s">
        <v>2370</v>
      </c>
      <c r="E392" s="36" t="s">
        <v>2371</v>
      </c>
      <c r="F392" s="36" t="s">
        <v>4010</v>
      </c>
      <c r="G392" s="36" t="s">
        <v>4011</v>
      </c>
      <c r="H392" s="36">
        <v>9045903234</v>
      </c>
      <c r="I392" s="36" t="s">
        <v>4012</v>
      </c>
      <c r="J392" s="36" t="s">
        <v>2433</v>
      </c>
      <c r="L392" s="36" t="s">
        <v>4013</v>
      </c>
      <c r="M392" s="36" t="s">
        <v>2444</v>
      </c>
      <c r="N392" s="36" t="s">
        <v>4014</v>
      </c>
      <c r="O392" s="36" t="s">
        <v>4015</v>
      </c>
      <c r="Q392" s="36" t="s">
        <v>2438</v>
      </c>
      <c r="R392" s="37">
        <v>45216</v>
      </c>
      <c r="S392" s="36" t="s">
        <v>2503</v>
      </c>
      <c r="T392" s="37">
        <v>45707</v>
      </c>
      <c r="U392" s="37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CR392" s="36">
        <v>740545</v>
      </c>
      <c r="CS392" s="36">
        <v>20</v>
      </c>
    </row>
    <row r="393" spans="1:97" x14ac:dyDescent="0.4">
      <c r="A393" t="s">
        <v>1208</v>
      </c>
      <c r="D393" t="s">
        <v>2370</v>
      </c>
      <c r="E393" t="s">
        <v>2371</v>
      </c>
      <c r="F393" t="s">
        <v>1209</v>
      </c>
      <c r="G393" t="s">
        <v>4016</v>
      </c>
      <c r="H393">
        <v>9039692040</v>
      </c>
      <c r="I393" t="s">
        <v>1210</v>
      </c>
      <c r="J393" t="s">
        <v>2433</v>
      </c>
      <c r="L393" t="s">
        <v>4017</v>
      </c>
      <c r="M393" t="s">
        <v>2435</v>
      </c>
      <c r="N393" t="s">
        <v>4018</v>
      </c>
      <c r="O393" t="s">
        <v>4019</v>
      </c>
      <c r="Q393" t="s">
        <v>2438</v>
      </c>
      <c r="R393" s="30">
        <v>45216</v>
      </c>
      <c r="S393" t="s">
        <v>44</v>
      </c>
      <c r="T393" s="30">
        <v>45767</v>
      </c>
      <c r="U393" s="20">
        <v>114300</v>
      </c>
      <c r="V393" s="31"/>
      <c r="W393" s="34"/>
      <c r="X393" s="34">
        <f t="shared" ref="X393:X403" si="66">+U393</f>
        <v>114300</v>
      </c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2"/>
      <c r="AJ393" s="35"/>
      <c r="AK393" s="32">
        <v>19050</v>
      </c>
      <c r="AL393" s="32">
        <v>19050</v>
      </c>
      <c r="AM393" s="32">
        <v>19050</v>
      </c>
      <c r="AN393" s="32">
        <v>19050</v>
      </c>
      <c r="AO393" s="32">
        <v>19050</v>
      </c>
      <c r="AP393" s="32">
        <v>19050</v>
      </c>
      <c r="AQ393" s="32"/>
      <c r="AR393" s="32"/>
      <c r="AS393" s="32"/>
      <c r="AT393" s="32"/>
      <c r="AU393" s="32"/>
      <c r="AV393" s="35"/>
      <c r="AW393" s="35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CR393">
        <v>768975</v>
      </c>
      <c r="CS393">
        <v>17</v>
      </c>
    </row>
    <row r="394" spans="1:97" x14ac:dyDescent="0.4">
      <c r="A394" t="s">
        <v>1212</v>
      </c>
      <c r="D394" t="s">
        <v>2370</v>
      </c>
      <c r="E394" t="s">
        <v>2371</v>
      </c>
      <c r="F394" t="s">
        <v>1213</v>
      </c>
      <c r="G394" t="s">
        <v>4020</v>
      </c>
      <c r="H394">
        <v>8029758031</v>
      </c>
      <c r="I394" t="s">
        <v>1214</v>
      </c>
      <c r="J394" t="s">
        <v>2433</v>
      </c>
      <c r="L394" t="s">
        <v>4021</v>
      </c>
      <c r="M394" t="s">
        <v>3141</v>
      </c>
      <c r="N394" t="s">
        <v>4022</v>
      </c>
      <c r="O394">
        <v>373</v>
      </c>
      <c r="Q394" t="s">
        <v>2438</v>
      </c>
      <c r="R394" s="30">
        <v>45215</v>
      </c>
      <c r="S394" t="s">
        <v>44</v>
      </c>
      <c r="T394" s="30">
        <v>45767</v>
      </c>
      <c r="U394" s="20">
        <v>114300</v>
      </c>
      <c r="V394" s="31"/>
      <c r="W394" s="34"/>
      <c r="X394" s="34">
        <f t="shared" si="66"/>
        <v>114300</v>
      </c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2"/>
      <c r="AJ394" s="35"/>
      <c r="AK394" s="32">
        <v>19050</v>
      </c>
      <c r="AL394" s="32">
        <v>19050</v>
      </c>
      <c r="AM394" s="32">
        <v>19050</v>
      </c>
      <c r="AN394" s="32">
        <v>19050</v>
      </c>
      <c r="AO394" s="32">
        <v>19050</v>
      </c>
      <c r="AP394" s="32">
        <v>19050</v>
      </c>
      <c r="AQ394" s="32"/>
      <c r="AR394" s="32"/>
      <c r="AS394" s="32"/>
      <c r="AT394" s="32"/>
      <c r="AU394" s="32"/>
      <c r="AV394" s="35"/>
      <c r="AW394" s="35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CR394">
        <v>806000</v>
      </c>
      <c r="CS394">
        <v>19</v>
      </c>
    </row>
    <row r="395" spans="1:97" x14ac:dyDescent="0.4">
      <c r="A395" t="s">
        <v>1216</v>
      </c>
      <c r="D395" t="s">
        <v>2370</v>
      </c>
      <c r="E395" t="s">
        <v>2371</v>
      </c>
      <c r="F395" t="s">
        <v>1217</v>
      </c>
      <c r="G395" t="s">
        <v>4023</v>
      </c>
      <c r="H395">
        <v>8019627811</v>
      </c>
      <c r="I395" t="s">
        <v>1218</v>
      </c>
      <c r="J395" t="s">
        <v>2433</v>
      </c>
      <c r="L395" t="s">
        <v>4024</v>
      </c>
      <c r="M395" t="s">
        <v>3368</v>
      </c>
      <c r="N395" t="s">
        <v>4025</v>
      </c>
      <c r="O395" t="s">
        <v>4026</v>
      </c>
      <c r="Q395" t="s">
        <v>2438</v>
      </c>
      <c r="R395" s="30">
        <v>45215</v>
      </c>
      <c r="S395" t="s">
        <v>44</v>
      </c>
      <c r="T395" s="30">
        <v>45767</v>
      </c>
      <c r="U395" s="20">
        <v>114300</v>
      </c>
      <c r="V395" s="31"/>
      <c r="W395" s="34"/>
      <c r="X395" s="34">
        <f t="shared" si="66"/>
        <v>114300</v>
      </c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2"/>
      <c r="AJ395" s="35"/>
      <c r="AK395" s="32">
        <v>19050</v>
      </c>
      <c r="AL395" s="32">
        <v>19050</v>
      </c>
      <c r="AM395" s="32">
        <v>19050</v>
      </c>
      <c r="AN395" s="32">
        <v>19050</v>
      </c>
      <c r="AO395" s="32">
        <v>19050</v>
      </c>
      <c r="AP395" s="32">
        <v>19050</v>
      </c>
      <c r="AQ395" s="32"/>
      <c r="AR395" s="32"/>
      <c r="AS395" s="32"/>
      <c r="AT395" s="32"/>
      <c r="AU395" s="32"/>
      <c r="AV395" s="35"/>
      <c r="AW395" s="35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CR395">
        <v>690700</v>
      </c>
      <c r="CS395">
        <v>17</v>
      </c>
    </row>
    <row r="396" spans="1:97" x14ac:dyDescent="0.4">
      <c r="A396" t="s">
        <v>1219</v>
      </c>
      <c r="D396" t="s">
        <v>2370</v>
      </c>
      <c r="E396" t="s">
        <v>2371</v>
      </c>
      <c r="F396" t="s">
        <v>1220</v>
      </c>
      <c r="G396" t="s">
        <v>4027</v>
      </c>
      <c r="H396">
        <v>9020679630</v>
      </c>
      <c r="I396" t="s">
        <v>1221</v>
      </c>
      <c r="J396" t="s">
        <v>2433</v>
      </c>
      <c r="L396" t="s">
        <v>4028</v>
      </c>
      <c r="M396" t="s">
        <v>2435</v>
      </c>
      <c r="N396" t="s">
        <v>4029</v>
      </c>
      <c r="O396" t="s">
        <v>4030</v>
      </c>
      <c r="Q396" t="s">
        <v>2438</v>
      </c>
      <c r="R396" s="30">
        <v>45215</v>
      </c>
      <c r="S396" t="s">
        <v>25</v>
      </c>
      <c r="T396" s="30">
        <v>45767</v>
      </c>
      <c r="U396">
        <v>59400</v>
      </c>
      <c r="V396" s="34"/>
      <c r="W396" s="34"/>
      <c r="X396" s="34">
        <f t="shared" si="66"/>
        <v>59400</v>
      </c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5"/>
      <c r="AJ396" s="35"/>
      <c r="AK396" s="32">
        <v>19800</v>
      </c>
      <c r="AL396" s="32">
        <v>19800</v>
      </c>
      <c r="AM396" s="32">
        <v>19800</v>
      </c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CR396">
        <v>815000</v>
      </c>
      <c r="CS396">
        <v>21</v>
      </c>
    </row>
    <row r="397" spans="1:97" x14ac:dyDescent="0.4">
      <c r="A397" t="s">
        <v>1222</v>
      </c>
      <c r="D397" t="s">
        <v>2370</v>
      </c>
      <c r="E397" t="s">
        <v>2371</v>
      </c>
      <c r="F397" t="s">
        <v>1223</v>
      </c>
      <c r="G397" t="s">
        <v>4031</v>
      </c>
      <c r="H397">
        <v>8053661314</v>
      </c>
      <c r="I397" t="s">
        <v>1224</v>
      </c>
      <c r="J397" t="s">
        <v>2433</v>
      </c>
      <c r="L397" t="s">
        <v>3438</v>
      </c>
      <c r="M397" t="s">
        <v>2435</v>
      </c>
      <c r="N397" t="s">
        <v>4032</v>
      </c>
      <c r="O397" t="s">
        <v>4033</v>
      </c>
      <c r="Q397" t="s">
        <v>2438</v>
      </c>
      <c r="R397" s="30">
        <v>45215</v>
      </c>
      <c r="S397" t="s">
        <v>44</v>
      </c>
      <c r="T397" s="30">
        <v>45767</v>
      </c>
      <c r="U397" s="20">
        <v>114300</v>
      </c>
      <c r="V397" s="31"/>
      <c r="W397" s="34"/>
      <c r="X397" s="34">
        <f t="shared" si="66"/>
        <v>114300</v>
      </c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2"/>
      <c r="AJ397" s="35"/>
      <c r="AK397" s="32">
        <v>19050</v>
      </c>
      <c r="AL397" s="32">
        <v>19050</v>
      </c>
      <c r="AM397" s="32">
        <v>19050</v>
      </c>
      <c r="AN397" s="32">
        <v>19050</v>
      </c>
      <c r="AO397" s="32">
        <v>19050</v>
      </c>
      <c r="AP397" s="32">
        <v>19050</v>
      </c>
      <c r="AQ397" s="32"/>
      <c r="AR397" s="32"/>
      <c r="AS397" s="32"/>
      <c r="AT397" s="32"/>
      <c r="AU397" s="32"/>
      <c r="AV397" s="35"/>
      <c r="AW397" s="35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CR397">
        <v>660900</v>
      </c>
      <c r="CS397">
        <v>3</v>
      </c>
    </row>
    <row r="398" spans="1:97" x14ac:dyDescent="0.4">
      <c r="A398" t="s">
        <v>1225</v>
      </c>
      <c r="D398" t="s">
        <v>2370</v>
      </c>
      <c r="E398" t="s">
        <v>2371</v>
      </c>
      <c r="F398" t="s">
        <v>1226</v>
      </c>
      <c r="G398" t="s">
        <v>4034</v>
      </c>
      <c r="H398">
        <v>9016445173</v>
      </c>
      <c r="I398" t="s">
        <v>1227</v>
      </c>
      <c r="J398" t="s">
        <v>2433</v>
      </c>
      <c r="L398" t="s">
        <v>4035</v>
      </c>
      <c r="M398" t="s">
        <v>2455</v>
      </c>
      <c r="N398" t="s">
        <v>4036</v>
      </c>
      <c r="O398" t="s">
        <v>4037</v>
      </c>
      <c r="Q398" t="s">
        <v>2438</v>
      </c>
      <c r="R398" s="30">
        <v>45215</v>
      </c>
      <c r="S398" t="s">
        <v>44</v>
      </c>
      <c r="T398" s="30">
        <v>45767</v>
      </c>
      <c r="U398" s="20">
        <v>114300</v>
      </c>
      <c r="V398" s="31"/>
      <c r="W398" s="34"/>
      <c r="X398" s="34">
        <f t="shared" si="66"/>
        <v>114300</v>
      </c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2"/>
      <c r="AJ398" s="35"/>
      <c r="AK398" s="32">
        <v>19050</v>
      </c>
      <c r="AL398" s="32">
        <v>19050</v>
      </c>
      <c r="AM398" s="32">
        <v>19050</v>
      </c>
      <c r="AN398" s="32">
        <v>19050</v>
      </c>
      <c r="AO398" s="32">
        <v>19050</v>
      </c>
      <c r="AP398" s="32">
        <v>19050</v>
      </c>
      <c r="AQ398" s="32"/>
      <c r="AR398" s="32"/>
      <c r="AS398" s="32"/>
      <c r="AT398" s="32"/>
      <c r="AU398" s="32"/>
      <c r="AV398" s="35"/>
      <c r="AW398" s="35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CR398">
        <v>806000</v>
      </c>
      <c r="CS398">
        <v>19</v>
      </c>
    </row>
    <row r="399" spans="1:97" x14ac:dyDescent="0.4">
      <c r="A399" t="s">
        <v>1228</v>
      </c>
      <c r="D399" t="s">
        <v>2370</v>
      </c>
      <c r="E399" t="s">
        <v>2371</v>
      </c>
      <c r="F399" t="s">
        <v>1229</v>
      </c>
      <c r="G399" t="s">
        <v>4038</v>
      </c>
      <c r="H399">
        <v>593318123</v>
      </c>
      <c r="I399" t="s">
        <v>1230</v>
      </c>
      <c r="J399" t="s">
        <v>2433</v>
      </c>
      <c r="L399" t="s">
        <v>4039</v>
      </c>
      <c r="M399" t="s">
        <v>3180</v>
      </c>
      <c r="N399" t="s">
        <v>4040</v>
      </c>
      <c r="O399" s="41">
        <v>37221</v>
      </c>
      <c r="R399" s="30">
        <v>45215</v>
      </c>
      <c r="S399" t="s">
        <v>50</v>
      </c>
      <c r="T399" s="30">
        <v>45767</v>
      </c>
      <c r="U399" s="20">
        <v>114300</v>
      </c>
      <c r="V399" s="31"/>
      <c r="W399" s="34"/>
      <c r="X399" s="34">
        <f t="shared" si="66"/>
        <v>114300</v>
      </c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2"/>
      <c r="AJ399" s="35"/>
      <c r="AK399" s="32">
        <v>19050</v>
      </c>
      <c r="AL399" s="32">
        <v>19050</v>
      </c>
      <c r="AM399" s="32">
        <v>19050</v>
      </c>
      <c r="AN399" s="32">
        <v>19050</v>
      </c>
      <c r="AO399" s="32">
        <v>19050</v>
      </c>
      <c r="AP399" s="32">
        <v>19050</v>
      </c>
      <c r="AQ399" s="32"/>
      <c r="AR399" s="32"/>
      <c r="AS399" s="32"/>
      <c r="AT399" s="32"/>
      <c r="AU399" s="32"/>
      <c r="AV399" s="35"/>
      <c r="AW399" s="35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CR399">
        <v>661900</v>
      </c>
      <c r="CS399">
        <v>4</v>
      </c>
    </row>
    <row r="400" spans="1:97" x14ac:dyDescent="0.4">
      <c r="A400" t="s">
        <v>1232</v>
      </c>
      <c r="D400" t="s">
        <v>2370</v>
      </c>
      <c r="E400" t="s">
        <v>2371</v>
      </c>
      <c r="F400" t="s">
        <v>1233</v>
      </c>
      <c r="G400" t="s">
        <v>4041</v>
      </c>
      <c r="H400">
        <v>8084339436</v>
      </c>
      <c r="I400" t="s">
        <v>1234</v>
      </c>
      <c r="J400" t="s">
        <v>2433</v>
      </c>
      <c r="L400" t="s">
        <v>4042</v>
      </c>
      <c r="M400" t="s">
        <v>2471</v>
      </c>
      <c r="N400" t="s">
        <v>4043</v>
      </c>
      <c r="O400" t="s">
        <v>4044</v>
      </c>
      <c r="R400" s="30">
        <v>45215</v>
      </c>
      <c r="S400" t="s">
        <v>44</v>
      </c>
      <c r="T400" s="30">
        <v>45767</v>
      </c>
      <c r="U400" s="20">
        <v>114300</v>
      </c>
      <c r="V400" s="31"/>
      <c r="W400" s="34"/>
      <c r="X400" s="34">
        <f t="shared" si="66"/>
        <v>114300</v>
      </c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2"/>
      <c r="AJ400" s="35"/>
      <c r="AK400" s="32">
        <v>19050</v>
      </c>
      <c r="AL400" s="32">
        <v>19050</v>
      </c>
      <c r="AM400" s="32">
        <v>19050</v>
      </c>
      <c r="AN400" s="32">
        <v>19050</v>
      </c>
      <c r="AO400" s="32">
        <v>19050</v>
      </c>
      <c r="AP400" s="32">
        <v>19050</v>
      </c>
      <c r="AQ400" s="32"/>
      <c r="AR400" s="32"/>
      <c r="AS400" s="32"/>
      <c r="AT400" s="32"/>
      <c r="AU400" s="32"/>
      <c r="AV400" s="35"/>
      <c r="AW400" s="35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CR400">
        <v>661900</v>
      </c>
      <c r="CS400">
        <v>4</v>
      </c>
    </row>
    <row r="401" spans="1:97" x14ac:dyDescent="0.4">
      <c r="A401" t="s">
        <v>1235</v>
      </c>
      <c r="D401" t="s">
        <v>2370</v>
      </c>
      <c r="E401" t="s">
        <v>2371</v>
      </c>
      <c r="F401" t="s">
        <v>1236</v>
      </c>
      <c r="G401" t="s">
        <v>4045</v>
      </c>
      <c r="H401">
        <v>8031775121</v>
      </c>
      <c r="I401" t="s">
        <v>1237</v>
      </c>
      <c r="J401" t="s">
        <v>2433</v>
      </c>
      <c r="L401" t="s">
        <v>4046</v>
      </c>
      <c r="M401" t="s">
        <v>2518</v>
      </c>
      <c r="N401" t="s">
        <v>4047</v>
      </c>
      <c r="O401" t="s">
        <v>4048</v>
      </c>
      <c r="Q401" t="s">
        <v>2438</v>
      </c>
      <c r="R401" s="30">
        <v>45215</v>
      </c>
      <c r="S401" t="s">
        <v>44</v>
      </c>
      <c r="T401" s="30">
        <v>45767</v>
      </c>
      <c r="U401" s="20">
        <v>114300</v>
      </c>
      <c r="V401" s="31"/>
      <c r="W401" s="34"/>
      <c r="X401" s="34">
        <f t="shared" si="66"/>
        <v>114300</v>
      </c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2"/>
      <c r="AJ401" s="35"/>
      <c r="AK401" s="32">
        <v>19050</v>
      </c>
      <c r="AL401" s="32">
        <v>19050</v>
      </c>
      <c r="AM401" s="32">
        <v>19050</v>
      </c>
      <c r="AN401" s="32">
        <v>19050</v>
      </c>
      <c r="AO401" s="32">
        <v>19050</v>
      </c>
      <c r="AP401" s="32">
        <v>19050</v>
      </c>
      <c r="AQ401" s="32"/>
      <c r="AR401" s="32"/>
      <c r="AS401" s="32"/>
      <c r="AT401" s="32"/>
      <c r="AU401" s="32"/>
      <c r="AV401" s="35"/>
      <c r="AW401" s="35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CR401">
        <v>661900</v>
      </c>
      <c r="CS401">
        <v>4</v>
      </c>
    </row>
    <row r="402" spans="1:97" x14ac:dyDescent="0.4">
      <c r="A402" t="s">
        <v>1239</v>
      </c>
      <c r="D402" t="s">
        <v>2370</v>
      </c>
      <c r="E402" t="s">
        <v>2371</v>
      </c>
      <c r="F402" t="s">
        <v>1240</v>
      </c>
      <c r="G402" t="s">
        <v>4049</v>
      </c>
      <c r="H402">
        <v>9032691196</v>
      </c>
      <c r="I402" t="s">
        <v>1241</v>
      </c>
      <c r="J402" t="s">
        <v>2433</v>
      </c>
      <c r="L402" t="s">
        <v>4050</v>
      </c>
      <c r="M402" t="s">
        <v>2460</v>
      </c>
      <c r="N402" t="s">
        <v>4051</v>
      </c>
      <c r="O402" t="s">
        <v>4052</v>
      </c>
      <c r="Q402" t="s">
        <v>2438</v>
      </c>
      <c r="R402" s="30">
        <v>45215</v>
      </c>
      <c r="S402" t="s">
        <v>25</v>
      </c>
      <c r="T402" s="30">
        <v>45767</v>
      </c>
      <c r="U402">
        <v>59400</v>
      </c>
      <c r="V402" s="34"/>
      <c r="W402" s="34"/>
      <c r="X402" s="34">
        <f t="shared" si="66"/>
        <v>59400</v>
      </c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5"/>
      <c r="AJ402" s="35"/>
      <c r="AK402" s="32">
        <v>19800</v>
      </c>
      <c r="AL402" s="32">
        <v>19800</v>
      </c>
      <c r="AM402" s="32">
        <v>19800</v>
      </c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CR402">
        <v>670900</v>
      </c>
      <c r="CS402">
        <v>6</v>
      </c>
    </row>
    <row r="403" spans="1:97" x14ac:dyDescent="0.4">
      <c r="A403" t="s">
        <v>1243</v>
      </c>
      <c r="D403" t="s">
        <v>2370</v>
      </c>
      <c r="E403" t="s">
        <v>2371</v>
      </c>
      <c r="F403" t="s">
        <v>1244</v>
      </c>
      <c r="G403" t="s">
        <v>4053</v>
      </c>
      <c r="H403">
        <v>8077368812</v>
      </c>
      <c r="I403" t="s">
        <v>1245</v>
      </c>
      <c r="J403" t="s">
        <v>2433</v>
      </c>
      <c r="L403" t="s">
        <v>4054</v>
      </c>
      <c r="M403" t="s">
        <v>2444</v>
      </c>
      <c r="N403" t="s">
        <v>4055</v>
      </c>
      <c r="O403" t="s">
        <v>4056</v>
      </c>
      <c r="Q403" t="s">
        <v>2438</v>
      </c>
      <c r="R403" s="30">
        <v>45215</v>
      </c>
      <c r="S403" t="s">
        <v>44</v>
      </c>
      <c r="T403" s="30">
        <v>45767</v>
      </c>
      <c r="U403" s="20">
        <v>114300</v>
      </c>
      <c r="V403" s="31"/>
      <c r="W403" s="34"/>
      <c r="X403" s="34">
        <f t="shared" si="66"/>
        <v>114300</v>
      </c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2"/>
      <c r="AJ403" s="35"/>
      <c r="AK403" s="32">
        <v>19050</v>
      </c>
      <c r="AL403" s="32">
        <v>19050</v>
      </c>
      <c r="AM403" s="32">
        <v>19050</v>
      </c>
      <c r="AN403" s="32">
        <v>19050</v>
      </c>
      <c r="AO403" s="32">
        <v>19050</v>
      </c>
      <c r="AP403" s="32">
        <v>19050</v>
      </c>
      <c r="AQ403" s="32"/>
      <c r="AR403" s="32"/>
      <c r="AS403" s="32"/>
      <c r="AT403" s="32"/>
      <c r="AU403" s="32"/>
      <c r="AV403" s="35"/>
      <c r="AW403" s="35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CR403">
        <v>661900</v>
      </c>
      <c r="CS403">
        <v>4</v>
      </c>
    </row>
    <row r="404" spans="1:97" x14ac:dyDescent="0.4">
      <c r="A404" t="s">
        <v>1246</v>
      </c>
      <c r="D404" t="s">
        <v>2370</v>
      </c>
      <c r="E404" t="s">
        <v>2371</v>
      </c>
      <c r="F404" t="s">
        <v>1247</v>
      </c>
      <c r="G404" t="s">
        <v>4057</v>
      </c>
      <c r="H404">
        <v>8058375772</v>
      </c>
      <c r="I404" t="s">
        <v>1248</v>
      </c>
      <c r="J404" t="s">
        <v>2433</v>
      </c>
      <c r="L404" t="s">
        <v>4058</v>
      </c>
      <c r="M404" t="s">
        <v>2455</v>
      </c>
      <c r="N404" t="s">
        <v>4059</v>
      </c>
      <c r="O404" t="s">
        <v>4060</v>
      </c>
      <c r="Q404" t="s">
        <v>2438</v>
      </c>
      <c r="R404" s="30">
        <v>45215</v>
      </c>
      <c r="S404" t="s">
        <v>44</v>
      </c>
      <c r="T404" s="30">
        <v>45828</v>
      </c>
      <c r="U404" s="20">
        <v>114300</v>
      </c>
      <c r="V404" s="31"/>
      <c r="W404" s="31"/>
      <c r="X404" s="31"/>
      <c r="Y404" s="31"/>
      <c r="Z404" s="31">
        <f>+U404</f>
        <v>114300</v>
      </c>
      <c r="AA404" s="31"/>
      <c r="AB404" s="31"/>
      <c r="AC404" s="31"/>
      <c r="AD404" s="31"/>
      <c r="AE404" s="31"/>
      <c r="AF404" s="31"/>
      <c r="AG404" s="31"/>
      <c r="AH404" s="31"/>
      <c r="AI404" s="32"/>
      <c r="AJ404" s="32"/>
      <c r="AK404" s="32"/>
      <c r="AL404" s="32"/>
      <c r="AM404" s="32">
        <v>19050</v>
      </c>
      <c r="AN404" s="32">
        <v>19050</v>
      </c>
      <c r="AO404" s="32">
        <v>19050</v>
      </c>
      <c r="AP404" s="32">
        <v>19050</v>
      </c>
      <c r="AQ404" s="32">
        <v>19050</v>
      </c>
      <c r="AR404" s="32">
        <v>19050</v>
      </c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CR404">
        <v>781515</v>
      </c>
      <c r="CS404">
        <v>22</v>
      </c>
    </row>
    <row r="405" spans="1:97" x14ac:dyDescent="0.4">
      <c r="A405" t="s">
        <v>1249</v>
      </c>
      <c r="D405" t="s">
        <v>2370</v>
      </c>
      <c r="E405" t="s">
        <v>2371</v>
      </c>
      <c r="F405" t="s">
        <v>1250</v>
      </c>
      <c r="G405" t="s">
        <v>4061</v>
      </c>
      <c r="H405">
        <v>9069611093</v>
      </c>
      <c r="I405" t="s">
        <v>1251</v>
      </c>
      <c r="J405" t="s">
        <v>2433</v>
      </c>
      <c r="L405" t="s">
        <v>4062</v>
      </c>
      <c r="M405" t="s">
        <v>2460</v>
      </c>
      <c r="N405" t="s">
        <v>4063</v>
      </c>
      <c r="O405" t="s">
        <v>4064</v>
      </c>
      <c r="Q405" t="s">
        <v>2438</v>
      </c>
      <c r="R405" s="30">
        <v>45215</v>
      </c>
      <c r="S405" t="s">
        <v>50</v>
      </c>
      <c r="T405" s="30">
        <v>45767</v>
      </c>
      <c r="U405" s="20">
        <v>114300</v>
      </c>
      <c r="V405" s="31"/>
      <c r="W405" s="34"/>
      <c r="X405" s="34">
        <f t="shared" ref="X405:X417" si="67">+U405</f>
        <v>114300</v>
      </c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2"/>
      <c r="AJ405" s="35"/>
      <c r="AK405" s="32">
        <v>19050</v>
      </c>
      <c r="AL405" s="32">
        <v>19050</v>
      </c>
      <c r="AM405" s="32">
        <v>19050</v>
      </c>
      <c r="AN405" s="32">
        <v>19050</v>
      </c>
      <c r="AO405" s="32">
        <v>19050</v>
      </c>
      <c r="AP405" s="32">
        <v>19050</v>
      </c>
      <c r="AQ405" s="32"/>
      <c r="AR405" s="32"/>
      <c r="AS405" s="32"/>
      <c r="AT405" s="32"/>
      <c r="AU405" s="32"/>
      <c r="AV405" s="35"/>
      <c r="AW405" s="35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CR405">
        <v>661900</v>
      </c>
      <c r="CS405">
        <v>4</v>
      </c>
    </row>
    <row r="406" spans="1:97" x14ac:dyDescent="0.4">
      <c r="A406" t="s">
        <v>1253</v>
      </c>
      <c r="D406" t="s">
        <v>2370</v>
      </c>
      <c r="E406" t="s">
        <v>2371</v>
      </c>
      <c r="F406" t="s">
        <v>1254</v>
      </c>
      <c r="G406" t="s">
        <v>4065</v>
      </c>
      <c r="H406">
        <v>9073061974</v>
      </c>
      <c r="I406" t="s">
        <v>1255</v>
      </c>
      <c r="J406" t="s">
        <v>2433</v>
      </c>
      <c r="L406" t="s">
        <v>4066</v>
      </c>
      <c r="M406" t="s">
        <v>3180</v>
      </c>
      <c r="N406" t="s">
        <v>4067</v>
      </c>
      <c r="O406" t="s">
        <v>4068</v>
      </c>
      <c r="Q406" t="s">
        <v>2438</v>
      </c>
      <c r="R406" s="30">
        <v>45214</v>
      </c>
      <c r="S406" t="s">
        <v>44</v>
      </c>
      <c r="T406" s="30">
        <v>45767</v>
      </c>
      <c r="U406" s="20">
        <v>114300</v>
      </c>
      <c r="V406" s="31"/>
      <c r="W406" s="34"/>
      <c r="X406" s="34">
        <f t="shared" si="67"/>
        <v>114300</v>
      </c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2"/>
      <c r="AJ406" s="35"/>
      <c r="AK406" s="32">
        <v>19050</v>
      </c>
      <c r="AL406" s="32">
        <v>19050</v>
      </c>
      <c r="AM406" s="32">
        <v>19050</v>
      </c>
      <c r="AN406" s="32">
        <v>19050</v>
      </c>
      <c r="AO406" s="32">
        <v>19050</v>
      </c>
      <c r="AP406" s="32">
        <v>19050</v>
      </c>
      <c r="AQ406" s="32"/>
      <c r="AR406" s="32"/>
      <c r="AS406" s="32"/>
      <c r="AT406" s="32"/>
      <c r="AU406" s="32"/>
      <c r="AV406" s="35"/>
      <c r="AW406" s="35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CR406">
        <v>733950</v>
      </c>
      <c r="CS406">
        <v>12</v>
      </c>
    </row>
    <row r="407" spans="1:97" x14ac:dyDescent="0.4">
      <c r="A407" t="s">
        <v>1256</v>
      </c>
      <c r="D407" t="s">
        <v>2370</v>
      </c>
      <c r="E407" t="s">
        <v>2371</v>
      </c>
      <c r="F407" t="s">
        <v>1257</v>
      </c>
      <c r="G407" t="s">
        <v>4069</v>
      </c>
      <c r="H407">
        <v>9050272622</v>
      </c>
      <c r="I407" t="s">
        <v>1258</v>
      </c>
      <c r="J407" t="s">
        <v>2433</v>
      </c>
      <c r="L407" t="s">
        <v>4070</v>
      </c>
      <c r="M407" t="s">
        <v>2435</v>
      </c>
      <c r="N407" t="s">
        <v>4071</v>
      </c>
      <c r="O407" t="s">
        <v>4072</v>
      </c>
      <c r="R407" s="30">
        <v>45214</v>
      </c>
      <c r="S407" t="s">
        <v>44</v>
      </c>
      <c r="T407" s="30">
        <v>45767</v>
      </c>
      <c r="U407" s="20">
        <v>114300</v>
      </c>
      <c r="V407" s="31"/>
      <c r="W407" s="34"/>
      <c r="X407" s="34">
        <f t="shared" si="67"/>
        <v>114300</v>
      </c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2"/>
      <c r="AJ407" s="35"/>
      <c r="AK407" s="32">
        <v>19050</v>
      </c>
      <c r="AL407" s="32">
        <v>19050</v>
      </c>
      <c r="AM407" s="32">
        <v>19050</v>
      </c>
      <c r="AN407" s="32">
        <v>19050</v>
      </c>
      <c r="AO407" s="32">
        <v>19050</v>
      </c>
      <c r="AP407" s="32">
        <v>19050</v>
      </c>
      <c r="AQ407" s="32"/>
      <c r="AR407" s="32"/>
      <c r="AS407" s="32"/>
      <c r="AT407" s="32"/>
      <c r="AU407" s="32"/>
      <c r="AV407" s="35"/>
      <c r="AW407" s="35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CR407">
        <v>660900</v>
      </c>
      <c r="CS407">
        <v>3</v>
      </c>
    </row>
    <row r="408" spans="1:97" x14ac:dyDescent="0.4">
      <c r="A408" t="s">
        <v>1259</v>
      </c>
      <c r="D408" t="s">
        <v>2370</v>
      </c>
      <c r="E408" t="s">
        <v>2371</v>
      </c>
      <c r="F408" t="s">
        <v>1260</v>
      </c>
      <c r="G408" t="s">
        <v>4073</v>
      </c>
      <c r="H408">
        <v>9088275479</v>
      </c>
      <c r="I408" t="s">
        <v>1261</v>
      </c>
      <c r="J408" t="s">
        <v>2433</v>
      </c>
      <c r="L408" t="s">
        <v>4074</v>
      </c>
      <c r="M408" t="s">
        <v>2435</v>
      </c>
      <c r="N408" t="s">
        <v>4075</v>
      </c>
      <c r="O408" t="s">
        <v>4076</v>
      </c>
      <c r="Q408" t="s">
        <v>2438</v>
      </c>
      <c r="R408" s="30">
        <v>45214</v>
      </c>
      <c r="S408" t="s">
        <v>44</v>
      </c>
      <c r="T408" s="30">
        <v>45767</v>
      </c>
      <c r="U408" s="20">
        <v>114300</v>
      </c>
      <c r="V408" s="31"/>
      <c r="W408" s="34"/>
      <c r="X408" s="34">
        <f t="shared" si="67"/>
        <v>114300</v>
      </c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2"/>
      <c r="AJ408" s="35"/>
      <c r="AK408" s="32">
        <v>19050</v>
      </c>
      <c r="AL408" s="32">
        <v>19050</v>
      </c>
      <c r="AM408" s="32">
        <v>19050</v>
      </c>
      <c r="AN408" s="32">
        <v>19050</v>
      </c>
      <c r="AO408" s="32">
        <v>19050</v>
      </c>
      <c r="AP408" s="32">
        <v>19050</v>
      </c>
      <c r="AQ408" s="32"/>
      <c r="AR408" s="32"/>
      <c r="AS408" s="32"/>
      <c r="AT408" s="32"/>
      <c r="AU408" s="32"/>
      <c r="AV408" s="35"/>
      <c r="AW408" s="35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CR408">
        <v>661900</v>
      </c>
      <c r="CS408">
        <v>4</v>
      </c>
    </row>
    <row r="409" spans="1:97" x14ac:dyDescent="0.4">
      <c r="A409" t="s">
        <v>1262</v>
      </c>
      <c r="D409" t="s">
        <v>2370</v>
      </c>
      <c r="E409" t="s">
        <v>2371</v>
      </c>
      <c r="F409" t="s">
        <v>1263</v>
      </c>
      <c r="G409" t="s">
        <v>4077</v>
      </c>
      <c r="H409">
        <v>8035978635</v>
      </c>
      <c r="I409" t="s">
        <v>1264</v>
      </c>
      <c r="J409" t="s">
        <v>2433</v>
      </c>
      <c r="L409" t="s">
        <v>4078</v>
      </c>
      <c r="M409" t="s">
        <v>2451</v>
      </c>
      <c r="N409" t="s">
        <v>4079</v>
      </c>
      <c r="O409" t="s">
        <v>4080</v>
      </c>
      <c r="Q409" t="s">
        <v>2438</v>
      </c>
      <c r="R409" s="30">
        <v>45214</v>
      </c>
      <c r="S409" t="s">
        <v>44</v>
      </c>
      <c r="T409" s="30">
        <v>45767</v>
      </c>
      <c r="U409" s="20">
        <v>114300</v>
      </c>
      <c r="V409" s="31"/>
      <c r="W409" s="34"/>
      <c r="X409" s="34">
        <f t="shared" si="67"/>
        <v>114300</v>
      </c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2"/>
      <c r="AJ409" s="35"/>
      <c r="AK409" s="32">
        <v>19050</v>
      </c>
      <c r="AL409" s="32">
        <v>19050</v>
      </c>
      <c r="AM409" s="32">
        <v>19050</v>
      </c>
      <c r="AN409" s="32">
        <v>19050</v>
      </c>
      <c r="AO409" s="32">
        <v>19050</v>
      </c>
      <c r="AP409" s="32">
        <v>19050</v>
      </c>
      <c r="AQ409" s="32"/>
      <c r="AR409" s="32"/>
      <c r="AS409" s="32"/>
      <c r="AT409" s="32"/>
      <c r="AU409" s="32"/>
      <c r="AV409" s="35"/>
      <c r="AW409" s="35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CR409">
        <v>660900</v>
      </c>
      <c r="CS409">
        <v>3</v>
      </c>
    </row>
    <row r="410" spans="1:97" x14ac:dyDescent="0.4">
      <c r="A410" t="s">
        <v>1265</v>
      </c>
      <c r="D410" t="s">
        <v>2370</v>
      </c>
      <c r="E410" t="s">
        <v>2371</v>
      </c>
      <c r="F410" t="s">
        <v>1266</v>
      </c>
      <c r="G410" t="s">
        <v>4081</v>
      </c>
      <c r="H410">
        <v>586587199</v>
      </c>
      <c r="I410" t="s">
        <v>1267</v>
      </c>
      <c r="J410" t="s">
        <v>2433</v>
      </c>
      <c r="L410" t="s">
        <v>4082</v>
      </c>
      <c r="M410" t="s">
        <v>2500</v>
      </c>
      <c r="N410" t="s">
        <v>4083</v>
      </c>
      <c r="O410" t="s">
        <v>4084</v>
      </c>
      <c r="Q410" t="s">
        <v>2438</v>
      </c>
      <c r="R410" s="30">
        <v>45214</v>
      </c>
      <c r="S410" t="s">
        <v>44</v>
      </c>
      <c r="T410" s="30">
        <v>45767</v>
      </c>
      <c r="U410" s="20">
        <v>114300</v>
      </c>
      <c r="V410" s="31"/>
      <c r="W410" s="34"/>
      <c r="X410" s="34">
        <f t="shared" si="67"/>
        <v>114300</v>
      </c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2"/>
      <c r="AJ410" s="35"/>
      <c r="AK410" s="32">
        <v>19050</v>
      </c>
      <c r="AL410" s="32">
        <v>19050</v>
      </c>
      <c r="AM410" s="32">
        <v>19050</v>
      </c>
      <c r="AN410" s="32">
        <v>19050</v>
      </c>
      <c r="AO410" s="32">
        <v>19050</v>
      </c>
      <c r="AP410" s="32">
        <v>19050</v>
      </c>
      <c r="AQ410" s="32"/>
      <c r="AR410" s="32"/>
      <c r="AS410" s="32"/>
      <c r="AT410" s="32"/>
      <c r="AU410" s="32"/>
      <c r="AV410" s="35"/>
      <c r="AW410" s="35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CR410">
        <v>660900</v>
      </c>
      <c r="CS410">
        <v>3</v>
      </c>
    </row>
    <row r="411" spans="1:97" x14ac:dyDescent="0.4">
      <c r="A411" t="s">
        <v>1268</v>
      </c>
      <c r="D411" t="s">
        <v>2370</v>
      </c>
      <c r="E411" t="s">
        <v>2371</v>
      </c>
      <c r="F411" t="s">
        <v>1269</v>
      </c>
      <c r="G411" t="s">
        <v>4085</v>
      </c>
      <c r="H411">
        <v>9011514660</v>
      </c>
      <c r="I411" t="s">
        <v>1270</v>
      </c>
      <c r="J411" t="s">
        <v>2433</v>
      </c>
      <c r="L411" t="s">
        <v>4086</v>
      </c>
      <c r="M411" t="s">
        <v>2435</v>
      </c>
      <c r="N411" t="s">
        <v>4087</v>
      </c>
      <c r="O411" t="s">
        <v>4088</v>
      </c>
      <c r="Q411" t="s">
        <v>2438</v>
      </c>
      <c r="R411" s="30">
        <v>45214</v>
      </c>
      <c r="S411" t="s">
        <v>44</v>
      </c>
      <c r="T411" s="30">
        <v>45767</v>
      </c>
      <c r="U411" s="20">
        <v>114300</v>
      </c>
      <c r="V411" s="31"/>
      <c r="W411" s="34"/>
      <c r="X411" s="34">
        <f t="shared" si="67"/>
        <v>114300</v>
      </c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2"/>
      <c r="AJ411" s="35"/>
      <c r="AK411" s="32">
        <v>19050</v>
      </c>
      <c r="AL411" s="32">
        <v>19050</v>
      </c>
      <c r="AM411" s="32">
        <v>19050</v>
      </c>
      <c r="AN411" s="32">
        <v>19050</v>
      </c>
      <c r="AO411" s="32">
        <v>19050</v>
      </c>
      <c r="AP411" s="32">
        <v>19050</v>
      </c>
      <c r="AQ411" s="32"/>
      <c r="AR411" s="32"/>
      <c r="AS411" s="32"/>
      <c r="AT411" s="32"/>
      <c r="AU411" s="32"/>
      <c r="AV411" s="35"/>
      <c r="AW411" s="35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CR411">
        <v>661900</v>
      </c>
      <c r="CS411">
        <v>4</v>
      </c>
    </row>
    <row r="412" spans="1:97" x14ac:dyDescent="0.4">
      <c r="A412" t="s">
        <v>1271</v>
      </c>
      <c r="D412" t="s">
        <v>2370</v>
      </c>
      <c r="E412" t="s">
        <v>2371</v>
      </c>
      <c r="F412" t="s">
        <v>1272</v>
      </c>
      <c r="G412" t="s">
        <v>4089</v>
      </c>
      <c r="H412">
        <v>8014078876</v>
      </c>
      <c r="I412" t="s">
        <v>1273</v>
      </c>
      <c r="J412" t="s">
        <v>2433</v>
      </c>
      <c r="L412">
        <v>252</v>
      </c>
      <c r="M412" t="s">
        <v>2518</v>
      </c>
      <c r="N412" t="s">
        <v>4090</v>
      </c>
      <c r="O412" t="s">
        <v>4091</v>
      </c>
      <c r="Q412" t="s">
        <v>2438</v>
      </c>
      <c r="R412" s="30">
        <v>45214</v>
      </c>
      <c r="S412" t="s">
        <v>44</v>
      </c>
      <c r="T412" s="30">
        <v>45767</v>
      </c>
      <c r="U412" s="20">
        <v>114300</v>
      </c>
      <c r="V412" s="31"/>
      <c r="W412" s="34"/>
      <c r="X412" s="34">
        <f t="shared" si="67"/>
        <v>114300</v>
      </c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2"/>
      <c r="AJ412" s="35"/>
      <c r="AK412" s="32">
        <v>19050</v>
      </c>
      <c r="AL412" s="32">
        <v>19050</v>
      </c>
      <c r="AM412" s="32">
        <v>19050</v>
      </c>
      <c r="AN412" s="32">
        <v>19050</v>
      </c>
      <c r="AO412" s="32">
        <v>19050</v>
      </c>
      <c r="AP412" s="32">
        <v>19050</v>
      </c>
      <c r="AQ412" s="32"/>
      <c r="AR412" s="32"/>
      <c r="AS412" s="32"/>
      <c r="AT412" s="32"/>
      <c r="AU412" s="32"/>
      <c r="AV412" s="35"/>
      <c r="AW412" s="35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CR412">
        <v>660900</v>
      </c>
      <c r="CS412">
        <v>3</v>
      </c>
    </row>
    <row r="413" spans="1:97" x14ac:dyDescent="0.4">
      <c r="A413" t="s">
        <v>1274</v>
      </c>
      <c r="D413" t="s">
        <v>2370</v>
      </c>
      <c r="E413" t="s">
        <v>2371</v>
      </c>
      <c r="F413" t="s">
        <v>1275</v>
      </c>
      <c r="G413" t="s">
        <v>4092</v>
      </c>
      <c r="H413">
        <v>7043198431</v>
      </c>
      <c r="I413" t="s">
        <v>1276</v>
      </c>
      <c r="J413" t="s">
        <v>2433</v>
      </c>
      <c r="L413" t="s">
        <v>4093</v>
      </c>
      <c r="M413" t="s">
        <v>2444</v>
      </c>
      <c r="N413" t="s">
        <v>4094</v>
      </c>
      <c r="O413" t="s">
        <v>4095</v>
      </c>
      <c r="Q413" t="s">
        <v>2438</v>
      </c>
      <c r="R413" s="30">
        <v>45214</v>
      </c>
      <c r="S413" t="s">
        <v>50</v>
      </c>
      <c r="T413" s="30">
        <v>45767</v>
      </c>
      <c r="U413" s="20">
        <v>114300</v>
      </c>
      <c r="V413" s="31"/>
      <c r="W413" s="34"/>
      <c r="X413" s="34">
        <f t="shared" si="67"/>
        <v>114300</v>
      </c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2"/>
      <c r="AJ413" s="35"/>
      <c r="AK413" s="32">
        <v>19050</v>
      </c>
      <c r="AL413" s="32">
        <v>19050</v>
      </c>
      <c r="AM413" s="32">
        <v>19050</v>
      </c>
      <c r="AN413" s="32">
        <v>19050</v>
      </c>
      <c r="AO413" s="32">
        <v>19050</v>
      </c>
      <c r="AP413" s="32">
        <v>19050</v>
      </c>
      <c r="AQ413" s="32"/>
      <c r="AR413" s="32"/>
      <c r="AS413" s="32"/>
      <c r="AT413" s="32"/>
      <c r="AU413" s="32"/>
      <c r="AV413" s="35"/>
      <c r="AW413" s="35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CR413">
        <v>661900</v>
      </c>
      <c r="CS413">
        <v>4</v>
      </c>
    </row>
    <row r="414" spans="1:97" x14ac:dyDescent="0.4">
      <c r="A414" t="s">
        <v>1278</v>
      </c>
      <c r="D414" t="s">
        <v>2370</v>
      </c>
      <c r="E414" t="s">
        <v>2371</v>
      </c>
      <c r="F414" t="s">
        <v>1279</v>
      </c>
      <c r="G414" t="s">
        <v>4096</v>
      </c>
      <c r="H414">
        <v>9014975523</v>
      </c>
      <c r="I414" t="s">
        <v>1280</v>
      </c>
      <c r="J414" t="s">
        <v>2433</v>
      </c>
      <c r="L414" t="s">
        <v>4097</v>
      </c>
      <c r="M414" t="s">
        <v>2506</v>
      </c>
      <c r="N414" t="s">
        <v>4098</v>
      </c>
      <c r="O414" t="s">
        <v>4099</v>
      </c>
      <c r="Q414" t="s">
        <v>2438</v>
      </c>
      <c r="R414" s="30">
        <v>45214</v>
      </c>
      <c r="S414" t="s">
        <v>44</v>
      </c>
      <c r="T414" s="30">
        <v>45767</v>
      </c>
      <c r="U414" s="20">
        <v>114300</v>
      </c>
      <c r="V414" s="31"/>
      <c r="W414" s="34"/>
      <c r="X414" s="34">
        <f t="shared" si="67"/>
        <v>114300</v>
      </c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2"/>
      <c r="AJ414" s="35"/>
      <c r="AK414" s="32">
        <v>19050</v>
      </c>
      <c r="AL414" s="32">
        <v>19050</v>
      </c>
      <c r="AM414" s="32">
        <v>19050</v>
      </c>
      <c r="AN414" s="32">
        <v>19050</v>
      </c>
      <c r="AO414" s="32">
        <v>19050</v>
      </c>
      <c r="AP414" s="32">
        <v>19050</v>
      </c>
      <c r="AQ414" s="32"/>
      <c r="AR414" s="32"/>
      <c r="AS414" s="32"/>
      <c r="AT414" s="32"/>
      <c r="AU414" s="32"/>
      <c r="AV414" s="35"/>
      <c r="AW414" s="35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CR414">
        <v>691700</v>
      </c>
      <c r="CS414">
        <v>18</v>
      </c>
    </row>
    <row r="415" spans="1:97" x14ac:dyDescent="0.4">
      <c r="A415" t="s">
        <v>1281</v>
      </c>
      <c r="D415" t="s">
        <v>2370</v>
      </c>
      <c r="E415" t="s">
        <v>2371</v>
      </c>
      <c r="F415" t="s">
        <v>1282</v>
      </c>
      <c r="G415" t="s">
        <v>4100</v>
      </c>
      <c r="H415">
        <v>8031272989</v>
      </c>
      <c r="I415" t="s">
        <v>1283</v>
      </c>
      <c r="J415" t="s">
        <v>2433</v>
      </c>
      <c r="L415" t="s">
        <v>4101</v>
      </c>
      <c r="M415" t="s">
        <v>2465</v>
      </c>
      <c r="N415" t="s">
        <v>4102</v>
      </c>
      <c r="O415" s="40">
        <v>23043</v>
      </c>
      <c r="R415" s="30">
        <v>45214</v>
      </c>
      <c r="S415" t="s">
        <v>44</v>
      </c>
      <c r="T415" s="30">
        <v>45767</v>
      </c>
      <c r="U415" s="20">
        <v>114300</v>
      </c>
      <c r="V415" s="31"/>
      <c r="W415" s="34"/>
      <c r="X415" s="34">
        <f t="shared" si="67"/>
        <v>114300</v>
      </c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2"/>
      <c r="AJ415" s="35"/>
      <c r="AK415" s="32">
        <v>19050</v>
      </c>
      <c r="AL415" s="32">
        <v>19050</v>
      </c>
      <c r="AM415" s="32">
        <v>19050</v>
      </c>
      <c r="AN415" s="32">
        <v>19050</v>
      </c>
      <c r="AO415" s="32">
        <v>19050</v>
      </c>
      <c r="AP415" s="32">
        <v>19050</v>
      </c>
      <c r="AQ415" s="32"/>
      <c r="AR415" s="32"/>
      <c r="AS415" s="32"/>
      <c r="AT415" s="32"/>
      <c r="AU415" s="32"/>
      <c r="AV415" s="35"/>
      <c r="AW415" s="35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CR415">
        <v>661900</v>
      </c>
      <c r="CS415">
        <v>4</v>
      </c>
    </row>
    <row r="416" spans="1:97" x14ac:dyDescent="0.4">
      <c r="A416" t="s">
        <v>1284</v>
      </c>
      <c r="D416" t="s">
        <v>2370</v>
      </c>
      <c r="E416" t="s">
        <v>2371</v>
      </c>
      <c r="F416" t="s">
        <v>1285</v>
      </c>
      <c r="G416" t="s">
        <v>4103</v>
      </c>
      <c r="H416">
        <v>9058570494</v>
      </c>
      <c r="I416" t="s">
        <v>1286</v>
      </c>
      <c r="J416" t="s">
        <v>2433</v>
      </c>
      <c r="L416" t="s">
        <v>4104</v>
      </c>
      <c r="M416" t="s">
        <v>2500</v>
      </c>
      <c r="N416" t="s">
        <v>4105</v>
      </c>
      <c r="O416" t="s">
        <v>4106</v>
      </c>
      <c r="Q416" t="s">
        <v>2438</v>
      </c>
      <c r="R416" s="30">
        <v>45214</v>
      </c>
      <c r="S416" t="s">
        <v>44</v>
      </c>
      <c r="T416" s="30">
        <v>45767</v>
      </c>
      <c r="U416" s="20">
        <v>114300</v>
      </c>
      <c r="V416" s="31"/>
      <c r="W416" s="34"/>
      <c r="X416" s="34">
        <f t="shared" si="67"/>
        <v>114300</v>
      </c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2"/>
      <c r="AJ416" s="35"/>
      <c r="AK416" s="32">
        <v>19050</v>
      </c>
      <c r="AL416" s="32">
        <v>19050</v>
      </c>
      <c r="AM416" s="32">
        <v>19050</v>
      </c>
      <c r="AN416" s="32">
        <v>19050</v>
      </c>
      <c r="AO416" s="32">
        <v>19050</v>
      </c>
      <c r="AP416" s="32">
        <v>19050</v>
      </c>
      <c r="AQ416" s="32"/>
      <c r="AR416" s="32"/>
      <c r="AS416" s="32"/>
      <c r="AT416" s="32"/>
      <c r="AU416" s="32"/>
      <c r="AV416" s="35"/>
      <c r="AW416" s="35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CR416">
        <v>661900</v>
      </c>
      <c r="CS416">
        <v>4</v>
      </c>
    </row>
    <row r="417" spans="1:97" x14ac:dyDescent="0.4">
      <c r="A417" t="s">
        <v>1287</v>
      </c>
      <c r="D417" t="s">
        <v>2370</v>
      </c>
      <c r="E417" t="s">
        <v>2371</v>
      </c>
      <c r="F417" t="s">
        <v>1288</v>
      </c>
      <c r="G417" t="s">
        <v>4107</v>
      </c>
      <c r="H417">
        <v>9051767658</v>
      </c>
      <c r="I417" t="s">
        <v>1289</v>
      </c>
      <c r="J417" t="s">
        <v>2433</v>
      </c>
      <c r="L417" t="s">
        <v>4108</v>
      </c>
      <c r="M417" t="s">
        <v>2444</v>
      </c>
      <c r="N417" t="s">
        <v>4109</v>
      </c>
      <c r="O417" t="s">
        <v>4110</v>
      </c>
      <c r="Q417" t="s">
        <v>2438</v>
      </c>
      <c r="R417" s="30">
        <v>45214</v>
      </c>
      <c r="S417" t="s">
        <v>44</v>
      </c>
      <c r="T417" s="30">
        <v>45767</v>
      </c>
      <c r="U417" s="20">
        <v>114300</v>
      </c>
      <c r="V417" s="31"/>
      <c r="W417" s="34"/>
      <c r="X417" s="34">
        <f t="shared" si="67"/>
        <v>114300</v>
      </c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2"/>
      <c r="AJ417" s="35"/>
      <c r="AK417" s="32">
        <v>19050</v>
      </c>
      <c r="AL417" s="32">
        <v>19050</v>
      </c>
      <c r="AM417" s="32">
        <v>19050</v>
      </c>
      <c r="AN417" s="32">
        <v>19050</v>
      </c>
      <c r="AO417" s="32">
        <v>19050</v>
      </c>
      <c r="AP417" s="32">
        <v>19050</v>
      </c>
      <c r="AQ417" s="32"/>
      <c r="AR417" s="32"/>
      <c r="AS417" s="32"/>
      <c r="AT417" s="32"/>
      <c r="AU417" s="32"/>
      <c r="AV417" s="35"/>
      <c r="AW417" s="35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CR417">
        <v>769975</v>
      </c>
      <c r="CS417">
        <v>18</v>
      </c>
    </row>
    <row r="418" spans="1:97" x14ac:dyDescent="0.4">
      <c r="A418" t="s">
        <v>1290</v>
      </c>
      <c r="D418" t="s">
        <v>2370</v>
      </c>
      <c r="E418" t="s">
        <v>2371</v>
      </c>
      <c r="F418" t="s">
        <v>1291</v>
      </c>
      <c r="G418" t="s">
        <v>4111</v>
      </c>
      <c r="H418">
        <v>9016102713</v>
      </c>
      <c r="I418" t="s">
        <v>1292</v>
      </c>
      <c r="J418" t="s">
        <v>2433</v>
      </c>
      <c r="L418" t="s">
        <v>4112</v>
      </c>
      <c r="M418" t="s">
        <v>2444</v>
      </c>
      <c r="N418" t="s">
        <v>4113</v>
      </c>
      <c r="O418" t="s">
        <v>4114</v>
      </c>
      <c r="Q418" t="s">
        <v>2438</v>
      </c>
      <c r="R418" s="30">
        <v>45214</v>
      </c>
      <c r="S418" t="s">
        <v>44</v>
      </c>
      <c r="T418" s="30">
        <v>45858</v>
      </c>
      <c r="U418" s="20">
        <v>114300</v>
      </c>
      <c r="V418" s="31"/>
      <c r="W418" s="31"/>
      <c r="X418" s="31"/>
      <c r="Y418" s="31"/>
      <c r="Z418" s="31"/>
      <c r="AA418" s="31">
        <f>+U418</f>
        <v>114300</v>
      </c>
      <c r="AB418" s="31"/>
      <c r="AC418" s="31"/>
      <c r="AD418" s="31"/>
      <c r="AE418" s="31"/>
      <c r="AF418" s="31"/>
      <c r="AG418" s="31"/>
      <c r="AH418" s="31"/>
      <c r="AI418" s="32"/>
      <c r="AJ418" s="32"/>
      <c r="AK418" s="32"/>
      <c r="AL418" s="32"/>
      <c r="AM418" s="32"/>
      <c r="AN418" s="32">
        <v>19050</v>
      </c>
      <c r="AO418" s="32">
        <v>19050</v>
      </c>
      <c r="AP418" s="32">
        <v>19050</v>
      </c>
      <c r="AQ418" s="32">
        <v>19050</v>
      </c>
      <c r="AR418" s="32">
        <v>19050</v>
      </c>
      <c r="AS418" s="32">
        <v>19050</v>
      </c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CR418">
        <v>900400</v>
      </c>
      <c r="CS418">
        <v>27</v>
      </c>
    </row>
    <row r="419" spans="1:97" x14ac:dyDescent="0.4">
      <c r="A419" t="s">
        <v>1294</v>
      </c>
      <c r="D419" t="s">
        <v>2370</v>
      </c>
      <c r="E419" t="s">
        <v>2371</v>
      </c>
      <c r="F419" t="s">
        <v>1295</v>
      </c>
      <c r="G419" t="s">
        <v>4115</v>
      </c>
      <c r="H419">
        <v>9056311335</v>
      </c>
      <c r="I419" t="s">
        <v>1296</v>
      </c>
      <c r="J419" t="s">
        <v>2433</v>
      </c>
      <c r="L419" t="s">
        <v>4116</v>
      </c>
      <c r="M419" t="s">
        <v>2500</v>
      </c>
      <c r="N419" t="s">
        <v>4117</v>
      </c>
      <c r="O419" s="41">
        <v>37140</v>
      </c>
      <c r="R419" s="30">
        <v>45214</v>
      </c>
      <c r="S419" t="s">
        <v>44</v>
      </c>
      <c r="T419" s="30">
        <v>45767</v>
      </c>
      <c r="U419" s="20">
        <v>114300</v>
      </c>
      <c r="V419" s="31"/>
      <c r="W419" s="34"/>
      <c r="X419" s="34">
        <f t="shared" ref="X419:X428" si="68">+U419</f>
        <v>114300</v>
      </c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2"/>
      <c r="AJ419" s="35"/>
      <c r="AK419" s="32">
        <v>19050</v>
      </c>
      <c r="AL419" s="32">
        <v>19050</v>
      </c>
      <c r="AM419" s="32">
        <v>19050</v>
      </c>
      <c r="AN419" s="32">
        <v>19050</v>
      </c>
      <c r="AO419" s="32">
        <v>19050</v>
      </c>
      <c r="AP419" s="32">
        <v>19050</v>
      </c>
      <c r="AQ419" s="32"/>
      <c r="AR419" s="32"/>
      <c r="AS419" s="32"/>
      <c r="AT419" s="32"/>
      <c r="AU419" s="32"/>
      <c r="AV419" s="35"/>
      <c r="AW419" s="35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CR419">
        <v>805000</v>
      </c>
      <c r="CS419">
        <v>18</v>
      </c>
    </row>
    <row r="420" spans="1:97" s="36" customFormat="1" x14ac:dyDescent="0.4">
      <c r="A420" s="36" t="s">
        <v>4118</v>
      </c>
      <c r="D420" s="36" t="s">
        <v>2370</v>
      </c>
      <c r="E420" s="36" t="s">
        <v>2371</v>
      </c>
      <c r="F420" s="36" t="s">
        <v>4119</v>
      </c>
      <c r="G420" s="36" t="s">
        <v>4120</v>
      </c>
      <c r="H420" s="36">
        <v>9023461932</v>
      </c>
      <c r="I420" s="36" t="s">
        <v>4121</v>
      </c>
      <c r="J420" s="36" t="s">
        <v>2433</v>
      </c>
      <c r="L420" s="36" t="s">
        <v>4122</v>
      </c>
      <c r="M420" s="36" t="s">
        <v>3488</v>
      </c>
      <c r="N420" s="36" t="s">
        <v>4123</v>
      </c>
      <c r="O420" s="36" t="s">
        <v>4124</v>
      </c>
      <c r="Q420" s="36" t="s">
        <v>2438</v>
      </c>
      <c r="R420" s="37">
        <v>45214</v>
      </c>
      <c r="S420" s="36" t="s">
        <v>3784</v>
      </c>
      <c r="T420" s="37">
        <v>45767</v>
      </c>
      <c r="U420" s="37"/>
      <c r="V420" s="38"/>
      <c r="W420" s="34"/>
      <c r="X420" s="34">
        <f t="shared" si="68"/>
        <v>0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9"/>
      <c r="AJ420" s="35"/>
      <c r="AK420" s="35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5"/>
      <c r="AW420" s="35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CR420" s="36">
        <v>661900</v>
      </c>
      <c r="CS420" s="36">
        <v>4</v>
      </c>
    </row>
    <row r="421" spans="1:97" x14ac:dyDescent="0.4">
      <c r="A421" t="s">
        <v>1297</v>
      </c>
      <c r="D421" t="s">
        <v>2370</v>
      </c>
      <c r="E421" t="s">
        <v>2371</v>
      </c>
      <c r="F421" t="s">
        <v>1298</v>
      </c>
      <c r="G421" t="s">
        <v>4125</v>
      </c>
      <c r="H421">
        <v>9019155124</v>
      </c>
      <c r="I421" t="s">
        <v>1299</v>
      </c>
      <c r="J421" t="s">
        <v>2433</v>
      </c>
      <c r="L421" t="s">
        <v>4126</v>
      </c>
      <c r="M421" t="s">
        <v>3488</v>
      </c>
      <c r="N421" t="s">
        <v>4127</v>
      </c>
      <c r="O421" t="s">
        <v>4128</v>
      </c>
      <c r="Q421" t="s">
        <v>2438</v>
      </c>
      <c r="R421" s="30">
        <v>45214</v>
      </c>
      <c r="S421" t="s">
        <v>44</v>
      </c>
      <c r="T421" s="30">
        <v>45767</v>
      </c>
      <c r="U421" s="20">
        <v>114300</v>
      </c>
      <c r="V421" s="31"/>
      <c r="W421" s="34"/>
      <c r="X421" s="34">
        <f t="shared" si="68"/>
        <v>114300</v>
      </c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2"/>
      <c r="AJ421" s="35"/>
      <c r="AK421" s="32">
        <v>19050</v>
      </c>
      <c r="AL421" s="32">
        <v>19050</v>
      </c>
      <c r="AM421" s="32">
        <v>19050</v>
      </c>
      <c r="AN421" s="32">
        <v>19050</v>
      </c>
      <c r="AO421" s="32">
        <v>19050</v>
      </c>
      <c r="AP421" s="32">
        <v>19050</v>
      </c>
      <c r="AQ421" s="32"/>
      <c r="AR421" s="32"/>
      <c r="AS421" s="32"/>
      <c r="AT421" s="32"/>
      <c r="AU421" s="32"/>
      <c r="AV421" s="35"/>
      <c r="AW421" s="35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CR421">
        <v>841025</v>
      </c>
      <c r="CS421">
        <v>19</v>
      </c>
    </row>
    <row r="422" spans="1:97" x14ac:dyDescent="0.4">
      <c r="A422" t="s">
        <v>1300</v>
      </c>
      <c r="D422" t="s">
        <v>2370</v>
      </c>
      <c r="E422" t="s">
        <v>2371</v>
      </c>
      <c r="F422" t="s">
        <v>1301</v>
      </c>
      <c r="G422" t="s">
        <v>4129</v>
      </c>
      <c r="H422">
        <v>9086484696</v>
      </c>
      <c r="I422" t="s">
        <v>1302</v>
      </c>
      <c r="J422" t="s">
        <v>2433</v>
      </c>
      <c r="L422" t="s">
        <v>4130</v>
      </c>
      <c r="M422" t="s">
        <v>2465</v>
      </c>
      <c r="N422" t="s">
        <v>4131</v>
      </c>
      <c r="O422" t="s">
        <v>4132</v>
      </c>
      <c r="Q422" t="s">
        <v>2438</v>
      </c>
      <c r="R422" s="30">
        <v>45214</v>
      </c>
      <c r="S422" t="s">
        <v>44</v>
      </c>
      <c r="T422" s="30">
        <v>45767</v>
      </c>
      <c r="U422" s="20">
        <v>114300</v>
      </c>
      <c r="V422" s="31"/>
      <c r="W422" s="34"/>
      <c r="X422" s="34">
        <f t="shared" si="68"/>
        <v>114300</v>
      </c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2"/>
      <c r="AJ422" s="35"/>
      <c r="AK422" s="32">
        <v>19050</v>
      </c>
      <c r="AL422" s="32">
        <v>19050</v>
      </c>
      <c r="AM422" s="32">
        <v>19050</v>
      </c>
      <c r="AN422" s="32">
        <v>19050</v>
      </c>
      <c r="AO422" s="32">
        <v>19050</v>
      </c>
      <c r="AP422" s="32">
        <v>19050</v>
      </c>
      <c r="AQ422" s="32"/>
      <c r="AR422" s="32"/>
      <c r="AS422" s="32"/>
      <c r="AT422" s="32"/>
      <c r="AU422" s="32"/>
      <c r="AV422" s="35"/>
      <c r="AW422" s="35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CR422">
        <v>806000</v>
      </c>
      <c r="CS422">
        <v>19</v>
      </c>
    </row>
    <row r="423" spans="1:97" x14ac:dyDescent="0.4">
      <c r="A423" t="s">
        <v>1303</v>
      </c>
      <c r="D423" t="s">
        <v>2370</v>
      </c>
      <c r="E423" t="s">
        <v>2371</v>
      </c>
      <c r="F423" t="s">
        <v>1304</v>
      </c>
      <c r="G423" t="s">
        <v>4133</v>
      </c>
      <c r="H423">
        <v>9023114004</v>
      </c>
      <c r="I423" t="s">
        <v>1305</v>
      </c>
      <c r="J423" t="s">
        <v>2433</v>
      </c>
      <c r="L423" t="s">
        <v>4134</v>
      </c>
      <c r="M423" t="s">
        <v>2715</v>
      </c>
      <c r="N423" t="s">
        <v>4135</v>
      </c>
      <c r="O423" s="41">
        <v>36897</v>
      </c>
      <c r="Q423" t="s">
        <v>2438</v>
      </c>
      <c r="R423" s="30">
        <v>45214</v>
      </c>
      <c r="S423" t="s">
        <v>44</v>
      </c>
      <c r="T423" s="30">
        <v>45767</v>
      </c>
      <c r="U423" s="20">
        <v>114300</v>
      </c>
      <c r="V423" s="31"/>
      <c r="W423" s="34"/>
      <c r="X423" s="34">
        <f t="shared" si="68"/>
        <v>114300</v>
      </c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2"/>
      <c r="AJ423" s="35"/>
      <c r="AK423" s="32">
        <v>19050</v>
      </c>
      <c r="AL423" s="32">
        <v>19050</v>
      </c>
      <c r="AM423" s="32">
        <v>19050</v>
      </c>
      <c r="AN423" s="32">
        <v>19050</v>
      </c>
      <c r="AO423" s="32">
        <v>19050</v>
      </c>
      <c r="AP423" s="32">
        <v>19050</v>
      </c>
      <c r="AQ423" s="32"/>
      <c r="AR423" s="32"/>
      <c r="AS423" s="32"/>
      <c r="AT423" s="32"/>
      <c r="AU423" s="32"/>
      <c r="AV423" s="35"/>
      <c r="AW423" s="35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CR423">
        <v>661900</v>
      </c>
      <c r="CS423">
        <v>4</v>
      </c>
    </row>
    <row r="424" spans="1:97" x14ac:dyDescent="0.4">
      <c r="A424" t="s">
        <v>1306</v>
      </c>
      <c r="D424" t="s">
        <v>2370</v>
      </c>
      <c r="E424" t="s">
        <v>2371</v>
      </c>
      <c r="F424" t="s">
        <v>1307</v>
      </c>
      <c r="G424" t="s">
        <v>4136</v>
      </c>
      <c r="H424">
        <v>9090557293</v>
      </c>
      <c r="I424" t="s">
        <v>1308</v>
      </c>
      <c r="J424" t="s">
        <v>2433</v>
      </c>
      <c r="L424" t="s">
        <v>4137</v>
      </c>
      <c r="M424" t="s">
        <v>2506</v>
      </c>
      <c r="N424" t="s">
        <v>4138</v>
      </c>
      <c r="O424">
        <v>105</v>
      </c>
      <c r="Q424" t="s">
        <v>2438</v>
      </c>
      <c r="R424" s="30">
        <v>45214</v>
      </c>
      <c r="S424" t="s">
        <v>25</v>
      </c>
      <c r="T424" s="30">
        <v>45767</v>
      </c>
      <c r="U424">
        <v>59400</v>
      </c>
      <c r="V424" s="34"/>
      <c r="W424" s="34"/>
      <c r="X424" s="34">
        <f t="shared" si="68"/>
        <v>59400</v>
      </c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5"/>
      <c r="AJ424" s="35"/>
      <c r="AK424" s="32">
        <v>19800</v>
      </c>
      <c r="AL424" s="32">
        <v>19800</v>
      </c>
      <c r="AM424" s="32">
        <v>19800</v>
      </c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CR424">
        <v>755600</v>
      </c>
      <c r="CS424">
        <v>20</v>
      </c>
    </row>
    <row r="425" spans="1:97" x14ac:dyDescent="0.4">
      <c r="A425" t="s">
        <v>1310</v>
      </c>
      <c r="D425" t="s">
        <v>2370</v>
      </c>
      <c r="E425" t="s">
        <v>2371</v>
      </c>
      <c r="F425" t="s">
        <v>1311</v>
      </c>
      <c r="G425" t="s">
        <v>4139</v>
      </c>
      <c r="H425">
        <v>9022341785</v>
      </c>
      <c r="I425" t="s">
        <v>1312</v>
      </c>
      <c r="J425" t="s">
        <v>2433</v>
      </c>
      <c r="L425" t="s">
        <v>4140</v>
      </c>
      <c r="M425" t="s">
        <v>2465</v>
      </c>
      <c r="N425" t="s">
        <v>4141</v>
      </c>
      <c r="O425" t="s">
        <v>4142</v>
      </c>
      <c r="Q425" t="s">
        <v>2438</v>
      </c>
      <c r="R425" s="30">
        <v>45213</v>
      </c>
      <c r="S425" t="s">
        <v>44</v>
      </c>
      <c r="T425" s="30">
        <v>45767</v>
      </c>
      <c r="U425" s="20">
        <v>114300</v>
      </c>
      <c r="V425" s="31"/>
      <c r="W425" s="34"/>
      <c r="X425" s="34">
        <f t="shared" si="68"/>
        <v>114300</v>
      </c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2"/>
      <c r="AJ425" s="35"/>
      <c r="AK425" s="32">
        <v>19050</v>
      </c>
      <c r="AL425" s="32">
        <v>19050</v>
      </c>
      <c r="AM425" s="32">
        <v>19050</v>
      </c>
      <c r="AN425" s="32">
        <v>19050</v>
      </c>
      <c r="AO425" s="32">
        <v>19050</v>
      </c>
      <c r="AP425" s="32">
        <v>19050</v>
      </c>
      <c r="AQ425" s="32"/>
      <c r="AR425" s="32"/>
      <c r="AS425" s="32"/>
      <c r="AT425" s="32"/>
      <c r="AU425" s="32"/>
      <c r="AV425" s="35"/>
      <c r="AW425" s="35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CR425">
        <v>661900</v>
      </c>
      <c r="CS425">
        <v>4</v>
      </c>
    </row>
    <row r="426" spans="1:97" x14ac:dyDescent="0.4">
      <c r="A426" t="s">
        <v>1313</v>
      </c>
      <c r="D426" t="s">
        <v>2370</v>
      </c>
      <c r="E426" t="s">
        <v>2371</v>
      </c>
      <c r="F426" t="s">
        <v>1314</v>
      </c>
      <c r="G426" t="s">
        <v>4143</v>
      </c>
      <c r="H426">
        <v>9019454278</v>
      </c>
      <c r="I426" t="s">
        <v>1315</v>
      </c>
      <c r="J426" t="s">
        <v>2433</v>
      </c>
      <c r="L426" t="s">
        <v>4144</v>
      </c>
      <c r="M426" t="s">
        <v>2960</v>
      </c>
      <c r="N426" t="s">
        <v>3524</v>
      </c>
      <c r="O426" t="s">
        <v>4145</v>
      </c>
      <c r="Q426" t="s">
        <v>2438</v>
      </c>
      <c r="R426" s="30">
        <v>45213</v>
      </c>
      <c r="S426" t="s">
        <v>25</v>
      </c>
      <c r="T426" s="30">
        <v>45767</v>
      </c>
      <c r="U426">
        <v>59400</v>
      </c>
      <c r="V426" s="34"/>
      <c r="W426" s="34"/>
      <c r="X426" s="34">
        <f t="shared" si="68"/>
        <v>59400</v>
      </c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5"/>
      <c r="AJ426" s="35"/>
      <c r="AK426" s="32">
        <v>19800</v>
      </c>
      <c r="AL426" s="32">
        <v>19800</v>
      </c>
      <c r="AM426" s="32">
        <v>19800</v>
      </c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CR426">
        <v>814000</v>
      </c>
      <c r="CS426">
        <v>20</v>
      </c>
    </row>
    <row r="427" spans="1:97" x14ac:dyDescent="0.4">
      <c r="A427" t="s">
        <v>1316</v>
      </c>
      <c r="D427" t="s">
        <v>2370</v>
      </c>
      <c r="E427" t="s">
        <v>2371</v>
      </c>
      <c r="F427" t="s">
        <v>1317</v>
      </c>
      <c r="G427" t="s">
        <v>4146</v>
      </c>
      <c r="H427">
        <v>9054235321</v>
      </c>
      <c r="I427" t="s">
        <v>1318</v>
      </c>
      <c r="J427" t="s">
        <v>2433</v>
      </c>
      <c r="L427" t="s">
        <v>4147</v>
      </c>
      <c r="M427" t="s">
        <v>2518</v>
      </c>
      <c r="N427" t="s">
        <v>4148</v>
      </c>
      <c r="O427" s="41">
        <v>38210</v>
      </c>
      <c r="R427" s="30">
        <v>45213</v>
      </c>
      <c r="S427" t="s">
        <v>44</v>
      </c>
      <c r="T427" s="30">
        <v>45767</v>
      </c>
      <c r="U427" s="20">
        <v>114300</v>
      </c>
      <c r="V427" s="31"/>
      <c r="W427" s="34"/>
      <c r="X427" s="34">
        <f t="shared" si="68"/>
        <v>114300</v>
      </c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2"/>
      <c r="AJ427" s="35"/>
      <c r="AK427" s="32">
        <v>19050</v>
      </c>
      <c r="AL427" s="32">
        <v>19050</v>
      </c>
      <c r="AM427" s="32">
        <v>19050</v>
      </c>
      <c r="AN427" s="32">
        <v>19050</v>
      </c>
      <c r="AO427" s="32">
        <v>19050</v>
      </c>
      <c r="AP427" s="32">
        <v>19050</v>
      </c>
      <c r="AQ427" s="32"/>
      <c r="AR427" s="32"/>
      <c r="AS427" s="32"/>
      <c r="AT427" s="32"/>
      <c r="AU427" s="32"/>
      <c r="AV427" s="35"/>
      <c r="AW427" s="35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CR427">
        <v>769975</v>
      </c>
      <c r="CS427">
        <v>19</v>
      </c>
    </row>
    <row r="428" spans="1:97" x14ac:dyDescent="0.4">
      <c r="A428" t="s">
        <v>1319</v>
      </c>
      <c r="D428" t="s">
        <v>2370</v>
      </c>
      <c r="E428" t="s">
        <v>2371</v>
      </c>
      <c r="F428" t="s">
        <v>1320</v>
      </c>
      <c r="G428" t="s">
        <v>4149</v>
      </c>
      <c r="H428">
        <v>9024099110</v>
      </c>
      <c r="I428" t="s">
        <v>1321</v>
      </c>
      <c r="J428" t="s">
        <v>2433</v>
      </c>
      <c r="L428" t="s">
        <v>4150</v>
      </c>
      <c r="M428" t="s">
        <v>2444</v>
      </c>
      <c r="N428" t="s">
        <v>4151</v>
      </c>
      <c r="O428" t="s">
        <v>4152</v>
      </c>
      <c r="Q428" t="s">
        <v>2438</v>
      </c>
      <c r="R428" s="30">
        <v>45213</v>
      </c>
      <c r="S428" t="s">
        <v>44</v>
      </c>
      <c r="T428" s="30">
        <v>45767</v>
      </c>
      <c r="U428" s="20">
        <v>114300</v>
      </c>
      <c r="V428" s="31"/>
      <c r="W428" s="34"/>
      <c r="X428" s="34">
        <f t="shared" si="68"/>
        <v>114300</v>
      </c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2"/>
      <c r="AJ428" s="35"/>
      <c r="AK428" s="32">
        <v>19050</v>
      </c>
      <c r="AL428" s="32">
        <v>19050</v>
      </c>
      <c r="AM428" s="32">
        <v>19050</v>
      </c>
      <c r="AN428" s="32">
        <v>19050</v>
      </c>
      <c r="AO428" s="32">
        <v>19050</v>
      </c>
      <c r="AP428" s="32">
        <v>19050</v>
      </c>
      <c r="AQ428" s="32"/>
      <c r="AR428" s="32"/>
      <c r="AS428" s="32"/>
      <c r="AT428" s="32"/>
      <c r="AU428" s="32"/>
      <c r="AV428" s="35"/>
      <c r="AW428" s="35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CR428">
        <v>768975</v>
      </c>
      <c r="CS428">
        <v>18</v>
      </c>
    </row>
    <row r="429" spans="1:97" x14ac:dyDescent="0.4">
      <c r="A429" t="s">
        <v>1322</v>
      </c>
      <c r="D429" t="s">
        <v>2370</v>
      </c>
      <c r="E429" t="s">
        <v>2371</v>
      </c>
      <c r="F429" t="s">
        <v>1323</v>
      </c>
      <c r="G429" t="s">
        <v>4153</v>
      </c>
      <c r="H429">
        <v>9031052819</v>
      </c>
      <c r="I429" t="s">
        <v>1324</v>
      </c>
      <c r="J429" t="s">
        <v>2433</v>
      </c>
      <c r="L429" t="s">
        <v>4154</v>
      </c>
      <c r="M429" t="s">
        <v>2444</v>
      </c>
      <c r="N429" t="s">
        <v>4155</v>
      </c>
      <c r="O429" t="s">
        <v>4156</v>
      </c>
      <c r="Q429" t="s">
        <v>2438</v>
      </c>
      <c r="R429" s="30">
        <v>45213</v>
      </c>
      <c r="S429" t="s">
        <v>44</v>
      </c>
      <c r="T429" s="30">
        <v>45828</v>
      </c>
      <c r="U429" s="20">
        <v>114300</v>
      </c>
      <c r="V429" s="31"/>
      <c r="W429" s="31"/>
      <c r="X429" s="31"/>
      <c r="Y429" s="31"/>
      <c r="Z429" s="31">
        <f>+U429</f>
        <v>114300</v>
      </c>
      <c r="AA429" s="31"/>
      <c r="AB429" s="31"/>
      <c r="AC429" s="31"/>
      <c r="AD429" s="31"/>
      <c r="AE429" s="31"/>
      <c r="AF429" s="31"/>
      <c r="AG429" s="31"/>
      <c r="AH429" s="31"/>
      <c r="AI429" s="32"/>
      <c r="AJ429" s="32"/>
      <c r="AK429" s="32"/>
      <c r="AL429" s="32"/>
      <c r="AM429" s="32">
        <v>19050</v>
      </c>
      <c r="AN429" s="32">
        <v>19050</v>
      </c>
      <c r="AO429" s="32">
        <v>19050</v>
      </c>
      <c r="AP429" s="32">
        <v>19050</v>
      </c>
      <c r="AQ429" s="32">
        <v>19050</v>
      </c>
      <c r="AR429" s="32">
        <v>19050</v>
      </c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CR429">
        <v>673420</v>
      </c>
      <c r="CS429">
        <v>3</v>
      </c>
    </row>
    <row r="430" spans="1:97" x14ac:dyDescent="0.4">
      <c r="A430" t="s">
        <v>1325</v>
      </c>
      <c r="D430" t="s">
        <v>2370</v>
      </c>
      <c r="E430" t="s">
        <v>2371</v>
      </c>
      <c r="F430" t="s">
        <v>1326</v>
      </c>
      <c r="G430" t="s">
        <v>4157</v>
      </c>
      <c r="H430">
        <v>8050804435</v>
      </c>
      <c r="I430" t="s">
        <v>1327</v>
      </c>
      <c r="J430" t="s">
        <v>2433</v>
      </c>
      <c r="L430" t="s">
        <v>4158</v>
      </c>
      <c r="M430" t="s">
        <v>2506</v>
      </c>
      <c r="N430" t="s">
        <v>4159</v>
      </c>
      <c r="O430" t="s">
        <v>4160</v>
      </c>
      <c r="Q430" t="s">
        <v>2438</v>
      </c>
      <c r="R430" s="30">
        <v>45213</v>
      </c>
      <c r="S430" t="s">
        <v>44</v>
      </c>
      <c r="T430" s="30">
        <v>45767</v>
      </c>
      <c r="U430" s="20">
        <v>114300</v>
      </c>
      <c r="V430" s="31"/>
      <c r="W430" s="34"/>
      <c r="X430" s="34">
        <f>+U430</f>
        <v>114300</v>
      </c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2"/>
      <c r="AJ430" s="35"/>
      <c r="AK430" s="32">
        <v>19050</v>
      </c>
      <c r="AL430" s="32">
        <v>19050</v>
      </c>
      <c r="AM430" s="32">
        <v>19050</v>
      </c>
      <c r="AN430" s="32">
        <v>19050</v>
      </c>
      <c r="AO430" s="32">
        <v>19050</v>
      </c>
      <c r="AP430" s="32">
        <v>19050</v>
      </c>
      <c r="AQ430" s="32"/>
      <c r="AR430" s="32"/>
      <c r="AS430" s="32"/>
      <c r="AT430" s="32"/>
      <c r="AU430" s="32"/>
      <c r="AV430" s="35"/>
      <c r="AW430" s="35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CR430">
        <v>768975</v>
      </c>
      <c r="CS430">
        <v>18</v>
      </c>
    </row>
    <row r="431" spans="1:97" s="36" customFormat="1" x14ac:dyDescent="0.4">
      <c r="A431" s="36" t="s">
        <v>4161</v>
      </c>
      <c r="D431" s="36" t="s">
        <v>2370</v>
      </c>
      <c r="E431" s="36" t="s">
        <v>2371</v>
      </c>
      <c r="F431" s="36" t="s">
        <v>4162</v>
      </c>
      <c r="G431" s="36" t="s">
        <v>4163</v>
      </c>
      <c r="H431" s="36">
        <v>9036533829</v>
      </c>
      <c r="I431" s="36" t="s">
        <v>4164</v>
      </c>
      <c r="J431" s="36" t="s">
        <v>2433</v>
      </c>
      <c r="L431" s="36" t="s">
        <v>4165</v>
      </c>
      <c r="M431" s="36" t="s">
        <v>2460</v>
      </c>
      <c r="N431" s="36" t="s">
        <v>4166</v>
      </c>
      <c r="O431" s="44">
        <v>45814</v>
      </c>
      <c r="Q431" s="36" t="s">
        <v>2468</v>
      </c>
      <c r="R431" s="37">
        <v>45213</v>
      </c>
      <c r="S431" s="36" t="s">
        <v>2503</v>
      </c>
      <c r="T431" s="37">
        <v>45701</v>
      </c>
      <c r="U431" s="37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CR431" s="36">
        <v>540592</v>
      </c>
      <c r="CS431" s="36">
        <v>16</v>
      </c>
    </row>
    <row r="432" spans="1:97" x14ac:dyDescent="0.4">
      <c r="A432" t="s">
        <v>1328</v>
      </c>
      <c r="D432" t="s">
        <v>2370</v>
      </c>
      <c r="E432" t="s">
        <v>2371</v>
      </c>
      <c r="F432" t="s">
        <v>1329</v>
      </c>
      <c r="G432" t="s">
        <v>4167</v>
      </c>
      <c r="H432">
        <v>9059303813</v>
      </c>
      <c r="I432" t="s">
        <v>1330</v>
      </c>
      <c r="J432" t="s">
        <v>2433</v>
      </c>
      <c r="L432" t="s">
        <v>4168</v>
      </c>
      <c r="M432" t="s">
        <v>4169</v>
      </c>
      <c r="N432" t="s">
        <v>4170</v>
      </c>
      <c r="O432" t="s">
        <v>4171</v>
      </c>
      <c r="Q432" t="s">
        <v>2468</v>
      </c>
      <c r="R432" s="30">
        <v>45212</v>
      </c>
      <c r="S432" t="s">
        <v>44</v>
      </c>
      <c r="T432" s="30">
        <v>45767</v>
      </c>
      <c r="U432" s="20">
        <v>114300</v>
      </c>
      <c r="V432" s="31"/>
      <c r="W432" s="34"/>
      <c r="X432" s="34">
        <f t="shared" ref="X432:X439" si="69">+U432</f>
        <v>114300</v>
      </c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2"/>
      <c r="AJ432" s="35"/>
      <c r="AK432" s="32">
        <v>19050</v>
      </c>
      <c r="AL432" s="32">
        <v>19050</v>
      </c>
      <c r="AM432" s="32">
        <v>19050</v>
      </c>
      <c r="AN432" s="32">
        <v>19050</v>
      </c>
      <c r="AO432" s="32">
        <v>19050</v>
      </c>
      <c r="AP432" s="32">
        <v>19050</v>
      </c>
      <c r="AQ432" s="32"/>
      <c r="AR432" s="32"/>
      <c r="AS432" s="32"/>
      <c r="AT432" s="32"/>
      <c r="AU432" s="32"/>
      <c r="AV432" s="35"/>
      <c r="AW432" s="35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CR432">
        <v>805000</v>
      </c>
      <c r="CS432">
        <v>18</v>
      </c>
    </row>
    <row r="433" spans="1:97" x14ac:dyDescent="0.4">
      <c r="A433" t="s">
        <v>1331</v>
      </c>
      <c r="D433" t="s">
        <v>2370</v>
      </c>
      <c r="E433" t="s">
        <v>2371</v>
      </c>
      <c r="F433" t="s">
        <v>1332</v>
      </c>
      <c r="G433" t="s">
        <v>4172</v>
      </c>
      <c r="H433">
        <v>9018766952</v>
      </c>
      <c r="I433" t="s">
        <v>1333</v>
      </c>
      <c r="J433" t="s">
        <v>2433</v>
      </c>
      <c r="L433" t="s">
        <v>4173</v>
      </c>
      <c r="M433" t="s">
        <v>4174</v>
      </c>
      <c r="N433" t="s">
        <v>4175</v>
      </c>
      <c r="O433" t="s">
        <v>4176</v>
      </c>
      <c r="Q433" t="s">
        <v>2468</v>
      </c>
      <c r="R433" s="30">
        <v>45211</v>
      </c>
      <c r="S433" t="s">
        <v>44</v>
      </c>
      <c r="T433" s="30">
        <v>45767</v>
      </c>
      <c r="U433" s="20">
        <v>114300</v>
      </c>
      <c r="V433" s="31"/>
      <c r="W433" s="34"/>
      <c r="X433" s="34">
        <f t="shared" si="69"/>
        <v>114300</v>
      </c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2"/>
      <c r="AJ433" s="35"/>
      <c r="AK433" s="32">
        <v>19050</v>
      </c>
      <c r="AL433" s="32">
        <v>19050</v>
      </c>
      <c r="AM433" s="32">
        <v>19050</v>
      </c>
      <c r="AN433" s="32">
        <v>19050</v>
      </c>
      <c r="AO433" s="32">
        <v>19050</v>
      </c>
      <c r="AP433" s="32">
        <v>19050</v>
      </c>
      <c r="AQ433" s="32"/>
      <c r="AR433" s="32"/>
      <c r="AS433" s="32"/>
      <c r="AT433" s="32"/>
      <c r="AU433" s="32"/>
      <c r="AV433" s="35"/>
      <c r="AW433" s="35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CR433">
        <v>950000</v>
      </c>
      <c r="CS433">
        <v>20</v>
      </c>
    </row>
    <row r="434" spans="1:97" x14ac:dyDescent="0.4">
      <c r="A434" t="s">
        <v>1334</v>
      </c>
      <c r="D434" t="s">
        <v>2370</v>
      </c>
      <c r="E434" t="s">
        <v>2371</v>
      </c>
      <c r="F434" t="s">
        <v>1335</v>
      </c>
      <c r="G434" t="s">
        <v>4177</v>
      </c>
      <c r="H434">
        <v>8048247603</v>
      </c>
      <c r="I434" t="s">
        <v>1336</v>
      </c>
      <c r="J434" t="s">
        <v>2433</v>
      </c>
      <c r="L434" t="s">
        <v>4178</v>
      </c>
      <c r="M434" t="s">
        <v>2444</v>
      </c>
      <c r="N434" t="s">
        <v>4179</v>
      </c>
      <c r="O434" t="s">
        <v>4180</v>
      </c>
      <c r="Q434" t="s">
        <v>4181</v>
      </c>
      <c r="R434" s="30">
        <v>45211</v>
      </c>
      <c r="S434" t="s">
        <v>44</v>
      </c>
      <c r="T434" s="30">
        <v>45767</v>
      </c>
      <c r="U434" s="20">
        <v>114300</v>
      </c>
      <c r="V434" s="31"/>
      <c r="W434" s="34"/>
      <c r="X434" s="34">
        <f t="shared" si="69"/>
        <v>114300</v>
      </c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2"/>
      <c r="AJ434" s="35"/>
      <c r="AK434" s="32">
        <v>19050</v>
      </c>
      <c r="AL434" s="32">
        <v>19050</v>
      </c>
      <c r="AM434" s="32">
        <v>19050</v>
      </c>
      <c r="AN434" s="32">
        <v>19050</v>
      </c>
      <c r="AO434" s="32">
        <v>19050</v>
      </c>
      <c r="AP434" s="32">
        <v>19050</v>
      </c>
      <c r="AQ434" s="32"/>
      <c r="AR434" s="32"/>
      <c r="AS434" s="32"/>
      <c r="AT434" s="32"/>
      <c r="AU434" s="32"/>
      <c r="AV434" s="35"/>
      <c r="AW434" s="35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CR434">
        <v>950000</v>
      </c>
      <c r="CS434">
        <v>20</v>
      </c>
    </row>
    <row r="435" spans="1:97" x14ac:dyDescent="0.4">
      <c r="A435" t="s">
        <v>1337</v>
      </c>
      <c r="D435" t="s">
        <v>2370</v>
      </c>
      <c r="E435" t="s">
        <v>2371</v>
      </c>
      <c r="F435" t="s">
        <v>1338</v>
      </c>
      <c r="G435" t="s">
        <v>4182</v>
      </c>
      <c r="H435">
        <v>9081259800</v>
      </c>
      <c r="I435" t="s">
        <v>1339</v>
      </c>
      <c r="J435" t="s">
        <v>2433</v>
      </c>
      <c r="L435" t="s">
        <v>4183</v>
      </c>
      <c r="M435" t="s">
        <v>2460</v>
      </c>
      <c r="N435" t="s">
        <v>4184</v>
      </c>
      <c r="O435" t="s">
        <v>4185</v>
      </c>
      <c r="Q435" t="s">
        <v>3533</v>
      </c>
      <c r="R435" s="30">
        <v>45084</v>
      </c>
      <c r="S435" t="s">
        <v>44</v>
      </c>
      <c r="T435" s="30">
        <v>45767</v>
      </c>
      <c r="U435" s="20">
        <v>114300</v>
      </c>
      <c r="V435" s="31"/>
      <c r="W435" s="34"/>
      <c r="X435" s="34">
        <f t="shared" si="69"/>
        <v>114300</v>
      </c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2"/>
      <c r="AJ435" s="35"/>
      <c r="AK435" s="32">
        <v>19050</v>
      </c>
      <c r="AL435" s="32">
        <v>19050</v>
      </c>
      <c r="AM435" s="32">
        <v>19050</v>
      </c>
      <c r="AN435" s="32">
        <v>19050</v>
      </c>
      <c r="AO435" s="32">
        <v>19050</v>
      </c>
      <c r="AP435" s="32">
        <v>19050</v>
      </c>
      <c r="AQ435" s="32"/>
      <c r="AR435" s="32"/>
      <c r="AS435" s="32"/>
      <c r="AT435" s="32"/>
      <c r="AU435" s="32"/>
      <c r="AV435" s="35"/>
      <c r="AW435" s="35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CR435">
        <v>661900</v>
      </c>
      <c r="CS435">
        <v>4</v>
      </c>
    </row>
    <row r="436" spans="1:97" x14ac:dyDescent="0.4">
      <c r="A436" t="s">
        <v>1340</v>
      </c>
      <c r="D436" t="s">
        <v>2370</v>
      </c>
      <c r="E436" t="s">
        <v>2371</v>
      </c>
      <c r="F436" t="s">
        <v>1341</v>
      </c>
      <c r="G436" t="s">
        <v>4186</v>
      </c>
      <c r="H436">
        <v>9012238820</v>
      </c>
      <c r="I436" t="s">
        <v>1342</v>
      </c>
      <c r="J436" t="s">
        <v>2433</v>
      </c>
      <c r="L436" t="s">
        <v>4187</v>
      </c>
      <c r="M436" t="s">
        <v>2630</v>
      </c>
      <c r="N436" t="s">
        <v>4188</v>
      </c>
      <c r="O436" t="s">
        <v>4189</v>
      </c>
      <c r="Q436" t="s">
        <v>3533</v>
      </c>
      <c r="R436" s="30">
        <v>45132</v>
      </c>
      <c r="S436" t="s">
        <v>44</v>
      </c>
      <c r="T436" s="30">
        <v>45767</v>
      </c>
      <c r="U436" s="20">
        <v>114300</v>
      </c>
      <c r="V436" s="31"/>
      <c r="W436" s="34"/>
      <c r="X436" s="34">
        <f t="shared" si="69"/>
        <v>114300</v>
      </c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2"/>
      <c r="AJ436" s="35"/>
      <c r="AK436" s="32">
        <v>19050</v>
      </c>
      <c r="AL436" s="32">
        <v>19050</v>
      </c>
      <c r="AM436" s="32">
        <v>19050</v>
      </c>
      <c r="AN436" s="32">
        <v>19050</v>
      </c>
      <c r="AO436" s="32">
        <v>19050</v>
      </c>
      <c r="AP436" s="32">
        <v>19050</v>
      </c>
      <c r="AQ436" s="32"/>
      <c r="AR436" s="32"/>
      <c r="AS436" s="32"/>
      <c r="AT436" s="32"/>
      <c r="AU436" s="32"/>
      <c r="AV436" s="35"/>
      <c r="AW436" s="35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CR436">
        <v>660900</v>
      </c>
      <c r="CS436">
        <v>3</v>
      </c>
    </row>
    <row r="437" spans="1:97" x14ac:dyDescent="0.4">
      <c r="A437" t="s">
        <v>1343</v>
      </c>
      <c r="D437" t="s">
        <v>2370</v>
      </c>
      <c r="E437" t="s">
        <v>2371</v>
      </c>
      <c r="F437" t="s">
        <v>1344</v>
      </c>
      <c r="G437" t="s">
        <v>4190</v>
      </c>
      <c r="H437">
        <v>9066356844</v>
      </c>
      <c r="I437" t="s">
        <v>1345</v>
      </c>
      <c r="J437" t="s">
        <v>2433</v>
      </c>
      <c r="L437" t="s">
        <v>4191</v>
      </c>
      <c r="M437" t="s">
        <v>2715</v>
      </c>
      <c r="N437" t="s">
        <v>4192</v>
      </c>
      <c r="O437" t="s">
        <v>4193</v>
      </c>
      <c r="Q437" t="s">
        <v>3533</v>
      </c>
      <c r="R437" s="30">
        <v>45207</v>
      </c>
      <c r="S437" t="s">
        <v>25</v>
      </c>
      <c r="T437" s="30">
        <v>45767</v>
      </c>
      <c r="U437">
        <v>59400</v>
      </c>
      <c r="V437" s="34"/>
      <c r="W437" s="34"/>
      <c r="X437" s="34">
        <f t="shared" si="69"/>
        <v>59400</v>
      </c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5"/>
      <c r="AJ437" s="35"/>
      <c r="AK437" s="32">
        <v>19800</v>
      </c>
      <c r="AL437" s="32">
        <v>19800</v>
      </c>
      <c r="AM437" s="32">
        <v>19800</v>
      </c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CR437">
        <v>512670</v>
      </c>
      <c r="CS437">
        <v>4</v>
      </c>
    </row>
    <row r="438" spans="1:97" x14ac:dyDescent="0.4">
      <c r="A438" t="s">
        <v>1346</v>
      </c>
      <c r="D438" t="s">
        <v>2370</v>
      </c>
      <c r="E438" t="s">
        <v>2371</v>
      </c>
      <c r="F438" t="s">
        <v>1347</v>
      </c>
      <c r="G438" t="s">
        <v>4194</v>
      </c>
      <c r="H438">
        <v>9093189288</v>
      </c>
      <c r="I438" t="s">
        <v>1348</v>
      </c>
      <c r="J438" t="s">
        <v>2433</v>
      </c>
      <c r="L438" t="s">
        <v>4195</v>
      </c>
      <c r="M438" t="s">
        <v>2444</v>
      </c>
      <c r="N438" t="s">
        <v>4196</v>
      </c>
      <c r="O438" t="s">
        <v>4197</v>
      </c>
      <c r="Q438" t="s">
        <v>2468</v>
      </c>
      <c r="R438" s="30">
        <v>45206</v>
      </c>
      <c r="S438" t="s">
        <v>25</v>
      </c>
      <c r="T438" s="30">
        <v>45767</v>
      </c>
      <c r="U438">
        <v>59400</v>
      </c>
      <c r="V438" s="34"/>
      <c r="W438" s="34"/>
      <c r="X438" s="34">
        <f t="shared" si="69"/>
        <v>59400</v>
      </c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5"/>
      <c r="AJ438" s="35"/>
      <c r="AK438" s="32">
        <v>19800</v>
      </c>
      <c r="AL438" s="32">
        <v>19800</v>
      </c>
      <c r="AM438" s="32">
        <v>19800</v>
      </c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CR438">
        <v>809500</v>
      </c>
      <c r="CS438">
        <v>19</v>
      </c>
    </row>
    <row r="439" spans="1:97" x14ac:dyDescent="0.4">
      <c r="A439" t="s">
        <v>1349</v>
      </c>
      <c r="D439" t="s">
        <v>2370</v>
      </c>
      <c r="E439" t="s">
        <v>2371</v>
      </c>
      <c r="F439" t="s">
        <v>1350</v>
      </c>
      <c r="G439" t="s">
        <v>4198</v>
      </c>
      <c r="H439">
        <v>7033607890</v>
      </c>
      <c r="I439" t="s">
        <v>1351</v>
      </c>
      <c r="J439" t="s">
        <v>2433</v>
      </c>
      <c r="L439" t="s">
        <v>4199</v>
      </c>
      <c r="M439" t="s">
        <v>2444</v>
      </c>
      <c r="N439" t="s">
        <v>4200</v>
      </c>
      <c r="O439" t="s">
        <v>4201</v>
      </c>
      <c r="Q439" t="s">
        <v>2468</v>
      </c>
      <c r="R439" s="30">
        <v>45204</v>
      </c>
      <c r="S439" t="s">
        <v>44</v>
      </c>
      <c r="T439" s="30">
        <v>45767</v>
      </c>
      <c r="U439" s="20">
        <v>114300</v>
      </c>
      <c r="V439" s="31"/>
      <c r="W439" s="34"/>
      <c r="X439" s="34">
        <f t="shared" si="69"/>
        <v>114300</v>
      </c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2"/>
      <c r="AJ439" s="35"/>
      <c r="AK439" s="32">
        <v>19050</v>
      </c>
      <c r="AL439" s="32">
        <v>19050</v>
      </c>
      <c r="AM439" s="32">
        <v>19050</v>
      </c>
      <c r="AN439" s="32">
        <v>19050</v>
      </c>
      <c r="AO439" s="32">
        <v>19050</v>
      </c>
      <c r="AP439" s="32">
        <v>19050</v>
      </c>
      <c r="AQ439" s="32"/>
      <c r="AR439" s="32"/>
      <c r="AS439" s="32"/>
      <c r="AT439" s="32"/>
      <c r="AU439" s="32"/>
      <c r="AV439" s="35"/>
      <c r="AW439" s="35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CR439">
        <v>818000</v>
      </c>
      <c r="CS439">
        <v>20</v>
      </c>
    </row>
    <row r="440" spans="1:97" x14ac:dyDescent="0.4">
      <c r="A440" t="s">
        <v>1352</v>
      </c>
      <c r="D440" t="s">
        <v>2370</v>
      </c>
      <c r="E440" t="s">
        <v>2371</v>
      </c>
      <c r="F440" t="s">
        <v>1353</v>
      </c>
      <c r="G440" t="s">
        <v>4202</v>
      </c>
      <c r="H440">
        <v>8092005569</v>
      </c>
      <c r="I440" t="s">
        <v>1354</v>
      </c>
      <c r="J440" t="s">
        <v>2433</v>
      </c>
      <c r="L440" t="s">
        <v>4203</v>
      </c>
      <c r="M440" t="s">
        <v>2465</v>
      </c>
      <c r="N440" t="s">
        <v>4204</v>
      </c>
      <c r="O440" t="s">
        <v>4205</v>
      </c>
      <c r="Q440" t="s">
        <v>2468</v>
      </c>
      <c r="R440" s="30">
        <v>45203</v>
      </c>
      <c r="S440" t="s">
        <v>44</v>
      </c>
      <c r="T440" s="30">
        <v>45858</v>
      </c>
      <c r="U440" s="20">
        <v>114300</v>
      </c>
      <c r="V440" s="31"/>
      <c r="W440" s="31"/>
      <c r="X440" s="31"/>
      <c r="Y440" s="31"/>
      <c r="Z440" s="31"/>
      <c r="AA440" s="31">
        <f>+U440</f>
        <v>114300</v>
      </c>
      <c r="AB440" s="31"/>
      <c r="AC440" s="31"/>
      <c r="AD440" s="31"/>
      <c r="AE440" s="31"/>
      <c r="AF440" s="31"/>
      <c r="AG440" s="31"/>
      <c r="AH440" s="31"/>
      <c r="AI440" s="32"/>
      <c r="AJ440" s="32"/>
      <c r="AK440" s="32"/>
      <c r="AL440" s="32"/>
      <c r="AM440" s="32"/>
      <c r="AN440" s="32">
        <v>19050</v>
      </c>
      <c r="AO440" s="32">
        <v>19050</v>
      </c>
      <c r="AP440" s="32">
        <v>19050</v>
      </c>
      <c r="AQ440" s="32">
        <v>19050</v>
      </c>
      <c r="AR440" s="32">
        <v>19050</v>
      </c>
      <c r="AS440" s="32">
        <v>19050</v>
      </c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P440" t="s">
        <v>3335</v>
      </c>
      <c r="BQ440" s="41">
        <v>45677</v>
      </c>
      <c r="CR440">
        <v>777250</v>
      </c>
      <c r="CS440">
        <v>11</v>
      </c>
    </row>
    <row r="441" spans="1:97" x14ac:dyDescent="0.4">
      <c r="A441" t="s">
        <v>1356</v>
      </c>
      <c r="D441" t="s">
        <v>2370</v>
      </c>
      <c r="E441" t="s">
        <v>2371</v>
      </c>
      <c r="F441" t="s">
        <v>1357</v>
      </c>
      <c r="G441" t="s">
        <v>4206</v>
      </c>
      <c r="H441">
        <v>9048136734</v>
      </c>
      <c r="I441" t="s">
        <v>1358</v>
      </c>
      <c r="J441" t="s">
        <v>2433</v>
      </c>
      <c r="L441" t="s">
        <v>4207</v>
      </c>
      <c r="M441" t="s">
        <v>2444</v>
      </c>
      <c r="N441" t="s">
        <v>4208</v>
      </c>
      <c r="O441" t="s">
        <v>4209</v>
      </c>
      <c r="Q441" t="s">
        <v>4210</v>
      </c>
      <c r="R441" s="30">
        <v>45200</v>
      </c>
      <c r="S441" t="s">
        <v>44</v>
      </c>
      <c r="T441" s="30">
        <v>45828</v>
      </c>
      <c r="U441" s="20">
        <v>114300</v>
      </c>
      <c r="V441" s="31"/>
      <c r="W441" s="31"/>
      <c r="X441" s="31"/>
      <c r="Y441" s="31"/>
      <c r="Z441" s="31">
        <f>+U441</f>
        <v>114300</v>
      </c>
      <c r="AA441" s="31"/>
      <c r="AB441" s="31"/>
      <c r="AC441" s="31"/>
      <c r="AD441" s="31"/>
      <c r="AE441" s="31"/>
      <c r="AF441" s="31"/>
      <c r="AG441" s="31"/>
      <c r="AH441" s="31"/>
      <c r="AI441" s="32"/>
      <c r="AJ441" s="32"/>
      <c r="AK441" s="32"/>
      <c r="AL441" s="32"/>
      <c r="AM441" s="32">
        <v>19050</v>
      </c>
      <c r="AN441" s="32">
        <v>19050</v>
      </c>
      <c r="AO441" s="32">
        <v>19050</v>
      </c>
      <c r="AP441" s="32">
        <v>19050</v>
      </c>
      <c r="AQ441" s="32">
        <v>19050</v>
      </c>
      <c r="AR441" s="32">
        <v>19050</v>
      </c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CR441">
        <v>546600</v>
      </c>
      <c r="CS441">
        <v>2</v>
      </c>
    </row>
    <row r="442" spans="1:97" x14ac:dyDescent="0.4">
      <c r="A442" t="s">
        <v>1359</v>
      </c>
      <c r="D442" t="s">
        <v>2370</v>
      </c>
      <c r="E442" t="s">
        <v>2371</v>
      </c>
      <c r="F442" t="s">
        <v>1360</v>
      </c>
      <c r="G442" t="s">
        <v>4211</v>
      </c>
      <c r="H442">
        <v>8014843250</v>
      </c>
      <c r="I442" t="s">
        <v>1361</v>
      </c>
      <c r="J442" t="s">
        <v>2433</v>
      </c>
      <c r="L442" t="s">
        <v>4212</v>
      </c>
      <c r="M442" t="s">
        <v>2460</v>
      </c>
      <c r="N442" t="s">
        <v>4213</v>
      </c>
      <c r="O442" s="33">
        <v>45791</v>
      </c>
      <c r="Q442" t="s">
        <v>2468</v>
      </c>
      <c r="R442" s="30">
        <v>45192</v>
      </c>
      <c r="S442" t="s">
        <v>25</v>
      </c>
      <c r="T442" s="30">
        <v>45767</v>
      </c>
      <c r="U442">
        <v>59400</v>
      </c>
      <c r="V442" s="34"/>
      <c r="W442" s="34"/>
      <c r="X442" s="34">
        <f>+U442</f>
        <v>59400</v>
      </c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5"/>
      <c r="AJ442" s="35"/>
      <c r="AK442" s="32">
        <v>19800</v>
      </c>
      <c r="AL442" s="32">
        <v>19800</v>
      </c>
      <c r="AM442" s="32">
        <v>19800</v>
      </c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CR442">
        <v>814000</v>
      </c>
      <c r="CS442">
        <v>20</v>
      </c>
    </row>
    <row r="443" spans="1:97" x14ac:dyDescent="0.4">
      <c r="A443" t="s">
        <v>1362</v>
      </c>
      <c r="D443" t="s">
        <v>2370</v>
      </c>
      <c r="E443" t="s">
        <v>2371</v>
      </c>
      <c r="F443" t="s">
        <v>1363</v>
      </c>
      <c r="G443" t="s">
        <v>4214</v>
      </c>
      <c r="H443">
        <v>8055242387</v>
      </c>
      <c r="I443" t="s">
        <v>1364</v>
      </c>
      <c r="J443" t="s">
        <v>2433</v>
      </c>
      <c r="L443" t="s">
        <v>4215</v>
      </c>
      <c r="M443" t="s">
        <v>2771</v>
      </c>
      <c r="N443" t="s">
        <v>4216</v>
      </c>
      <c r="O443" t="s">
        <v>4217</v>
      </c>
      <c r="Q443" t="s">
        <v>4210</v>
      </c>
      <c r="R443" s="30">
        <v>45186</v>
      </c>
      <c r="S443" t="s">
        <v>44</v>
      </c>
      <c r="T443" s="30">
        <v>45828</v>
      </c>
      <c r="U443" s="20">
        <v>114300</v>
      </c>
      <c r="V443" s="31"/>
      <c r="W443" s="31"/>
      <c r="X443" s="31"/>
      <c r="Y443" s="31"/>
      <c r="Z443" s="31">
        <f>+U443</f>
        <v>114300</v>
      </c>
      <c r="AA443" s="31"/>
      <c r="AB443" s="31"/>
      <c r="AC443" s="31"/>
      <c r="AD443" s="31"/>
      <c r="AE443" s="31"/>
      <c r="AF443" s="31"/>
      <c r="AG443" s="31"/>
      <c r="AH443" s="31"/>
      <c r="AI443" s="32"/>
      <c r="AJ443" s="32"/>
      <c r="AK443" s="32"/>
      <c r="AL443" s="32"/>
      <c r="AM443" s="32">
        <v>19050</v>
      </c>
      <c r="AN443" s="32">
        <v>19050</v>
      </c>
      <c r="AO443" s="32">
        <v>19050</v>
      </c>
      <c r="AP443" s="32">
        <v>19050</v>
      </c>
      <c r="AQ443" s="32">
        <v>19050</v>
      </c>
      <c r="AR443" s="32">
        <v>19050</v>
      </c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CR443">
        <v>908600</v>
      </c>
      <c r="CS443">
        <v>3</v>
      </c>
    </row>
    <row r="444" spans="1:97" x14ac:dyDescent="0.4">
      <c r="A444" t="s">
        <v>1365</v>
      </c>
      <c r="D444" t="s">
        <v>2370</v>
      </c>
      <c r="E444" t="s">
        <v>2371</v>
      </c>
      <c r="F444" t="s">
        <v>1366</v>
      </c>
      <c r="G444" t="s">
        <v>4218</v>
      </c>
      <c r="H444">
        <v>9021411230</v>
      </c>
      <c r="I444" t="s">
        <v>1367</v>
      </c>
      <c r="J444" t="s">
        <v>2433</v>
      </c>
      <c r="L444" t="s">
        <v>3914</v>
      </c>
      <c r="M444" t="s">
        <v>2444</v>
      </c>
      <c r="N444" t="s">
        <v>3915</v>
      </c>
      <c r="O444" t="s">
        <v>4219</v>
      </c>
      <c r="Q444" t="s">
        <v>2468</v>
      </c>
      <c r="R444" s="30">
        <v>45180</v>
      </c>
      <c r="S444" t="s">
        <v>44</v>
      </c>
      <c r="T444" s="30">
        <v>45767</v>
      </c>
      <c r="U444" s="20">
        <v>114300</v>
      </c>
      <c r="V444" s="31"/>
      <c r="W444" s="34"/>
      <c r="X444" s="34">
        <f>+U444</f>
        <v>114300</v>
      </c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2"/>
      <c r="AJ444" s="35"/>
      <c r="AK444" s="32">
        <v>19050</v>
      </c>
      <c r="AL444" s="32">
        <v>19050</v>
      </c>
      <c r="AM444" s="32">
        <v>19050</v>
      </c>
      <c r="AN444" s="32">
        <v>19050</v>
      </c>
      <c r="AO444" s="32">
        <v>19050</v>
      </c>
      <c r="AP444" s="32">
        <v>19050</v>
      </c>
      <c r="AQ444" s="32"/>
      <c r="AR444" s="32"/>
      <c r="AS444" s="32"/>
      <c r="AT444" s="32"/>
      <c r="AU444" s="32"/>
      <c r="AV444" s="35"/>
      <c r="AW444" s="35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CR444">
        <v>661900</v>
      </c>
      <c r="CS444">
        <v>4</v>
      </c>
    </row>
    <row r="445" spans="1:97" x14ac:dyDescent="0.4">
      <c r="A445" t="s">
        <v>1368</v>
      </c>
      <c r="D445" t="s">
        <v>2370</v>
      </c>
      <c r="E445" t="s">
        <v>2371</v>
      </c>
      <c r="F445" t="s">
        <v>1369</v>
      </c>
      <c r="G445" t="s">
        <v>4220</v>
      </c>
      <c r="H445">
        <v>9090331936</v>
      </c>
      <c r="I445" t="s">
        <v>1370</v>
      </c>
      <c r="J445" t="s">
        <v>2433</v>
      </c>
      <c r="L445" t="s">
        <v>4221</v>
      </c>
      <c r="M445" t="s">
        <v>2444</v>
      </c>
      <c r="N445" t="s">
        <v>4222</v>
      </c>
      <c r="O445" t="s">
        <v>4223</v>
      </c>
      <c r="Q445" t="s">
        <v>2468</v>
      </c>
      <c r="R445" s="30">
        <v>45175</v>
      </c>
      <c r="S445" t="s">
        <v>44</v>
      </c>
      <c r="T445" s="30">
        <v>45828</v>
      </c>
      <c r="U445" s="20">
        <v>114300</v>
      </c>
      <c r="V445" s="31"/>
      <c r="W445" s="31"/>
      <c r="X445" s="31"/>
      <c r="Y445" s="31"/>
      <c r="Z445" s="31">
        <f>+U445</f>
        <v>114300</v>
      </c>
      <c r="AA445" s="31"/>
      <c r="AB445" s="31"/>
      <c r="AC445" s="31"/>
      <c r="AD445" s="31"/>
      <c r="AE445" s="31"/>
      <c r="AF445" s="31"/>
      <c r="AG445" s="31"/>
      <c r="AH445" s="31"/>
      <c r="AI445" s="32"/>
      <c r="AJ445" s="32"/>
      <c r="AK445" s="32"/>
      <c r="AL445" s="32"/>
      <c r="AM445" s="32">
        <v>19050</v>
      </c>
      <c r="AN445" s="32">
        <v>19050</v>
      </c>
      <c r="AO445" s="32">
        <v>19050</v>
      </c>
      <c r="AP445" s="32">
        <v>19050</v>
      </c>
      <c r="AQ445" s="32">
        <v>19050</v>
      </c>
      <c r="AR445" s="32">
        <v>19050</v>
      </c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CR445">
        <v>664300</v>
      </c>
      <c r="CS445">
        <v>3</v>
      </c>
    </row>
    <row r="446" spans="1:97" x14ac:dyDescent="0.4">
      <c r="A446" t="s">
        <v>1371</v>
      </c>
      <c r="D446" t="s">
        <v>2370</v>
      </c>
      <c r="E446" t="s">
        <v>2371</v>
      </c>
      <c r="F446" t="s">
        <v>1372</v>
      </c>
      <c r="G446" t="s">
        <v>4224</v>
      </c>
      <c r="H446">
        <v>9021004395</v>
      </c>
      <c r="I446" t="s">
        <v>1373</v>
      </c>
      <c r="J446" t="s">
        <v>2433</v>
      </c>
      <c r="L446" t="s">
        <v>4225</v>
      </c>
      <c r="M446" t="s">
        <v>2518</v>
      </c>
      <c r="N446" t="s">
        <v>4226</v>
      </c>
      <c r="O446" t="s">
        <v>4227</v>
      </c>
      <c r="Q446" t="s">
        <v>2468</v>
      </c>
      <c r="R446" s="30">
        <v>45176</v>
      </c>
      <c r="S446" t="s">
        <v>44</v>
      </c>
      <c r="T446" s="30">
        <v>45767</v>
      </c>
      <c r="U446" s="20">
        <v>114300</v>
      </c>
      <c r="V446" s="31"/>
      <c r="W446" s="34"/>
      <c r="X446" s="34">
        <f>+U446</f>
        <v>114300</v>
      </c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2"/>
      <c r="AJ446" s="35"/>
      <c r="AK446" s="32">
        <v>19050</v>
      </c>
      <c r="AL446" s="32">
        <v>19050</v>
      </c>
      <c r="AM446" s="32">
        <v>19050</v>
      </c>
      <c r="AN446" s="32">
        <v>19050</v>
      </c>
      <c r="AO446" s="32">
        <v>19050</v>
      </c>
      <c r="AP446" s="32">
        <v>19050</v>
      </c>
      <c r="AQ446" s="32"/>
      <c r="AR446" s="32"/>
      <c r="AS446" s="32"/>
      <c r="AT446" s="32"/>
      <c r="AU446" s="32"/>
      <c r="AV446" s="35"/>
      <c r="AW446" s="35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CR446">
        <v>806000</v>
      </c>
      <c r="CS446">
        <v>19</v>
      </c>
    </row>
    <row r="447" spans="1:97" x14ac:dyDescent="0.4">
      <c r="A447" t="s">
        <v>1375</v>
      </c>
      <c r="D447" t="s">
        <v>2370</v>
      </c>
      <c r="E447" t="s">
        <v>2371</v>
      </c>
      <c r="F447" t="s">
        <v>1376</v>
      </c>
      <c r="G447" t="s">
        <v>4228</v>
      </c>
      <c r="H447">
        <v>9089357414</v>
      </c>
      <c r="I447" t="s">
        <v>1377</v>
      </c>
      <c r="J447" t="s">
        <v>2433</v>
      </c>
      <c r="L447" t="s">
        <v>4229</v>
      </c>
      <c r="M447" t="s">
        <v>2444</v>
      </c>
      <c r="N447" t="s">
        <v>4230</v>
      </c>
      <c r="O447" t="s">
        <v>4231</v>
      </c>
      <c r="Q447" t="s">
        <v>2468</v>
      </c>
      <c r="R447" s="30">
        <v>45177</v>
      </c>
      <c r="S447" t="s">
        <v>44</v>
      </c>
      <c r="T447" s="30">
        <v>45828</v>
      </c>
      <c r="U447" s="20">
        <v>114300</v>
      </c>
      <c r="V447" s="31"/>
      <c r="W447" s="31"/>
      <c r="X447" s="31"/>
      <c r="Y447" s="31"/>
      <c r="Z447" s="31">
        <f>+U447</f>
        <v>114300</v>
      </c>
      <c r="AA447" s="31"/>
      <c r="AB447" s="31"/>
      <c r="AC447" s="31"/>
      <c r="AD447" s="31"/>
      <c r="AE447" s="31"/>
      <c r="AF447" s="31"/>
      <c r="AG447" s="31"/>
      <c r="AH447" s="31"/>
      <c r="AI447" s="32"/>
      <c r="AJ447" s="32"/>
      <c r="AK447" s="32"/>
      <c r="AL447" s="32"/>
      <c r="AM447" s="32">
        <v>19050</v>
      </c>
      <c r="AN447" s="32">
        <v>19050</v>
      </c>
      <c r="AO447" s="32">
        <v>19050</v>
      </c>
      <c r="AP447" s="32">
        <v>19050</v>
      </c>
      <c r="AQ447" s="32">
        <v>19050</v>
      </c>
      <c r="AR447" s="32">
        <v>19050</v>
      </c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CR447">
        <v>546600</v>
      </c>
      <c r="CS447">
        <v>2</v>
      </c>
    </row>
    <row r="448" spans="1:97" x14ac:dyDescent="0.4">
      <c r="A448" t="s">
        <v>1378</v>
      </c>
      <c r="D448" t="s">
        <v>2370</v>
      </c>
      <c r="E448" t="s">
        <v>2371</v>
      </c>
      <c r="F448" t="s">
        <v>1379</v>
      </c>
      <c r="G448" t="s">
        <v>4232</v>
      </c>
      <c r="H448">
        <v>9076400463</v>
      </c>
      <c r="I448" t="s">
        <v>1380</v>
      </c>
      <c r="J448" t="s">
        <v>2433</v>
      </c>
      <c r="L448" t="s">
        <v>4233</v>
      </c>
      <c r="M448" t="s">
        <v>2435</v>
      </c>
      <c r="N448" t="s">
        <v>4234</v>
      </c>
      <c r="O448" t="s">
        <v>4235</v>
      </c>
      <c r="Q448" t="s">
        <v>2468</v>
      </c>
      <c r="R448" s="30">
        <v>45176</v>
      </c>
      <c r="S448" t="s">
        <v>44</v>
      </c>
      <c r="T448" s="30">
        <v>45767</v>
      </c>
      <c r="U448" s="20">
        <v>114300</v>
      </c>
      <c r="V448" s="31"/>
      <c r="W448" s="34"/>
      <c r="X448" s="34">
        <f>+U448</f>
        <v>114300</v>
      </c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2"/>
      <c r="AJ448" s="35"/>
      <c r="AK448" s="32">
        <v>19050</v>
      </c>
      <c r="AL448" s="32">
        <v>19050</v>
      </c>
      <c r="AM448" s="32">
        <v>19050</v>
      </c>
      <c r="AN448" s="32">
        <v>19050</v>
      </c>
      <c r="AO448" s="32">
        <v>19050</v>
      </c>
      <c r="AP448" s="32">
        <v>19050</v>
      </c>
      <c r="AQ448" s="32"/>
      <c r="AR448" s="32"/>
      <c r="AS448" s="32"/>
      <c r="AT448" s="32"/>
      <c r="AU448" s="32"/>
      <c r="AV448" s="35"/>
      <c r="AW448" s="35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CR448">
        <v>660900</v>
      </c>
      <c r="CS448">
        <v>3</v>
      </c>
    </row>
    <row r="449" spans="1:97" x14ac:dyDescent="0.4">
      <c r="A449" t="s">
        <v>1381</v>
      </c>
      <c r="D449" t="s">
        <v>2370</v>
      </c>
      <c r="E449" t="s">
        <v>2371</v>
      </c>
      <c r="F449" t="s">
        <v>1382</v>
      </c>
      <c r="G449" t="s">
        <v>4236</v>
      </c>
      <c r="H449">
        <v>9087658771</v>
      </c>
      <c r="I449" t="s">
        <v>1383</v>
      </c>
      <c r="J449" t="s">
        <v>2433</v>
      </c>
      <c r="L449" t="s">
        <v>4237</v>
      </c>
      <c r="M449" t="s">
        <v>2715</v>
      </c>
      <c r="N449" t="s">
        <v>4238</v>
      </c>
      <c r="O449" t="s">
        <v>4239</v>
      </c>
      <c r="Q449" t="s">
        <v>2468</v>
      </c>
      <c r="R449" s="30">
        <v>45176</v>
      </c>
      <c r="S449" t="s">
        <v>44</v>
      </c>
      <c r="T449" s="30">
        <v>45828</v>
      </c>
      <c r="U449" s="20">
        <v>114300</v>
      </c>
      <c r="V449" s="31"/>
      <c r="W449" s="31"/>
      <c r="X449" s="31"/>
      <c r="Y449" s="31"/>
      <c r="Z449" s="31">
        <f t="shared" ref="Z449:Z452" si="70">+U449</f>
        <v>114300</v>
      </c>
      <c r="AA449" s="31"/>
      <c r="AB449" s="31"/>
      <c r="AC449" s="31"/>
      <c r="AD449" s="31"/>
      <c r="AE449" s="31"/>
      <c r="AF449" s="31"/>
      <c r="AG449" s="31"/>
      <c r="AH449" s="31"/>
      <c r="AI449" s="32"/>
      <c r="AJ449" s="32"/>
      <c r="AK449" s="32"/>
      <c r="AL449" s="32"/>
      <c r="AM449" s="32">
        <v>19050</v>
      </c>
      <c r="AN449" s="32">
        <v>19050</v>
      </c>
      <c r="AO449" s="32">
        <v>19050</v>
      </c>
      <c r="AP449" s="32">
        <v>19050</v>
      </c>
      <c r="AQ449" s="32">
        <v>19050</v>
      </c>
      <c r="AR449" s="32">
        <v>19050</v>
      </c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CR449">
        <v>952500</v>
      </c>
      <c r="CS449">
        <v>7</v>
      </c>
    </row>
    <row r="450" spans="1:97" x14ac:dyDescent="0.4">
      <c r="A450" t="s">
        <v>1384</v>
      </c>
      <c r="D450" t="s">
        <v>2370</v>
      </c>
      <c r="E450" t="s">
        <v>2371</v>
      </c>
      <c r="F450" t="s">
        <v>1385</v>
      </c>
      <c r="G450" t="s">
        <v>4240</v>
      </c>
      <c r="H450">
        <v>9095827193</v>
      </c>
      <c r="I450" t="s">
        <v>1386</v>
      </c>
      <c r="J450" t="s">
        <v>2433</v>
      </c>
      <c r="L450" t="s">
        <v>4241</v>
      </c>
      <c r="M450" t="s">
        <v>2715</v>
      </c>
      <c r="N450" t="s">
        <v>4242</v>
      </c>
      <c r="O450" t="s">
        <v>4243</v>
      </c>
      <c r="Q450" t="s">
        <v>2468</v>
      </c>
      <c r="R450" s="30">
        <v>45175</v>
      </c>
      <c r="S450" t="s">
        <v>44</v>
      </c>
      <c r="T450" s="30">
        <v>45828</v>
      </c>
      <c r="U450" s="20">
        <v>114300</v>
      </c>
      <c r="V450" s="31"/>
      <c r="W450" s="31"/>
      <c r="X450" s="31"/>
      <c r="Y450" s="31"/>
      <c r="Z450" s="31">
        <f t="shared" si="70"/>
        <v>114300</v>
      </c>
      <c r="AA450" s="31"/>
      <c r="AB450" s="31"/>
      <c r="AC450" s="31"/>
      <c r="AD450" s="31"/>
      <c r="AE450" s="31"/>
      <c r="AF450" s="31"/>
      <c r="AG450" s="31"/>
      <c r="AH450" s="31"/>
      <c r="AI450" s="32"/>
      <c r="AJ450" s="32"/>
      <c r="AK450" s="32"/>
      <c r="AL450" s="32"/>
      <c r="AM450" s="32">
        <v>19050</v>
      </c>
      <c r="AN450" s="32">
        <v>19050</v>
      </c>
      <c r="AO450" s="32">
        <v>19050</v>
      </c>
      <c r="AP450" s="32">
        <v>19050</v>
      </c>
      <c r="AQ450" s="32">
        <v>19050</v>
      </c>
      <c r="AR450" s="32">
        <v>19050</v>
      </c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CR450">
        <v>546600</v>
      </c>
      <c r="CS450">
        <v>7</v>
      </c>
    </row>
    <row r="451" spans="1:97" x14ac:dyDescent="0.4">
      <c r="A451" t="s">
        <v>1387</v>
      </c>
      <c r="D451" t="s">
        <v>2370</v>
      </c>
      <c r="E451" t="s">
        <v>2371</v>
      </c>
      <c r="F451" t="s">
        <v>1388</v>
      </c>
      <c r="G451" t="s">
        <v>4244</v>
      </c>
      <c r="H451">
        <v>9083068014</v>
      </c>
      <c r="I451" t="s">
        <v>1389</v>
      </c>
      <c r="J451" t="s">
        <v>2433</v>
      </c>
      <c r="L451" t="s">
        <v>4245</v>
      </c>
      <c r="M451" t="s">
        <v>2465</v>
      </c>
      <c r="N451" t="s">
        <v>4246</v>
      </c>
      <c r="O451" t="s">
        <v>4247</v>
      </c>
      <c r="Q451" t="s">
        <v>2468</v>
      </c>
      <c r="R451" s="30">
        <v>45176</v>
      </c>
      <c r="S451" t="s">
        <v>44</v>
      </c>
      <c r="T451" s="30">
        <v>45828</v>
      </c>
      <c r="U451" s="20">
        <v>114300</v>
      </c>
      <c r="V451" s="31"/>
      <c r="W451" s="31"/>
      <c r="X451" s="31"/>
      <c r="Y451" s="31"/>
      <c r="Z451" s="31">
        <f t="shared" si="70"/>
        <v>114300</v>
      </c>
      <c r="AA451" s="31"/>
      <c r="AB451" s="31"/>
      <c r="AC451" s="31"/>
      <c r="AD451" s="31"/>
      <c r="AE451" s="31"/>
      <c r="AF451" s="31"/>
      <c r="AG451" s="31"/>
      <c r="AH451" s="31"/>
      <c r="AI451" s="32"/>
      <c r="AJ451" s="32"/>
      <c r="AK451" s="32"/>
      <c r="AL451" s="32"/>
      <c r="AM451" s="32">
        <v>19050</v>
      </c>
      <c r="AN451" s="32">
        <v>19050</v>
      </c>
      <c r="AO451" s="32">
        <v>19050</v>
      </c>
      <c r="AP451" s="32">
        <v>19050</v>
      </c>
      <c r="AQ451" s="32">
        <v>19050</v>
      </c>
      <c r="AR451" s="32">
        <v>19050</v>
      </c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CR451">
        <v>664300</v>
      </c>
      <c r="CS451">
        <v>2</v>
      </c>
    </row>
    <row r="452" spans="1:97" x14ac:dyDescent="0.4">
      <c r="A452" t="s">
        <v>1390</v>
      </c>
      <c r="D452" t="s">
        <v>2370</v>
      </c>
      <c r="E452" t="s">
        <v>2371</v>
      </c>
      <c r="F452" t="s">
        <v>1391</v>
      </c>
      <c r="G452" t="s">
        <v>4248</v>
      </c>
      <c r="H452">
        <v>9099556542</v>
      </c>
      <c r="I452" t="s">
        <v>1392</v>
      </c>
      <c r="J452" t="s">
        <v>2433</v>
      </c>
      <c r="L452" t="s">
        <v>4249</v>
      </c>
      <c r="M452" t="s">
        <v>2518</v>
      </c>
      <c r="N452" t="s">
        <v>4250</v>
      </c>
      <c r="O452" t="s">
        <v>4251</v>
      </c>
      <c r="Q452" t="s">
        <v>2468</v>
      </c>
      <c r="R452" s="30">
        <v>45175</v>
      </c>
      <c r="S452" t="s">
        <v>44</v>
      </c>
      <c r="T452" s="30">
        <v>45828</v>
      </c>
      <c r="U452" s="20">
        <v>114300</v>
      </c>
      <c r="V452" s="31"/>
      <c r="W452" s="31"/>
      <c r="X452" s="31"/>
      <c r="Y452" s="31"/>
      <c r="Z452" s="31">
        <f t="shared" si="70"/>
        <v>114300</v>
      </c>
      <c r="AA452" s="31"/>
      <c r="AB452" s="31"/>
      <c r="AC452" s="31"/>
      <c r="AD452" s="31"/>
      <c r="AE452" s="31"/>
      <c r="AF452" s="31"/>
      <c r="AG452" s="31"/>
      <c r="AH452" s="31"/>
      <c r="AI452" s="32"/>
      <c r="AJ452" s="32"/>
      <c r="AK452" s="32"/>
      <c r="AL452" s="32"/>
      <c r="AM452" s="32">
        <v>19050</v>
      </c>
      <c r="AN452" s="32">
        <v>19050</v>
      </c>
      <c r="AO452" s="32">
        <v>19050</v>
      </c>
      <c r="AP452" s="32">
        <v>19050</v>
      </c>
      <c r="AQ452" s="32">
        <v>19050</v>
      </c>
      <c r="AR452" s="32">
        <v>19050</v>
      </c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CR452">
        <v>762750</v>
      </c>
      <c r="CS452">
        <v>10</v>
      </c>
    </row>
    <row r="453" spans="1:97" x14ac:dyDescent="0.4">
      <c r="A453" t="s">
        <v>1393</v>
      </c>
      <c r="D453" t="s">
        <v>2370</v>
      </c>
      <c r="E453" t="s">
        <v>2371</v>
      </c>
      <c r="F453" t="s">
        <v>1394</v>
      </c>
      <c r="G453" t="s">
        <v>4252</v>
      </c>
      <c r="H453">
        <v>9023141330</v>
      </c>
      <c r="I453" t="s">
        <v>1395</v>
      </c>
      <c r="J453" t="s">
        <v>2433</v>
      </c>
      <c r="L453" t="s">
        <v>4253</v>
      </c>
      <c r="M453" t="s">
        <v>2444</v>
      </c>
      <c r="N453" t="s">
        <v>4254</v>
      </c>
      <c r="O453" t="s">
        <v>4255</v>
      </c>
      <c r="Q453" t="s">
        <v>2468</v>
      </c>
      <c r="R453" s="30">
        <v>45177</v>
      </c>
      <c r="S453" t="s">
        <v>44</v>
      </c>
      <c r="T453" s="30">
        <v>45767</v>
      </c>
      <c r="U453" s="20">
        <v>114300</v>
      </c>
      <c r="V453" s="31"/>
      <c r="W453" s="34"/>
      <c r="X453" s="34">
        <f>+U453</f>
        <v>114300</v>
      </c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2"/>
      <c r="AJ453" s="35"/>
      <c r="AK453" s="32">
        <v>19050</v>
      </c>
      <c r="AL453" s="32">
        <v>19050</v>
      </c>
      <c r="AM453" s="32">
        <v>19050</v>
      </c>
      <c r="AN453" s="32">
        <v>19050</v>
      </c>
      <c r="AO453" s="32">
        <v>19050</v>
      </c>
      <c r="AP453" s="32">
        <v>19050</v>
      </c>
      <c r="AQ453" s="32"/>
      <c r="AR453" s="32"/>
      <c r="AS453" s="32"/>
      <c r="AT453" s="32"/>
      <c r="AU453" s="32"/>
      <c r="AV453" s="35"/>
      <c r="AW453" s="35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CR453">
        <v>806000</v>
      </c>
      <c r="CS453">
        <v>19</v>
      </c>
    </row>
    <row r="454" spans="1:97" s="36" customFormat="1" x14ac:dyDescent="0.4">
      <c r="A454" s="36" t="s">
        <v>4256</v>
      </c>
      <c r="D454" s="36" t="s">
        <v>2370</v>
      </c>
      <c r="E454" s="36" t="s">
        <v>2371</v>
      </c>
      <c r="F454" s="36" t="s">
        <v>4257</v>
      </c>
      <c r="G454" s="36" t="s">
        <v>4258</v>
      </c>
      <c r="H454" s="36">
        <v>9058797957</v>
      </c>
      <c r="I454" s="36" t="s">
        <v>4259</v>
      </c>
      <c r="J454" s="36" t="s">
        <v>2433</v>
      </c>
      <c r="L454" s="36" t="s">
        <v>3625</v>
      </c>
      <c r="M454" s="36" t="s">
        <v>2500</v>
      </c>
      <c r="N454" s="36" t="s">
        <v>4260</v>
      </c>
      <c r="O454" s="36" t="s">
        <v>4261</v>
      </c>
      <c r="Q454" s="36" t="s">
        <v>2468</v>
      </c>
      <c r="R454" s="37">
        <v>45176</v>
      </c>
      <c r="S454" s="36" t="s">
        <v>2503</v>
      </c>
      <c r="T454" s="37">
        <v>45707</v>
      </c>
      <c r="U454" s="37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CR454" s="36">
        <v>474240</v>
      </c>
      <c r="CS454" s="36">
        <v>3</v>
      </c>
    </row>
    <row r="455" spans="1:97" x14ac:dyDescent="0.4">
      <c r="A455" t="s">
        <v>1396</v>
      </c>
      <c r="D455" t="s">
        <v>2370</v>
      </c>
      <c r="E455" t="s">
        <v>2371</v>
      </c>
      <c r="F455" t="s">
        <v>1397</v>
      </c>
      <c r="G455" t="s">
        <v>4262</v>
      </c>
      <c r="H455">
        <v>9054085982</v>
      </c>
      <c r="I455" t="s">
        <v>1398</v>
      </c>
      <c r="J455" t="s">
        <v>2433</v>
      </c>
      <c r="L455" t="s">
        <v>4263</v>
      </c>
      <c r="M455" t="s">
        <v>2518</v>
      </c>
      <c r="N455" t="s">
        <v>4264</v>
      </c>
      <c r="O455" t="s">
        <v>4265</v>
      </c>
      <c r="Q455" t="s">
        <v>2468</v>
      </c>
      <c r="R455" s="30">
        <v>45175</v>
      </c>
      <c r="S455" t="s">
        <v>44</v>
      </c>
      <c r="T455" s="30">
        <v>45828</v>
      </c>
      <c r="U455" s="20">
        <v>114300</v>
      </c>
      <c r="V455" s="31"/>
      <c r="W455" s="31"/>
      <c r="X455" s="31"/>
      <c r="Y455" s="31"/>
      <c r="Z455" s="31">
        <f>+U455</f>
        <v>114300</v>
      </c>
      <c r="AA455" s="31"/>
      <c r="AB455" s="31"/>
      <c r="AC455" s="31"/>
      <c r="AD455" s="31"/>
      <c r="AE455" s="31"/>
      <c r="AF455" s="31"/>
      <c r="AG455" s="31"/>
      <c r="AH455" s="31"/>
      <c r="AI455" s="32"/>
      <c r="AJ455" s="32"/>
      <c r="AK455" s="32"/>
      <c r="AL455" s="32"/>
      <c r="AM455" s="32">
        <v>19050</v>
      </c>
      <c r="AN455" s="32">
        <v>19050</v>
      </c>
      <c r="AO455" s="32">
        <v>19050</v>
      </c>
      <c r="AP455" s="32">
        <v>19050</v>
      </c>
      <c r="AQ455" s="32">
        <v>19050</v>
      </c>
      <c r="AR455" s="32">
        <v>19050</v>
      </c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CR455">
        <v>546600</v>
      </c>
      <c r="CS455">
        <v>2</v>
      </c>
    </row>
    <row r="456" spans="1:97" x14ac:dyDescent="0.4">
      <c r="A456" t="s">
        <v>1399</v>
      </c>
      <c r="D456" t="s">
        <v>2370</v>
      </c>
      <c r="E456" t="s">
        <v>2371</v>
      </c>
      <c r="F456" t="s">
        <v>1400</v>
      </c>
      <c r="G456" t="s">
        <v>4266</v>
      </c>
      <c r="H456">
        <v>8065860997</v>
      </c>
      <c r="I456" t="s">
        <v>1401</v>
      </c>
      <c r="J456" t="s">
        <v>2433</v>
      </c>
      <c r="L456" t="s">
        <v>4267</v>
      </c>
      <c r="M456" t="s">
        <v>2444</v>
      </c>
      <c r="N456" t="s">
        <v>2689</v>
      </c>
      <c r="O456" t="s">
        <v>4268</v>
      </c>
      <c r="Q456" t="s">
        <v>2468</v>
      </c>
      <c r="R456" s="30">
        <v>45175</v>
      </c>
      <c r="S456" t="s">
        <v>25</v>
      </c>
      <c r="T456" s="30">
        <v>45767</v>
      </c>
      <c r="U456">
        <v>59400</v>
      </c>
      <c r="V456" s="34"/>
      <c r="W456" s="34"/>
      <c r="X456" s="34">
        <f t="shared" ref="X456:X457" si="71">+U456</f>
        <v>59400</v>
      </c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5"/>
      <c r="AJ456" s="35"/>
      <c r="AK456" s="32">
        <v>19800</v>
      </c>
      <c r="AL456" s="32">
        <v>19800</v>
      </c>
      <c r="AM456" s="32">
        <v>19800</v>
      </c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CR456">
        <v>810500</v>
      </c>
      <c r="CS456">
        <v>20</v>
      </c>
    </row>
    <row r="457" spans="1:97" x14ac:dyDescent="0.4">
      <c r="A457" t="s">
        <v>1403</v>
      </c>
      <c r="D457" t="s">
        <v>2370</v>
      </c>
      <c r="E457" t="s">
        <v>2371</v>
      </c>
      <c r="F457" t="s">
        <v>1404</v>
      </c>
      <c r="G457" t="s">
        <v>4269</v>
      </c>
      <c r="H457">
        <v>9095475691</v>
      </c>
      <c r="I457" t="s">
        <v>1405</v>
      </c>
      <c r="J457" t="s">
        <v>2433</v>
      </c>
      <c r="L457" t="s">
        <v>4270</v>
      </c>
      <c r="M457" t="s">
        <v>2435</v>
      </c>
      <c r="N457" t="s">
        <v>3927</v>
      </c>
      <c r="O457" t="s">
        <v>4271</v>
      </c>
      <c r="Q457" t="s">
        <v>2468</v>
      </c>
      <c r="R457" s="30">
        <v>45176</v>
      </c>
      <c r="S457" t="s">
        <v>44</v>
      </c>
      <c r="T457" s="30">
        <v>45767</v>
      </c>
      <c r="U457" s="20">
        <v>114300</v>
      </c>
      <c r="V457" s="31"/>
      <c r="W457" s="34"/>
      <c r="X457" s="34">
        <f t="shared" si="71"/>
        <v>114300</v>
      </c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2"/>
      <c r="AJ457" s="35"/>
      <c r="AK457" s="32">
        <v>19050</v>
      </c>
      <c r="AL457" s="32">
        <v>19050</v>
      </c>
      <c r="AM457" s="32">
        <v>19050</v>
      </c>
      <c r="AN457" s="32">
        <v>19050</v>
      </c>
      <c r="AO457" s="32">
        <v>19050</v>
      </c>
      <c r="AP457" s="32">
        <v>19050</v>
      </c>
      <c r="AQ457" s="32"/>
      <c r="AR457" s="32"/>
      <c r="AS457" s="32"/>
      <c r="AT457" s="32"/>
      <c r="AU457" s="32"/>
      <c r="AV457" s="35"/>
      <c r="AW457" s="35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CR457">
        <v>661900</v>
      </c>
      <c r="CS457">
        <v>4</v>
      </c>
    </row>
    <row r="458" spans="1:97" x14ac:dyDescent="0.4">
      <c r="A458" t="s">
        <v>1406</v>
      </c>
      <c r="D458" t="s">
        <v>2370</v>
      </c>
      <c r="E458" t="s">
        <v>2371</v>
      </c>
      <c r="F458" t="s">
        <v>1407</v>
      </c>
      <c r="G458" t="s">
        <v>4272</v>
      </c>
      <c r="H458">
        <v>9017628708</v>
      </c>
      <c r="I458" t="s">
        <v>1408</v>
      </c>
      <c r="J458" t="s">
        <v>2433</v>
      </c>
      <c r="L458" t="s">
        <v>4273</v>
      </c>
      <c r="M458" t="s">
        <v>2492</v>
      </c>
      <c r="N458" t="s">
        <v>4274</v>
      </c>
      <c r="O458" t="s">
        <v>4275</v>
      </c>
      <c r="Q458" t="s">
        <v>2468</v>
      </c>
      <c r="R458" s="30">
        <v>45176</v>
      </c>
      <c r="S458" t="s">
        <v>44</v>
      </c>
      <c r="T458" s="30">
        <v>45828</v>
      </c>
      <c r="U458" s="20">
        <v>114300</v>
      </c>
      <c r="V458" s="31"/>
      <c r="W458" s="31"/>
      <c r="X458" s="31"/>
      <c r="Y458" s="31"/>
      <c r="Z458" s="31">
        <f>+U458</f>
        <v>114300</v>
      </c>
      <c r="AA458" s="31"/>
      <c r="AB458" s="31"/>
      <c r="AC458" s="31"/>
      <c r="AD458" s="31"/>
      <c r="AE458" s="31"/>
      <c r="AF458" s="31"/>
      <c r="AG458" s="31"/>
      <c r="AH458" s="31"/>
      <c r="AI458" s="32"/>
      <c r="AJ458" s="32"/>
      <c r="AK458" s="32"/>
      <c r="AL458" s="32"/>
      <c r="AM458" s="32">
        <v>19050</v>
      </c>
      <c r="AN458" s="32">
        <v>19050</v>
      </c>
      <c r="AO458" s="32">
        <v>19050</v>
      </c>
      <c r="AP458" s="32">
        <v>19050</v>
      </c>
      <c r="AQ458" s="32">
        <v>19050</v>
      </c>
      <c r="AR458" s="32">
        <v>19050</v>
      </c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CR458">
        <v>114300</v>
      </c>
      <c r="CS458">
        <v>1</v>
      </c>
    </row>
    <row r="459" spans="1:97" x14ac:dyDescent="0.4">
      <c r="A459" t="s">
        <v>1409</v>
      </c>
      <c r="D459" t="s">
        <v>2370</v>
      </c>
      <c r="E459" t="s">
        <v>2371</v>
      </c>
      <c r="F459" t="s">
        <v>1410</v>
      </c>
      <c r="G459" t="s">
        <v>4276</v>
      </c>
      <c r="H459">
        <v>648023215</v>
      </c>
      <c r="I459" t="s">
        <v>1411</v>
      </c>
      <c r="J459" t="s">
        <v>2433</v>
      </c>
      <c r="L459" t="s">
        <v>4277</v>
      </c>
      <c r="M459" t="s">
        <v>2435</v>
      </c>
      <c r="N459" t="s">
        <v>4278</v>
      </c>
      <c r="O459" t="s">
        <v>4279</v>
      </c>
      <c r="Q459" t="s">
        <v>2468</v>
      </c>
      <c r="R459" s="30">
        <v>45177</v>
      </c>
      <c r="S459" t="s">
        <v>44</v>
      </c>
      <c r="T459" s="30">
        <v>45767</v>
      </c>
      <c r="U459" s="20">
        <v>114300</v>
      </c>
      <c r="V459" s="31"/>
      <c r="W459" s="34"/>
      <c r="X459" s="34">
        <f>+U459</f>
        <v>114300</v>
      </c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2"/>
      <c r="AJ459" s="35"/>
      <c r="AK459" s="32">
        <v>19050</v>
      </c>
      <c r="AL459" s="32">
        <v>19050</v>
      </c>
      <c r="AM459" s="32">
        <v>19050</v>
      </c>
      <c r="AN459" s="32">
        <v>19050</v>
      </c>
      <c r="AO459" s="32">
        <v>19050</v>
      </c>
      <c r="AP459" s="32">
        <v>19050</v>
      </c>
      <c r="AQ459" s="32"/>
      <c r="AR459" s="32"/>
      <c r="AS459" s="32"/>
      <c r="AT459" s="32"/>
      <c r="AU459" s="32"/>
      <c r="AV459" s="35"/>
      <c r="AW459" s="35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CR459">
        <v>806000</v>
      </c>
      <c r="CS459">
        <v>19</v>
      </c>
    </row>
    <row r="460" spans="1:97" x14ac:dyDescent="0.4">
      <c r="A460" t="s">
        <v>1412</v>
      </c>
      <c r="D460" t="s">
        <v>2370</v>
      </c>
      <c r="E460" t="s">
        <v>2371</v>
      </c>
      <c r="F460" t="s">
        <v>1413</v>
      </c>
      <c r="G460" t="s">
        <v>4280</v>
      </c>
      <c r="H460">
        <v>9069375314</v>
      </c>
      <c r="I460" t="s">
        <v>1414</v>
      </c>
      <c r="J460" t="s">
        <v>2433</v>
      </c>
      <c r="L460" t="s">
        <v>4281</v>
      </c>
      <c r="M460" t="s">
        <v>2518</v>
      </c>
      <c r="N460" t="s">
        <v>4282</v>
      </c>
      <c r="O460" t="s">
        <v>4283</v>
      </c>
      <c r="Q460" t="s">
        <v>4284</v>
      </c>
      <c r="R460" s="30">
        <v>45144</v>
      </c>
      <c r="S460" t="s">
        <v>44</v>
      </c>
      <c r="T460" s="30">
        <v>45828</v>
      </c>
      <c r="U460" s="20">
        <v>114300</v>
      </c>
      <c r="V460" s="31"/>
      <c r="W460" s="31"/>
      <c r="X460" s="31"/>
      <c r="Y460" s="31"/>
      <c r="Z460" s="31">
        <f t="shared" ref="Z460:Z462" si="72">+U460</f>
        <v>114300</v>
      </c>
      <c r="AA460" s="31"/>
      <c r="AB460" s="31"/>
      <c r="AC460" s="31"/>
      <c r="AD460" s="31"/>
      <c r="AE460" s="31"/>
      <c r="AF460" s="31"/>
      <c r="AG460" s="31"/>
      <c r="AH460" s="31"/>
      <c r="AI460" s="32"/>
      <c r="AJ460" s="32"/>
      <c r="AK460" s="32"/>
      <c r="AL460" s="32"/>
      <c r="AM460" s="32">
        <v>19050</v>
      </c>
      <c r="AN460" s="32">
        <v>19050</v>
      </c>
      <c r="AO460" s="32">
        <v>19050</v>
      </c>
      <c r="AP460" s="32">
        <v>19050</v>
      </c>
      <c r="AQ460" s="32">
        <v>19050</v>
      </c>
      <c r="AR460" s="32">
        <v>19050</v>
      </c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CR460">
        <v>546600</v>
      </c>
      <c r="CS460">
        <v>2</v>
      </c>
    </row>
    <row r="461" spans="1:97" x14ac:dyDescent="0.4">
      <c r="A461" t="s">
        <v>1415</v>
      </c>
      <c r="D461" t="s">
        <v>2370</v>
      </c>
      <c r="E461" t="s">
        <v>2371</v>
      </c>
      <c r="F461" t="s">
        <v>1416</v>
      </c>
      <c r="G461" t="s">
        <v>4285</v>
      </c>
      <c r="H461">
        <v>8041109142</v>
      </c>
      <c r="I461" t="s">
        <v>1417</v>
      </c>
      <c r="J461" t="s">
        <v>2433</v>
      </c>
      <c r="L461" t="s">
        <v>4286</v>
      </c>
      <c r="M461" t="s">
        <v>2500</v>
      </c>
      <c r="N461" t="s">
        <v>4287</v>
      </c>
      <c r="O461" t="s">
        <v>4288</v>
      </c>
      <c r="Q461" t="s">
        <v>2468</v>
      </c>
      <c r="R461" s="30">
        <v>45176</v>
      </c>
      <c r="S461" t="s">
        <v>44</v>
      </c>
      <c r="T461" s="30">
        <v>45828</v>
      </c>
      <c r="U461" s="20">
        <v>114300</v>
      </c>
      <c r="V461" s="31"/>
      <c r="W461" s="31"/>
      <c r="X461" s="31"/>
      <c r="Y461" s="31"/>
      <c r="Z461" s="31">
        <f t="shared" si="72"/>
        <v>114300</v>
      </c>
      <c r="AA461" s="31"/>
      <c r="AB461" s="31"/>
      <c r="AC461" s="31"/>
      <c r="AD461" s="31"/>
      <c r="AE461" s="31"/>
      <c r="AF461" s="31"/>
      <c r="AG461" s="31"/>
      <c r="AH461" s="31"/>
      <c r="AI461" s="32"/>
      <c r="AJ461" s="32"/>
      <c r="AK461" s="32"/>
      <c r="AL461" s="32"/>
      <c r="AM461" s="32">
        <v>19050</v>
      </c>
      <c r="AN461" s="32">
        <v>19050</v>
      </c>
      <c r="AO461" s="32">
        <v>19050</v>
      </c>
      <c r="AP461" s="32">
        <v>19050</v>
      </c>
      <c r="AQ461" s="32">
        <v>19050</v>
      </c>
      <c r="AR461" s="32">
        <v>19050</v>
      </c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CR461">
        <v>546600</v>
      </c>
      <c r="CS461">
        <v>4</v>
      </c>
    </row>
    <row r="462" spans="1:97" x14ac:dyDescent="0.4">
      <c r="A462" t="s">
        <v>1418</v>
      </c>
      <c r="D462" t="s">
        <v>2370</v>
      </c>
      <c r="E462" t="s">
        <v>2371</v>
      </c>
      <c r="F462" t="s">
        <v>1419</v>
      </c>
      <c r="G462" t="s">
        <v>4289</v>
      </c>
      <c r="H462">
        <v>9083221436</v>
      </c>
      <c r="I462" t="s">
        <v>1420</v>
      </c>
      <c r="J462" t="s">
        <v>2433</v>
      </c>
      <c r="L462" t="s">
        <v>3198</v>
      </c>
      <c r="M462" t="s">
        <v>2518</v>
      </c>
      <c r="N462" t="s">
        <v>3199</v>
      </c>
      <c r="O462" t="s">
        <v>4290</v>
      </c>
      <c r="Q462" t="s">
        <v>2468</v>
      </c>
      <c r="R462" s="30">
        <v>45174</v>
      </c>
      <c r="S462" t="s">
        <v>44</v>
      </c>
      <c r="T462" s="30">
        <v>45828</v>
      </c>
      <c r="U462" s="20">
        <v>114300</v>
      </c>
      <c r="V462" s="31"/>
      <c r="W462" s="31"/>
      <c r="X462" s="31"/>
      <c r="Y462" s="31"/>
      <c r="Z462" s="31">
        <f t="shared" si="72"/>
        <v>114300</v>
      </c>
      <c r="AA462" s="31"/>
      <c r="AB462" s="31"/>
      <c r="AC462" s="31"/>
      <c r="AD462" s="31"/>
      <c r="AE462" s="31"/>
      <c r="AF462" s="31"/>
      <c r="AG462" s="31"/>
      <c r="AH462" s="31"/>
      <c r="AI462" s="32"/>
      <c r="AJ462" s="32"/>
      <c r="AK462" s="32"/>
      <c r="AL462" s="32"/>
      <c r="AM462" s="32">
        <v>19050</v>
      </c>
      <c r="AN462" s="32">
        <v>19050</v>
      </c>
      <c r="AO462" s="32">
        <v>19050</v>
      </c>
      <c r="AP462" s="32">
        <v>19050</v>
      </c>
      <c r="AQ462" s="32">
        <v>19050</v>
      </c>
      <c r="AR462" s="32">
        <v>19050</v>
      </c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CR462">
        <v>762750</v>
      </c>
      <c r="CS462">
        <v>10</v>
      </c>
    </row>
    <row r="463" spans="1:97" x14ac:dyDescent="0.4">
      <c r="A463" t="s">
        <v>1421</v>
      </c>
      <c r="D463" t="s">
        <v>2370</v>
      </c>
      <c r="E463" t="s">
        <v>2371</v>
      </c>
      <c r="F463" t="s">
        <v>1422</v>
      </c>
      <c r="G463" t="s">
        <v>4291</v>
      </c>
      <c r="H463">
        <v>8058632130</v>
      </c>
      <c r="I463" t="s">
        <v>1423</v>
      </c>
      <c r="J463" t="s">
        <v>2433</v>
      </c>
      <c r="L463" t="s">
        <v>4292</v>
      </c>
      <c r="M463" t="s">
        <v>2500</v>
      </c>
      <c r="N463" t="s">
        <v>4293</v>
      </c>
      <c r="O463" t="s">
        <v>4294</v>
      </c>
      <c r="Q463" t="s">
        <v>2468</v>
      </c>
      <c r="R463" s="30">
        <v>45172</v>
      </c>
      <c r="S463" t="s">
        <v>25</v>
      </c>
      <c r="T463" s="30">
        <v>45767</v>
      </c>
      <c r="U463">
        <v>59400</v>
      </c>
      <c r="V463" s="34"/>
      <c r="W463" s="34"/>
      <c r="X463" s="34">
        <f>+U463</f>
        <v>59400</v>
      </c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5"/>
      <c r="AJ463" s="35"/>
      <c r="AK463" s="32">
        <v>19800</v>
      </c>
      <c r="AL463" s="32">
        <v>19800</v>
      </c>
      <c r="AM463" s="32">
        <v>19800</v>
      </c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CR463">
        <v>809500</v>
      </c>
      <c r="CS463">
        <v>19</v>
      </c>
    </row>
    <row r="464" spans="1:97" x14ac:dyDescent="0.4">
      <c r="A464" t="s">
        <v>1424</v>
      </c>
      <c r="D464" t="s">
        <v>2370</v>
      </c>
      <c r="E464" t="s">
        <v>2371</v>
      </c>
      <c r="F464" t="s">
        <v>1425</v>
      </c>
      <c r="G464" t="s">
        <v>4295</v>
      </c>
      <c r="H464">
        <v>8062103029</v>
      </c>
      <c r="I464" t="s">
        <v>1426</v>
      </c>
      <c r="J464" t="s">
        <v>2433</v>
      </c>
      <c r="L464" t="s">
        <v>2861</v>
      </c>
      <c r="M464" t="s">
        <v>2630</v>
      </c>
      <c r="N464" t="s">
        <v>2862</v>
      </c>
      <c r="O464" t="s">
        <v>4296</v>
      </c>
      <c r="Q464" t="s">
        <v>2468</v>
      </c>
      <c r="R464" s="30">
        <v>45164</v>
      </c>
      <c r="S464" t="s">
        <v>25</v>
      </c>
      <c r="T464" s="30">
        <v>45736</v>
      </c>
      <c r="U464">
        <v>59400</v>
      </c>
      <c r="V464" s="34"/>
      <c r="W464" s="34">
        <f>+U464</f>
        <v>59400</v>
      </c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5"/>
      <c r="AJ464" s="32">
        <v>19800</v>
      </c>
      <c r="AK464" s="32">
        <v>19800</v>
      </c>
      <c r="AL464" s="32">
        <v>19800</v>
      </c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CR464">
        <v>707850</v>
      </c>
      <c r="CS464">
        <v>10</v>
      </c>
    </row>
    <row r="465" spans="1:97" x14ac:dyDescent="0.4">
      <c r="A465" t="s">
        <v>1427</v>
      </c>
      <c r="D465" t="s">
        <v>2370</v>
      </c>
      <c r="E465" t="s">
        <v>2371</v>
      </c>
      <c r="F465" t="s">
        <v>1428</v>
      </c>
      <c r="G465" t="s">
        <v>4297</v>
      </c>
      <c r="H465">
        <v>9096702521</v>
      </c>
      <c r="I465" t="s">
        <v>1429</v>
      </c>
      <c r="J465" t="s">
        <v>2433</v>
      </c>
      <c r="L465" t="s">
        <v>4298</v>
      </c>
      <c r="M465" t="s">
        <v>2444</v>
      </c>
      <c r="N465" t="s">
        <v>4299</v>
      </c>
      <c r="O465" t="s">
        <v>4300</v>
      </c>
      <c r="Q465" t="s">
        <v>2468</v>
      </c>
      <c r="R465" s="30">
        <v>45142</v>
      </c>
      <c r="S465" t="s">
        <v>44</v>
      </c>
      <c r="T465" s="30">
        <v>45767</v>
      </c>
      <c r="U465" s="20">
        <v>114300</v>
      </c>
      <c r="V465" s="31"/>
      <c r="W465" s="34"/>
      <c r="X465" s="34">
        <f t="shared" ref="X465:X468" si="73">+U465</f>
        <v>114300</v>
      </c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2"/>
      <c r="AJ465" s="35"/>
      <c r="AK465" s="32">
        <v>19050</v>
      </c>
      <c r="AL465" s="32">
        <v>19050</v>
      </c>
      <c r="AM465" s="32">
        <v>19050</v>
      </c>
      <c r="AN465" s="32">
        <v>19050</v>
      </c>
      <c r="AO465" s="32">
        <v>19050</v>
      </c>
      <c r="AP465" s="32">
        <v>19050</v>
      </c>
      <c r="AQ465" s="32"/>
      <c r="AR465" s="32"/>
      <c r="AS465" s="32"/>
      <c r="AT465" s="32"/>
      <c r="AU465" s="32"/>
      <c r="AV465" s="35"/>
      <c r="AW465" s="35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CR465">
        <v>973900</v>
      </c>
      <c r="CS465">
        <v>5</v>
      </c>
    </row>
    <row r="466" spans="1:97" x14ac:dyDescent="0.4">
      <c r="A466" t="s">
        <v>1430</v>
      </c>
      <c r="D466" t="s">
        <v>2370</v>
      </c>
      <c r="E466" t="s">
        <v>2371</v>
      </c>
      <c r="F466" t="s">
        <v>1431</v>
      </c>
      <c r="G466" t="s">
        <v>4301</v>
      </c>
      <c r="H466">
        <v>9051530616</v>
      </c>
      <c r="I466" t="s">
        <v>1432</v>
      </c>
      <c r="J466" t="s">
        <v>2433</v>
      </c>
      <c r="L466" t="s">
        <v>4302</v>
      </c>
      <c r="M466" t="s">
        <v>2622</v>
      </c>
      <c r="N466" t="s">
        <v>4303</v>
      </c>
      <c r="O466" s="41">
        <v>38240</v>
      </c>
      <c r="Q466" t="s">
        <v>2468</v>
      </c>
      <c r="R466" s="30">
        <v>45137</v>
      </c>
      <c r="S466" t="s">
        <v>44</v>
      </c>
      <c r="T466" s="30">
        <v>45767</v>
      </c>
      <c r="U466" s="20">
        <v>114300</v>
      </c>
      <c r="V466" s="31"/>
      <c r="W466" s="34"/>
      <c r="X466" s="34">
        <f t="shared" si="73"/>
        <v>114300</v>
      </c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2"/>
      <c r="AJ466" s="35"/>
      <c r="AK466" s="32">
        <v>19050</v>
      </c>
      <c r="AL466" s="32">
        <v>19050</v>
      </c>
      <c r="AM466" s="32">
        <v>19050</v>
      </c>
      <c r="AN466" s="32">
        <v>19050</v>
      </c>
      <c r="AO466" s="32">
        <v>19050</v>
      </c>
      <c r="AP466" s="32">
        <v>19050</v>
      </c>
      <c r="AQ466" s="32"/>
      <c r="AR466" s="32"/>
      <c r="AS466" s="32"/>
      <c r="AT466" s="32"/>
      <c r="AU466" s="32"/>
      <c r="AV466" s="35"/>
      <c r="AW466" s="35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CR466">
        <v>769975</v>
      </c>
      <c r="CS466">
        <v>19</v>
      </c>
    </row>
    <row r="467" spans="1:97" x14ac:dyDescent="0.4">
      <c r="A467" t="s">
        <v>1433</v>
      </c>
      <c r="D467" t="s">
        <v>2370</v>
      </c>
      <c r="E467" t="s">
        <v>2371</v>
      </c>
      <c r="F467" t="s">
        <v>1434</v>
      </c>
      <c r="G467" t="s">
        <v>4304</v>
      </c>
      <c r="H467">
        <v>9071148378</v>
      </c>
      <c r="I467" t="s">
        <v>1435</v>
      </c>
      <c r="J467" t="s">
        <v>2433</v>
      </c>
      <c r="L467" t="s">
        <v>4305</v>
      </c>
      <c r="M467" t="s">
        <v>2444</v>
      </c>
      <c r="N467" t="s">
        <v>4306</v>
      </c>
      <c r="O467" t="s">
        <v>4307</v>
      </c>
      <c r="R467" s="30">
        <v>45134</v>
      </c>
      <c r="S467" t="s">
        <v>44</v>
      </c>
      <c r="T467" s="30">
        <v>45767</v>
      </c>
      <c r="U467" s="20">
        <v>114300</v>
      </c>
      <c r="V467" s="31"/>
      <c r="W467" s="34"/>
      <c r="X467" s="34">
        <f t="shared" si="73"/>
        <v>114300</v>
      </c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2"/>
      <c r="AJ467" s="35"/>
      <c r="AK467" s="32">
        <v>19050</v>
      </c>
      <c r="AL467" s="32">
        <v>19050</v>
      </c>
      <c r="AM467" s="32">
        <v>19050</v>
      </c>
      <c r="AN467" s="32">
        <v>19050</v>
      </c>
      <c r="AO467" s="32">
        <v>19050</v>
      </c>
      <c r="AP467" s="32">
        <v>19050</v>
      </c>
      <c r="AQ467" s="32"/>
      <c r="AR467" s="32"/>
      <c r="AS467" s="32"/>
      <c r="AT467" s="32"/>
      <c r="AU467" s="32"/>
      <c r="AV467" s="35"/>
      <c r="AW467" s="35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CR467">
        <v>702370</v>
      </c>
      <c r="CS467">
        <v>4</v>
      </c>
    </row>
    <row r="468" spans="1:97" x14ac:dyDescent="0.4">
      <c r="A468" t="s">
        <v>1436</v>
      </c>
      <c r="D468" t="s">
        <v>2370</v>
      </c>
      <c r="E468" t="s">
        <v>2371</v>
      </c>
      <c r="F468" t="s">
        <v>1437</v>
      </c>
      <c r="G468" t="s">
        <v>4308</v>
      </c>
      <c r="H468">
        <v>462326806</v>
      </c>
      <c r="I468" t="s">
        <v>1438</v>
      </c>
      <c r="J468" t="s">
        <v>2433</v>
      </c>
      <c r="L468" t="s">
        <v>4309</v>
      </c>
      <c r="M468" t="s">
        <v>2518</v>
      </c>
      <c r="N468" t="s">
        <v>4310</v>
      </c>
      <c r="O468" t="s">
        <v>4311</v>
      </c>
      <c r="Q468" t="s">
        <v>4312</v>
      </c>
      <c r="R468" s="30">
        <v>45108</v>
      </c>
      <c r="S468" t="s">
        <v>44</v>
      </c>
      <c r="T468" s="30">
        <v>45767</v>
      </c>
      <c r="U468" s="20">
        <v>114300</v>
      </c>
      <c r="V468" s="31"/>
      <c r="W468" s="34"/>
      <c r="X468" s="34">
        <f t="shared" si="73"/>
        <v>114300</v>
      </c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2"/>
      <c r="AJ468" s="35"/>
      <c r="AK468" s="32">
        <v>19050</v>
      </c>
      <c r="AL468" s="32">
        <v>19050</v>
      </c>
      <c r="AM468" s="32">
        <v>19050</v>
      </c>
      <c r="AN468" s="32">
        <v>19050</v>
      </c>
      <c r="AO468" s="32">
        <v>19050</v>
      </c>
      <c r="AP468" s="32">
        <v>19050</v>
      </c>
      <c r="AQ468" s="32"/>
      <c r="AR468" s="32"/>
      <c r="AS468" s="32"/>
      <c r="AT468" s="32"/>
      <c r="AU468" s="32"/>
      <c r="AV468" s="35"/>
      <c r="AW468" s="35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CR468">
        <v>806000</v>
      </c>
      <c r="CS468">
        <v>19</v>
      </c>
    </row>
    <row r="469" spans="1:97" x14ac:dyDescent="0.4">
      <c r="A469" t="s">
        <v>1439</v>
      </c>
      <c r="D469" t="s">
        <v>2370</v>
      </c>
      <c r="E469" t="s">
        <v>2371</v>
      </c>
      <c r="F469" t="s">
        <v>1440</v>
      </c>
      <c r="G469" t="s">
        <v>4313</v>
      </c>
      <c r="H469">
        <v>9021273412</v>
      </c>
      <c r="I469" t="s">
        <v>1441</v>
      </c>
      <c r="J469" t="s">
        <v>2433</v>
      </c>
      <c r="L469" t="s">
        <v>4314</v>
      </c>
      <c r="M469" t="s">
        <v>3368</v>
      </c>
      <c r="N469" t="s">
        <v>4315</v>
      </c>
      <c r="O469" t="s">
        <v>4316</v>
      </c>
      <c r="Q469" t="s">
        <v>4312</v>
      </c>
      <c r="R469" s="30">
        <v>45109</v>
      </c>
      <c r="S469" t="s">
        <v>44</v>
      </c>
      <c r="T469" s="30">
        <v>45828</v>
      </c>
      <c r="U469" s="20">
        <v>114300</v>
      </c>
      <c r="V469" s="31"/>
      <c r="W469" s="31"/>
      <c r="X469" s="31"/>
      <c r="Y469" s="31"/>
      <c r="Z469" s="31">
        <f t="shared" ref="Z469:Z471" si="74">+U469</f>
        <v>114300</v>
      </c>
      <c r="AA469" s="31"/>
      <c r="AB469" s="31"/>
      <c r="AC469" s="31"/>
      <c r="AD469" s="31"/>
      <c r="AE469" s="31"/>
      <c r="AF469" s="31"/>
      <c r="AG469" s="31"/>
      <c r="AH469" s="31"/>
      <c r="AI469" s="32"/>
      <c r="AJ469" s="32"/>
      <c r="AK469" s="32"/>
      <c r="AL469" s="32"/>
      <c r="AM469" s="32">
        <v>19050</v>
      </c>
      <c r="AN469" s="32">
        <v>19050</v>
      </c>
      <c r="AO469" s="32">
        <v>19050</v>
      </c>
      <c r="AP469" s="32">
        <v>19050</v>
      </c>
      <c r="AQ469" s="32">
        <v>19050</v>
      </c>
      <c r="AR469" s="32">
        <v>19050</v>
      </c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CR469">
        <v>546600</v>
      </c>
      <c r="CS469">
        <v>2</v>
      </c>
    </row>
    <row r="470" spans="1:97" x14ac:dyDescent="0.4">
      <c r="A470" t="s">
        <v>1442</v>
      </c>
      <c r="D470" t="s">
        <v>2370</v>
      </c>
      <c r="E470" t="s">
        <v>2371</v>
      </c>
      <c r="F470" t="s">
        <v>1443</v>
      </c>
      <c r="G470" t="s">
        <v>4317</v>
      </c>
      <c r="H470">
        <v>9021262201</v>
      </c>
      <c r="I470" t="s">
        <v>1444</v>
      </c>
      <c r="J470" t="s">
        <v>2433</v>
      </c>
      <c r="L470" t="s">
        <v>4318</v>
      </c>
      <c r="M470" t="s">
        <v>3368</v>
      </c>
      <c r="N470" t="s">
        <v>4319</v>
      </c>
      <c r="O470" t="s">
        <v>4320</v>
      </c>
      <c r="Q470" t="s">
        <v>4312</v>
      </c>
      <c r="R470" s="30">
        <v>45116</v>
      </c>
      <c r="S470" t="s">
        <v>44</v>
      </c>
      <c r="T470" s="30">
        <v>45828</v>
      </c>
      <c r="U470" s="20">
        <v>114300</v>
      </c>
      <c r="V470" s="31"/>
      <c r="W470" s="31"/>
      <c r="X470" s="31"/>
      <c r="Y470" s="31"/>
      <c r="Z470" s="31">
        <f t="shared" si="74"/>
        <v>114300</v>
      </c>
      <c r="AA470" s="31"/>
      <c r="AB470" s="31"/>
      <c r="AC470" s="31"/>
      <c r="AD470" s="31"/>
      <c r="AE470" s="31"/>
      <c r="AF470" s="31"/>
      <c r="AG470" s="31"/>
      <c r="AH470" s="31"/>
      <c r="AI470" s="32"/>
      <c r="AJ470" s="32"/>
      <c r="AK470" s="32"/>
      <c r="AL470" s="32"/>
      <c r="AM470" s="32">
        <v>19050</v>
      </c>
      <c r="AN470" s="32">
        <v>19050</v>
      </c>
      <c r="AO470" s="32">
        <v>19050</v>
      </c>
      <c r="AP470" s="32">
        <v>19050</v>
      </c>
      <c r="AQ470" s="32">
        <v>19050</v>
      </c>
      <c r="AR470" s="32">
        <v>19050</v>
      </c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CR470">
        <v>762750</v>
      </c>
      <c r="CS470">
        <v>10</v>
      </c>
    </row>
    <row r="471" spans="1:97" x14ac:dyDescent="0.4">
      <c r="A471" t="s">
        <v>1445</v>
      </c>
      <c r="D471" t="s">
        <v>2370</v>
      </c>
      <c r="E471" t="s">
        <v>2371</v>
      </c>
      <c r="F471" t="s">
        <v>1446</v>
      </c>
      <c r="G471" t="s">
        <v>4321</v>
      </c>
      <c r="H471">
        <v>9064911214</v>
      </c>
      <c r="I471" t="s">
        <v>1447</v>
      </c>
      <c r="J471" t="s">
        <v>2433</v>
      </c>
      <c r="L471" t="s">
        <v>4322</v>
      </c>
      <c r="M471" t="s">
        <v>2444</v>
      </c>
      <c r="N471" t="s">
        <v>4323</v>
      </c>
      <c r="O471" t="s">
        <v>4324</v>
      </c>
      <c r="Q471" t="s">
        <v>2468</v>
      </c>
      <c r="R471" s="30">
        <v>45130</v>
      </c>
      <c r="S471" t="s">
        <v>44</v>
      </c>
      <c r="T471" s="30">
        <v>45828</v>
      </c>
      <c r="U471" s="20">
        <v>114300</v>
      </c>
      <c r="V471" s="31"/>
      <c r="W471" s="31"/>
      <c r="X471" s="31"/>
      <c r="Y471" s="31"/>
      <c r="Z471" s="31">
        <f t="shared" si="74"/>
        <v>114300</v>
      </c>
      <c r="AA471" s="31"/>
      <c r="AB471" s="31"/>
      <c r="AC471" s="31"/>
      <c r="AD471" s="31"/>
      <c r="AE471" s="31"/>
      <c r="AF471" s="31"/>
      <c r="AG471" s="31"/>
      <c r="AH471" s="31"/>
      <c r="AI471" s="32"/>
      <c r="AJ471" s="32"/>
      <c r="AK471" s="32"/>
      <c r="AL471" s="32"/>
      <c r="AM471" s="32">
        <v>19050</v>
      </c>
      <c r="AN471" s="32">
        <v>19050</v>
      </c>
      <c r="AO471" s="32">
        <v>19050</v>
      </c>
      <c r="AP471" s="32">
        <v>19050</v>
      </c>
      <c r="AQ471" s="32">
        <v>19050</v>
      </c>
      <c r="AR471" s="32">
        <v>19050</v>
      </c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CR471">
        <v>546600</v>
      </c>
      <c r="CS471">
        <v>7</v>
      </c>
    </row>
    <row r="472" spans="1:97" x14ac:dyDescent="0.4">
      <c r="A472" t="s">
        <v>1448</v>
      </c>
      <c r="D472" t="s">
        <v>2370</v>
      </c>
      <c r="E472" t="s">
        <v>2371</v>
      </c>
      <c r="F472" t="s">
        <v>1449</v>
      </c>
      <c r="G472" t="s">
        <v>4325</v>
      </c>
      <c r="H472">
        <v>9098135707</v>
      </c>
      <c r="I472" t="s">
        <v>1450</v>
      </c>
      <c r="J472" t="s">
        <v>2433</v>
      </c>
      <c r="L472" t="s">
        <v>4199</v>
      </c>
      <c r="M472" t="s">
        <v>2444</v>
      </c>
      <c r="N472" t="s">
        <v>4326</v>
      </c>
      <c r="O472" t="s">
        <v>4327</v>
      </c>
      <c r="Q472" t="s">
        <v>2468</v>
      </c>
      <c r="R472" s="30">
        <v>45125</v>
      </c>
      <c r="S472" t="s">
        <v>25</v>
      </c>
      <c r="T472" s="30">
        <v>45767</v>
      </c>
      <c r="U472">
        <v>59400</v>
      </c>
      <c r="V472" s="34"/>
      <c r="W472" s="34"/>
      <c r="X472" s="34">
        <f>+U472</f>
        <v>59400</v>
      </c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5"/>
      <c r="AJ472" s="35"/>
      <c r="AK472" s="32">
        <v>19800</v>
      </c>
      <c r="AL472" s="32">
        <v>19800</v>
      </c>
      <c r="AM472" s="32">
        <v>19800</v>
      </c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CR472">
        <v>491700</v>
      </c>
      <c r="CS472">
        <v>7</v>
      </c>
    </row>
    <row r="473" spans="1:97" x14ac:dyDescent="0.4">
      <c r="A473" t="s">
        <v>1451</v>
      </c>
      <c r="D473" t="s">
        <v>2370</v>
      </c>
      <c r="E473" t="s">
        <v>2371</v>
      </c>
      <c r="F473" t="s">
        <v>1452</v>
      </c>
      <c r="G473" t="s">
        <v>4328</v>
      </c>
      <c r="H473">
        <v>9048011324</v>
      </c>
      <c r="I473" t="s">
        <v>1453</v>
      </c>
      <c r="J473" t="s">
        <v>2433</v>
      </c>
      <c r="L473" t="s">
        <v>4329</v>
      </c>
      <c r="M473" t="s">
        <v>2935</v>
      </c>
      <c r="N473" t="s">
        <v>4330</v>
      </c>
      <c r="O473" t="s">
        <v>4331</v>
      </c>
      <c r="Q473" t="s">
        <v>2468</v>
      </c>
      <c r="R473" s="30">
        <v>45124</v>
      </c>
      <c r="S473" t="s">
        <v>44</v>
      </c>
      <c r="T473" s="30">
        <v>45797</v>
      </c>
      <c r="U473" s="20">
        <v>114300</v>
      </c>
      <c r="V473" s="31"/>
      <c r="W473" s="31"/>
      <c r="X473" s="31"/>
      <c r="Y473" s="31">
        <f>+U473</f>
        <v>114300</v>
      </c>
      <c r="Z473" s="31"/>
      <c r="AA473" s="31"/>
      <c r="AB473" s="31"/>
      <c r="AC473" s="31"/>
      <c r="AD473" s="31"/>
      <c r="AE473" s="31"/>
      <c r="AF473" s="31"/>
      <c r="AG473" s="31"/>
      <c r="AH473" s="31"/>
      <c r="AI473" s="32"/>
      <c r="AJ473" s="32"/>
      <c r="AK473" s="32"/>
      <c r="AL473" s="32">
        <v>19050</v>
      </c>
      <c r="AM473" s="32">
        <v>19050</v>
      </c>
      <c r="AN473" s="32">
        <v>19050</v>
      </c>
      <c r="AO473" s="32">
        <v>19050</v>
      </c>
      <c r="AP473" s="32">
        <v>19050</v>
      </c>
      <c r="AQ473" s="32">
        <v>19050</v>
      </c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CR473">
        <v>661900</v>
      </c>
      <c r="CS473">
        <v>4</v>
      </c>
    </row>
    <row r="474" spans="1:97" x14ac:dyDescent="0.4">
      <c r="A474" t="s">
        <v>1456</v>
      </c>
      <c r="D474" t="s">
        <v>2370</v>
      </c>
      <c r="E474" t="s">
        <v>2371</v>
      </c>
      <c r="F474" t="s">
        <v>1457</v>
      </c>
      <c r="G474" t="s">
        <v>4332</v>
      </c>
      <c r="H474">
        <v>9089534350</v>
      </c>
      <c r="I474" t="s">
        <v>1458</v>
      </c>
      <c r="J474" t="s">
        <v>2433</v>
      </c>
      <c r="L474" t="s">
        <v>4333</v>
      </c>
      <c r="M474" t="s">
        <v>3488</v>
      </c>
      <c r="N474" t="s">
        <v>4334</v>
      </c>
      <c r="O474" t="s">
        <v>4335</v>
      </c>
      <c r="Q474" t="s">
        <v>2468</v>
      </c>
      <c r="R474" s="30">
        <v>45122</v>
      </c>
      <c r="S474" t="s">
        <v>44</v>
      </c>
      <c r="T474" s="30">
        <v>45767</v>
      </c>
      <c r="U474" s="20">
        <v>114300</v>
      </c>
      <c r="V474" s="31"/>
      <c r="W474" s="34"/>
      <c r="X474" s="34">
        <f t="shared" ref="X474:X476" si="75">+U474</f>
        <v>114300</v>
      </c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2"/>
      <c r="AJ474" s="35"/>
      <c r="AK474" s="32">
        <v>19050</v>
      </c>
      <c r="AL474" s="32">
        <v>19050</v>
      </c>
      <c r="AM474" s="32">
        <v>19050</v>
      </c>
      <c r="AN474" s="32">
        <v>19050</v>
      </c>
      <c r="AO474" s="32">
        <v>19050</v>
      </c>
      <c r="AP474" s="32">
        <v>19050</v>
      </c>
      <c r="AQ474" s="32"/>
      <c r="AR474" s="32"/>
      <c r="AS474" s="32"/>
      <c r="AT474" s="32"/>
      <c r="AU474" s="32"/>
      <c r="AV474" s="35"/>
      <c r="AW474" s="35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CR474">
        <v>737070</v>
      </c>
      <c r="CS474">
        <v>6</v>
      </c>
    </row>
    <row r="475" spans="1:97" s="36" customFormat="1" x14ac:dyDescent="0.4">
      <c r="A475" s="36" t="s">
        <v>4336</v>
      </c>
      <c r="D475" s="36" t="s">
        <v>2370</v>
      </c>
      <c r="E475" s="36" t="s">
        <v>2371</v>
      </c>
      <c r="F475" s="36" t="s">
        <v>4337</v>
      </c>
      <c r="G475" s="36" t="s">
        <v>4338</v>
      </c>
      <c r="H475" s="36">
        <v>9073945376</v>
      </c>
      <c r="I475" s="36" t="s">
        <v>4339</v>
      </c>
      <c r="J475" s="36" t="s">
        <v>2433</v>
      </c>
      <c r="L475" s="36" t="s">
        <v>4340</v>
      </c>
      <c r="M475" s="36" t="s">
        <v>2715</v>
      </c>
      <c r="N475" s="36" t="s">
        <v>4341</v>
      </c>
      <c r="O475" s="36" t="s">
        <v>4342</v>
      </c>
      <c r="Q475" s="36" t="s">
        <v>2468</v>
      </c>
      <c r="R475" s="37">
        <v>45120</v>
      </c>
      <c r="S475" s="36" t="s">
        <v>3784</v>
      </c>
      <c r="T475" s="37">
        <v>45767</v>
      </c>
      <c r="U475" s="37"/>
      <c r="V475" s="38"/>
      <c r="W475" s="34"/>
      <c r="X475" s="34">
        <f t="shared" si="75"/>
        <v>0</v>
      </c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9"/>
      <c r="AJ475" s="35"/>
      <c r="AK475" s="35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5"/>
      <c r="AW475" s="35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CR475" s="36">
        <v>716582</v>
      </c>
      <c r="CS475" s="36">
        <v>21</v>
      </c>
    </row>
    <row r="476" spans="1:97" x14ac:dyDescent="0.4">
      <c r="A476" t="s">
        <v>1459</v>
      </c>
      <c r="D476" t="s">
        <v>2370</v>
      </c>
      <c r="E476" t="s">
        <v>2371</v>
      </c>
      <c r="F476" t="s">
        <v>1460</v>
      </c>
      <c r="G476" t="s">
        <v>4343</v>
      </c>
      <c r="H476">
        <v>9016835256</v>
      </c>
      <c r="I476" t="s">
        <v>1461</v>
      </c>
      <c r="J476" t="s">
        <v>2433</v>
      </c>
      <c r="L476" t="s">
        <v>4344</v>
      </c>
      <c r="M476" t="s">
        <v>3587</v>
      </c>
      <c r="N476" t="s">
        <v>4345</v>
      </c>
      <c r="O476" t="s">
        <v>4346</v>
      </c>
      <c r="Q476" t="s">
        <v>2468</v>
      </c>
      <c r="R476" s="30">
        <v>45118</v>
      </c>
      <c r="S476" t="s">
        <v>44</v>
      </c>
      <c r="T476" s="30">
        <v>45767</v>
      </c>
      <c r="U476" s="20">
        <v>114300</v>
      </c>
      <c r="V476" s="31"/>
      <c r="W476" s="34"/>
      <c r="X476" s="34">
        <f t="shared" si="75"/>
        <v>114300</v>
      </c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2"/>
      <c r="AJ476" s="35"/>
      <c r="AK476" s="32">
        <v>19050</v>
      </c>
      <c r="AL476" s="32">
        <v>19050</v>
      </c>
      <c r="AM476" s="32">
        <v>19050</v>
      </c>
      <c r="AN476" s="32">
        <v>19050</v>
      </c>
      <c r="AO476" s="32">
        <v>19050</v>
      </c>
      <c r="AP476" s="32">
        <v>19050</v>
      </c>
      <c r="AQ476" s="32"/>
      <c r="AR476" s="32"/>
      <c r="AS476" s="32"/>
      <c r="AT476" s="32"/>
      <c r="AU476" s="32"/>
      <c r="AV476" s="35"/>
      <c r="AW476" s="35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CR476">
        <v>1161900</v>
      </c>
      <c r="CS476">
        <v>11</v>
      </c>
    </row>
    <row r="477" spans="1:97" x14ac:dyDescent="0.4">
      <c r="A477" t="s">
        <v>1462</v>
      </c>
      <c r="D477" t="s">
        <v>2370</v>
      </c>
      <c r="E477" t="s">
        <v>2371</v>
      </c>
      <c r="F477" t="s">
        <v>1463</v>
      </c>
      <c r="G477" t="s">
        <v>4347</v>
      </c>
      <c r="H477">
        <v>9081877120</v>
      </c>
      <c r="I477" t="s">
        <v>1464</v>
      </c>
      <c r="J477" t="s">
        <v>2433</v>
      </c>
      <c r="L477" t="s">
        <v>4348</v>
      </c>
      <c r="M477" t="s">
        <v>2465</v>
      </c>
      <c r="N477" t="s">
        <v>4349</v>
      </c>
      <c r="O477" s="41">
        <v>37488</v>
      </c>
      <c r="Q477" t="s">
        <v>2468</v>
      </c>
      <c r="R477" s="30">
        <v>45113</v>
      </c>
      <c r="S477" t="s">
        <v>44</v>
      </c>
      <c r="T477" s="30">
        <v>45828</v>
      </c>
      <c r="U477" s="20">
        <v>114300</v>
      </c>
      <c r="V477" s="31"/>
      <c r="W477" s="31"/>
      <c r="X477" s="31"/>
      <c r="Y477" s="31"/>
      <c r="Z477" s="31">
        <f t="shared" ref="Z477:Z478" si="76">+U477</f>
        <v>114300</v>
      </c>
      <c r="AA477" s="31"/>
      <c r="AB477" s="31"/>
      <c r="AC477" s="31"/>
      <c r="AD477" s="31"/>
      <c r="AE477" s="31"/>
      <c r="AF477" s="31"/>
      <c r="AG477" s="31"/>
      <c r="AH477" s="31"/>
      <c r="AI477" s="32"/>
      <c r="AJ477" s="32"/>
      <c r="AK477" s="32"/>
      <c r="AL477" s="32"/>
      <c r="AM477" s="32">
        <v>19050</v>
      </c>
      <c r="AN477" s="32">
        <v>19050</v>
      </c>
      <c r="AO477" s="32">
        <v>19050</v>
      </c>
      <c r="AP477" s="32">
        <v>19050</v>
      </c>
      <c r="AQ477" s="32">
        <v>19050</v>
      </c>
      <c r="AR477" s="32">
        <v>19050</v>
      </c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CR477">
        <v>648450</v>
      </c>
      <c r="CS477">
        <v>3</v>
      </c>
    </row>
    <row r="478" spans="1:97" x14ac:dyDescent="0.4">
      <c r="A478" t="s">
        <v>1465</v>
      </c>
      <c r="D478" t="s">
        <v>2370</v>
      </c>
      <c r="E478" t="s">
        <v>2371</v>
      </c>
      <c r="F478" t="s">
        <v>1466</v>
      </c>
      <c r="G478" t="s">
        <v>4350</v>
      </c>
      <c r="H478">
        <v>9058960194</v>
      </c>
      <c r="I478" t="s">
        <v>1467</v>
      </c>
      <c r="J478" t="s">
        <v>2433</v>
      </c>
      <c r="L478" t="s">
        <v>4351</v>
      </c>
      <c r="M478" t="s">
        <v>2460</v>
      </c>
      <c r="N478" t="s">
        <v>4352</v>
      </c>
      <c r="O478" s="33">
        <v>45851</v>
      </c>
      <c r="Q478" t="s">
        <v>2468</v>
      </c>
      <c r="R478" s="30">
        <v>45111</v>
      </c>
      <c r="S478" t="s">
        <v>44</v>
      </c>
      <c r="T478" s="30">
        <v>45828</v>
      </c>
      <c r="U478" s="20">
        <v>114300</v>
      </c>
      <c r="V478" s="31"/>
      <c r="W478" s="31"/>
      <c r="X478" s="31"/>
      <c r="Y478" s="31"/>
      <c r="Z478" s="31">
        <f t="shared" si="76"/>
        <v>114300</v>
      </c>
      <c r="AA478" s="31"/>
      <c r="AB478" s="31"/>
      <c r="AC478" s="31"/>
      <c r="AD478" s="31"/>
      <c r="AE478" s="31"/>
      <c r="AF478" s="31"/>
      <c r="AG478" s="31"/>
      <c r="AH478" s="31"/>
      <c r="AI478" s="32"/>
      <c r="AJ478" s="32"/>
      <c r="AK478" s="32"/>
      <c r="AL478" s="32"/>
      <c r="AM478" s="32">
        <v>19050</v>
      </c>
      <c r="AN478" s="32">
        <v>19050</v>
      </c>
      <c r="AO478" s="32">
        <v>19050</v>
      </c>
      <c r="AP478" s="32">
        <v>19050</v>
      </c>
      <c r="AQ478" s="32">
        <v>19050</v>
      </c>
      <c r="AR478" s="32">
        <v>19050</v>
      </c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CR478">
        <v>705770</v>
      </c>
      <c r="CS478">
        <v>4</v>
      </c>
    </row>
    <row r="479" spans="1:97" x14ac:dyDescent="0.4">
      <c r="A479" t="s">
        <v>1468</v>
      </c>
      <c r="D479" t="s">
        <v>2370</v>
      </c>
      <c r="E479" t="s">
        <v>2371</v>
      </c>
      <c r="F479" t="s">
        <v>1469</v>
      </c>
      <c r="G479" t="s">
        <v>4353</v>
      </c>
      <c r="H479">
        <v>9042615844</v>
      </c>
      <c r="I479" t="s">
        <v>1470</v>
      </c>
      <c r="J479" t="s">
        <v>2433</v>
      </c>
      <c r="L479" t="s">
        <v>4354</v>
      </c>
      <c r="M479" t="s">
        <v>2500</v>
      </c>
      <c r="N479" t="s">
        <v>4355</v>
      </c>
      <c r="O479">
        <v>54</v>
      </c>
      <c r="Q479" t="s">
        <v>2468</v>
      </c>
      <c r="R479" s="30">
        <v>45108</v>
      </c>
      <c r="S479" t="s">
        <v>25</v>
      </c>
      <c r="T479" s="30">
        <v>45767</v>
      </c>
      <c r="U479">
        <v>59400</v>
      </c>
      <c r="V479" s="34"/>
      <c r="W479" s="34"/>
      <c r="X479" s="34">
        <f>+U479</f>
        <v>59400</v>
      </c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5"/>
      <c r="AJ479" s="35"/>
      <c r="AK479" s="32">
        <v>19800</v>
      </c>
      <c r="AL479" s="32">
        <v>19800</v>
      </c>
      <c r="AM479" s="32">
        <v>19800</v>
      </c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CR479">
        <v>959000</v>
      </c>
      <c r="CS479">
        <v>22</v>
      </c>
    </row>
    <row r="480" spans="1:97" x14ac:dyDescent="0.4">
      <c r="A480" t="s">
        <v>1471</v>
      </c>
      <c r="D480" t="s">
        <v>2370</v>
      </c>
      <c r="E480" t="s">
        <v>2371</v>
      </c>
      <c r="F480" t="s">
        <v>1472</v>
      </c>
      <c r="G480" t="s">
        <v>4356</v>
      </c>
      <c r="H480">
        <v>9020004802</v>
      </c>
      <c r="I480" t="s">
        <v>1473</v>
      </c>
      <c r="J480" t="s">
        <v>2433</v>
      </c>
      <c r="L480" t="s">
        <v>4357</v>
      </c>
      <c r="M480" t="s">
        <v>2715</v>
      </c>
      <c r="N480" t="s">
        <v>4358</v>
      </c>
      <c r="O480" t="s">
        <v>4359</v>
      </c>
      <c r="Q480" t="s">
        <v>2468</v>
      </c>
      <c r="R480" s="30">
        <v>45106</v>
      </c>
      <c r="S480" t="s">
        <v>44</v>
      </c>
      <c r="T480" s="30">
        <v>45828</v>
      </c>
      <c r="U480" s="20">
        <v>114300</v>
      </c>
      <c r="V480" s="31"/>
      <c r="W480" s="31"/>
      <c r="X480" s="31"/>
      <c r="Y480" s="31"/>
      <c r="Z480" s="31">
        <f t="shared" ref="Z480:Z483" si="77">+U480</f>
        <v>114300</v>
      </c>
      <c r="AA480" s="31"/>
      <c r="AB480" s="31"/>
      <c r="AC480" s="31"/>
      <c r="AD480" s="31"/>
      <c r="AE480" s="31"/>
      <c r="AF480" s="31"/>
      <c r="AG480" s="31"/>
      <c r="AH480" s="31"/>
      <c r="AI480" s="32"/>
      <c r="AJ480" s="32"/>
      <c r="AK480" s="32"/>
      <c r="AL480" s="32"/>
      <c r="AM480" s="32">
        <v>19050</v>
      </c>
      <c r="AN480" s="32">
        <v>19050</v>
      </c>
      <c r="AO480" s="32">
        <v>19050</v>
      </c>
      <c r="AP480" s="32">
        <v>19050</v>
      </c>
      <c r="AQ480" s="32">
        <v>19050</v>
      </c>
      <c r="AR480" s="32">
        <v>19050</v>
      </c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CR480">
        <v>762750</v>
      </c>
      <c r="CS480">
        <v>10</v>
      </c>
    </row>
    <row r="481" spans="1:97" x14ac:dyDescent="0.4">
      <c r="A481" t="s">
        <v>1474</v>
      </c>
      <c r="D481" t="s">
        <v>2370</v>
      </c>
      <c r="E481" t="s">
        <v>2371</v>
      </c>
      <c r="F481" t="s">
        <v>1475</v>
      </c>
      <c r="G481" t="s">
        <v>4360</v>
      </c>
      <c r="H481">
        <v>9068093957</v>
      </c>
      <c r="I481" t="s">
        <v>1476</v>
      </c>
      <c r="J481" t="s">
        <v>2433</v>
      </c>
      <c r="L481" t="s">
        <v>4361</v>
      </c>
      <c r="M481" t="s">
        <v>2451</v>
      </c>
      <c r="N481" t="s">
        <v>4362</v>
      </c>
      <c r="O481" t="s">
        <v>4363</v>
      </c>
      <c r="Q481" t="s">
        <v>2468</v>
      </c>
      <c r="R481" s="30">
        <v>45099</v>
      </c>
      <c r="S481" t="s">
        <v>44</v>
      </c>
      <c r="T481" s="30">
        <v>45828</v>
      </c>
      <c r="U481" s="20">
        <v>114300</v>
      </c>
      <c r="V481" s="31"/>
      <c r="W481" s="31"/>
      <c r="X481" s="31"/>
      <c r="Y481" s="31"/>
      <c r="Z481" s="31">
        <f t="shared" si="77"/>
        <v>114300</v>
      </c>
      <c r="AA481" s="31"/>
      <c r="AB481" s="31"/>
      <c r="AC481" s="31"/>
      <c r="AD481" s="31"/>
      <c r="AE481" s="31"/>
      <c r="AF481" s="31"/>
      <c r="AG481" s="31"/>
      <c r="AH481" s="31"/>
      <c r="AI481" s="32"/>
      <c r="AJ481" s="32"/>
      <c r="AK481" s="32"/>
      <c r="AL481" s="32"/>
      <c r="AM481" s="32">
        <v>19050</v>
      </c>
      <c r="AN481" s="32">
        <v>19050</v>
      </c>
      <c r="AO481" s="32">
        <v>19050</v>
      </c>
      <c r="AP481" s="32">
        <v>19050</v>
      </c>
      <c r="AQ481" s="32">
        <v>19050</v>
      </c>
      <c r="AR481" s="32">
        <v>19050</v>
      </c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CR481">
        <v>546600</v>
      </c>
      <c r="CS481">
        <v>2</v>
      </c>
    </row>
    <row r="482" spans="1:97" x14ac:dyDescent="0.4">
      <c r="A482" t="s">
        <v>1477</v>
      </c>
      <c r="D482" t="s">
        <v>2370</v>
      </c>
      <c r="E482" t="s">
        <v>2371</v>
      </c>
      <c r="F482" t="s">
        <v>1478</v>
      </c>
      <c r="G482" t="s">
        <v>4364</v>
      </c>
      <c r="H482">
        <v>7013633535</v>
      </c>
      <c r="I482" t="s">
        <v>1479</v>
      </c>
      <c r="J482" t="s">
        <v>2433</v>
      </c>
      <c r="L482" t="s">
        <v>4365</v>
      </c>
      <c r="M482" t="s">
        <v>2483</v>
      </c>
      <c r="N482" t="s">
        <v>4366</v>
      </c>
      <c r="O482" t="s">
        <v>4367</v>
      </c>
      <c r="Q482" t="s">
        <v>2468</v>
      </c>
      <c r="R482" s="30">
        <v>45099</v>
      </c>
      <c r="S482" t="s">
        <v>44</v>
      </c>
      <c r="T482" s="30">
        <v>45828</v>
      </c>
      <c r="U482" s="20">
        <v>114300</v>
      </c>
      <c r="V482" s="31"/>
      <c r="W482" s="31"/>
      <c r="X482" s="31"/>
      <c r="Y482" s="31"/>
      <c r="Z482" s="31">
        <f t="shared" si="77"/>
        <v>114300</v>
      </c>
      <c r="AA482" s="31"/>
      <c r="AB482" s="31"/>
      <c r="AC482" s="31"/>
      <c r="AD482" s="31"/>
      <c r="AE482" s="31"/>
      <c r="AF482" s="31"/>
      <c r="AG482" s="31"/>
      <c r="AH482" s="31"/>
      <c r="AI482" s="32"/>
      <c r="AJ482" s="32"/>
      <c r="AK482" s="32"/>
      <c r="AL482" s="32"/>
      <c r="AM482" s="32">
        <v>19050</v>
      </c>
      <c r="AN482" s="32">
        <v>19050</v>
      </c>
      <c r="AO482" s="32">
        <v>19050</v>
      </c>
      <c r="AP482" s="32">
        <v>19050</v>
      </c>
      <c r="AQ482" s="32">
        <v>19050</v>
      </c>
      <c r="AR482" s="32">
        <v>19050</v>
      </c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CR482">
        <v>762750</v>
      </c>
      <c r="CS482">
        <v>10</v>
      </c>
    </row>
    <row r="483" spans="1:97" x14ac:dyDescent="0.4">
      <c r="A483" t="s">
        <v>1480</v>
      </c>
      <c r="D483" t="s">
        <v>2370</v>
      </c>
      <c r="E483" t="s">
        <v>2371</v>
      </c>
      <c r="F483" t="s">
        <v>1481</v>
      </c>
      <c r="G483" t="s">
        <v>4368</v>
      </c>
      <c r="H483">
        <v>9061735048</v>
      </c>
      <c r="I483" t="s">
        <v>1482</v>
      </c>
      <c r="J483" t="s">
        <v>2433</v>
      </c>
      <c r="L483">
        <v>9061735048</v>
      </c>
      <c r="M483" t="s">
        <v>2444</v>
      </c>
      <c r="N483" t="s">
        <v>4323</v>
      </c>
      <c r="O483" t="s">
        <v>4369</v>
      </c>
      <c r="Q483" t="s">
        <v>2468</v>
      </c>
      <c r="R483" s="30">
        <v>45098</v>
      </c>
      <c r="S483" t="s">
        <v>44</v>
      </c>
      <c r="T483" s="30">
        <v>45828</v>
      </c>
      <c r="U483" s="20">
        <v>114300</v>
      </c>
      <c r="V483" s="31"/>
      <c r="W483" s="31"/>
      <c r="X483" s="31"/>
      <c r="Y483" s="31"/>
      <c r="Z483" s="31">
        <f t="shared" si="77"/>
        <v>114300</v>
      </c>
      <c r="AA483" s="31"/>
      <c r="AB483" s="31"/>
      <c r="AC483" s="31"/>
      <c r="AD483" s="31"/>
      <c r="AE483" s="31"/>
      <c r="AF483" s="31"/>
      <c r="AG483" s="31"/>
      <c r="AH483" s="31"/>
      <c r="AI483" s="32"/>
      <c r="AJ483" s="32"/>
      <c r="AK483" s="32"/>
      <c r="AL483" s="32"/>
      <c r="AM483" s="32">
        <v>19050</v>
      </c>
      <c r="AN483" s="32">
        <v>19050</v>
      </c>
      <c r="AO483" s="32">
        <v>19050</v>
      </c>
      <c r="AP483" s="32">
        <v>19050</v>
      </c>
      <c r="AQ483" s="32">
        <v>19050</v>
      </c>
      <c r="AR483" s="32">
        <v>19050</v>
      </c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CR483">
        <v>661770</v>
      </c>
      <c r="CS483">
        <v>3</v>
      </c>
    </row>
    <row r="484" spans="1:97" x14ac:dyDescent="0.4">
      <c r="A484" t="s">
        <v>1483</v>
      </c>
      <c r="D484" t="s">
        <v>2370</v>
      </c>
      <c r="E484" t="s">
        <v>2371</v>
      </c>
      <c r="F484" t="s">
        <v>1484</v>
      </c>
      <c r="G484" t="s">
        <v>4370</v>
      </c>
      <c r="H484">
        <v>8010566534</v>
      </c>
      <c r="I484" t="s">
        <v>1485</v>
      </c>
      <c r="J484" t="s">
        <v>2433</v>
      </c>
      <c r="L484" t="s">
        <v>4371</v>
      </c>
      <c r="M484" t="s">
        <v>2444</v>
      </c>
      <c r="N484" t="s">
        <v>4372</v>
      </c>
      <c r="O484" t="s">
        <v>4373</v>
      </c>
      <c r="Q484" t="s">
        <v>4312</v>
      </c>
      <c r="R484" s="30">
        <v>45074</v>
      </c>
      <c r="S484" t="s">
        <v>44</v>
      </c>
      <c r="T484" s="30">
        <v>45767</v>
      </c>
      <c r="U484" s="20">
        <v>114300</v>
      </c>
      <c r="V484" s="31"/>
      <c r="W484" s="34"/>
      <c r="X484" s="34">
        <f>+U484</f>
        <v>114300</v>
      </c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2"/>
      <c r="AJ484" s="35"/>
      <c r="AK484" s="32">
        <v>19050</v>
      </c>
      <c r="AL484" s="32">
        <v>19050</v>
      </c>
      <c r="AM484" s="32">
        <v>19050</v>
      </c>
      <c r="AN484" s="32">
        <v>19050</v>
      </c>
      <c r="AO484" s="32">
        <v>19050</v>
      </c>
      <c r="AP484" s="32">
        <v>19050</v>
      </c>
      <c r="AQ484" s="32"/>
      <c r="AR484" s="32"/>
      <c r="AS484" s="32"/>
      <c r="AT484" s="32"/>
      <c r="AU484" s="32"/>
      <c r="AV484" s="35"/>
      <c r="AW484" s="35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CR484">
        <v>661900</v>
      </c>
      <c r="CS484">
        <v>4</v>
      </c>
    </row>
    <row r="485" spans="1:97" x14ac:dyDescent="0.4">
      <c r="A485" t="s">
        <v>1486</v>
      </c>
      <c r="D485" t="s">
        <v>2370</v>
      </c>
      <c r="E485" t="s">
        <v>2371</v>
      </c>
      <c r="F485" t="s">
        <v>1487</v>
      </c>
      <c r="G485" t="s">
        <v>4374</v>
      </c>
      <c r="H485">
        <v>9071030135</v>
      </c>
      <c r="I485" t="s">
        <v>1488</v>
      </c>
      <c r="J485" t="s">
        <v>2433</v>
      </c>
      <c r="L485" t="s">
        <v>4375</v>
      </c>
      <c r="M485" t="s">
        <v>2598</v>
      </c>
      <c r="N485" t="s">
        <v>4376</v>
      </c>
      <c r="O485" t="s">
        <v>4377</v>
      </c>
      <c r="Q485" t="s">
        <v>4312</v>
      </c>
      <c r="R485" s="30">
        <v>45075</v>
      </c>
      <c r="S485" t="s">
        <v>44</v>
      </c>
      <c r="T485" s="30">
        <v>45828</v>
      </c>
      <c r="U485" s="20">
        <v>114300</v>
      </c>
      <c r="V485" s="31"/>
      <c r="W485" s="31"/>
      <c r="X485" s="31"/>
      <c r="Y485" s="31"/>
      <c r="Z485" s="31">
        <f t="shared" ref="Z485:Z487" si="78">+U485</f>
        <v>114300</v>
      </c>
      <c r="AA485" s="31"/>
      <c r="AB485" s="31"/>
      <c r="AC485" s="31"/>
      <c r="AD485" s="31"/>
      <c r="AE485" s="31"/>
      <c r="AF485" s="31"/>
      <c r="AG485" s="31"/>
      <c r="AH485" s="31"/>
      <c r="AI485" s="32"/>
      <c r="AJ485" s="32"/>
      <c r="AK485" s="32"/>
      <c r="AL485" s="32"/>
      <c r="AM485" s="32">
        <v>19050</v>
      </c>
      <c r="AN485" s="32">
        <v>19050</v>
      </c>
      <c r="AO485" s="32">
        <v>19050</v>
      </c>
      <c r="AP485" s="32">
        <v>19050</v>
      </c>
      <c r="AQ485" s="32">
        <v>19050</v>
      </c>
      <c r="AR485" s="32">
        <v>19050</v>
      </c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CR485">
        <v>880450</v>
      </c>
      <c r="CS485">
        <v>11</v>
      </c>
    </row>
    <row r="486" spans="1:97" x14ac:dyDescent="0.4">
      <c r="A486" t="s">
        <v>1489</v>
      </c>
      <c r="D486" t="s">
        <v>2370</v>
      </c>
      <c r="E486" t="s">
        <v>2371</v>
      </c>
      <c r="F486" t="s">
        <v>1490</v>
      </c>
      <c r="G486" t="s">
        <v>4378</v>
      </c>
      <c r="H486">
        <v>8035804384</v>
      </c>
      <c r="I486" t="s">
        <v>1491</v>
      </c>
      <c r="J486" t="s">
        <v>2433</v>
      </c>
      <c r="L486" t="s">
        <v>4379</v>
      </c>
      <c r="M486" t="s">
        <v>2506</v>
      </c>
      <c r="N486" t="s">
        <v>4380</v>
      </c>
      <c r="O486" t="s">
        <v>4381</v>
      </c>
      <c r="Q486" t="s">
        <v>4312</v>
      </c>
      <c r="R486" s="30">
        <v>45075</v>
      </c>
      <c r="S486" t="s">
        <v>44</v>
      </c>
      <c r="T486" s="30">
        <v>45828</v>
      </c>
      <c r="U486" s="20">
        <v>114300</v>
      </c>
      <c r="V486" s="31"/>
      <c r="W486" s="31"/>
      <c r="X486" s="31"/>
      <c r="Y486" s="31"/>
      <c r="Z486" s="31">
        <f t="shared" si="78"/>
        <v>114300</v>
      </c>
      <c r="AA486" s="31"/>
      <c r="AB486" s="31"/>
      <c r="AC486" s="31"/>
      <c r="AD486" s="31"/>
      <c r="AE486" s="31"/>
      <c r="AF486" s="31"/>
      <c r="AG486" s="31"/>
      <c r="AH486" s="31"/>
      <c r="AI486" s="32"/>
      <c r="AJ486" s="32"/>
      <c r="AK486" s="32"/>
      <c r="AL486" s="32"/>
      <c r="AM486" s="32">
        <v>19050</v>
      </c>
      <c r="AN486" s="32">
        <v>19050</v>
      </c>
      <c r="AO486" s="32">
        <v>19050</v>
      </c>
      <c r="AP486" s="32">
        <v>19050</v>
      </c>
      <c r="AQ486" s="32">
        <v>19050</v>
      </c>
      <c r="AR486" s="32">
        <v>19050</v>
      </c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CR486">
        <v>546600</v>
      </c>
      <c r="CS486">
        <v>2</v>
      </c>
    </row>
    <row r="487" spans="1:97" x14ac:dyDescent="0.4">
      <c r="A487" t="s">
        <v>1492</v>
      </c>
      <c r="D487" t="s">
        <v>2370</v>
      </c>
      <c r="E487" t="s">
        <v>2371</v>
      </c>
      <c r="F487" t="s">
        <v>1493</v>
      </c>
      <c r="G487" t="s">
        <v>4382</v>
      </c>
      <c r="H487">
        <v>8036590425</v>
      </c>
      <c r="I487" t="s">
        <v>1494</v>
      </c>
      <c r="J487" t="s">
        <v>2433</v>
      </c>
      <c r="L487" t="s">
        <v>4383</v>
      </c>
      <c r="M487" t="s">
        <v>2500</v>
      </c>
      <c r="N487" t="s">
        <v>4384</v>
      </c>
      <c r="O487" s="41">
        <v>39594</v>
      </c>
      <c r="Q487" t="s">
        <v>4312</v>
      </c>
      <c r="R487" s="30">
        <v>45075</v>
      </c>
      <c r="S487" t="s">
        <v>44</v>
      </c>
      <c r="T487" s="30">
        <v>45828</v>
      </c>
      <c r="U487" s="20">
        <v>114300</v>
      </c>
      <c r="V487" s="31"/>
      <c r="W487" s="31"/>
      <c r="X487" s="31"/>
      <c r="Y487" s="31"/>
      <c r="Z487" s="31">
        <f t="shared" si="78"/>
        <v>114300</v>
      </c>
      <c r="AA487" s="31"/>
      <c r="AB487" s="31"/>
      <c r="AC487" s="31"/>
      <c r="AD487" s="31"/>
      <c r="AE487" s="31"/>
      <c r="AF487" s="31"/>
      <c r="AG487" s="31"/>
      <c r="AH487" s="31"/>
      <c r="AI487" s="32"/>
      <c r="AJ487" s="32"/>
      <c r="AK487" s="32"/>
      <c r="AL487" s="32"/>
      <c r="AM487" s="32">
        <v>19050</v>
      </c>
      <c r="AN487" s="32">
        <v>19050</v>
      </c>
      <c r="AO487" s="32">
        <v>19050</v>
      </c>
      <c r="AP487" s="32">
        <v>19050</v>
      </c>
      <c r="AQ487" s="32">
        <v>19050</v>
      </c>
      <c r="AR487" s="32">
        <v>19050</v>
      </c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CR487">
        <v>546600</v>
      </c>
      <c r="CS487">
        <v>2</v>
      </c>
    </row>
    <row r="488" spans="1:97" x14ac:dyDescent="0.4">
      <c r="A488" t="s">
        <v>1495</v>
      </c>
      <c r="D488" t="s">
        <v>2370</v>
      </c>
      <c r="E488" t="s">
        <v>2371</v>
      </c>
      <c r="F488" t="s">
        <v>1496</v>
      </c>
      <c r="G488" t="s">
        <v>4385</v>
      </c>
      <c r="H488">
        <v>9043672708</v>
      </c>
      <c r="I488" t="s">
        <v>1497</v>
      </c>
      <c r="J488" t="s">
        <v>2433</v>
      </c>
      <c r="L488" t="s">
        <v>3995</v>
      </c>
      <c r="M488" t="s">
        <v>2598</v>
      </c>
      <c r="N488" t="s">
        <v>3782</v>
      </c>
      <c r="O488" t="s">
        <v>4386</v>
      </c>
      <c r="Q488" t="s">
        <v>4312</v>
      </c>
      <c r="R488" s="30">
        <v>45076</v>
      </c>
      <c r="S488" t="s">
        <v>44</v>
      </c>
      <c r="T488" s="30">
        <v>45767</v>
      </c>
      <c r="U488" s="20">
        <v>114300</v>
      </c>
      <c r="V488" s="31"/>
      <c r="W488" s="34"/>
      <c r="X488" s="34">
        <f t="shared" ref="X488:X492" si="79">+U488</f>
        <v>114300</v>
      </c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2"/>
      <c r="AJ488" s="35"/>
      <c r="AK488" s="32">
        <v>19050</v>
      </c>
      <c r="AL488" s="32">
        <v>19050</v>
      </c>
      <c r="AM488" s="32">
        <v>19050</v>
      </c>
      <c r="AN488" s="32">
        <v>19050</v>
      </c>
      <c r="AO488" s="32">
        <v>19050</v>
      </c>
      <c r="AP488" s="32">
        <v>19050</v>
      </c>
      <c r="AQ488" s="32"/>
      <c r="AR488" s="32"/>
      <c r="AS488" s="32"/>
      <c r="AT488" s="32"/>
      <c r="AU488" s="32"/>
      <c r="AV488" s="35"/>
      <c r="AW488" s="35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CR488">
        <v>661900</v>
      </c>
      <c r="CS488">
        <v>4</v>
      </c>
    </row>
    <row r="489" spans="1:97" x14ac:dyDescent="0.4">
      <c r="A489" t="s">
        <v>1498</v>
      </c>
      <c r="D489" t="s">
        <v>2370</v>
      </c>
      <c r="E489" t="s">
        <v>2371</v>
      </c>
      <c r="F489" t="s">
        <v>1499</v>
      </c>
      <c r="G489" t="s">
        <v>4387</v>
      </c>
      <c r="H489">
        <v>9088469982</v>
      </c>
      <c r="I489" t="s">
        <v>1500</v>
      </c>
      <c r="J489" t="s">
        <v>2433</v>
      </c>
      <c r="L489" t="s">
        <v>4388</v>
      </c>
      <c r="M489" t="s">
        <v>2776</v>
      </c>
      <c r="N489" t="s">
        <v>4389</v>
      </c>
      <c r="O489" s="40">
        <v>35065</v>
      </c>
      <c r="Q489" t="s">
        <v>4312</v>
      </c>
      <c r="R489" s="30">
        <v>45078</v>
      </c>
      <c r="S489" t="s">
        <v>44</v>
      </c>
      <c r="T489" s="30">
        <v>45767</v>
      </c>
      <c r="U489" s="20">
        <v>114300</v>
      </c>
      <c r="V489" s="31"/>
      <c r="W489" s="34"/>
      <c r="X489" s="34">
        <f t="shared" si="79"/>
        <v>114300</v>
      </c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2"/>
      <c r="AJ489" s="35"/>
      <c r="AK489" s="32">
        <v>19050</v>
      </c>
      <c r="AL489" s="32">
        <v>19050</v>
      </c>
      <c r="AM489" s="32">
        <v>19050</v>
      </c>
      <c r="AN489" s="32">
        <v>19050</v>
      </c>
      <c r="AO489" s="32">
        <v>19050</v>
      </c>
      <c r="AP489" s="32">
        <v>19050</v>
      </c>
      <c r="AQ489" s="32"/>
      <c r="AR489" s="32"/>
      <c r="AS489" s="32"/>
      <c r="AT489" s="32"/>
      <c r="AU489" s="32"/>
      <c r="AV489" s="35"/>
      <c r="AW489" s="35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CR489">
        <v>660900</v>
      </c>
      <c r="CS489">
        <v>3</v>
      </c>
    </row>
    <row r="490" spans="1:97" x14ac:dyDescent="0.4">
      <c r="A490" t="s">
        <v>1501</v>
      </c>
      <c r="D490" t="s">
        <v>2370</v>
      </c>
      <c r="E490" t="s">
        <v>2371</v>
      </c>
      <c r="F490" t="s">
        <v>1502</v>
      </c>
      <c r="G490" t="s">
        <v>4390</v>
      </c>
      <c r="H490">
        <v>8054428492</v>
      </c>
      <c r="I490" t="s">
        <v>1503</v>
      </c>
      <c r="J490" t="s">
        <v>2433</v>
      </c>
      <c r="L490" t="s">
        <v>4391</v>
      </c>
      <c r="M490" t="s">
        <v>2598</v>
      </c>
      <c r="N490" t="s">
        <v>4392</v>
      </c>
      <c r="O490" t="s">
        <v>4393</v>
      </c>
      <c r="Q490" t="s">
        <v>4394</v>
      </c>
      <c r="R490" s="30">
        <v>45095</v>
      </c>
      <c r="S490" t="s">
        <v>44</v>
      </c>
      <c r="T490" s="30">
        <v>45767</v>
      </c>
      <c r="U490" s="20">
        <v>114300</v>
      </c>
      <c r="V490" s="31"/>
      <c r="W490" s="34"/>
      <c r="X490" s="34">
        <f t="shared" si="79"/>
        <v>114300</v>
      </c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2"/>
      <c r="AJ490" s="35"/>
      <c r="AK490" s="32">
        <v>19050</v>
      </c>
      <c r="AL490" s="32">
        <v>19050</v>
      </c>
      <c r="AM490" s="32">
        <v>19050</v>
      </c>
      <c r="AN490" s="32">
        <v>19050</v>
      </c>
      <c r="AO490" s="32">
        <v>19050</v>
      </c>
      <c r="AP490" s="32">
        <v>19050</v>
      </c>
      <c r="AQ490" s="32"/>
      <c r="AR490" s="32"/>
      <c r="AS490" s="32"/>
      <c r="AT490" s="32"/>
      <c r="AU490" s="32"/>
      <c r="AV490" s="35"/>
      <c r="AW490" s="35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CR490">
        <v>835700</v>
      </c>
      <c r="CS490">
        <v>20</v>
      </c>
    </row>
    <row r="491" spans="1:97" x14ac:dyDescent="0.4">
      <c r="A491" t="s">
        <v>1504</v>
      </c>
      <c r="D491" t="s">
        <v>2370</v>
      </c>
      <c r="E491" t="s">
        <v>2371</v>
      </c>
      <c r="F491" t="s">
        <v>1505</v>
      </c>
      <c r="G491" t="s">
        <v>4395</v>
      </c>
      <c r="H491">
        <v>9050508307</v>
      </c>
      <c r="I491" t="s">
        <v>1506</v>
      </c>
      <c r="J491" t="s">
        <v>2433</v>
      </c>
      <c r="L491" t="s">
        <v>4396</v>
      </c>
      <c r="M491" t="s">
        <v>2630</v>
      </c>
      <c r="N491" t="s">
        <v>4397</v>
      </c>
      <c r="O491">
        <v>83</v>
      </c>
      <c r="Q491" t="s">
        <v>2438</v>
      </c>
      <c r="R491" s="30">
        <v>45084</v>
      </c>
      <c r="S491" t="s">
        <v>44</v>
      </c>
      <c r="T491" s="30">
        <v>45767</v>
      </c>
      <c r="U491" s="20">
        <v>114300</v>
      </c>
      <c r="V491" s="31"/>
      <c r="W491" s="34"/>
      <c r="X491" s="34">
        <f t="shared" si="79"/>
        <v>114300</v>
      </c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2"/>
      <c r="AJ491" s="35"/>
      <c r="AK491" s="32">
        <v>19050</v>
      </c>
      <c r="AL491" s="32">
        <v>19050</v>
      </c>
      <c r="AM491" s="32">
        <v>19050</v>
      </c>
      <c r="AN491" s="32">
        <v>19050</v>
      </c>
      <c r="AO491" s="32">
        <v>19050</v>
      </c>
      <c r="AP491" s="32">
        <v>19050</v>
      </c>
      <c r="AQ491" s="32"/>
      <c r="AR491" s="32"/>
      <c r="AS491" s="32"/>
      <c r="AT491" s="32"/>
      <c r="AU491" s="32"/>
      <c r="AV491" s="35"/>
      <c r="AW491" s="35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CR491">
        <v>661900</v>
      </c>
      <c r="CS491">
        <v>4</v>
      </c>
    </row>
    <row r="492" spans="1:97" x14ac:dyDescent="0.4">
      <c r="A492" t="s">
        <v>1507</v>
      </c>
      <c r="D492" t="s">
        <v>2370</v>
      </c>
      <c r="E492" t="s">
        <v>2371</v>
      </c>
      <c r="F492" t="s">
        <v>1508</v>
      </c>
      <c r="G492" t="s">
        <v>4398</v>
      </c>
      <c r="H492">
        <v>9038318346</v>
      </c>
      <c r="I492" t="s">
        <v>1509</v>
      </c>
      <c r="J492" t="s">
        <v>2433</v>
      </c>
      <c r="L492" t="s">
        <v>4399</v>
      </c>
      <c r="M492" t="s">
        <v>2500</v>
      </c>
      <c r="N492" t="s">
        <v>4400</v>
      </c>
      <c r="O492" t="s">
        <v>4401</v>
      </c>
      <c r="Q492" t="s">
        <v>2438</v>
      </c>
      <c r="R492" s="30">
        <v>45084</v>
      </c>
      <c r="S492" t="s">
        <v>44</v>
      </c>
      <c r="T492" s="30">
        <v>45767</v>
      </c>
      <c r="U492" s="20">
        <v>114300</v>
      </c>
      <c r="V492" s="31"/>
      <c r="W492" s="34"/>
      <c r="X492" s="34">
        <f t="shared" si="79"/>
        <v>114300</v>
      </c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2"/>
      <c r="AJ492" s="35"/>
      <c r="AK492" s="32">
        <v>19050</v>
      </c>
      <c r="AL492" s="32">
        <v>19050</v>
      </c>
      <c r="AM492" s="32">
        <v>19050</v>
      </c>
      <c r="AN492" s="32">
        <v>19050</v>
      </c>
      <c r="AO492" s="32">
        <v>19050</v>
      </c>
      <c r="AP492" s="32">
        <v>19050</v>
      </c>
      <c r="AQ492" s="32"/>
      <c r="AR492" s="32"/>
      <c r="AS492" s="32"/>
      <c r="AT492" s="32"/>
      <c r="AU492" s="32"/>
      <c r="AV492" s="35"/>
      <c r="AW492" s="35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CR492">
        <v>811445</v>
      </c>
      <c r="CS492">
        <v>20</v>
      </c>
    </row>
    <row r="493" spans="1:97" x14ac:dyDescent="0.4">
      <c r="A493" t="s">
        <v>1510</v>
      </c>
      <c r="D493" t="s">
        <v>2370</v>
      </c>
      <c r="E493" t="s">
        <v>2371</v>
      </c>
      <c r="F493" t="s">
        <v>1511</v>
      </c>
      <c r="G493" t="s">
        <v>4402</v>
      </c>
      <c r="H493">
        <v>9051454846</v>
      </c>
      <c r="I493" t="s">
        <v>1512</v>
      </c>
      <c r="J493" t="s">
        <v>2433</v>
      </c>
      <c r="L493" t="s">
        <v>4403</v>
      </c>
      <c r="M493" t="s">
        <v>2919</v>
      </c>
      <c r="N493" t="s">
        <v>4404</v>
      </c>
      <c r="O493" t="s">
        <v>4405</v>
      </c>
      <c r="Q493" t="s">
        <v>2438</v>
      </c>
      <c r="R493" s="30">
        <v>45084</v>
      </c>
      <c r="S493" t="s">
        <v>70</v>
      </c>
      <c r="T493" s="30">
        <v>45736</v>
      </c>
      <c r="U493">
        <v>59400</v>
      </c>
      <c r="V493" s="34"/>
      <c r="W493" s="34">
        <f>+U493</f>
        <v>59400</v>
      </c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5"/>
      <c r="AJ493" s="32">
        <v>19800</v>
      </c>
      <c r="AK493" s="32">
        <v>19800</v>
      </c>
      <c r="AL493" s="32">
        <v>19800</v>
      </c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CR493">
        <v>491700</v>
      </c>
      <c r="CS493">
        <v>2</v>
      </c>
    </row>
    <row r="494" spans="1:97" x14ac:dyDescent="0.4">
      <c r="A494" t="s">
        <v>1513</v>
      </c>
      <c r="D494" t="s">
        <v>2370</v>
      </c>
      <c r="E494" t="s">
        <v>2371</v>
      </c>
      <c r="F494" t="s">
        <v>1514</v>
      </c>
      <c r="G494" t="s">
        <v>4406</v>
      </c>
      <c r="H494">
        <v>9095098323</v>
      </c>
      <c r="I494" t="s">
        <v>1515</v>
      </c>
      <c r="J494" t="s">
        <v>2433</v>
      </c>
      <c r="L494" t="s">
        <v>4407</v>
      </c>
      <c r="M494" t="s">
        <v>2622</v>
      </c>
      <c r="N494" t="s">
        <v>4408</v>
      </c>
      <c r="O494" t="s">
        <v>4409</v>
      </c>
      <c r="Q494" t="s">
        <v>2438</v>
      </c>
      <c r="R494" s="30">
        <v>45084</v>
      </c>
      <c r="S494" t="s">
        <v>44</v>
      </c>
      <c r="T494" s="30">
        <v>45767</v>
      </c>
      <c r="U494" s="20">
        <v>114300</v>
      </c>
      <c r="V494" s="31"/>
      <c r="W494" s="34"/>
      <c r="X494" s="34">
        <f t="shared" ref="X494:X495" si="80">+U494</f>
        <v>114300</v>
      </c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2"/>
      <c r="AJ494" s="35"/>
      <c r="AK494" s="32">
        <v>19050</v>
      </c>
      <c r="AL494" s="32">
        <v>19050</v>
      </c>
      <c r="AM494" s="32">
        <v>19050</v>
      </c>
      <c r="AN494" s="32">
        <v>19050</v>
      </c>
      <c r="AO494" s="32">
        <v>19050</v>
      </c>
      <c r="AP494" s="32">
        <v>19050</v>
      </c>
      <c r="AQ494" s="32"/>
      <c r="AR494" s="32"/>
      <c r="AS494" s="32"/>
      <c r="AT494" s="32"/>
      <c r="AU494" s="32"/>
      <c r="AV494" s="35"/>
      <c r="AW494" s="35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CR494">
        <v>806000</v>
      </c>
      <c r="CS494">
        <v>19</v>
      </c>
    </row>
    <row r="495" spans="1:97" x14ac:dyDescent="0.4">
      <c r="A495" t="s">
        <v>1516</v>
      </c>
      <c r="D495" t="s">
        <v>2370</v>
      </c>
      <c r="E495" t="s">
        <v>2371</v>
      </c>
      <c r="F495" t="s">
        <v>1517</v>
      </c>
      <c r="G495" t="s">
        <v>4410</v>
      </c>
      <c r="H495">
        <v>9041357434</v>
      </c>
      <c r="I495" t="s">
        <v>1518</v>
      </c>
      <c r="J495" t="s">
        <v>2433</v>
      </c>
      <c r="L495" t="s">
        <v>4411</v>
      </c>
      <c r="M495" t="s">
        <v>2518</v>
      </c>
      <c r="N495" t="s">
        <v>4412</v>
      </c>
      <c r="O495" t="s">
        <v>4413</v>
      </c>
      <c r="Q495" t="s">
        <v>2438</v>
      </c>
      <c r="R495" s="30">
        <v>45085</v>
      </c>
      <c r="S495" t="s">
        <v>44</v>
      </c>
      <c r="T495" s="30">
        <v>45767</v>
      </c>
      <c r="U495" s="20">
        <v>114300</v>
      </c>
      <c r="V495" s="31"/>
      <c r="W495" s="34"/>
      <c r="X495" s="34">
        <f t="shared" si="80"/>
        <v>114300</v>
      </c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2"/>
      <c r="AJ495" s="35"/>
      <c r="AK495" s="32">
        <v>19050</v>
      </c>
      <c r="AL495" s="32">
        <v>19050</v>
      </c>
      <c r="AM495" s="32">
        <v>19050</v>
      </c>
      <c r="AN495" s="32">
        <v>19050</v>
      </c>
      <c r="AO495" s="32">
        <v>19050</v>
      </c>
      <c r="AP495" s="32">
        <v>19050</v>
      </c>
      <c r="AQ495" s="32"/>
      <c r="AR495" s="32"/>
      <c r="AS495" s="32"/>
      <c r="AT495" s="32"/>
      <c r="AU495" s="32"/>
      <c r="AV495" s="35"/>
      <c r="AW495" s="35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CR495">
        <v>805000</v>
      </c>
      <c r="CS495">
        <v>18</v>
      </c>
    </row>
    <row r="496" spans="1:97" x14ac:dyDescent="0.4">
      <c r="A496" t="s">
        <v>1519</v>
      </c>
      <c r="D496" t="s">
        <v>2370</v>
      </c>
      <c r="E496" t="s">
        <v>2371</v>
      </c>
      <c r="F496" t="s">
        <v>1520</v>
      </c>
      <c r="G496" t="s">
        <v>4414</v>
      </c>
      <c r="H496">
        <v>9030445700</v>
      </c>
      <c r="I496" t="s">
        <v>1521</v>
      </c>
      <c r="J496" t="s">
        <v>2433</v>
      </c>
      <c r="L496" t="s">
        <v>4415</v>
      </c>
      <c r="M496" t="s">
        <v>2444</v>
      </c>
      <c r="N496" t="s">
        <v>4416</v>
      </c>
      <c r="O496" t="s">
        <v>4417</v>
      </c>
      <c r="Q496" t="s">
        <v>2438</v>
      </c>
      <c r="R496" s="30">
        <v>45085</v>
      </c>
      <c r="S496" t="s">
        <v>44</v>
      </c>
      <c r="T496" s="30">
        <v>45828</v>
      </c>
      <c r="U496" s="20">
        <v>114300</v>
      </c>
      <c r="V496" s="31"/>
      <c r="W496" s="31"/>
      <c r="X496" s="31"/>
      <c r="Y496" s="31"/>
      <c r="Z496" s="31">
        <f>+U496</f>
        <v>114300</v>
      </c>
      <c r="AA496" s="31"/>
      <c r="AB496" s="31"/>
      <c r="AC496" s="31"/>
      <c r="AD496" s="31"/>
      <c r="AE496" s="31"/>
      <c r="AF496" s="31"/>
      <c r="AG496" s="31"/>
      <c r="AH496" s="31"/>
      <c r="AI496" s="32"/>
      <c r="AJ496" s="32"/>
      <c r="AK496" s="32"/>
      <c r="AL496" s="32"/>
      <c r="AM496" s="32">
        <v>19050</v>
      </c>
      <c r="AN496" s="32">
        <v>19050</v>
      </c>
      <c r="AO496" s="32">
        <v>19050</v>
      </c>
      <c r="AP496" s="32">
        <v>19050</v>
      </c>
      <c r="AQ496" s="32">
        <v>19050</v>
      </c>
      <c r="AR496" s="32">
        <v>19050</v>
      </c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CR496">
        <v>703120</v>
      </c>
      <c r="CS496">
        <v>4</v>
      </c>
    </row>
    <row r="497" spans="1:97" x14ac:dyDescent="0.4">
      <c r="A497" t="s">
        <v>1522</v>
      </c>
      <c r="D497" t="s">
        <v>2370</v>
      </c>
      <c r="E497" t="s">
        <v>2371</v>
      </c>
      <c r="F497" t="s">
        <v>1523</v>
      </c>
      <c r="G497" t="s">
        <v>4418</v>
      </c>
      <c r="H497">
        <v>9098274158</v>
      </c>
      <c r="I497" t="s">
        <v>1524</v>
      </c>
      <c r="J497" t="s">
        <v>2433</v>
      </c>
      <c r="L497" t="s">
        <v>4419</v>
      </c>
      <c r="M497" t="s">
        <v>2444</v>
      </c>
      <c r="N497" t="s">
        <v>4420</v>
      </c>
      <c r="O497" s="33">
        <v>45795</v>
      </c>
      <c r="Q497" t="s">
        <v>2438</v>
      </c>
      <c r="R497" s="30">
        <v>45085</v>
      </c>
      <c r="S497" t="s">
        <v>44</v>
      </c>
      <c r="T497" s="30">
        <v>45767</v>
      </c>
      <c r="U497" s="20">
        <v>114300</v>
      </c>
      <c r="V497" s="31"/>
      <c r="W497" s="34"/>
      <c r="X497" s="34">
        <f t="shared" ref="X497:X498" si="81">+U497</f>
        <v>114300</v>
      </c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2"/>
      <c r="AJ497" s="35"/>
      <c r="AK497" s="32">
        <v>19050</v>
      </c>
      <c r="AL497" s="32">
        <v>19050</v>
      </c>
      <c r="AM497" s="32">
        <v>19050</v>
      </c>
      <c r="AN497" s="32">
        <v>19050</v>
      </c>
      <c r="AO497" s="32">
        <v>19050</v>
      </c>
      <c r="AP497" s="32">
        <v>19050</v>
      </c>
      <c r="AQ497" s="32"/>
      <c r="AR497" s="32"/>
      <c r="AS497" s="32"/>
      <c r="AT497" s="32"/>
      <c r="AU497" s="32"/>
      <c r="AV497" s="35"/>
      <c r="AW497" s="35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CR497">
        <v>806000</v>
      </c>
      <c r="CS497">
        <v>19</v>
      </c>
    </row>
    <row r="498" spans="1:97" x14ac:dyDescent="0.4">
      <c r="A498" t="s">
        <v>1525</v>
      </c>
      <c r="D498" t="s">
        <v>2370</v>
      </c>
      <c r="E498" t="s">
        <v>2371</v>
      </c>
      <c r="F498" t="s">
        <v>1526</v>
      </c>
      <c r="G498" t="s">
        <v>4421</v>
      </c>
      <c r="H498">
        <v>9061811029</v>
      </c>
      <c r="I498" t="s">
        <v>1527</v>
      </c>
      <c r="J498" t="s">
        <v>2433</v>
      </c>
      <c r="L498" t="s">
        <v>4422</v>
      </c>
      <c r="M498" t="s">
        <v>2518</v>
      </c>
      <c r="N498" t="s">
        <v>4423</v>
      </c>
      <c r="O498" t="s">
        <v>4424</v>
      </c>
      <c r="Q498" t="s">
        <v>2438</v>
      </c>
      <c r="R498" s="30">
        <v>45085</v>
      </c>
      <c r="S498" t="s">
        <v>44</v>
      </c>
      <c r="T498" s="30">
        <v>45767</v>
      </c>
      <c r="U498" s="20">
        <v>114300</v>
      </c>
      <c r="V498" s="31"/>
      <c r="W498" s="34"/>
      <c r="X498" s="34">
        <f t="shared" si="81"/>
        <v>114300</v>
      </c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2"/>
      <c r="AJ498" s="35"/>
      <c r="AK498" s="32">
        <v>19050</v>
      </c>
      <c r="AL498" s="32">
        <v>19050</v>
      </c>
      <c r="AM498" s="32">
        <v>19050</v>
      </c>
      <c r="AN498" s="32">
        <v>19050</v>
      </c>
      <c r="AO498" s="32">
        <v>19050</v>
      </c>
      <c r="AP498" s="32">
        <v>19050</v>
      </c>
      <c r="AQ498" s="32"/>
      <c r="AR498" s="32"/>
      <c r="AS498" s="32"/>
      <c r="AT498" s="32"/>
      <c r="AU498" s="32"/>
      <c r="AV498" s="35"/>
      <c r="AW498" s="35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CR498">
        <v>703370</v>
      </c>
      <c r="CS498">
        <v>5</v>
      </c>
    </row>
    <row r="499" spans="1:97" x14ac:dyDescent="0.4">
      <c r="A499" t="s">
        <v>1528</v>
      </c>
      <c r="D499" t="s">
        <v>2370</v>
      </c>
      <c r="E499" t="s">
        <v>2371</v>
      </c>
      <c r="F499" t="s">
        <v>1529</v>
      </c>
      <c r="G499" t="s">
        <v>4425</v>
      </c>
      <c r="H499">
        <v>8028163745</v>
      </c>
      <c r="I499" t="s">
        <v>1530</v>
      </c>
      <c r="J499" t="s">
        <v>2433</v>
      </c>
      <c r="L499" t="s">
        <v>4426</v>
      </c>
      <c r="M499" t="s">
        <v>2598</v>
      </c>
      <c r="N499" t="s">
        <v>4427</v>
      </c>
      <c r="O499" t="s">
        <v>4428</v>
      </c>
      <c r="Q499" t="s">
        <v>2438</v>
      </c>
      <c r="R499" s="30">
        <v>45085</v>
      </c>
      <c r="S499" t="s">
        <v>44</v>
      </c>
      <c r="T499" s="30">
        <v>45828</v>
      </c>
      <c r="U499" s="20">
        <v>114300</v>
      </c>
      <c r="V499" s="31"/>
      <c r="W499" s="31"/>
      <c r="X499" s="31"/>
      <c r="Y499" s="31"/>
      <c r="Z499" s="31">
        <f>+U499</f>
        <v>114300</v>
      </c>
      <c r="AA499" s="31"/>
      <c r="AB499" s="31"/>
      <c r="AC499" s="31"/>
      <c r="AD499" s="31"/>
      <c r="AE499" s="31"/>
      <c r="AF499" s="31"/>
      <c r="AG499" s="31"/>
      <c r="AH499" s="31"/>
      <c r="AI499" s="32"/>
      <c r="AJ499" s="32"/>
      <c r="AK499" s="32"/>
      <c r="AL499" s="32"/>
      <c r="AM499" s="32">
        <v>19050</v>
      </c>
      <c r="AN499" s="32">
        <v>19050</v>
      </c>
      <c r="AO499" s="32">
        <v>19050</v>
      </c>
      <c r="AP499" s="32">
        <v>19050</v>
      </c>
      <c r="AQ499" s="32">
        <v>19050</v>
      </c>
      <c r="AR499" s="32">
        <v>19050</v>
      </c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CR499">
        <v>762750</v>
      </c>
      <c r="CS499">
        <v>10</v>
      </c>
    </row>
    <row r="500" spans="1:97" x14ac:dyDescent="0.4">
      <c r="A500" t="s">
        <v>1531</v>
      </c>
      <c r="D500" t="s">
        <v>2370</v>
      </c>
      <c r="E500" t="s">
        <v>2371</v>
      </c>
      <c r="F500" t="s">
        <v>1532</v>
      </c>
      <c r="G500" t="s">
        <v>4429</v>
      </c>
      <c r="H500">
        <v>9060765027</v>
      </c>
      <c r="I500" t="s">
        <v>1533</v>
      </c>
      <c r="J500" t="s">
        <v>2433</v>
      </c>
      <c r="L500" t="s">
        <v>4430</v>
      </c>
      <c r="M500" t="s">
        <v>3194</v>
      </c>
      <c r="N500" t="s">
        <v>3195</v>
      </c>
      <c r="O500" t="s">
        <v>4431</v>
      </c>
      <c r="Q500" t="s">
        <v>2438</v>
      </c>
      <c r="R500" s="30">
        <v>45085</v>
      </c>
      <c r="S500" t="s">
        <v>70</v>
      </c>
      <c r="T500" s="30">
        <v>45736</v>
      </c>
      <c r="U500">
        <v>59400</v>
      </c>
      <c r="V500" s="34"/>
      <c r="W500" s="34">
        <f t="shared" ref="W500:W501" si="82">+U500</f>
        <v>59400</v>
      </c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5"/>
      <c r="AJ500" s="32">
        <v>19800</v>
      </c>
      <c r="AK500" s="32">
        <v>19800</v>
      </c>
      <c r="AL500" s="32">
        <v>19800</v>
      </c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CR500">
        <v>496590</v>
      </c>
      <c r="CS500">
        <v>3</v>
      </c>
    </row>
    <row r="501" spans="1:97" x14ac:dyDescent="0.4">
      <c r="A501" t="s">
        <v>1534</v>
      </c>
      <c r="D501" t="s">
        <v>2370</v>
      </c>
      <c r="E501" t="s">
        <v>2371</v>
      </c>
      <c r="F501" t="s">
        <v>1535</v>
      </c>
      <c r="G501" t="s">
        <v>4432</v>
      </c>
      <c r="H501">
        <v>9094156019</v>
      </c>
      <c r="I501" t="s">
        <v>1536</v>
      </c>
      <c r="J501" t="s">
        <v>2433</v>
      </c>
      <c r="L501" t="s">
        <v>4433</v>
      </c>
      <c r="M501" t="s">
        <v>2935</v>
      </c>
      <c r="N501" t="s">
        <v>4434</v>
      </c>
      <c r="O501" t="s">
        <v>4435</v>
      </c>
      <c r="Q501" t="s">
        <v>2438</v>
      </c>
      <c r="R501" s="30">
        <v>45085</v>
      </c>
      <c r="S501" t="s">
        <v>25</v>
      </c>
      <c r="T501" s="30">
        <v>45736</v>
      </c>
      <c r="U501">
        <v>59400</v>
      </c>
      <c r="V501" s="34"/>
      <c r="W501" s="34">
        <f t="shared" si="82"/>
        <v>59400</v>
      </c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5"/>
      <c r="AJ501" s="32">
        <v>19800</v>
      </c>
      <c r="AK501" s="32">
        <v>19800</v>
      </c>
      <c r="AL501" s="32">
        <v>19800</v>
      </c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CR501">
        <v>533170</v>
      </c>
      <c r="CS501">
        <v>3</v>
      </c>
    </row>
    <row r="502" spans="1:97" x14ac:dyDescent="0.4">
      <c r="A502" t="s">
        <v>1537</v>
      </c>
      <c r="C502" t="s">
        <v>2448</v>
      </c>
      <c r="D502" t="s">
        <v>2370</v>
      </c>
      <c r="E502" t="s">
        <v>2371</v>
      </c>
      <c r="F502" t="s">
        <v>1538</v>
      </c>
      <c r="G502" t="s">
        <v>4436</v>
      </c>
      <c r="H502">
        <v>8030887198</v>
      </c>
      <c r="I502" t="s">
        <v>1539</v>
      </c>
      <c r="J502" t="s">
        <v>2433</v>
      </c>
      <c r="L502" t="s">
        <v>4437</v>
      </c>
      <c r="M502" t="s">
        <v>2444</v>
      </c>
      <c r="N502" t="s">
        <v>3345</v>
      </c>
      <c r="O502" t="s">
        <v>4438</v>
      </c>
      <c r="Q502" t="s">
        <v>2438</v>
      </c>
      <c r="R502" s="30">
        <v>45085</v>
      </c>
      <c r="S502" t="s">
        <v>44</v>
      </c>
      <c r="T502" s="30">
        <v>45767</v>
      </c>
      <c r="U502" s="20">
        <v>114300</v>
      </c>
      <c r="V502" s="31"/>
      <c r="W502" s="34"/>
      <c r="X502" s="34">
        <f t="shared" ref="X502:X503" si="83">+U502</f>
        <v>114300</v>
      </c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2"/>
      <c r="AJ502" s="35"/>
      <c r="AK502" s="32">
        <v>19050</v>
      </c>
      <c r="AL502" s="32">
        <v>19050</v>
      </c>
      <c r="AM502" s="32">
        <v>19050</v>
      </c>
      <c r="AN502" s="32">
        <v>19050</v>
      </c>
      <c r="AO502" s="32">
        <v>19050</v>
      </c>
      <c r="AP502" s="32">
        <v>19050</v>
      </c>
      <c r="AQ502" s="32"/>
      <c r="AR502" s="32"/>
      <c r="AS502" s="32"/>
      <c r="AT502" s="32"/>
      <c r="AU502" s="32"/>
      <c r="AV502" s="35"/>
      <c r="AW502" s="35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CR502">
        <v>270070</v>
      </c>
      <c r="CS502">
        <v>3</v>
      </c>
    </row>
    <row r="503" spans="1:97" x14ac:dyDescent="0.4">
      <c r="A503" t="s">
        <v>1540</v>
      </c>
      <c r="D503" t="s">
        <v>2370</v>
      </c>
      <c r="E503" t="s">
        <v>2371</v>
      </c>
      <c r="F503" t="s">
        <v>1541</v>
      </c>
      <c r="G503" t="s">
        <v>4439</v>
      </c>
      <c r="H503">
        <v>9037049975</v>
      </c>
      <c r="I503" t="s">
        <v>1542</v>
      </c>
      <c r="J503" t="s">
        <v>2433</v>
      </c>
      <c r="L503" t="s">
        <v>4440</v>
      </c>
      <c r="M503" t="s">
        <v>2435</v>
      </c>
      <c r="N503" t="s">
        <v>4441</v>
      </c>
      <c r="O503" t="s">
        <v>4442</v>
      </c>
      <c r="Q503" t="s">
        <v>2438</v>
      </c>
      <c r="R503" s="30">
        <v>45086</v>
      </c>
      <c r="S503" t="s">
        <v>44</v>
      </c>
      <c r="T503" s="30">
        <v>45767</v>
      </c>
      <c r="U503" s="20">
        <v>114300</v>
      </c>
      <c r="V503" s="31"/>
      <c r="W503" s="34"/>
      <c r="X503" s="34">
        <f t="shared" si="83"/>
        <v>114300</v>
      </c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2"/>
      <c r="AJ503" s="35"/>
      <c r="AK503" s="32">
        <v>19050</v>
      </c>
      <c r="AL503" s="32">
        <v>19050</v>
      </c>
      <c r="AM503" s="32">
        <v>19050</v>
      </c>
      <c r="AN503" s="32">
        <v>19050</v>
      </c>
      <c r="AO503" s="32">
        <v>19050</v>
      </c>
      <c r="AP503" s="32">
        <v>19050</v>
      </c>
      <c r="AQ503" s="32"/>
      <c r="AR503" s="32"/>
      <c r="AS503" s="32"/>
      <c r="AT503" s="32"/>
      <c r="AU503" s="32"/>
      <c r="AV503" s="35"/>
      <c r="AW503" s="35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CR503">
        <v>805000</v>
      </c>
      <c r="CS503">
        <v>18</v>
      </c>
    </row>
    <row r="504" spans="1:97" x14ac:dyDescent="0.4">
      <c r="A504" t="s">
        <v>1543</v>
      </c>
      <c r="D504" t="s">
        <v>2370</v>
      </c>
      <c r="E504" t="s">
        <v>2371</v>
      </c>
      <c r="F504" t="s">
        <v>1544</v>
      </c>
      <c r="G504" t="s">
        <v>4443</v>
      </c>
      <c r="H504">
        <v>9083987728</v>
      </c>
      <c r="I504" t="s">
        <v>1545</v>
      </c>
      <c r="J504" t="s">
        <v>2433</v>
      </c>
      <c r="L504" t="s">
        <v>4444</v>
      </c>
      <c r="M504" t="s">
        <v>2715</v>
      </c>
      <c r="N504" t="s">
        <v>4445</v>
      </c>
      <c r="O504" t="s">
        <v>4446</v>
      </c>
      <c r="Q504" t="s">
        <v>2438</v>
      </c>
      <c r="R504" s="30">
        <v>45086</v>
      </c>
      <c r="S504" t="s">
        <v>50</v>
      </c>
      <c r="T504" s="30">
        <v>45828</v>
      </c>
      <c r="U504" s="20">
        <v>114300</v>
      </c>
      <c r="V504" s="31"/>
      <c r="W504" s="31"/>
      <c r="X504" s="31"/>
      <c r="Y504" s="31"/>
      <c r="Z504" s="31">
        <f>+U504</f>
        <v>114300</v>
      </c>
      <c r="AA504" s="31"/>
      <c r="AB504" s="31"/>
      <c r="AC504" s="31"/>
      <c r="AD504" s="31"/>
      <c r="AE504" s="31"/>
      <c r="AF504" s="31"/>
      <c r="AG504" s="31"/>
      <c r="AH504" s="31"/>
      <c r="AI504" s="32"/>
      <c r="AJ504" s="32"/>
      <c r="AK504" s="32"/>
      <c r="AL504" s="32"/>
      <c r="AM504" s="32">
        <v>19050</v>
      </c>
      <c r="AN504" s="32">
        <v>19050</v>
      </c>
      <c r="AO504" s="32">
        <v>19050</v>
      </c>
      <c r="AP504" s="32">
        <v>19050</v>
      </c>
      <c r="AQ504" s="32">
        <v>19050</v>
      </c>
      <c r="AR504" s="32">
        <v>19050</v>
      </c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CR504">
        <v>610500</v>
      </c>
      <c r="CS504">
        <v>9</v>
      </c>
    </row>
    <row r="505" spans="1:97" x14ac:dyDescent="0.4">
      <c r="A505" t="s">
        <v>1546</v>
      </c>
      <c r="D505" t="s">
        <v>2370</v>
      </c>
      <c r="E505" t="s">
        <v>2371</v>
      </c>
      <c r="F505" t="s">
        <v>1547</v>
      </c>
      <c r="G505" t="s">
        <v>4447</v>
      </c>
      <c r="H505">
        <v>9047924596</v>
      </c>
      <c r="I505" t="s">
        <v>1548</v>
      </c>
      <c r="J505" t="s">
        <v>2433</v>
      </c>
      <c r="L505" t="s">
        <v>4448</v>
      </c>
      <c r="M505" t="s">
        <v>2451</v>
      </c>
      <c r="N505" t="s">
        <v>4449</v>
      </c>
      <c r="O505" t="s">
        <v>4450</v>
      </c>
      <c r="Q505" t="s">
        <v>2438</v>
      </c>
      <c r="R505" s="30">
        <v>45086</v>
      </c>
      <c r="S505" t="s">
        <v>44</v>
      </c>
      <c r="T505" s="30">
        <v>45767</v>
      </c>
      <c r="U505" s="20">
        <v>114300</v>
      </c>
      <c r="V505" s="31"/>
      <c r="W505" s="34"/>
      <c r="X505" s="34">
        <f t="shared" ref="X505:X507" si="84">+U505</f>
        <v>114300</v>
      </c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2"/>
      <c r="AJ505" s="35"/>
      <c r="AK505" s="32">
        <v>19050</v>
      </c>
      <c r="AL505" s="32">
        <v>19050</v>
      </c>
      <c r="AM505" s="32">
        <v>19050</v>
      </c>
      <c r="AN505" s="32">
        <v>19050</v>
      </c>
      <c r="AO505" s="32">
        <v>19050</v>
      </c>
      <c r="AP505" s="32">
        <v>19050</v>
      </c>
      <c r="AQ505" s="32"/>
      <c r="AR505" s="32"/>
      <c r="AS505" s="32"/>
      <c r="AT505" s="32"/>
      <c r="AU505" s="32"/>
      <c r="AV505" s="35"/>
      <c r="AW505" s="35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CR505">
        <v>806000</v>
      </c>
      <c r="CS505">
        <v>19</v>
      </c>
    </row>
    <row r="506" spans="1:97" x14ac:dyDescent="0.4">
      <c r="A506" t="s">
        <v>1549</v>
      </c>
      <c r="D506" t="s">
        <v>2370</v>
      </c>
      <c r="E506" t="s">
        <v>2371</v>
      </c>
      <c r="F506" t="s">
        <v>1550</v>
      </c>
      <c r="G506" t="s">
        <v>4451</v>
      </c>
      <c r="H506">
        <v>9053293309</v>
      </c>
      <c r="I506" t="s">
        <v>1551</v>
      </c>
      <c r="J506" t="s">
        <v>2433</v>
      </c>
      <c r="L506" t="s">
        <v>4452</v>
      </c>
      <c r="M506" t="s">
        <v>2444</v>
      </c>
      <c r="N506" t="s">
        <v>4453</v>
      </c>
      <c r="O506" t="s">
        <v>4454</v>
      </c>
      <c r="Q506" t="s">
        <v>2438</v>
      </c>
      <c r="R506" s="30">
        <v>45086</v>
      </c>
      <c r="S506" t="s">
        <v>44</v>
      </c>
      <c r="T506" s="30">
        <v>45767</v>
      </c>
      <c r="U506" s="20">
        <v>114300</v>
      </c>
      <c r="V506" s="31"/>
      <c r="W506" s="34"/>
      <c r="X506" s="34">
        <f t="shared" si="84"/>
        <v>114300</v>
      </c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2"/>
      <c r="AJ506" s="35"/>
      <c r="AK506" s="32">
        <v>19050</v>
      </c>
      <c r="AL506" s="32">
        <v>19050</v>
      </c>
      <c r="AM506" s="32">
        <v>19050</v>
      </c>
      <c r="AN506" s="32">
        <v>19050</v>
      </c>
      <c r="AO506" s="32">
        <v>19050</v>
      </c>
      <c r="AP506" s="32">
        <v>19050</v>
      </c>
      <c r="AQ506" s="32"/>
      <c r="AR506" s="32"/>
      <c r="AS506" s="32"/>
      <c r="AT506" s="32"/>
      <c r="AU506" s="32"/>
      <c r="AV506" s="35"/>
      <c r="AW506" s="35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CR506">
        <v>806000</v>
      </c>
      <c r="CS506">
        <v>19</v>
      </c>
    </row>
    <row r="507" spans="1:97" x14ac:dyDescent="0.4">
      <c r="A507" t="s">
        <v>1552</v>
      </c>
      <c r="D507" t="s">
        <v>2370</v>
      </c>
      <c r="E507" t="s">
        <v>2371</v>
      </c>
      <c r="F507" t="s">
        <v>1553</v>
      </c>
      <c r="G507" t="s">
        <v>4455</v>
      </c>
      <c r="H507">
        <v>9055633125</v>
      </c>
      <c r="I507" t="s">
        <v>1554</v>
      </c>
      <c r="J507" t="s">
        <v>2433</v>
      </c>
      <c r="L507" t="s">
        <v>4456</v>
      </c>
      <c r="M507" t="s">
        <v>2598</v>
      </c>
      <c r="N507" t="s">
        <v>4457</v>
      </c>
      <c r="O507" t="s">
        <v>4458</v>
      </c>
      <c r="Q507" t="s">
        <v>2438</v>
      </c>
      <c r="R507" s="30">
        <v>45086</v>
      </c>
      <c r="S507" t="s">
        <v>44</v>
      </c>
      <c r="T507" s="30">
        <v>45767</v>
      </c>
      <c r="U507" s="20">
        <v>114300</v>
      </c>
      <c r="V507" s="31"/>
      <c r="W507" s="34"/>
      <c r="X507" s="34">
        <f t="shared" si="84"/>
        <v>114300</v>
      </c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2"/>
      <c r="AJ507" s="35"/>
      <c r="AK507" s="32">
        <v>19050</v>
      </c>
      <c r="AL507" s="32">
        <v>19050</v>
      </c>
      <c r="AM507" s="32">
        <v>19050</v>
      </c>
      <c r="AN507" s="32">
        <v>19050</v>
      </c>
      <c r="AO507" s="32">
        <v>19050</v>
      </c>
      <c r="AP507" s="32">
        <v>19050</v>
      </c>
      <c r="AQ507" s="32"/>
      <c r="AR507" s="32"/>
      <c r="AS507" s="32"/>
      <c r="AT507" s="32"/>
      <c r="AU507" s="32"/>
      <c r="AV507" s="35"/>
      <c r="AW507" s="35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CR507">
        <v>661900</v>
      </c>
      <c r="CS507">
        <v>4</v>
      </c>
    </row>
    <row r="508" spans="1:97" x14ac:dyDescent="0.4">
      <c r="A508" t="s">
        <v>1555</v>
      </c>
      <c r="D508" t="s">
        <v>2370</v>
      </c>
      <c r="E508" t="s">
        <v>2371</v>
      </c>
      <c r="F508" t="s">
        <v>1556</v>
      </c>
      <c r="G508" t="s">
        <v>4459</v>
      </c>
      <c r="H508">
        <v>9099462432</v>
      </c>
      <c r="I508" t="s">
        <v>1557</v>
      </c>
      <c r="J508" t="s">
        <v>2433</v>
      </c>
      <c r="L508" t="s">
        <v>4460</v>
      </c>
      <c r="M508" t="s">
        <v>3488</v>
      </c>
      <c r="N508" t="s">
        <v>4461</v>
      </c>
      <c r="O508" s="33">
        <v>45911</v>
      </c>
      <c r="Q508" t="s">
        <v>2438</v>
      </c>
      <c r="R508" s="30">
        <v>45086</v>
      </c>
      <c r="S508" t="s">
        <v>25</v>
      </c>
      <c r="T508" s="30">
        <v>45736</v>
      </c>
      <c r="U508">
        <v>59400</v>
      </c>
      <c r="V508" s="34"/>
      <c r="W508" s="34">
        <f t="shared" ref="W508:W509" si="85">+U508</f>
        <v>59400</v>
      </c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5"/>
      <c r="AJ508" s="32">
        <v>19800</v>
      </c>
      <c r="AK508" s="32">
        <v>19800</v>
      </c>
      <c r="AL508" s="32">
        <v>19800</v>
      </c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CR508">
        <v>491700</v>
      </c>
      <c r="CS508">
        <v>2</v>
      </c>
    </row>
    <row r="509" spans="1:97" x14ac:dyDescent="0.4">
      <c r="A509" t="s">
        <v>1558</v>
      </c>
      <c r="D509" t="s">
        <v>2370</v>
      </c>
      <c r="E509" t="s">
        <v>2371</v>
      </c>
      <c r="F509" t="s">
        <v>1559</v>
      </c>
      <c r="G509" t="s">
        <v>4462</v>
      </c>
      <c r="H509">
        <v>9034634545</v>
      </c>
      <c r="I509" t="s">
        <v>1560</v>
      </c>
      <c r="J509" t="s">
        <v>2433</v>
      </c>
      <c r="L509" t="s">
        <v>4463</v>
      </c>
      <c r="M509" t="s">
        <v>3085</v>
      </c>
      <c r="N509" t="s">
        <v>4464</v>
      </c>
      <c r="O509" t="s">
        <v>4465</v>
      </c>
      <c r="Q509" t="s">
        <v>2438</v>
      </c>
      <c r="R509" s="30">
        <v>45087</v>
      </c>
      <c r="S509" t="s">
        <v>25</v>
      </c>
      <c r="T509" s="30">
        <v>45736</v>
      </c>
      <c r="U509">
        <v>59400</v>
      </c>
      <c r="V509" s="34"/>
      <c r="W509" s="34">
        <f t="shared" si="85"/>
        <v>59400</v>
      </c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5"/>
      <c r="AJ509" s="32">
        <v>19800</v>
      </c>
      <c r="AK509" s="32">
        <v>19800</v>
      </c>
      <c r="AL509" s="32">
        <v>19800</v>
      </c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CR509">
        <v>491700</v>
      </c>
      <c r="CS509">
        <v>2</v>
      </c>
    </row>
    <row r="510" spans="1:97" x14ac:dyDescent="0.4">
      <c r="A510" t="s">
        <v>1561</v>
      </c>
      <c r="D510" t="s">
        <v>2370</v>
      </c>
      <c r="E510" t="s">
        <v>2371</v>
      </c>
      <c r="F510" t="s">
        <v>1562</v>
      </c>
      <c r="G510" t="s">
        <v>4466</v>
      </c>
      <c r="H510">
        <v>9057158431</v>
      </c>
      <c r="I510" t="s">
        <v>1563</v>
      </c>
      <c r="J510" t="s">
        <v>2433</v>
      </c>
      <c r="L510" t="s">
        <v>4467</v>
      </c>
      <c r="M510" t="s">
        <v>2518</v>
      </c>
      <c r="N510" t="s">
        <v>4468</v>
      </c>
      <c r="O510" t="s">
        <v>4469</v>
      </c>
      <c r="Q510" t="s">
        <v>2438</v>
      </c>
      <c r="R510" s="30">
        <v>45087</v>
      </c>
      <c r="S510" t="s">
        <v>44</v>
      </c>
      <c r="T510" s="30">
        <v>45767</v>
      </c>
      <c r="U510" s="20">
        <v>114300</v>
      </c>
      <c r="V510" s="31"/>
      <c r="W510" s="34"/>
      <c r="X510" s="34">
        <f t="shared" ref="X510:X511" si="86">+U510</f>
        <v>114300</v>
      </c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2"/>
      <c r="AJ510" s="35"/>
      <c r="AK510" s="32">
        <v>19050</v>
      </c>
      <c r="AL510" s="32">
        <v>19050</v>
      </c>
      <c r="AM510" s="32">
        <v>19050</v>
      </c>
      <c r="AN510" s="32">
        <v>19050</v>
      </c>
      <c r="AO510" s="32">
        <v>19050</v>
      </c>
      <c r="AP510" s="32">
        <v>19050</v>
      </c>
      <c r="AQ510" s="32"/>
      <c r="AR510" s="32"/>
      <c r="AS510" s="32"/>
      <c r="AT510" s="32"/>
      <c r="AU510" s="32"/>
      <c r="AV510" s="35"/>
      <c r="AW510" s="35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CR510">
        <v>661900</v>
      </c>
      <c r="CS510">
        <v>4</v>
      </c>
    </row>
    <row r="511" spans="1:97" x14ac:dyDescent="0.4">
      <c r="A511" t="s">
        <v>1564</v>
      </c>
      <c r="D511" t="s">
        <v>2370</v>
      </c>
      <c r="E511" t="s">
        <v>2371</v>
      </c>
      <c r="F511" t="s">
        <v>1565</v>
      </c>
      <c r="G511" t="s">
        <v>4470</v>
      </c>
      <c r="H511">
        <v>9056517624</v>
      </c>
      <c r="I511" t="s">
        <v>1566</v>
      </c>
      <c r="J511" t="s">
        <v>2433</v>
      </c>
      <c r="L511" t="s">
        <v>4471</v>
      </c>
      <c r="M511" t="s">
        <v>2435</v>
      </c>
      <c r="N511" t="s">
        <v>4472</v>
      </c>
      <c r="O511" t="s">
        <v>4473</v>
      </c>
      <c r="Q511" t="s">
        <v>2438</v>
      </c>
      <c r="R511" s="30">
        <v>45087</v>
      </c>
      <c r="S511" t="s">
        <v>44</v>
      </c>
      <c r="T511" s="30">
        <v>45767</v>
      </c>
      <c r="U511" s="20">
        <v>114300</v>
      </c>
      <c r="V511" s="31"/>
      <c r="W511" s="34"/>
      <c r="X511" s="34">
        <f t="shared" si="86"/>
        <v>114300</v>
      </c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2"/>
      <c r="AJ511" s="35"/>
      <c r="AK511" s="32">
        <v>19050</v>
      </c>
      <c r="AL511" s="32">
        <v>19050</v>
      </c>
      <c r="AM511" s="32">
        <v>19050</v>
      </c>
      <c r="AN511" s="32">
        <v>19050</v>
      </c>
      <c r="AO511" s="32">
        <v>19050</v>
      </c>
      <c r="AP511" s="32">
        <v>19050</v>
      </c>
      <c r="AQ511" s="32"/>
      <c r="AR511" s="32"/>
      <c r="AS511" s="32"/>
      <c r="AT511" s="32"/>
      <c r="AU511" s="32"/>
      <c r="AV511" s="35"/>
      <c r="AW511" s="35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CR511">
        <v>661900</v>
      </c>
      <c r="CS511">
        <v>4</v>
      </c>
    </row>
    <row r="512" spans="1:97" x14ac:dyDescent="0.4">
      <c r="A512" t="s">
        <v>1567</v>
      </c>
      <c r="D512" t="s">
        <v>2370</v>
      </c>
      <c r="E512" t="s">
        <v>2371</v>
      </c>
      <c r="F512" t="s">
        <v>1568</v>
      </c>
      <c r="G512" t="s">
        <v>4474</v>
      </c>
      <c r="H512">
        <v>8054848533</v>
      </c>
      <c r="I512" t="s">
        <v>1569</v>
      </c>
      <c r="J512" t="s">
        <v>2433</v>
      </c>
      <c r="L512" t="s">
        <v>4475</v>
      </c>
      <c r="M512" t="s">
        <v>2518</v>
      </c>
      <c r="N512" t="s">
        <v>4476</v>
      </c>
      <c r="O512" t="s">
        <v>4477</v>
      </c>
      <c r="Q512" t="s">
        <v>2438</v>
      </c>
      <c r="R512" s="30">
        <v>45087</v>
      </c>
      <c r="S512" t="s">
        <v>44</v>
      </c>
      <c r="T512" s="30">
        <v>45828</v>
      </c>
      <c r="U512" s="20">
        <v>114300</v>
      </c>
      <c r="V512" s="31"/>
      <c r="W512" s="31"/>
      <c r="X512" s="31"/>
      <c r="Y512" s="31"/>
      <c r="Z512" s="31">
        <f>+U512</f>
        <v>114300</v>
      </c>
      <c r="AA512" s="31"/>
      <c r="AB512" s="31"/>
      <c r="AC512" s="31"/>
      <c r="AD512" s="31"/>
      <c r="AE512" s="31"/>
      <c r="AF512" s="31"/>
      <c r="AG512" s="31"/>
      <c r="AH512" s="31"/>
      <c r="AI512" s="32"/>
      <c r="AJ512" s="32"/>
      <c r="AK512" s="32"/>
      <c r="AL512" s="32"/>
      <c r="AM512" s="32">
        <v>19050</v>
      </c>
      <c r="AN512" s="32">
        <v>19050</v>
      </c>
      <c r="AO512" s="32">
        <v>19050</v>
      </c>
      <c r="AP512" s="32">
        <v>19050</v>
      </c>
      <c r="AQ512" s="32">
        <v>19050</v>
      </c>
      <c r="AR512" s="32">
        <v>19050</v>
      </c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CR512">
        <v>546600</v>
      </c>
      <c r="CS512">
        <v>2</v>
      </c>
    </row>
    <row r="513" spans="1:97" x14ac:dyDescent="0.4">
      <c r="A513" t="s">
        <v>1570</v>
      </c>
      <c r="D513" t="s">
        <v>2370</v>
      </c>
      <c r="E513" t="s">
        <v>2371</v>
      </c>
      <c r="F513" t="s">
        <v>1571</v>
      </c>
      <c r="G513" t="s">
        <v>4478</v>
      </c>
      <c r="H513">
        <v>9089458318</v>
      </c>
      <c r="I513" t="s">
        <v>1572</v>
      </c>
      <c r="J513" t="s">
        <v>2433</v>
      </c>
      <c r="L513" t="s">
        <v>4479</v>
      </c>
      <c r="M513" t="s">
        <v>2518</v>
      </c>
      <c r="N513" t="s">
        <v>4480</v>
      </c>
      <c r="O513" t="s">
        <v>4481</v>
      </c>
      <c r="Q513" t="s">
        <v>2438</v>
      </c>
      <c r="R513" s="30">
        <v>45087</v>
      </c>
      <c r="S513" t="s">
        <v>44</v>
      </c>
      <c r="T513" s="30">
        <v>45767</v>
      </c>
      <c r="U513" s="20">
        <v>114300</v>
      </c>
      <c r="V513" s="31"/>
      <c r="W513" s="34"/>
      <c r="X513" s="34">
        <f>+U513</f>
        <v>114300</v>
      </c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2"/>
      <c r="AJ513" s="35"/>
      <c r="AK513" s="32">
        <v>19050</v>
      </c>
      <c r="AL513" s="32">
        <v>19050</v>
      </c>
      <c r="AM513" s="32">
        <v>19050</v>
      </c>
      <c r="AN513" s="32">
        <v>19050</v>
      </c>
      <c r="AO513" s="32">
        <v>19050</v>
      </c>
      <c r="AP513" s="32">
        <v>19050</v>
      </c>
      <c r="AQ513" s="32"/>
      <c r="AR513" s="32"/>
      <c r="AS513" s="32"/>
      <c r="AT513" s="32"/>
      <c r="AU513" s="32"/>
      <c r="AV513" s="35"/>
      <c r="AW513" s="35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CR513">
        <v>806000</v>
      </c>
      <c r="CS513">
        <v>19</v>
      </c>
    </row>
    <row r="514" spans="1:97" s="36" customFormat="1" x14ac:dyDescent="0.4">
      <c r="A514" s="36" t="s">
        <v>1574</v>
      </c>
      <c r="D514" s="36" t="s">
        <v>2370</v>
      </c>
      <c r="E514" s="36" t="s">
        <v>2371</v>
      </c>
      <c r="F514" s="36" t="s">
        <v>1575</v>
      </c>
      <c r="G514" s="36" t="s">
        <v>4482</v>
      </c>
      <c r="H514" s="36">
        <v>9072324231</v>
      </c>
      <c r="I514" s="36" t="s">
        <v>1576</v>
      </c>
      <c r="J514" s="36" t="s">
        <v>2433</v>
      </c>
      <c r="L514" s="36" t="s">
        <v>4483</v>
      </c>
      <c r="M514" s="36" t="s">
        <v>2518</v>
      </c>
      <c r="N514" s="36" t="s">
        <v>4484</v>
      </c>
      <c r="O514" s="36" t="s">
        <v>4485</v>
      </c>
      <c r="Q514" s="36" t="s">
        <v>2438</v>
      </c>
      <c r="R514" s="37">
        <v>45087</v>
      </c>
      <c r="S514" s="36" t="s">
        <v>3191</v>
      </c>
      <c r="T514" s="37">
        <v>45736</v>
      </c>
      <c r="U514" s="37"/>
      <c r="V514" s="38"/>
      <c r="W514" s="34">
        <f>+U514</f>
        <v>0</v>
      </c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9"/>
      <c r="AJ514" s="35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5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CR514" s="36">
        <v>491700</v>
      </c>
      <c r="CS514" s="36">
        <v>2</v>
      </c>
    </row>
    <row r="515" spans="1:97" x14ac:dyDescent="0.4">
      <c r="A515" t="s">
        <v>1577</v>
      </c>
      <c r="D515" t="s">
        <v>2370</v>
      </c>
      <c r="E515" t="s">
        <v>2371</v>
      </c>
      <c r="F515" t="s">
        <v>1578</v>
      </c>
      <c r="G515" t="s">
        <v>4486</v>
      </c>
      <c r="H515">
        <v>9074175411</v>
      </c>
      <c r="I515" t="s">
        <v>1579</v>
      </c>
      <c r="J515" t="s">
        <v>2433</v>
      </c>
      <c r="L515" t="s">
        <v>4487</v>
      </c>
      <c r="M515" t="s">
        <v>2676</v>
      </c>
      <c r="N515" t="s">
        <v>4488</v>
      </c>
      <c r="O515" s="40">
        <v>32540</v>
      </c>
      <c r="Q515" t="s">
        <v>2438</v>
      </c>
      <c r="R515" s="30">
        <v>45087</v>
      </c>
      <c r="S515" t="s">
        <v>44</v>
      </c>
      <c r="T515" s="30">
        <v>45828</v>
      </c>
      <c r="U515" s="20">
        <v>114300</v>
      </c>
      <c r="V515" s="31"/>
      <c r="W515" s="31"/>
      <c r="X515" s="31"/>
      <c r="Y515" s="31"/>
      <c r="Z515" s="31">
        <f>+U515</f>
        <v>114300</v>
      </c>
      <c r="AA515" s="31"/>
      <c r="AB515" s="31"/>
      <c r="AC515" s="31"/>
      <c r="AD515" s="31"/>
      <c r="AE515" s="31"/>
      <c r="AF515" s="31"/>
      <c r="AG515" s="31"/>
      <c r="AH515" s="31"/>
      <c r="AI515" s="32"/>
      <c r="AJ515" s="32"/>
      <c r="AK515" s="32"/>
      <c r="AL515" s="32"/>
      <c r="AM515" s="32">
        <v>19050</v>
      </c>
      <c r="AN515" s="32">
        <v>19050</v>
      </c>
      <c r="AO515" s="32">
        <v>19050</v>
      </c>
      <c r="AP515" s="32">
        <v>19050</v>
      </c>
      <c r="AQ515" s="32">
        <v>19050</v>
      </c>
      <c r="AR515" s="32">
        <v>19050</v>
      </c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CR515">
        <v>762750</v>
      </c>
      <c r="CS515">
        <v>10</v>
      </c>
    </row>
    <row r="516" spans="1:97" x14ac:dyDescent="0.4">
      <c r="A516" t="s">
        <v>1580</v>
      </c>
      <c r="D516" t="s">
        <v>2370</v>
      </c>
      <c r="E516" t="s">
        <v>2371</v>
      </c>
      <c r="F516" t="s">
        <v>1581</v>
      </c>
      <c r="G516" t="s">
        <v>4489</v>
      </c>
      <c r="H516">
        <v>487261360</v>
      </c>
      <c r="I516" t="s">
        <v>1582</v>
      </c>
      <c r="J516" t="s">
        <v>2433</v>
      </c>
      <c r="L516" t="s">
        <v>4490</v>
      </c>
      <c r="M516" t="s">
        <v>2465</v>
      </c>
      <c r="N516" t="s">
        <v>4491</v>
      </c>
      <c r="O516" t="s">
        <v>4492</v>
      </c>
      <c r="Q516" t="s">
        <v>2438</v>
      </c>
      <c r="R516" s="30">
        <v>45088</v>
      </c>
      <c r="S516" t="s">
        <v>44</v>
      </c>
      <c r="T516" s="30">
        <v>45767</v>
      </c>
      <c r="U516" s="20">
        <v>114300</v>
      </c>
      <c r="V516" s="31"/>
      <c r="W516" s="34"/>
      <c r="X516" s="34">
        <f t="shared" ref="X516:X517" si="87">+U516</f>
        <v>114300</v>
      </c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2"/>
      <c r="AJ516" s="35"/>
      <c r="AK516" s="32">
        <v>19050</v>
      </c>
      <c r="AL516" s="32">
        <v>19050</v>
      </c>
      <c r="AM516" s="32">
        <v>19050</v>
      </c>
      <c r="AN516" s="32">
        <v>19050</v>
      </c>
      <c r="AO516" s="32">
        <v>19050</v>
      </c>
      <c r="AP516" s="32">
        <v>19050</v>
      </c>
      <c r="AQ516" s="32"/>
      <c r="AR516" s="32"/>
      <c r="AS516" s="32"/>
      <c r="AT516" s="32"/>
      <c r="AU516" s="32"/>
      <c r="AV516" s="35"/>
      <c r="AW516" s="35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CR516">
        <v>846470</v>
      </c>
      <c r="CS516">
        <v>19</v>
      </c>
    </row>
    <row r="517" spans="1:97" x14ac:dyDescent="0.4">
      <c r="A517" t="s">
        <v>1583</v>
      </c>
      <c r="D517" t="s">
        <v>2370</v>
      </c>
      <c r="E517" t="s">
        <v>2371</v>
      </c>
      <c r="F517" t="s">
        <v>1584</v>
      </c>
      <c r="G517" t="s">
        <v>4493</v>
      </c>
      <c r="H517">
        <v>9068980465</v>
      </c>
      <c r="I517" t="s">
        <v>1585</v>
      </c>
      <c r="J517" t="s">
        <v>2433</v>
      </c>
      <c r="L517" t="s">
        <v>4494</v>
      </c>
      <c r="M517" t="s">
        <v>3221</v>
      </c>
      <c r="N517" t="s">
        <v>4495</v>
      </c>
      <c r="O517" t="s">
        <v>4496</v>
      </c>
      <c r="Q517" t="s">
        <v>2438</v>
      </c>
      <c r="R517" s="30">
        <v>45090</v>
      </c>
      <c r="S517" t="s">
        <v>44</v>
      </c>
      <c r="T517" s="30">
        <v>45767</v>
      </c>
      <c r="U517" s="20">
        <v>114300</v>
      </c>
      <c r="V517" s="31"/>
      <c r="W517" s="34"/>
      <c r="X517" s="34">
        <f t="shared" si="87"/>
        <v>114300</v>
      </c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2"/>
      <c r="AJ517" s="35"/>
      <c r="AK517" s="32">
        <v>19050</v>
      </c>
      <c r="AL517" s="32">
        <v>19050</v>
      </c>
      <c r="AM517" s="32">
        <v>19050</v>
      </c>
      <c r="AN517" s="32">
        <v>19050</v>
      </c>
      <c r="AO517" s="32">
        <v>19050</v>
      </c>
      <c r="AP517" s="32">
        <v>19050</v>
      </c>
      <c r="AQ517" s="32"/>
      <c r="AR517" s="32"/>
      <c r="AS517" s="32"/>
      <c r="AT517" s="32"/>
      <c r="AU517" s="32"/>
      <c r="AV517" s="35"/>
      <c r="AW517" s="35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CR517">
        <v>229600</v>
      </c>
      <c r="CS517">
        <v>3</v>
      </c>
    </row>
    <row r="518" spans="1:97" x14ac:dyDescent="0.4">
      <c r="A518" t="s">
        <v>1586</v>
      </c>
      <c r="D518" t="s">
        <v>2370</v>
      </c>
      <c r="E518" t="s">
        <v>2371</v>
      </c>
      <c r="F518" t="s">
        <v>1587</v>
      </c>
      <c r="G518" t="s">
        <v>4497</v>
      </c>
      <c r="H518">
        <v>8050211290</v>
      </c>
      <c r="I518" t="s">
        <v>1588</v>
      </c>
      <c r="J518" t="s">
        <v>2433</v>
      </c>
      <c r="L518" t="s">
        <v>4498</v>
      </c>
      <c r="M518" t="s">
        <v>2598</v>
      </c>
      <c r="N518" t="s">
        <v>4499</v>
      </c>
      <c r="O518" t="s">
        <v>4500</v>
      </c>
      <c r="Q518" t="s">
        <v>2637</v>
      </c>
      <c r="R518" s="30">
        <v>45090</v>
      </c>
      <c r="S518" t="s">
        <v>44</v>
      </c>
      <c r="T518" s="30">
        <v>45828</v>
      </c>
      <c r="U518" s="20">
        <v>114300</v>
      </c>
      <c r="V518" s="31"/>
      <c r="W518" s="31"/>
      <c r="X518" s="31"/>
      <c r="Y518" s="31"/>
      <c r="Z518" s="31">
        <f>+U518</f>
        <v>114300</v>
      </c>
      <c r="AA518" s="31"/>
      <c r="AB518" s="31"/>
      <c r="AC518" s="31"/>
      <c r="AD518" s="31"/>
      <c r="AE518" s="31"/>
      <c r="AF518" s="31"/>
      <c r="AG518" s="31"/>
      <c r="AH518" s="31"/>
      <c r="AI518" s="32"/>
      <c r="AJ518" s="32"/>
      <c r="AK518" s="32"/>
      <c r="AL518" s="32"/>
      <c r="AM518" s="32">
        <v>19050</v>
      </c>
      <c r="AN518" s="32">
        <v>19050</v>
      </c>
      <c r="AO518" s="32">
        <v>19050</v>
      </c>
      <c r="AP518" s="32">
        <v>19050</v>
      </c>
      <c r="AQ518" s="32">
        <v>19050</v>
      </c>
      <c r="AR518" s="32">
        <v>19050</v>
      </c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CR518">
        <v>719780</v>
      </c>
      <c r="CS518">
        <v>5</v>
      </c>
    </row>
    <row r="519" spans="1:97" x14ac:dyDescent="0.4">
      <c r="A519" t="s">
        <v>1589</v>
      </c>
      <c r="D519" t="s">
        <v>2370</v>
      </c>
      <c r="E519" t="s">
        <v>2371</v>
      </c>
      <c r="F519" t="s">
        <v>1590</v>
      </c>
      <c r="G519" t="s">
        <v>4501</v>
      </c>
      <c r="H519">
        <v>9057506461</v>
      </c>
      <c r="I519" t="s">
        <v>1591</v>
      </c>
      <c r="J519" t="s">
        <v>2433</v>
      </c>
      <c r="L519" t="s">
        <v>4502</v>
      </c>
      <c r="M519" t="s">
        <v>2630</v>
      </c>
      <c r="N519" t="s">
        <v>2631</v>
      </c>
      <c r="O519" t="s">
        <v>4503</v>
      </c>
      <c r="R519" s="30">
        <v>45090</v>
      </c>
      <c r="S519" t="s">
        <v>44</v>
      </c>
      <c r="T519" s="30">
        <v>45736</v>
      </c>
      <c r="U519" s="20">
        <v>114300</v>
      </c>
      <c r="V519" s="31"/>
      <c r="W519" s="34">
        <f>+U519</f>
        <v>114300</v>
      </c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2"/>
      <c r="AJ519" s="32">
        <v>19050</v>
      </c>
      <c r="AK519" s="32">
        <v>19050</v>
      </c>
      <c r="AL519" s="32">
        <v>19050</v>
      </c>
      <c r="AM519" s="32">
        <v>19050</v>
      </c>
      <c r="AN519" s="32">
        <v>19050</v>
      </c>
      <c r="AO519" s="32">
        <v>19050</v>
      </c>
      <c r="AP519" s="32"/>
      <c r="AQ519" s="32"/>
      <c r="AR519" s="32"/>
      <c r="AS519" s="32"/>
      <c r="AT519" s="32"/>
      <c r="AU519" s="32"/>
      <c r="AV519" s="35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CR519">
        <v>889500</v>
      </c>
      <c r="CS519">
        <v>5</v>
      </c>
    </row>
    <row r="520" spans="1:97" x14ac:dyDescent="0.4">
      <c r="A520" t="s">
        <v>1594</v>
      </c>
      <c r="D520" t="s">
        <v>2370</v>
      </c>
      <c r="E520" t="s">
        <v>2371</v>
      </c>
      <c r="F520" t="s">
        <v>1595</v>
      </c>
      <c r="G520" t="s">
        <v>4504</v>
      </c>
      <c r="H520">
        <v>448886268</v>
      </c>
      <c r="I520" t="s">
        <v>1596</v>
      </c>
      <c r="J520" t="s">
        <v>2433</v>
      </c>
      <c r="L520" t="s">
        <v>4505</v>
      </c>
      <c r="M520" t="s">
        <v>2518</v>
      </c>
      <c r="N520" t="s">
        <v>4506</v>
      </c>
      <c r="O520" t="s">
        <v>4507</v>
      </c>
      <c r="Q520" t="s">
        <v>2438</v>
      </c>
      <c r="R520" s="30">
        <v>45090</v>
      </c>
      <c r="S520" t="s">
        <v>44</v>
      </c>
      <c r="T520" s="30">
        <v>45828</v>
      </c>
      <c r="U520" s="20">
        <v>114300</v>
      </c>
      <c r="V520" s="31"/>
      <c r="W520" s="31"/>
      <c r="X520" s="31"/>
      <c r="Y520" s="31"/>
      <c r="Z520" s="31">
        <f>+U520</f>
        <v>114300</v>
      </c>
      <c r="AA520" s="31"/>
      <c r="AB520" s="31"/>
      <c r="AC520" s="31"/>
      <c r="AD520" s="31"/>
      <c r="AE520" s="31"/>
      <c r="AF520" s="31"/>
      <c r="AG520" s="31"/>
      <c r="AH520" s="31"/>
      <c r="AI520" s="32"/>
      <c r="AJ520" s="32"/>
      <c r="AK520" s="32"/>
      <c r="AL520" s="32"/>
      <c r="AM520" s="32">
        <v>19050</v>
      </c>
      <c r="AN520" s="32">
        <v>19050</v>
      </c>
      <c r="AO520" s="32">
        <v>19050</v>
      </c>
      <c r="AP520" s="32">
        <v>19050</v>
      </c>
      <c r="AQ520" s="32">
        <v>19050</v>
      </c>
      <c r="AR520" s="32">
        <v>19050</v>
      </c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CR520">
        <v>758300</v>
      </c>
      <c r="CS520">
        <v>8</v>
      </c>
    </row>
    <row r="521" spans="1:97" x14ac:dyDescent="0.4">
      <c r="A521" t="s">
        <v>1597</v>
      </c>
      <c r="D521" t="s">
        <v>2370</v>
      </c>
      <c r="E521" t="s">
        <v>2371</v>
      </c>
      <c r="F521" t="s">
        <v>1598</v>
      </c>
      <c r="G521" t="s">
        <v>4508</v>
      </c>
      <c r="H521">
        <v>9052474180</v>
      </c>
      <c r="I521" t="s">
        <v>1599</v>
      </c>
      <c r="J521" t="s">
        <v>2433</v>
      </c>
      <c r="L521" t="s">
        <v>4509</v>
      </c>
      <c r="M521" t="s">
        <v>2460</v>
      </c>
      <c r="N521" t="s">
        <v>4510</v>
      </c>
      <c r="O521" t="s">
        <v>4511</v>
      </c>
      <c r="Q521" t="s">
        <v>2438</v>
      </c>
      <c r="R521" s="30">
        <v>45090</v>
      </c>
      <c r="S521" t="s">
        <v>25</v>
      </c>
      <c r="T521" s="30">
        <v>45736</v>
      </c>
      <c r="U521">
        <v>59400</v>
      </c>
      <c r="V521" s="34"/>
      <c r="W521" s="34">
        <f>+U521</f>
        <v>59400</v>
      </c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5"/>
      <c r="AJ521" s="32">
        <v>19800</v>
      </c>
      <c r="AK521" s="32">
        <v>19800</v>
      </c>
      <c r="AL521" s="32">
        <v>19800</v>
      </c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CR521">
        <v>850100</v>
      </c>
      <c r="CS521">
        <v>10</v>
      </c>
    </row>
    <row r="522" spans="1:97" x14ac:dyDescent="0.4">
      <c r="A522" t="s">
        <v>1601</v>
      </c>
      <c r="D522" t="s">
        <v>2370</v>
      </c>
      <c r="E522" t="s">
        <v>2371</v>
      </c>
      <c r="F522" t="s">
        <v>1602</v>
      </c>
      <c r="G522" t="s">
        <v>4512</v>
      </c>
      <c r="H522">
        <v>9087300035</v>
      </c>
      <c r="I522" t="s">
        <v>1603</v>
      </c>
      <c r="J522" t="s">
        <v>2433</v>
      </c>
      <c r="L522" t="s">
        <v>4513</v>
      </c>
      <c r="M522" t="s">
        <v>2500</v>
      </c>
      <c r="N522" t="s">
        <v>4514</v>
      </c>
      <c r="O522">
        <v>916</v>
      </c>
      <c r="Q522" t="s">
        <v>2468</v>
      </c>
      <c r="R522" s="30">
        <v>45090</v>
      </c>
      <c r="S522" t="s">
        <v>44</v>
      </c>
      <c r="T522" s="30">
        <v>45767</v>
      </c>
      <c r="U522" s="20">
        <v>114300</v>
      </c>
      <c r="V522" s="31"/>
      <c r="W522" s="34"/>
      <c r="X522" s="34">
        <f t="shared" ref="X522:X523" si="88">+U522</f>
        <v>114300</v>
      </c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2"/>
      <c r="AJ522" s="35"/>
      <c r="AK522" s="32">
        <v>19050</v>
      </c>
      <c r="AL522" s="32">
        <v>19050</v>
      </c>
      <c r="AM522" s="32">
        <v>19050</v>
      </c>
      <c r="AN522" s="32">
        <v>19050</v>
      </c>
      <c r="AO522" s="32">
        <v>19050</v>
      </c>
      <c r="AP522" s="32">
        <v>19050</v>
      </c>
      <c r="AQ522" s="32"/>
      <c r="AR522" s="32"/>
      <c r="AS522" s="32"/>
      <c r="AT522" s="32"/>
      <c r="AU522" s="32"/>
      <c r="AV522" s="35"/>
      <c r="AW522" s="35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CR522">
        <v>972900</v>
      </c>
      <c r="CS522">
        <v>4</v>
      </c>
    </row>
    <row r="523" spans="1:97" x14ac:dyDescent="0.4">
      <c r="A523" t="s">
        <v>1604</v>
      </c>
      <c r="D523" t="s">
        <v>2370</v>
      </c>
      <c r="E523" t="s">
        <v>2371</v>
      </c>
      <c r="F523" t="s">
        <v>1605</v>
      </c>
      <c r="G523" t="s">
        <v>4515</v>
      </c>
      <c r="H523">
        <v>9033753392</v>
      </c>
      <c r="I523" t="s">
        <v>1606</v>
      </c>
      <c r="J523" t="s">
        <v>2433</v>
      </c>
      <c r="L523" t="s">
        <v>4516</v>
      </c>
      <c r="M523" t="s">
        <v>2569</v>
      </c>
      <c r="N523" t="s">
        <v>4517</v>
      </c>
      <c r="O523" t="s">
        <v>4518</v>
      </c>
      <c r="Q523" t="s">
        <v>2438</v>
      </c>
      <c r="R523" s="30">
        <v>45089</v>
      </c>
      <c r="S523" t="s">
        <v>44</v>
      </c>
      <c r="T523" s="30">
        <v>45767</v>
      </c>
      <c r="U523" s="20">
        <v>114300</v>
      </c>
      <c r="V523" s="31"/>
      <c r="W523" s="34"/>
      <c r="X523" s="34">
        <f t="shared" si="88"/>
        <v>114300</v>
      </c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2"/>
      <c r="AJ523" s="35"/>
      <c r="AK523" s="32">
        <v>19050</v>
      </c>
      <c r="AL523" s="32">
        <v>19050</v>
      </c>
      <c r="AM523" s="32">
        <v>19050</v>
      </c>
      <c r="AN523" s="32">
        <v>19050</v>
      </c>
      <c r="AO523" s="32">
        <v>19050</v>
      </c>
      <c r="AP523" s="32">
        <v>19050</v>
      </c>
      <c r="AQ523" s="32"/>
      <c r="AR523" s="32"/>
      <c r="AS523" s="32"/>
      <c r="AT523" s="32"/>
      <c r="AU523" s="32"/>
      <c r="AV523" s="35"/>
      <c r="AW523" s="35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CR523">
        <v>734295</v>
      </c>
      <c r="CS523">
        <v>13</v>
      </c>
    </row>
    <row r="524" spans="1:97" x14ac:dyDescent="0.4">
      <c r="A524" t="s">
        <v>1607</v>
      </c>
      <c r="D524" t="s">
        <v>2370</v>
      </c>
      <c r="E524" t="s">
        <v>2371</v>
      </c>
      <c r="F524" t="s">
        <v>1608</v>
      </c>
      <c r="G524" t="s">
        <v>4519</v>
      </c>
      <c r="H524">
        <v>9091781734</v>
      </c>
      <c r="I524" t="s">
        <v>1609</v>
      </c>
      <c r="J524" t="s">
        <v>2433</v>
      </c>
      <c r="L524" t="s">
        <v>4399</v>
      </c>
      <c r="M524" t="s">
        <v>2500</v>
      </c>
      <c r="N524" t="s">
        <v>4400</v>
      </c>
      <c r="O524" t="s">
        <v>4520</v>
      </c>
      <c r="Q524" t="s">
        <v>2637</v>
      </c>
      <c r="R524" s="30">
        <v>45089</v>
      </c>
      <c r="S524" t="s">
        <v>44</v>
      </c>
      <c r="T524" s="30">
        <v>45736</v>
      </c>
      <c r="U524" s="20">
        <v>114300</v>
      </c>
      <c r="V524" s="31"/>
      <c r="W524" s="34">
        <f t="shared" ref="W524:W526" si="89">+U524</f>
        <v>114300</v>
      </c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2"/>
      <c r="AJ524" s="32">
        <v>19050</v>
      </c>
      <c r="AK524" s="32">
        <v>19050</v>
      </c>
      <c r="AL524" s="32">
        <v>19050</v>
      </c>
      <c r="AM524" s="32">
        <v>19050</v>
      </c>
      <c r="AN524" s="32">
        <v>19050</v>
      </c>
      <c r="AO524" s="32">
        <v>19050</v>
      </c>
      <c r="AP524" s="32"/>
      <c r="AQ524" s="32"/>
      <c r="AR524" s="32"/>
      <c r="AS524" s="32"/>
      <c r="AT524" s="32"/>
      <c r="AU524" s="32"/>
      <c r="AV524" s="35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CR524">
        <v>891500</v>
      </c>
      <c r="CS524">
        <v>7</v>
      </c>
    </row>
    <row r="525" spans="1:97" x14ac:dyDescent="0.4">
      <c r="A525" t="s">
        <v>1611</v>
      </c>
      <c r="D525" t="s">
        <v>2370</v>
      </c>
      <c r="E525" t="s">
        <v>2371</v>
      </c>
      <c r="F525" t="s">
        <v>1612</v>
      </c>
      <c r="G525" t="s">
        <v>4521</v>
      </c>
      <c r="H525">
        <v>9084169517</v>
      </c>
      <c r="I525" t="s">
        <v>1613</v>
      </c>
      <c r="J525" t="s">
        <v>2433</v>
      </c>
      <c r="L525" t="s">
        <v>4522</v>
      </c>
      <c r="M525" t="s">
        <v>2715</v>
      </c>
      <c r="N525" t="s">
        <v>4523</v>
      </c>
      <c r="O525" s="41">
        <v>38549</v>
      </c>
      <c r="R525" s="30">
        <v>45088</v>
      </c>
      <c r="S525" t="s">
        <v>44</v>
      </c>
      <c r="T525" s="30">
        <v>45736</v>
      </c>
      <c r="U525" s="20">
        <v>114300</v>
      </c>
      <c r="V525" s="31"/>
      <c r="W525" s="34">
        <f t="shared" si="89"/>
        <v>114300</v>
      </c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2"/>
      <c r="AJ525" s="32">
        <v>19050</v>
      </c>
      <c r="AK525" s="32">
        <v>19050</v>
      </c>
      <c r="AL525" s="32">
        <v>19050</v>
      </c>
      <c r="AM525" s="32">
        <v>19050</v>
      </c>
      <c r="AN525" s="32">
        <v>19050</v>
      </c>
      <c r="AO525" s="32">
        <v>19050</v>
      </c>
      <c r="AP525" s="32"/>
      <c r="AQ525" s="32"/>
      <c r="AR525" s="32"/>
      <c r="AS525" s="32"/>
      <c r="AT525" s="32"/>
      <c r="AU525" s="32"/>
      <c r="AV525" s="35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CR525">
        <v>780700</v>
      </c>
      <c r="CS525">
        <v>6</v>
      </c>
    </row>
    <row r="526" spans="1:97" x14ac:dyDescent="0.4">
      <c r="A526" t="s">
        <v>1615</v>
      </c>
      <c r="D526" t="s">
        <v>2370</v>
      </c>
      <c r="E526" t="s">
        <v>2371</v>
      </c>
      <c r="F526" t="s">
        <v>1616</v>
      </c>
      <c r="G526" t="s">
        <v>4524</v>
      </c>
      <c r="H526">
        <v>9043183797</v>
      </c>
      <c r="I526" t="s">
        <v>1617</v>
      </c>
      <c r="J526" t="s">
        <v>2433</v>
      </c>
      <c r="L526" t="s">
        <v>4525</v>
      </c>
      <c r="M526" t="s">
        <v>3434</v>
      </c>
      <c r="N526" t="s">
        <v>4526</v>
      </c>
      <c r="O526" t="s">
        <v>4527</v>
      </c>
      <c r="Q526" t="s">
        <v>2438</v>
      </c>
      <c r="R526" s="30">
        <v>45088</v>
      </c>
      <c r="S526" t="s">
        <v>44</v>
      </c>
      <c r="T526" s="30">
        <v>45736</v>
      </c>
      <c r="U526" s="20">
        <v>114300</v>
      </c>
      <c r="V526" s="31"/>
      <c r="W526" s="34">
        <f t="shared" si="89"/>
        <v>114300</v>
      </c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2"/>
      <c r="AJ526" s="32">
        <v>19050</v>
      </c>
      <c r="AK526" s="32">
        <v>19050</v>
      </c>
      <c r="AL526" s="32">
        <v>19050</v>
      </c>
      <c r="AM526" s="32">
        <v>19050</v>
      </c>
      <c r="AN526" s="32">
        <v>19050</v>
      </c>
      <c r="AO526" s="32">
        <v>19050</v>
      </c>
      <c r="AP526" s="32"/>
      <c r="AQ526" s="32"/>
      <c r="AR526" s="32"/>
      <c r="AS526" s="32"/>
      <c r="AT526" s="32"/>
      <c r="AU526" s="32"/>
      <c r="AV526" s="35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CR526">
        <v>776200</v>
      </c>
      <c r="CS526">
        <v>5</v>
      </c>
    </row>
    <row r="527" spans="1:97" x14ac:dyDescent="0.4">
      <c r="A527" t="s">
        <v>1619</v>
      </c>
      <c r="D527" t="s">
        <v>2370</v>
      </c>
      <c r="E527" t="s">
        <v>2371</v>
      </c>
      <c r="F527" t="s">
        <v>1620</v>
      </c>
      <c r="G527" t="s">
        <v>4528</v>
      </c>
      <c r="H527">
        <v>9081423749</v>
      </c>
      <c r="I527" t="s">
        <v>1621</v>
      </c>
      <c r="J527" t="s">
        <v>2433</v>
      </c>
      <c r="L527" t="s">
        <v>4529</v>
      </c>
      <c r="M527" t="s">
        <v>2435</v>
      </c>
      <c r="N527" t="s">
        <v>4530</v>
      </c>
      <c r="O527" s="41">
        <v>36957</v>
      </c>
      <c r="Q527" t="s">
        <v>2438</v>
      </c>
      <c r="R527" s="30">
        <v>45088</v>
      </c>
      <c r="S527" t="s">
        <v>44</v>
      </c>
      <c r="T527" s="30">
        <v>45889</v>
      </c>
      <c r="U527" s="20">
        <v>114300</v>
      </c>
      <c r="V527" s="31"/>
      <c r="W527" s="31"/>
      <c r="X527" s="31"/>
      <c r="Y527" s="31"/>
      <c r="Z527" s="31"/>
      <c r="AA527" s="31"/>
      <c r="AB527" s="31">
        <f>+U527</f>
        <v>114300</v>
      </c>
      <c r="AC527" s="31"/>
      <c r="AD527" s="31"/>
      <c r="AE527" s="31"/>
      <c r="AF527" s="31"/>
      <c r="AG527" s="31"/>
      <c r="AH527" s="31"/>
      <c r="AI527" s="32"/>
      <c r="AJ527" s="32"/>
      <c r="AK527" s="32"/>
      <c r="AL527" s="32"/>
      <c r="AM527" s="32"/>
      <c r="AN527" s="32"/>
      <c r="AO527" s="32">
        <v>19050</v>
      </c>
      <c r="AP527" s="32">
        <v>19050</v>
      </c>
      <c r="AQ527" s="32">
        <v>19050</v>
      </c>
      <c r="AR527" s="32">
        <v>19050</v>
      </c>
      <c r="AS527" s="32">
        <v>19050</v>
      </c>
      <c r="AT527" s="32">
        <v>19050</v>
      </c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CR527">
        <v>778270</v>
      </c>
      <c r="CS527">
        <v>6</v>
      </c>
    </row>
    <row r="528" spans="1:97" x14ac:dyDescent="0.4">
      <c r="A528" t="s">
        <v>1624</v>
      </c>
      <c r="D528" t="s">
        <v>2370</v>
      </c>
      <c r="E528" t="s">
        <v>2371</v>
      </c>
      <c r="F528" t="s">
        <v>1625</v>
      </c>
      <c r="G528" t="s">
        <v>4531</v>
      </c>
      <c r="H528">
        <v>9033723712</v>
      </c>
      <c r="I528" t="s">
        <v>1626</v>
      </c>
      <c r="J528" t="s">
        <v>2433</v>
      </c>
      <c r="L528" t="s">
        <v>4532</v>
      </c>
      <c r="M528" t="s">
        <v>2569</v>
      </c>
      <c r="N528" t="s">
        <v>4533</v>
      </c>
      <c r="O528" t="s">
        <v>4534</v>
      </c>
      <c r="Q528" t="s">
        <v>2438</v>
      </c>
      <c r="R528" s="30">
        <v>45088</v>
      </c>
      <c r="S528" t="s">
        <v>44</v>
      </c>
      <c r="T528" s="30">
        <v>45736</v>
      </c>
      <c r="U528" s="20">
        <v>114300</v>
      </c>
      <c r="V528" s="31"/>
      <c r="W528" s="34">
        <f>+U528</f>
        <v>114300</v>
      </c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2"/>
      <c r="AJ528" s="32">
        <v>19050</v>
      </c>
      <c r="AK528" s="32">
        <v>19050</v>
      </c>
      <c r="AL528" s="32">
        <v>19050</v>
      </c>
      <c r="AM528" s="32">
        <v>19050</v>
      </c>
      <c r="AN528" s="32">
        <v>19050</v>
      </c>
      <c r="AO528" s="32">
        <v>19050</v>
      </c>
      <c r="AP528" s="32"/>
      <c r="AQ528" s="32"/>
      <c r="AR528" s="32"/>
      <c r="AS528" s="32"/>
      <c r="AT528" s="32"/>
      <c r="AU528" s="32"/>
      <c r="AV528" s="35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CR528">
        <v>891500</v>
      </c>
      <c r="CS528">
        <v>9</v>
      </c>
    </row>
    <row r="529" spans="1:97" x14ac:dyDescent="0.4">
      <c r="A529" t="s">
        <v>1628</v>
      </c>
      <c r="D529" t="s">
        <v>2370</v>
      </c>
      <c r="E529" t="s">
        <v>2371</v>
      </c>
      <c r="F529" t="s">
        <v>1629</v>
      </c>
      <c r="G529" t="s">
        <v>4535</v>
      </c>
      <c r="H529">
        <v>9039908836</v>
      </c>
      <c r="I529" t="s">
        <v>1630</v>
      </c>
      <c r="J529" t="s">
        <v>2433</v>
      </c>
      <c r="L529" t="s">
        <v>4536</v>
      </c>
      <c r="M529" t="s">
        <v>2435</v>
      </c>
      <c r="N529" t="s">
        <v>4537</v>
      </c>
      <c r="O529" t="s">
        <v>4538</v>
      </c>
      <c r="R529" s="30">
        <v>45088</v>
      </c>
      <c r="S529" t="s">
        <v>44</v>
      </c>
      <c r="T529" s="30">
        <v>45828</v>
      </c>
      <c r="U529" s="20">
        <v>114300</v>
      </c>
      <c r="V529" s="31"/>
      <c r="W529" s="31"/>
      <c r="X529" s="31"/>
      <c r="Y529" s="31"/>
      <c r="Z529" s="31">
        <f>+U529</f>
        <v>114300</v>
      </c>
      <c r="AA529" s="31"/>
      <c r="AB529" s="31"/>
      <c r="AC529" s="31"/>
      <c r="AD529" s="31"/>
      <c r="AE529" s="31"/>
      <c r="AF529" s="31"/>
      <c r="AG529" s="31"/>
      <c r="AH529" s="31"/>
      <c r="AI529" s="32"/>
      <c r="AJ529" s="32"/>
      <c r="AK529" s="32"/>
      <c r="AL529" s="32"/>
      <c r="AM529" s="32">
        <v>19050</v>
      </c>
      <c r="AN529" s="32">
        <v>19050</v>
      </c>
      <c r="AO529" s="32">
        <v>19050</v>
      </c>
      <c r="AP529" s="32">
        <v>19050</v>
      </c>
      <c r="AQ529" s="32">
        <v>19050</v>
      </c>
      <c r="AR529" s="32">
        <v>19050</v>
      </c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CR529">
        <v>788700</v>
      </c>
      <c r="CS529">
        <v>7</v>
      </c>
    </row>
    <row r="530" spans="1:97" x14ac:dyDescent="0.4">
      <c r="A530" t="s">
        <v>1631</v>
      </c>
      <c r="D530" t="s">
        <v>2370</v>
      </c>
      <c r="E530" t="s">
        <v>2371</v>
      </c>
      <c r="F530" t="s">
        <v>1632</v>
      </c>
      <c r="G530" t="s">
        <v>4539</v>
      </c>
      <c r="H530">
        <v>9030787815</v>
      </c>
      <c r="I530" t="s">
        <v>1633</v>
      </c>
      <c r="J530" t="s">
        <v>2433</v>
      </c>
      <c r="L530" t="s">
        <v>4540</v>
      </c>
      <c r="M530" t="s">
        <v>4174</v>
      </c>
      <c r="N530" t="s">
        <v>4541</v>
      </c>
      <c r="O530" t="s">
        <v>4542</v>
      </c>
      <c r="R530" s="30">
        <v>45088</v>
      </c>
      <c r="S530" t="s">
        <v>44</v>
      </c>
      <c r="T530" s="30">
        <v>45736</v>
      </c>
      <c r="U530" s="20">
        <v>114300</v>
      </c>
      <c r="V530" s="31"/>
      <c r="W530" s="34">
        <f t="shared" ref="W530:W536" si="90">+U530</f>
        <v>114300</v>
      </c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2"/>
      <c r="AJ530" s="32">
        <v>19050</v>
      </c>
      <c r="AK530" s="32">
        <v>19050</v>
      </c>
      <c r="AL530" s="32">
        <v>19050</v>
      </c>
      <c r="AM530" s="32">
        <v>19050</v>
      </c>
      <c r="AN530" s="32">
        <v>19050</v>
      </c>
      <c r="AO530" s="32">
        <v>19050</v>
      </c>
      <c r="AP530" s="32"/>
      <c r="AQ530" s="32"/>
      <c r="AR530" s="32"/>
      <c r="AS530" s="32"/>
      <c r="AT530" s="32"/>
      <c r="AU530" s="32"/>
      <c r="AV530" s="35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CR530">
        <v>781700</v>
      </c>
      <c r="CS530">
        <v>7</v>
      </c>
    </row>
    <row r="531" spans="1:97" x14ac:dyDescent="0.4">
      <c r="A531" t="s">
        <v>1635</v>
      </c>
      <c r="D531" t="s">
        <v>2370</v>
      </c>
      <c r="E531" t="s">
        <v>2371</v>
      </c>
      <c r="F531" t="s">
        <v>1636</v>
      </c>
      <c r="G531" t="s">
        <v>4543</v>
      </c>
      <c r="H531">
        <v>9010963810</v>
      </c>
      <c r="I531" t="s">
        <v>1637</v>
      </c>
      <c r="J531" t="s">
        <v>2433</v>
      </c>
      <c r="L531" t="s">
        <v>4544</v>
      </c>
      <c r="M531" t="s">
        <v>2451</v>
      </c>
      <c r="N531" t="s">
        <v>4545</v>
      </c>
      <c r="O531" t="s">
        <v>4546</v>
      </c>
      <c r="Q531" t="s">
        <v>2438</v>
      </c>
      <c r="R531" s="30">
        <v>45088</v>
      </c>
      <c r="S531" t="s">
        <v>44</v>
      </c>
      <c r="T531" s="30">
        <v>45736</v>
      </c>
      <c r="U531" s="20">
        <v>114300</v>
      </c>
      <c r="V531" s="31"/>
      <c r="W531" s="34">
        <f t="shared" si="90"/>
        <v>114300</v>
      </c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2"/>
      <c r="AJ531" s="32">
        <v>19050</v>
      </c>
      <c r="AK531" s="32">
        <v>19050</v>
      </c>
      <c r="AL531" s="32">
        <v>19050</v>
      </c>
      <c r="AM531" s="32">
        <v>19050</v>
      </c>
      <c r="AN531" s="32">
        <v>19050</v>
      </c>
      <c r="AO531" s="32">
        <v>19050</v>
      </c>
      <c r="AP531" s="32"/>
      <c r="AQ531" s="32"/>
      <c r="AR531" s="32"/>
      <c r="AS531" s="32"/>
      <c r="AT531" s="32"/>
      <c r="AU531" s="32"/>
      <c r="AV531" s="35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CR531">
        <v>890500</v>
      </c>
      <c r="CS531">
        <v>6</v>
      </c>
    </row>
    <row r="532" spans="1:97" s="36" customFormat="1" x14ac:dyDescent="0.4">
      <c r="A532" s="36" t="s">
        <v>4547</v>
      </c>
      <c r="D532" s="36" t="s">
        <v>2370</v>
      </c>
      <c r="E532" s="36" t="s">
        <v>2371</v>
      </c>
      <c r="F532" s="36" t="s">
        <v>4548</v>
      </c>
      <c r="G532" s="36" t="s">
        <v>4549</v>
      </c>
      <c r="H532" s="36">
        <v>7010543610</v>
      </c>
      <c r="I532" s="36" t="s">
        <v>4550</v>
      </c>
      <c r="J532" s="36" t="s">
        <v>2433</v>
      </c>
      <c r="L532" s="36" t="s">
        <v>4551</v>
      </c>
      <c r="M532" s="36" t="s">
        <v>2435</v>
      </c>
      <c r="N532" s="36" t="s">
        <v>4552</v>
      </c>
      <c r="O532" s="36" t="s">
        <v>4553</v>
      </c>
      <c r="Q532" s="36" t="s">
        <v>2438</v>
      </c>
      <c r="R532" s="37">
        <v>45088</v>
      </c>
      <c r="S532" s="36" t="s">
        <v>3784</v>
      </c>
      <c r="T532" s="37">
        <v>45736</v>
      </c>
      <c r="U532" s="37"/>
      <c r="V532" s="38"/>
      <c r="W532" s="34">
        <f t="shared" si="90"/>
        <v>0</v>
      </c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9"/>
      <c r="AJ532" s="35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5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CR532" s="36">
        <v>775200</v>
      </c>
      <c r="CS532" s="36">
        <v>4</v>
      </c>
    </row>
    <row r="533" spans="1:97" x14ac:dyDescent="0.4">
      <c r="A533" t="s">
        <v>1638</v>
      </c>
      <c r="D533" t="s">
        <v>2370</v>
      </c>
      <c r="E533" t="s">
        <v>2371</v>
      </c>
      <c r="F533" t="s">
        <v>1639</v>
      </c>
      <c r="G533" t="s">
        <v>4554</v>
      </c>
      <c r="H533">
        <v>9098662571</v>
      </c>
      <c r="I533" t="s">
        <v>1640</v>
      </c>
      <c r="J533" t="s">
        <v>2433</v>
      </c>
      <c r="L533" t="s">
        <v>4555</v>
      </c>
      <c r="M533" t="s">
        <v>2435</v>
      </c>
      <c r="N533" t="s">
        <v>4556</v>
      </c>
      <c r="O533" t="s">
        <v>4557</v>
      </c>
      <c r="Q533" t="s">
        <v>2438</v>
      </c>
      <c r="R533" s="30">
        <v>45088</v>
      </c>
      <c r="S533" t="s">
        <v>25</v>
      </c>
      <c r="T533" s="30">
        <v>45736</v>
      </c>
      <c r="U533">
        <v>59400</v>
      </c>
      <c r="V533" s="34"/>
      <c r="W533" s="34">
        <f t="shared" si="90"/>
        <v>59400</v>
      </c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5"/>
      <c r="AJ533" s="32">
        <v>19800</v>
      </c>
      <c r="AK533" s="32">
        <v>19800</v>
      </c>
      <c r="AL533" s="32">
        <v>19800</v>
      </c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CR533">
        <v>851610</v>
      </c>
      <c r="CS533">
        <v>12</v>
      </c>
    </row>
    <row r="534" spans="1:97" x14ac:dyDescent="0.4">
      <c r="A534" t="s">
        <v>1642</v>
      </c>
      <c r="D534" t="s">
        <v>2370</v>
      </c>
      <c r="E534" t="s">
        <v>2371</v>
      </c>
      <c r="F534" t="s">
        <v>1643</v>
      </c>
      <c r="G534" t="s">
        <v>4558</v>
      </c>
      <c r="H534">
        <v>8030902450</v>
      </c>
      <c r="I534" t="s">
        <v>1644</v>
      </c>
      <c r="J534" t="s">
        <v>2433</v>
      </c>
      <c r="L534" t="s">
        <v>4559</v>
      </c>
      <c r="M534" t="s">
        <v>2715</v>
      </c>
      <c r="N534" t="s">
        <v>4560</v>
      </c>
      <c r="O534" t="s">
        <v>4561</v>
      </c>
      <c r="Q534" t="s">
        <v>2438</v>
      </c>
      <c r="R534" s="30">
        <v>45088</v>
      </c>
      <c r="S534" t="s">
        <v>44</v>
      </c>
      <c r="T534" s="30">
        <v>45736</v>
      </c>
      <c r="U534" s="20">
        <v>114300</v>
      </c>
      <c r="V534" s="31"/>
      <c r="W534" s="34">
        <f t="shared" si="90"/>
        <v>114300</v>
      </c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2"/>
      <c r="AJ534" s="32">
        <v>19050</v>
      </c>
      <c r="AK534" s="32">
        <v>19050</v>
      </c>
      <c r="AL534" s="32">
        <v>19050</v>
      </c>
      <c r="AM534" s="32">
        <v>19050</v>
      </c>
      <c r="AN534" s="32">
        <v>19050</v>
      </c>
      <c r="AO534" s="32">
        <v>19050</v>
      </c>
      <c r="AP534" s="32"/>
      <c r="AQ534" s="32"/>
      <c r="AR534" s="32"/>
      <c r="AS534" s="32"/>
      <c r="AT534" s="32"/>
      <c r="AU534" s="32"/>
      <c r="AV534" s="35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CR534">
        <v>890500</v>
      </c>
      <c r="CS534">
        <v>6</v>
      </c>
    </row>
    <row r="535" spans="1:97" x14ac:dyDescent="0.4">
      <c r="A535" t="s">
        <v>1645</v>
      </c>
      <c r="D535" t="s">
        <v>2370</v>
      </c>
      <c r="E535" t="s">
        <v>2371</v>
      </c>
      <c r="F535" t="s">
        <v>1646</v>
      </c>
      <c r="G535" t="s">
        <v>4562</v>
      </c>
      <c r="H535">
        <v>9084535312</v>
      </c>
      <c r="I535" t="s">
        <v>1647</v>
      </c>
      <c r="J535" t="s">
        <v>2433</v>
      </c>
      <c r="L535" t="s">
        <v>4563</v>
      </c>
      <c r="M535" t="s">
        <v>2598</v>
      </c>
      <c r="N535" t="s">
        <v>2892</v>
      </c>
      <c r="O535" t="s">
        <v>4564</v>
      </c>
      <c r="Q535" t="s">
        <v>2438</v>
      </c>
      <c r="R535" s="30">
        <v>45087</v>
      </c>
      <c r="S535" t="s">
        <v>44</v>
      </c>
      <c r="T535" s="30">
        <v>45736</v>
      </c>
      <c r="U535" s="20">
        <v>114300</v>
      </c>
      <c r="V535" s="31"/>
      <c r="W535" s="34">
        <f t="shared" si="90"/>
        <v>114300</v>
      </c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2"/>
      <c r="AJ535" s="32">
        <v>19050</v>
      </c>
      <c r="AK535" s="32">
        <v>19050</v>
      </c>
      <c r="AL535" s="32">
        <v>19050</v>
      </c>
      <c r="AM535" s="32">
        <v>19050</v>
      </c>
      <c r="AN535" s="32">
        <v>19050</v>
      </c>
      <c r="AO535" s="32">
        <v>19050</v>
      </c>
      <c r="AP535" s="32"/>
      <c r="AQ535" s="32"/>
      <c r="AR535" s="32"/>
      <c r="AS535" s="32"/>
      <c r="AT535" s="32"/>
      <c r="AU535" s="32"/>
      <c r="AV535" s="35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CR535">
        <v>891500</v>
      </c>
      <c r="CS535">
        <v>7</v>
      </c>
    </row>
    <row r="536" spans="1:97" x14ac:dyDescent="0.4">
      <c r="A536" t="s">
        <v>1649</v>
      </c>
      <c r="D536" t="s">
        <v>2370</v>
      </c>
      <c r="E536" t="s">
        <v>2371</v>
      </c>
      <c r="F536" t="s">
        <v>1650</v>
      </c>
      <c r="G536" t="s">
        <v>4565</v>
      </c>
      <c r="H536">
        <v>9049408576</v>
      </c>
      <c r="I536" t="s">
        <v>1651</v>
      </c>
      <c r="J536" t="s">
        <v>2433</v>
      </c>
      <c r="L536" t="s">
        <v>4154</v>
      </c>
      <c r="M536" t="s">
        <v>2444</v>
      </c>
      <c r="N536" t="s">
        <v>3848</v>
      </c>
      <c r="O536" t="s">
        <v>4566</v>
      </c>
      <c r="Q536" t="s">
        <v>2468</v>
      </c>
      <c r="R536" s="30">
        <v>45087</v>
      </c>
      <c r="S536" t="s">
        <v>44</v>
      </c>
      <c r="T536" s="30">
        <v>45736</v>
      </c>
      <c r="U536" s="20">
        <v>114300</v>
      </c>
      <c r="V536" s="31"/>
      <c r="W536" s="34">
        <f t="shared" si="90"/>
        <v>114300</v>
      </c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2"/>
      <c r="AJ536" s="32">
        <v>19050</v>
      </c>
      <c r="AK536" s="32">
        <v>19050</v>
      </c>
      <c r="AL536" s="32">
        <v>19050</v>
      </c>
      <c r="AM536" s="32">
        <v>19050</v>
      </c>
      <c r="AN536" s="32">
        <v>19050</v>
      </c>
      <c r="AO536" s="32">
        <v>19050</v>
      </c>
      <c r="AP536" s="32"/>
      <c r="AQ536" s="32"/>
      <c r="AR536" s="32"/>
      <c r="AS536" s="32"/>
      <c r="AT536" s="32"/>
      <c r="AU536" s="32"/>
      <c r="AV536" s="35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CR536">
        <v>889500</v>
      </c>
      <c r="CS536">
        <v>7</v>
      </c>
    </row>
    <row r="537" spans="1:97" x14ac:dyDescent="0.4">
      <c r="A537" t="s">
        <v>1653</v>
      </c>
      <c r="D537" t="s">
        <v>2370</v>
      </c>
      <c r="E537" t="s">
        <v>2371</v>
      </c>
      <c r="F537" t="s">
        <v>1654</v>
      </c>
      <c r="G537" t="s">
        <v>4567</v>
      </c>
      <c r="H537">
        <v>7044954018</v>
      </c>
      <c r="I537" t="s">
        <v>1655</v>
      </c>
      <c r="J537" t="s">
        <v>2433</v>
      </c>
      <c r="L537" t="s">
        <v>4568</v>
      </c>
      <c r="M537" t="s">
        <v>4569</v>
      </c>
      <c r="N537" t="s">
        <v>4570</v>
      </c>
      <c r="O537" t="s">
        <v>4571</v>
      </c>
      <c r="Q537" t="s">
        <v>2438</v>
      </c>
      <c r="R537" s="30">
        <v>45087</v>
      </c>
      <c r="S537" t="s">
        <v>44</v>
      </c>
      <c r="T537" s="30">
        <v>45767</v>
      </c>
      <c r="U537" s="20">
        <v>114300</v>
      </c>
      <c r="V537" s="31"/>
      <c r="W537" s="34"/>
      <c r="X537" s="34">
        <f>+U537</f>
        <v>114300</v>
      </c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2"/>
      <c r="AJ537" s="35"/>
      <c r="AK537" s="32">
        <v>19050</v>
      </c>
      <c r="AL537" s="32">
        <v>19050</v>
      </c>
      <c r="AM537" s="32">
        <v>19050</v>
      </c>
      <c r="AN537" s="32">
        <v>19050</v>
      </c>
      <c r="AO537" s="32">
        <v>19050</v>
      </c>
      <c r="AP537" s="32">
        <v>19050</v>
      </c>
      <c r="AQ537" s="32"/>
      <c r="AR537" s="32"/>
      <c r="AS537" s="32"/>
      <c r="AT537" s="32"/>
      <c r="AU537" s="32"/>
      <c r="AV537" s="35"/>
      <c r="AW537" s="35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CR537">
        <v>890500</v>
      </c>
      <c r="CS537">
        <v>8</v>
      </c>
    </row>
    <row r="538" spans="1:97" x14ac:dyDescent="0.4">
      <c r="A538" t="s">
        <v>1657</v>
      </c>
      <c r="D538" t="s">
        <v>2370</v>
      </c>
      <c r="E538" t="s">
        <v>2371</v>
      </c>
      <c r="F538" t="s">
        <v>1658</v>
      </c>
      <c r="G538" t="s">
        <v>4572</v>
      </c>
      <c r="H538">
        <v>9089980006</v>
      </c>
      <c r="I538" t="s">
        <v>1659</v>
      </c>
      <c r="J538" t="s">
        <v>2433</v>
      </c>
      <c r="L538" t="s">
        <v>4573</v>
      </c>
      <c r="M538" t="s">
        <v>2569</v>
      </c>
      <c r="N538" t="s">
        <v>4574</v>
      </c>
      <c r="O538" s="41">
        <v>38238</v>
      </c>
      <c r="Q538" t="s">
        <v>2468</v>
      </c>
      <c r="R538" s="30">
        <v>45086</v>
      </c>
      <c r="S538" t="s">
        <v>44</v>
      </c>
      <c r="T538" s="30">
        <v>45736</v>
      </c>
      <c r="U538" s="20">
        <v>114300</v>
      </c>
      <c r="V538" s="31"/>
      <c r="W538" s="34">
        <f>+U538</f>
        <v>114300</v>
      </c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2"/>
      <c r="AJ538" s="32">
        <v>19050</v>
      </c>
      <c r="AK538" s="32">
        <v>19050</v>
      </c>
      <c r="AL538" s="32">
        <v>19050</v>
      </c>
      <c r="AM538" s="32">
        <v>19050</v>
      </c>
      <c r="AN538" s="32">
        <v>19050</v>
      </c>
      <c r="AO538" s="32">
        <v>19050</v>
      </c>
      <c r="AP538" s="32"/>
      <c r="AQ538" s="32"/>
      <c r="AR538" s="32"/>
      <c r="AS538" s="32"/>
      <c r="AT538" s="32"/>
      <c r="AU538" s="32"/>
      <c r="AV538" s="35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CR538">
        <v>891500</v>
      </c>
      <c r="CS538">
        <v>9</v>
      </c>
    </row>
    <row r="539" spans="1:97" x14ac:dyDescent="0.4">
      <c r="A539" t="s">
        <v>1661</v>
      </c>
      <c r="D539" t="s">
        <v>2370</v>
      </c>
      <c r="E539" t="s">
        <v>2371</v>
      </c>
      <c r="F539" t="s">
        <v>1662</v>
      </c>
      <c r="G539" t="s">
        <v>4575</v>
      </c>
      <c r="H539">
        <v>8050157999</v>
      </c>
      <c r="I539" t="s">
        <v>1663</v>
      </c>
      <c r="J539" t="s">
        <v>2433</v>
      </c>
      <c r="L539" t="s">
        <v>4576</v>
      </c>
      <c r="M539" t="s">
        <v>2598</v>
      </c>
      <c r="N539" t="s">
        <v>4577</v>
      </c>
      <c r="O539" t="s">
        <v>4578</v>
      </c>
      <c r="Q539" t="s">
        <v>2468</v>
      </c>
      <c r="R539" s="30">
        <v>45084</v>
      </c>
      <c r="S539" t="s">
        <v>44</v>
      </c>
      <c r="T539" s="30">
        <v>45828</v>
      </c>
      <c r="U539" s="20">
        <v>114300</v>
      </c>
      <c r="V539" s="31"/>
      <c r="W539" s="31"/>
      <c r="X539" s="31"/>
      <c r="Y539" s="31"/>
      <c r="Z539" s="31">
        <f>+U539</f>
        <v>114300</v>
      </c>
      <c r="AA539" s="31"/>
      <c r="AB539" s="31"/>
      <c r="AC539" s="31"/>
      <c r="AD539" s="31"/>
      <c r="AE539" s="31"/>
      <c r="AF539" s="31"/>
      <c r="AG539" s="31"/>
      <c r="AH539" s="31"/>
      <c r="AI539" s="32"/>
      <c r="AJ539" s="32"/>
      <c r="AK539" s="32"/>
      <c r="AL539" s="32"/>
      <c r="AM539" s="32">
        <v>19050</v>
      </c>
      <c r="AN539" s="32">
        <v>19050</v>
      </c>
      <c r="AO539" s="32">
        <v>19050</v>
      </c>
      <c r="AP539" s="32">
        <v>19050</v>
      </c>
      <c r="AQ539" s="32">
        <v>19050</v>
      </c>
      <c r="AR539" s="32">
        <v>19050</v>
      </c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CR539">
        <v>546600</v>
      </c>
      <c r="CS539">
        <v>2</v>
      </c>
    </row>
    <row r="540" spans="1:97" s="36" customFormat="1" x14ac:dyDescent="0.4">
      <c r="A540" s="36" t="s">
        <v>4579</v>
      </c>
      <c r="D540" s="36" t="s">
        <v>2370</v>
      </c>
      <c r="E540" s="36" t="s">
        <v>2371</v>
      </c>
      <c r="F540" s="36" t="s">
        <v>4580</v>
      </c>
      <c r="G540" s="36" t="s">
        <v>4581</v>
      </c>
      <c r="H540" s="36">
        <v>9027682474</v>
      </c>
      <c r="I540" s="36" t="s">
        <v>4582</v>
      </c>
      <c r="J540" s="36" t="s">
        <v>2433</v>
      </c>
      <c r="L540" s="36" t="s">
        <v>4583</v>
      </c>
      <c r="M540" s="36" t="s">
        <v>2598</v>
      </c>
      <c r="N540" s="36" t="s">
        <v>4427</v>
      </c>
      <c r="O540" s="36" t="s">
        <v>4584</v>
      </c>
      <c r="Q540" s="36" t="s">
        <v>2468</v>
      </c>
      <c r="R540" s="37">
        <v>45075</v>
      </c>
      <c r="S540" s="36" t="s">
        <v>2503</v>
      </c>
      <c r="T540" s="37">
        <v>45706</v>
      </c>
      <c r="U540" s="37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CR540" s="36">
        <v>474240</v>
      </c>
      <c r="CS540" s="36">
        <v>3</v>
      </c>
    </row>
    <row r="541" spans="1:97" x14ac:dyDescent="0.4">
      <c r="A541" t="s">
        <v>1664</v>
      </c>
      <c r="D541" t="s">
        <v>2370</v>
      </c>
      <c r="E541" t="s">
        <v>2371</v>
      </c>
      <c r="F541" t="s">
        <v>1665</v>
      </c>
      <c r="G541" t="s">
        <v>4585</v>
      </c>
      <c r="H541">
        <v>470620283</v>
      </c>
      <c r="I541" t="s">
        <v>1666</v>
      </c>
      <c r="J541" t="s">
        <v>2433</v>
      </c>
      <c r="L541" t="s">
        <v>4586</v>
      </c>
      <c r="M541" t="s">
        <v>2598</v>
      </c>
      <c r="N541" t="s">
        <v>4587</v>
      </c>
      <c r="O541" t="s">
        <v>4588</v>
      </c>
      <c r="Q541" t="s">
        <v>2468</v>
      </c>
      <c r="R541" s="30">
        <v>45073</v>
      </c>
      <c r="S541" t="s">
        <v>44</v>
      </c>
      <c r="T541" s="30">
        <v>45828</v>
      </c>
      <c r="U541" s="20">
        <v>114300</v>
      </c>
      <c r="V541" s="31"/>
      <c r="W541" s="31"/>
      <c r="X541" s="31"/>
      <c r="Y541" s="31"/>
      <c r="Z541" s="31">
        <f t="shared" ref="Z541:Z542" si="91">+U541</f>
        <v>114300</v>
      </c>
      <c r="AA541" s="31"/>
      <c r="AB541" s="31"/>
      <c r="AC541" s="31"/>
      <c r="AD541" s="31"/>
      <c r="AE541" s="31"/>
      <c r="AF541" s="31"/>
      <c r="AG541" s="31"/>
      <c r="AH541" s="31"/>
      <c r="AI541" s="32"/>
      <c r="AJ541" s="32"/>
      <c r="AK541" s="32"/>
      <c r="AL541" s="32"/>
      <c r="AM541" s="32">
        <v>19050</v>
      </c>
      <c r="AN541" s="32">
        <v>19050</v>
      </c>
      <c r="AO541" s="32">
        <v>19050</v>
      </c>
      <c r="AP541" s="32">
        <v>19050</v>
      </c>
      <c r="AQ541" s="32">
        <v>19050</v>
      </c>
      <c r="AR541" s="32">
        <v>19050</v>
      </c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CR541">
        <v>546600</v>
      </c>
      <c r="CS541">
        <v>2</v>
      </c>
    </row>
    <row r="542" spans="1:97" x14ac:dyDescent="0.4">
      <c r="A542" t="s">
        <v>1667</v>
      </c>
      <c r="D542" t="s">
        <v>2370</v>
      </c>
      <c r="E542" t="s">
        <v>2371</v>
      </c>
      <c r="F542" t="s">
        <v>1668</v>
      </c>
      <c r="G542" t="s">
        <v>4589</v>
      </c>
      <c r="H542">
        <v>8039681826</v>
      </c>
      <c r="I542" t="s">
        <v>1669</v>
      </c>
      <c r="J542" t="s">
        <v>2433</v>
      </c>
      <c r="L542" t="s">
        <v>4590</v>
      </c>
      <c r="M542" t="s">
        <v>2500</v>
      </c>
      <c r="N542" t="s">
        <v>4591</v>
      </c>
      <c r="O542" t="s">
        <v>4592</v>
      </c>
      <c r="Q542" t="s">
        <v>4394</v>
      </c>
      <c r="R542" s="30">
        <v>45069</v>
      </c>
      <c r="S542" t="s">
        <v>44</v>
      </c>
      <c r="T542" s="30">
        <v>45828</v>
      </c>
      <c r="U542" s="20">
        <v>114300</v>
      </c>
      <c r="V542" s="31"/>
      <c r="W542" s="31"/>
      <c r="X542" s="31"/>
      <c r="Y542" s="31"/>
      <c r="Z542" s="31">
        <f t="shared" si="91"/>
        <v>114300</v>
      </c>
      <c r="AA542" s="31"/>
      <c r="AB542" s="31"/>
      <c r="AC542" s="31"/>
      <c r="AD542" s="31"/>
      <c r="AE542" s="31"/>
      <c r="AF542" s="31"/>
      <c r="AG542" s="31"/>
      <c r="AH542" s="31"/>
      <c r="AI542" s="32"/>
      <c r="AJ542" s="32"/>
      <c r="AK542" s="32"/>
      <c r="AL542" s="32"/>
      <c r="AM542" s="32">
        <v>19050</v>
      </c>
      <c r="AN542" s="32">
        <v>19050</v>
      </c>
      <c r="AO542" s="32">
        <v>19050</v>
      </c>
      <c r="AP542" s="32">
        <v>19050</v>
      </c>
      <c r="AQ542" s="32">
        <v>19050</v>
      </c>
      <c r="AR542" s="32">
        <v>19050</v>
      </c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CR542">
        <v>900070</v>
      </c>
      <c r="CS542">
        <v>4</v>
      </c>
    </row>
    <row r="543" spans="1:97" x14ac:dyDescent="0.4">
      <c r="A543" t="s">
        <v>1670</v>
      </c>
      <c r="D543" t="s">
        <v>2370</v>
      </c>
      <c r="E543" t="s">
        <v>2371</v>
      </c>
      <c r="F543" t="s">
        <v>1671</v>
      </c>
      <c r="G543" t="s">
        <v>4593</v>
      </c>
      <c r="H543">
        <v>9015139605</v>
      </c>
      <c r="I543" t="s">
        <v>1672</v>
      </c>
      <c r="J543" t="s">
        <v>2433</v>
      </c>
      <c r="L543" t="s">
        <v>4594</v>
      </c>
      <c r="M543" t="s">
        <v>2715</v>
      </c>
      <c r="N543" t="s">
        <v>4595</v>
      </c>
      <c r="O543" s="40">
        <v>36161</v>
      </c>
      <c r="Q543" t="s">
        <v>2468</v>
      </c>
      <c r="R543" s="30">
        <v>45069</v>
      </c>
      <c r="S543" t="s">
        <v>44</v>
      </c>
      <c r="T543" s="30">
        <v>45767</v>
      </c>
      <c r="U543" s="20">
        <v>114300</v>
      </c>
      <c r="V543" s="31"/>
      <c r="W543" s="34"/>
      <c r="X543" s="34">
        <f>+U543</f>
        <v>114300</v>
      </c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2"/>
      <c r="AJ543" s="35"/>
      <c r="AK543" s="32">
        <v>19050</v>
      </c>
      <c r="AL543" s="32">
        <v>19050</v>
      </c>
      <c r="AM543" s="32">
        <v>19050</v>
      </c>
      <c r="AN543" s="32">
        <v>19050</v>
      </c>
      <c r="AO543" s="32">
        <v>19050</v>
      </c>
      <c r="AP543" s="32">
        <v>19050</v>
      </c>
      <c r="AQ543" s="32"/>
      <c r="AR543" s="32"/>
      <c r="AS543" s="32"/>
      <c r="AT543" s="32"/>
      <c r="AU543" s="32"/>
      <c r="AV543" s="35"/>
      <c r="AW543" s="35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CR543">
        <v>769975</v>
      </c>
      <c r="CS543">
        <v>19</v>
      </c>
    </row>
    <row r="544" spans="1:97" x14ac:dyDescent="0.4">
      <c r="A544" t="s">
        <v>1673</v>
      </c>
      <c r="D544" t="s">
        <v>2370</v>
      </c>
      <c r="E544" t="s">
        <v>2371</v>
      </c>
      <c r="F544" t="s">
        <v>1674</v>
      </c>
      <c r="G544" t="s">
        <v>4596</v>
      </c>
      <c r="H544">
        <v>8018304298</v>
      </c>
      <c r="I544" t="s">
        <v>1675</v>
      </c>
      <c r="J544" t="s">
        <v>2433</v>
      </c>
      <c r="L544" t="s">
        <v>4597</v>
      </c>
      <c r="M544" t="s">
        <v>2565</v>
      </c>
      <c r="N544" t="s">
        <v>3948</v>
      </c>
      <c r="O544" t="s">
        <v>4598</v>
      </c>
      <c r="Q544" t="s">
        <v>3561</v>
      </c>
      <c r="R544" s="30">
        <v>45066</v>
      </c>
      <c r="S544" t="s">
        <v>44</v>
      </c>
      <c r="T544" s="30">
        <v>45828</v>
      </c>
      <c r="U544" s="20">
        <v>114300</v>
      </c>
      <c r="V544" s="31"/>
      <c r="W544" s="31"/>
      <c r="X544" s="31"/>
      <c r="Y544" s="31"/>
      <c r="Z544" s="31">
        <f>+U544</f>
        <v>114300</v>
      </c>
      <c r="AA544" s="31"/>
      <c r="AB544" s="31"/>
      <c r="AC544" s="31"/>
      <c r="AD544" s="31"/>
      <c r="AE544" s="31"/>
      <c r="AF544" s="31"/>
      <c r="AG544" s="31"/>
      <c r="AH544" s="31"/>
      <c r="AI544" s="32"/>
      <c r="AJ544" s="32"/>
      <c r="AK544" s="32"/>
      <c r="AL544" s="32"/>
      <c r="AM544" s="32">
        <v>19050</v>
      </c>
      <c r="AN544" s="32">
        <v>19050</v>
      </c>
      <c r="AO544" s="32">
        <v>19050</v>
      </c>
      <c r="AP544" s="32">
        <v>19050</v>
      </c>
      <c r="AQ544" s="32">
        <v>19050</v>
      </c>
      <c r="AR544" s="32">
        <v>19050</v>
      </c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CR544">
        <v>546600</v>
      </c>
      <c r="CS544">
        <v>4</v>
      </c>
    </row>
    <row r="545" spans="1:97" x14ac:dyDescent="0.4">
      <c r="A545" t="s">
        <v>1676</v>
      </c>
      <c r="D545" t="s">
        <v>2370</v>
      </c>
      <c r="E545" t="s">
        <v>2371</v>
      </c>
      <c r="F545" t="s">
        <v>1677</v>
      </c>
      <c r="G545" t="s">
        <v>4599</v>
      </c>
      <c r="H545">
        <v>9033838392</v>
      </c>
      <c r="I545" t="s">
        <v>1678</v>
      </c>
      <c r="J545" t="s">
        <v>2433</v>
      </c>
      <c r="L545" t="s">
        <v>4600</v>
      </c>
      <c r="M545" t="s">
        <v>2451</v>
      </c>
      <c r="N545" t="s">
        <v>4601</v>
      </c>
      <c r="O545" t="s">
        <v>4602</v>
      </c>
      <c r="Q545" t="s">
        <v>2468</v>
      </c>
      <c r="R545" s="30">
        <v>45064</v>
      </c>
      <c r="S545" t="s">
        <v>44</v>
      </c>
      <c r="T545" s="30">
        <v>45767</v>
      </c>
      <c r="U545" s="20">
        <v>114300</v>
      </c>
      <c r="V545" s="31"/>
      <c r="W545" s="34"/>
      <c r="X545" s="34">
        <f t="shared" ref="X545:X547" si="92">+U545</f>
        <v>114300</v>
      </c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2"/>
      <c r="AJ545" s="35"/>
      <c r="AK545" s="32">
        <v>19050</v>
      </c>
      <c r="AL545" s="32">
        <v>19050</v>
      </c>
      <c r="AM545" s="32">
        <v>19050</v>
      </c>
      <c r="AN545" s="32">
        <v>19050</v>
      </c>
      <c r="AO545" s="32">
        <v>19050</v>
      </c>
      <c r="AP545" s="32">
        <v>19050</v>
      </c>
      <c r="AQ545" s="32"/>
      <c r="AR545" s="32"/>
      <c r="AS545" s="32"/>
      <c r="AT545" s="32"/>
      <c r="AU545" s="32"/>
      <c r="AV545" s="35"/>
      <c r="AW545" s="35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CR545">
        <v>888600</v>
      </c>
      <c r="CS545">
        <v>5</v>
      </c>
    </row>
    <row r="546" spans="1:97" x14ac:dyDescent="0.4">
      <c r="A546" t="s">
        <v>1679</v>
      </c>
      <c r="D546" t="s">
        <v>2370</v>
      </c>
      <c r="E546" t="s">
        <v>2371</v>
      </c>
      <c r="F546" t="s">
        <v>1680</v>
      </c>
      <c r="G546" t="s">
        <v>4603</v>
      </c>
      <c r="H546">
        <v>9061357747</v>
      </c>
      <c r="I546" t="s">
        <v>1681</v>
      </c>
      <c r="J546" t="s">
        <v>2433</v>
      </c>
      <c r="L546" t="s">
        <v>4604</v>
      </c>
      <c r="M546" t="s">
        <v>2444</v>
      </c>
      <c r="N546" t="s">
        <v>4605</v>
      </c>
      <c r="O546" t="s">
        <v>4606</v>
      </c>
      <c r="Q546" t="s">
        <v>2468</v>
      </c>
      <c r="R546" s="30">
        <v>45064</v>
      </c>
      <c r="S546" t="s">
        <v>44</v>
      </c>
      <c r="T546" s="30">
        <v>45767</v>
      </c>
      <c r="U546" s="20">
        <v>114300</v>
      </c>
      <c r="V546" s="31"/>
      <c r="W546" s="34"/>
      <c r="X546" s="34">
        <f t="shared" si="92"/>
        <v>114300</v>
      </c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2"/>
      <c r="AJ546" s="35"/>
      <c r="AK546" s="32">
        <v>19050</v>
      </c>
      <c r="AL546" s="32">
        <v>19050</v>
      </c>
      <c r="AM546" s="32">
        <v>19050</v>
      </c>
      <c r="AN546" s="32">
        <v>19050</v>
      </c>
      <c r="AO546" s="32">
        <v>19050</v>
      </c>
      <c r="AP546" s="32">
        <v>19050</v>
      </c>
      <c r="AQ546" s="32"/>
      <c r="AR546" s="32"/>
      <c r="AS546" s="32"/>
      <c r="AT546" s="32"/>
      <c r="AU546" s="32"/>
      <c r="AV546" s="35"/>
      <c r="AW546" s="35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CR546">
        <v>660900</v>
      </c>
      <c r="CS546">
        <v>3</v>
      </c>
    </row>
    <row r="547" spans="1:97" s="36" customFormat="1" x14ac:dyDescent="0.4">
      <c r="A547" s="36" t="s">
        <v>1682</v>
      </c>
      <c r="D547" s="36" t="s">
        <v>2370</v>
      </c>
      <c r="E547" s="36" t="s">
        <v>2371</v>
      </c>
      <c r="F547" s="36" t="s">
        <v>1683</v>
      </c>
      <c r="G547" s="36" t="s">
        <v>4607</v>
      </c>
      <c r="H547" s="36">
        <v>9088598045</v>
      </c>
      <c r="I547" s="36" t="s">
        <v>1684</v>
      </c>
      <c r="J547" s="36" t="s">
        <v>2433</v>
      </c>
      <c r="L547" s="36" t="s">
        <v>4608</v>
      </c>
      <c r="M547" s="36" t="s">
        <v>2518</v>
      </c>
      <c r="N547" s="36" t="s">
        <v>4609</v>
      </c>
      <c r="O547" s="43">
        <v>37084</v>
      </c>
      <c r="Q547" s="36" t="s">
        <v>2468</v>
      </c>
      <c r="R547" s="37">
        <v>45060</v>
      </c>
      <c r="S547" s="36" t="s">
        <v>3784</v>
      </c>
      <c r="T547" s="37">
        <v>45767</v>
      </c>
      <c r="U547" s="37"/>
      <c r="V547" s="38"/>
      <c r="W547" s="34"/>
      <c r="X547" s="34">
        <f t="shared" si="92"/>
        <v>0</v>
      </c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9"/>
      <c r="AJ547" s="35"/>
      <c r="AK547" s="35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5"/>
      <c r="AW547" s="35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CR547" s="36">
        <v>1344145</v>
      </c>
      <c r="CS547" s="36">
        <v>23</v>
      </c>
    </row>
    <row r="548" spans="1:97" s="36" customFormat="1" x14ac:dyDescent="0.4">
      <c r="A548" s="36" t="s">
        <v>1685</v>
      </c>
      <c r="D548" s="36" t="s">
        <v>2370</v>
      </c>
      <c r="E548" s="36" t="s">
        <v>2371</v>
      </c>
      <c r="F548" s="36" t="s">
        <v>1686</v>
      </c>
      <c r="G548" s="36" t="s">
        <v>4610</v>
      </c>
      <c r="H548" s="36">
        <v>762624358</v>
      </c>
      <c r="I548" s="36" t="s">
        <v>1687</v>
      </c>
      <c r="J548" s="36" t="s">
        <v>2433</v>
      </c>
      <c r="L548" s="36" t="s">
        <v>4611</v>
      </c>
      <c r="M548" s="36" t="s">
        <v>3368</v>
      </c>
      <c r="N548" s="36" t="s">
        <v>4612</v>
      </c>
      <c r="O548" s="36" t="s">
        <v>4613</v>
      </c>
      <c r="Q548" s="36" t="s">
        <v>2468</v>
      </c>
      <c r="R548" s="37">
        <v>45058</v>
      </c>
      <c r="S548" s="36" t="s">
        <v>3191</v>
      </c>
      <c r="T548" s="37">
        <v>45736</v>
      </c>
      <c r="U548" s="37"/>
      <c r="V548" s="38"/>
      <c r="W548" s="34">
        <f>+U548</f>
        <v>0</v>
      </c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9"/>
      <c r="AJ548" s="35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5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CR548" s="36">
        <v>889320</v>
      </c>
      <c r="CS548" s="36">
        <v>20</v>
      </c>
    </row>
    <row r="549" spans="1:97" x14ac:dyDescent="0.4">
      <c r="A549" t="s">
        <v>1688</v>
      </c>
      <c r="D549" t="s">
        <v>2370</v>
      </c>
      <c r="E549" t="s">
        <v>2371</v>
      </c>
      <c r="F549" t="s">
        <v>1689</v>
      </c>
      <c r="G549" t="s">
        <v>4614</v>
      </c>
      <c r="H549">
        <v>9092278882</v>
      </c>
      <c r="I549" t="s">
        <v>1690</v>
      </c>
      <c r="J549" t="s">
        <v>2433</v>
      </c>
      <c r="L549" t="s">
        <v>4615</v>
      </c>
      <c r="M549" t="s">
        <v>2451</v>
      </c>
      <c r="N549" t="s">
        <v>4616</v>
      </c>
      <c r="O549" s="41">
        <v>37047</v>
      </c>
      <c r="Q549" t="s">
        <v>3561</v>
      </c>
      <c r="R549" s="30">
        <v>45057</v>
      </c>
      <c r="S549" t="s">
        <v>44</v>
      </c>
      <c r="T549" s="30">
        <v>45828</v>
      </c>
      <c r="U549" s="20">
        <v>114300</v>
      </c>
      <c r="V549" s="31"/>
      <c r="W549" s="31"/>
      <c r="X549" s="31"/>
      <c r="Y549" s="31"/>
      <c r="Z549" s="31">
        <f t="shared" ref="Z549:Z550" si="93">+U549</f>
        <v>114300</v>
      </c>
      <c r="AA549" s="31"/>
      <c r="AB549" s="31"/>
      <c r="AC549" s="31"/>
      <c r="AD549" s="31"/>
      <c r="AE549" s="31"/>
      <c r="AF549" s="31"/>
      <c r="AG549" s="31"/>
      <c r="AH549" s="31"/>
      <c r="AI549" s="32"/>
      <c r="AJ549" s="32"/>
      <c r="AK549" s="32"/>
      <c r="AL549" s="32"/>
      <c r="AM549" s="32">
        <v>19050</v>
      </c>
      <c r="AN549" s="32">
        <v>19050</v>
      </c>
      <c r="AO549" s="32">
        <v>19050</v>
      </c>
      <c r="AP549" s="32">
        <v>19050</v>
      </c>
      <c r="AQ549" s="32">
        <v>19050</v>
      </c>
      <c r="AR549" s="32">
        <v>19050</v>
      </c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CR549">
        <v>863490</v>
      </c>
      <c r="CS549">
        <v>4</v>
      </c>
    </row>
    <row r="550" spans="1:97" x14ac:dyDescent="0.4">
      <c r="A550" t="s">
        <v>1691</v>
      </c>
      <c r="D550" t="s">
        <v>2370</v>
      </c>
      <c r="E550" t="s">
        <v>2371</v>
      </c>
      <c r="F550" t="s">
        <v>1692</v>
      </c>
      <c r="G550" t="s">
        <v>4617</v>
      </c>
      <c r="H550">
        <v>9073935000</v>
      </c>
      <c r="I550" t="s">
        <v>1693</v>
      </c>
      <c r="J550" t="s">
        <v>2433</v>
      </c>
      <c r="L550" t="s">
        <v>4618</v>
      </c>
      <c r="M550" t="s">
        <v>2518</v>
      </c>
      <c r="N550" t="s">
        <v>4619</v>
      </c>
      <c r="O550" t="s">
        <v>4620</v>
      </c>
      <c r="Q550" t="s">
        <v>2468</v>
      </c>
      <c r="R550" s="30">
        <v>45056</v>
      </c>
      <c r="S550" t="s">
        <v>44</v>
      </c>
      <c r="T550" s="30">
        <v>45828</v>
      </c>
      <c r="U550" s="20">
        <v>114300</v>
      </c>
      <c r="V550" s="31"/>
      <c r="W550" s="31"/>
      <c r="X550" s="31"/>
      <c r="Y550" s="31"/>
      <c r="Z550" s="31">
        <f t="shared" si="93"/>
        <v>114300</v>
      </c>
      <c r="AA550" s="31"/>
      <c r="AB550" s="31"/>
      <c r="AC550" s="31"/>
      <c r="AD550" s="31"/>
      <c r="AE550" s="31"/>
      <c r="AF550" s="31"/>
      <c r="AG550" s="31"/>
      <c r="AH550" s="31"/>
      <c r="AI550" s="32"/>
      <c r="AJ550" s="32"/>
      <c r="AK550" s="32"/>
      <c r="AL550" s="32"/>
      <c r="AM550" s="32">
        <v>19050</v>
      </c>
      <c r="AN550" s="32">
        <v>19050</v>
      </c>
      <c r="AO550" s="32">
        <v>19050</v>
      </c>
      <c r="AP550" s="32">
        <v>19050</v>
      </c>
      <c r="AQ550" s="32">
        <v>19050</v>
      </c>
      <c r="AR550" s="32">
        <v>19050</v>
      </c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CR550">
        <v>546600</v>
      </c>
      <c r="CS550">
        <v>2</v>
      </c>
    </row>
    <row r="551" spans="1:97" x14ac:dyDescent="0.4">
      <c r="A551" t="s">
        <v>1694</v>
      </c>
      <c r="D551" t="s">
        <v>2370</v>
      </c>
      <c r="E551" t="s">
        <v>2371</v>
      </c>
      <c r="F551" t="s">
        <v>1695</v>
      </c>
      <c r="G551" t="s">
        <v>4621</v>
      </c>
      <c r="H551">
        <v>9034873493</v>
      </c>
      <c r="I551" t="s">
        <v>1696</v>
      </c>
      <c r="J551" t="s">
        <v>2433</v>
      </c>
      <c r="L551" t="s">
        <v>3979</v>
      </c>
      <c r="M551" t="s">
        <v>2518</v>
      </c>
      <c r="N551" t="s">
        <v>4622</v>
      </c>
      <c r="O551" t="s">
        <v>4623</v>
      </c>
      <c r="Q551" t="s">
        <v>2468</v>
      </c>
      <c r="R551" s="30">
        <v>45052</v>
      </c>
      <c r="S551" t="s">
        <v>44</v>
      </c>
      <c r="T551" s="30">
        <v>45767</v>
      </c>
      <c r="U551" s="20">
        <v>114300</v>
      </c>
      <c r="V551" s="31"/>
      <c r="W551" s="34"/>
      <c r="X551" s="34">
        <f>+U551</f>
        <v>114300</v>
      </c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2"/>
      <c r="AJ551" s="35"/>
      <c r="AK551" s="32">
        <v>19050</v>
      </c>
      <c r="AL551" s="32">
        <v>19050</v>
      </c>
      <c r="AM551" s="32">
        <v>19050</v>
      </c>
      <c r="AN551" s="32">
        <v>19050</v>
      </c>
      <c r="AO551" s="32">
        <v>19050</v>
      </c>
      <c r="AP551" s="32">
        <v>19050</v>
      </c>
      <c r="AQ551" s="32"/>
      <c r="AR551" s="32"/>
      <c r="AS551" s="32"/>
      <c r="AT551" s="32"/>
      <c r="AU551" s="32"/>
      <c r="AV551" s="35"/>
      <c r="AW551" s="35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CR551">
        <v>799675</v>
      </c>
      <c r="CS551">
        <v>20</v>
      </c>
    </row>
    <row r="552" spans="1:97" x14ac:dyDescent="0.4">
      <c r="A552" t="s">
        <v>1697</v>
      </c>
      <c r="D552" t="s">
        <v>2370</v>
      </c>
      <c r="E552" t="s">
        <v>2371</v>
      </c>
      <c r="F552" t="s">
        <v>1698</v>
      </c>
      <c r="G552" t="s">
        <v>4624</v>
      </c>
      <c r="H552">
        <v>9039367070</v>
      </c>
      <c r="I552" t="s">
        <v>1699</v>
      </c>
      <c r="J552" t="s">
        <v>2433</v>
      </c>
      <c r="L552" t="s">
        <v>4625</v>
      </c>
      <c r="M552" t="s">
        <v>2500</v>
      </c>
      <c r="N552" t="s">
        <v>2501</v>
      </c>
      <c r="O552" t="s">
        <v>4626</v>
      </c>
      <c r="Q552" t="s">
        <v>2468</v>
      </c>
      <c r="R552" s="30">
        <v>45051</v>
      </c>
      <c r="S552" t="s">
        <v>44</v>
      </c>
      <c r="T552" s="30">
        <v>45828</v>
      </c>
      <c r="U552" s="20">
        <v>114300</v>
      </c>
      <c r="V552" s="31"/>
      <c r="W552" s="31"/>
      <c r="X552" s="31"/>
      <c r="Y552" s="31"/>
      <c r="Z552" s="31">
        <f>+U552</f>
        <v>114300</v>
      </c>
      <c r="AA552" s="31"/>
      <c r="AB552" s="31"/>
      <c r="AC552" s="31"/>
      <c r="AD552" s="31"/>
      <c r="AE552" s="31"/>
      <c r="AF552" s="31"/>
      <c r="AG552" s="31"/>
      <c r="AH552" s="31"/>
      <c r="AI552" s="32"/>
      <c r="AJ552" s="32"/>
      <c r="AK552" s="32"/>
      <c r="AL552" s="32"/>
      <c r="AM552" s="32">
        <v>19050</v>
      </c>
      <c r="AN552" s="32">
        <v>19050</v>
      </c>
      <c r="AO552" s="32">
        <v>19050</v>
      </c>
      <c r="AP552" s="32">
        <v>19050</v>
      </c>
      <c r="AQ552" s="32">
        <v>19050</v>
      </c>
      <c r="AR552" s="32">
        <v>19050</v>
      </c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CR552">
        <v>432300</v>
      </c>
      <c r="CS552">
        <v>1</v>
      </c>
    </row>
    <row r="553" spans="1:97" x14ac:dyDescent="0.4">
      <c r="A553" t="s">
        <v>1700</v>
      </c>
      <c r="D553" t="s">
        <v>2370</v>
      </c>
      <c r="E553" t="s">
        <v>2371</v>
      </c>
      <c r="F553" t="s">
        <v>1701</v>
      </c>
      <c r="G553" t="s">
        <v>4627</v>
      </c>
      <c r="H553">
        <v>9021365728</v>
      </c>
      <c r="I553" t="s">
        <v>1702</v>
      </c>
      <c r="J553" t="s">
        <v>2433</v>
      </c>
      <c r="L553" t="s">
        <v>4628</v>
      </c>
      <c r="M553" t="s">
        <v>2500</v>
      </c>
      <c r="N553" t="s">
        <v>3984</v>
      </c>
      <c r="O553" t="s">
        <v>4629</v>
      </c>
      <c r="Q553" t="s">
        <v>2468</v>
      </c>
      <c r="R553" s="30">
        <v>45048</v>
      </c>
      <c r="S553" t="s">
        <v>25</v>
      </c>
      <c r="T553" s="30">
        <v>45736</v>
      </c>
      <c r="U553">
        <v>59400</v>
      </c>
      <c r="V553" s="34"/>
      <c r="W553" s="34">
        <f>+U553</f>
        <v>59400</v>
      </c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5"/>
      <c r="AJ553" s="32">
        <v>19800</v>
      </c>
      <c r="AK553" s="32">
        <v>19800</v>
      </c>
      <c r="AL553" s="32">
        <v>19800</v>
      </c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CR553">
        <v>533170</v>
      </c>
      <c r="CS553">
        <v>3</v>
      </c>
    </row>
    <row r="554" spans="1:97" x14ac:dyDescent="0.4">
      <c r="A554" t="s">
        <v>1703</v>
      </c>
      <c r="D554" t="s">
        <v>2370</v>
      </c>
      <c r="E554" t="s">
        <v>2371</v>
      </c>
      <c r="F554" t="s">
        <v>1704</v>
      </c>
      <c r="G554" t="s">
        <v>4630</v>
      </c>
      <c r="H554">
        <v>9019283902</v>
      </c>
      <c r="I554" t="s">
        <v>1705</v>
      </c>
      <c r="J554" t="s">
        <v>2433</v>
      </c>
      <c r="L554" t="s">
        <v>4631</v>
      </c>
      <c r="M554" t="s">
        <v>3085</v>
      </c>
      <c r="N554" t="s">
        <v>4632</v>
      </c>
      <c r="O554" t="s">
        <v>4633</v>
      </c>
      <c r="Q554" t="s">
        <v>4394</v>
      </c>
      <c r="R554" s="30">
        <v>45045</v>
      </c>
      <c r="S554" t="s">
        <v>44</v>
      </c>
      <c r="T554" s="30">
        <v>45828</v>
      </c>
      <c r="U554" s="20">
        <v>114300</v>
      </c>
      <c r="V554" s="31"/>
      <c r="W554" s="31"/>
      <c r="X554" s="31"/>
      <c r="Y554" s="31"/>
      <c r="Z554" s="31">
        <f t="shared" ref="Z554:Z556" si="94">+U554</f>
        <v>114300</v>
      </c>
      <c r="AA554" s="31"/>
      <c r="AB554" s="31"/>
      <c r="AC554" s="31"/>
      <c r="AD554" s="31"/>
      <c r="AE554" s="31"/>
      <c r="AF554" s="31"/>
      <c r="AG554" s="31"/>
      <c r="AH554" s="31"/>
      <c r="AI554" s="32"/>
      <c r="AJ554" s="32"/>
      <c r="AK554" s="32"/>
      <c r="AL554" s="32"/>
      <c r="AM554" s="32">
        <v>19050</v>
      </c>
      <c r="AN554" s="32">
        <v>19050</v>
      </c>
      <c r="AO554" s="32">
        <v>19050</v>
      </c>
      <c r="AP554" s="32">
        <v>19050</v>
      </c>
      <c r="AQ554" s="32">
        <v>19050</v>
      </c>
      <c r="AR554" s="32">
        <v>19050</v>
      </c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CR554">
        <v>546600</v>
      </c>
      <c r="CS554">
        <v>2</v>
      </c>
    </row>
    <row r="555" spans="1:97" x14ac:dyDescent="0.4">
      <c r="A555" t="s">
        <v>1706</v>
      </c>
      <c r="D555" t="s">
        <v>2370</v>
      </c>
      <c r="E555" t="s">
        <v>2371</v>
      </c>
      <c r="F555" t="s">
        <v>1707</v>
      </c>
      <c r="G555" t="s">
        <v>4634</v>
      </c>
      <c r="H555">
        <v>8049663102</v>
      </c>
      <c r="I555" t="s">
        <v>1708</v>
      </c>
      <c r="J555" t="s">
        <v>2433</v>
      </c>
      <c r="L555" t="s">
        <v>4635</v>
      </c>
      <c r="M555" t="s">
        <v>2500</v>
      </c>
      <c r="N555" t="s">
        <v>4636</v>
      </c>
      <c r="O555" s="33">
        <v>45715</v>
      </c>
      <c r="Q555" t="s">
        <v>4637</v>
      </c>
      <c r="R555" s="30">
        <v>45038</v>
      </c>
      <c r="S555" t="s">
        <v>50</v>
      </c>
      <c r="T555" s="30">
        <v>45828</v>
      </c>
      <c r="U555" s="20">
        <v>114300</v>
      </c>
      <c r="V555" s="31"/>
      <c r="W555" s="31"/>
      <c r="X555" s="31"/>
      <c r="Y555" s="31"/>
      <c r="Z555" s="31">
        <f t="shared" si="94"/>
        <v>114300</v>
      </c>
      <c r="AA555" s="31"/>
      <c r="AB555" s="31"/>
      <c r="AC555" s="31"/>
      <c r="AD555" s="31"/>
      <c r="AE555" s="31"/>
      <c r="AF555" s="31"/>
      <c r="AG555" s="31"/>
      <c r="AH555" s="31"/>
      <c r="AI555" s="32"/>
      <c r="AJ555" s="32"/>
      <c r="AK555" s="32"/>
      <c r="AL555" s="32"/>
      <c r="AM555" s="32">
        <v>19050</v>
      </c>
      <c r="AN555" s="32">
        <v>19050</v>
      </c>
      <c r="AO555" s="32">
        <v>19050</v>
      </c>
      <c r="AP555" s="32">
        <v>19050</v>
      </c>
      <c r="AQ555" s="32">
        <v>19050</v>
      </c>
      <c r="AR555" s="32">
        <v>19050</v>
      </c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CR555">
        <v>551490</v>
      </c>
      <c r="CS555">
        <v>3</v>
      </c>
    </row>
    <row r="556" spans="1:97" x14ac:dyDescent="0.4">
      <c r="A556" t="s">
        <v>1709</v>
      </c>
      <c r="D556" t="s">
        <v>2370</v>
      </c>
      <c r="E556" t="s">
        <v>2371</v>
      </c>
      <c r="F556" t="s">
        <v>1710</v>
      </c>
      <c r="G556" t="s">
        <v>4638</v>
      </c>
      <c r="H556">
        <v>9024703158</v>
      </c>
      <c r="I556" t="s">
        <v>1711</v>
      </c>
      <c r="J556" t="s">
        <v>2433</v>
      </c>
      <c r="L556" t="s">
        <v>4639</v>
      </c>
      <c r="M556" t="s">
        <v>2444</v>
      </c>
      <c r="N556" t="s">
        <v>4640</v>
      </c>
      <c r="O556" s="41">
        <v>37013</v>
      </c>
      <c r="Q556" t="s">
        <v>4641</v>
      </c>
      <c r="R556" s="30">
        <v>45037</v>
      </c>
      <c r="S556" t="s">
        <v>44</v>
      </c>
      <c r="T556" s="30">
        <v>45828</v>
      </c>
      <c r="U556" s="20">
        <v>114300</v>
      </c>
      <c r="V556" s="31"/>
      <c r="W556" s="31"/>
      <c r="X556" s="31"/>
      <c r="Y556" s="31"/>
      <c r="Z556" s="31">
        <f t="shared" si="94"/>
        <v>114300</v>
      </c>
      <c r="AA556" s="31"/>
      <c r="AB556" s="31"/>
      <c r="AC556" s="31"/>
      <c r="AD556" s="31"/>
      <c r="AE556" s="31"/>
      <c r="AF556" s="31"/>
      <c r="AG556" s="31"/>
      <c r="AH556" s="31"/>
      <c r="AI556" s="32"/>
      <c r="AJ556" s="32"/>
      <c r="AK556" s="32"/>
      <c r="AL556" s="32"/>
      <c r="AM556" s="32">
        <v>19050</v>
      </c>
      <c r="AN556" s="32">
        <v>19050</v>
      </c>
      <c r="AO556" s="32">
        <v>19050</v>
      </c>
      <c r="AP556" s="32">
        <v>19050</v>
      </c>
      <c r="AQ556" s="32">
        <v>19050</v>
      </c>
      <c r="AR556" s="32">
        <v>19050</v>
      </c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CR556">
        <v>762750</v>
      </c>
      <c r="CS556">
        <v>4</v>
      </c>
    </row>
    <row r="557" spans="1:97" x14ac:dyDescent="0.4">
      <c r="A557" t="s">
        <v>1712</v>
      </c>
      <c r="D557" t="s">
        <v>2370</v>
      </c>
      <c r="E557" t="s">
        <v>2371</v>
      </c>
      <c r="F557" t="s">
        <v>1713</v>
      </c>
      <c r="G557" t="s">
        <v>4642</v>
      </c>
      <c r="H557">
        <v>7085235235</v>
      </c>
      <c r="I557" t="s">
        <v>1714</v>
      </c>
      <c r="J557" t="s">
        <v>2433</v>
      </c>
      <c r="L557" t="s">
        <v>2845</v>
      </c>
      <c r="M557" t="s">
        <v>2444</v>
      </c>
      <c r="N557" t="s">
        <v>4643</v>
      </c>
      <c r="O557" t="s">
        <v>4644</v>
      </c>
      <c r="Q557" t="s">
        <v>3561</v>
      </c>
      <c r="R557" s="30">
        <v>45034</v>
      </c>
      <c r="S557" t="s">
        <v>44</v>
      </c>
      <c r="T557" s="30">
        <v>45736</v>
      </c>
      <c r="U557" s="20">
        <v>114300</v>
      </c>
      <c r="V557" s="31"/>
      <c r="W557" s="34">
        <f>+U557</f>
        <v>114300</v>
      </c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2"/>
      <c r="AJ557" s="32">
        <v>19050</v>
      </c>
      <c r="AK557" s="32">
        <v>19050</v>
      </c>
      <c r="AL557" s="32">
        <v>19050</v>
      </c>
      <c r="AM557" s="32">
        <v>19050</v>
      </c>
      <c r="AN557" s="32">
        <v>19050</v>
      </c>
      <c r="AO557" s="32">
        <v>19050</v>
      </c>
      <c r="AP557" s="32"/>
      <c r="AQ557" s="32"/>
      <c r="AR557" s="32"/>
      <c r="AS557" s="32"/>
      <c r="AT557" s="32"/>
      <c r="AU557" s="32"/>
      <c r="AV557" s="35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CR557">
        <v>766750</v>
      </c>
      <c r="CS557">
        <v>10</v>
      </c>
    </row>
    <row r="558" spans="1:97" x14ac:dyDescent="0.4">
      <c r="A558" t="s">
        <v>1716</v>
      </c>
      <c r="D558" t="s">
        <v>2370</v>
      </c>
      <c r="E558" t="s">
        <v>2371</v>
      </c>
      <c r="F558" t="s">
        <v>1717</v>
      </c>
      <c r="G558" t="s">
        <v>4645</v>
      </c>
      <c r="H558">
        <v>9040581871</v>
      </c>
      <c r="I558" t="s">
        <v>1718</v>
      </c>
      <c r="J558" t="s">
        <v>2433</v>
      </c>
      <c r="L558" t="s">
        <v>4646</v>
      </c>
      <c r="M558" t="s">
        <v>2465</v>
      </c>
      <c r="N558" t="s">
        <v>4647</v>
      </c>
      <c r="O558" t="s">
        <v>4648</v>
      </c>
      <c r="Q558" t="s">
        <v>3561</v>
      </c>
      <c r="R558" s="30">
        <v>45029</v>
      </c>
      <c r="S558" t="s">
        <v>44</v>
      </c>
      <c r="T558" s="30">
        <v>45767</v>
      </c>
      <c r="U558" s="20">
        <v>114300</v>
      </c>
      <c r="V558" s="31"/>
      <c r="W558" s="34"/>
      <c r="X558" s="34">
        <f>+U558</f>
        <v>114300</v>
      </c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2"/>
      <c r="AJ558" s="35"/>
      <c r="AK558" s="32">
        <v>19050</v>
      </c>
      <c r="AL558" s="32">
        <v>19050</v>
      </c>
      <c r="AM558" s="32">
        <v>19050</v>
      </c>
      <c r="AN558" s="32">
        <v>19050</v>
      </c>
      <c r="AO558" s="32">
        <v>19050</v>
      </c>
      <c r="AP558" s="32">
        <v>19050</v>
      </c>
      <c r="AQ558" s="32"/>
      <c r="AR558" s="32"/>
      <c r="AS558" s="32"/>
      <c r="AT558" s="32"/>
      <c r="AU558" s="32"/>
      <c r="AV558" s="35"/>
      <c r="AW558" s="35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CR558">
        <v>769975</v>
      </c>
      <c r="CS558">
        <v>19</v>
      </c>
    </row>
    <row r="559" spans="1:97" x14ac:dyDescent="0.4">
      <c r="A559" t="s">
        <v>1719</v>
      </c>
      <c r="D559" t="s">
        <v>2370</v>
      </c>
      <c r="E559" t="s">
        <v>2371</v>
      </c>
      <c r="F559" t="s">
        <v>1720</v>
      </c>
      <c r="G559" t="s">
        <v>4649</v>
      </c>
      <c r="H559">
        <v>8057008745</v>
      </c>
      <c r="I559" t="s">
        <v>1721</v>
      </c>
      <c r="J559" t="s">
        <v>2433</v>
      </c>
      <c r="L559" t="s">
        <v>4650</v>
      </c>
      <c r="M559" t="s">
        <v>2598</v>
      </c>
      <c r="N559" t="s">
        <v>4651</v>
      </c>
      <c r="O559" t="s">
        <v>4652</v>
      </c>
      <c r="Q559" t="s">
        <v>3561</v>
      </c>
      <c r="R559" s="30">
        <v>45029</v>
      </c>
      <c r="S559" t="s">
        <v>25</v>
      </c>
      <c r="T559" s="30">
        <v>45736</v>
      </c>
      <c r="U559">
        <v>59400</v>
      </c>
      <c r="V559" s="34"/>
      <c r="W559" s="34">
        <f>+U559</f>
        <v>59400</v>
      </c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5"/>
      <c r="AJ559" s="32">
        <v>19800</v>
      </c>
      <c r="AK559" s="32">
        <v>19800</v>
      </c>
      <c r="AL559" s="32">
        <v>19800</v>
      </c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CR559">
        <v>491700</v>
      </c>
      <c r="CS559">
        <v>2</v>
      </c>
    </row>
    <row r="560" spans="1:97" x14ac:dyDescent="0.4">
      <c r="A560" t="s">
        <v>1722</v>
      </c>
      <c r="D560" t="s">
        <v>2370</v>
      </c>
      <c r="E560" t="s">
        <v>2371</v>
      </c>
      <c r="F560" t="s">
        <v>1723</v>
      </c>
      <c r="G560" t="s">
        <v>4653</v>
      </c>
      <c r="H560">
        <v>9097707100</v>
      </c>
      <c r="I560" t="s">
        <v>1724</v>
      </c>
      <c r="J560" t="s">
        <v>2433</v>
      </c>
      <c r="L560" t="s">
        <v>4654</v>
      </c>
      <c r="M560" t="s">
        <v>2444</v>
      </c>
      <c r="N560" t="s">
        <v>4655</v>
      </c>
      <c r="O560" t="s">
        <v>4656</v>
      </c>
      <c r="Q560" t="s">
        <v>2468</v>
      </c>
      <c r="R560" s="30">
        <v>45027</v>
      </c>
      <c r="S560" t="s">
        <v>44</v>
      </c>
      <c r="T560" s="30">
        <v>45828</v>
      </c>
      <c r="U560" s="20">
        <v>114300</v>
      </c>
      <c r="V560" s="31"/>
      <c r="W560" s="31"/>
      <c r="X560" s="31"/>
      <c r="Y560" s="31"/>
      <c r="Z560" s="31">
        <f>+U560</f>
        <v>114300</v>
      </c>
      <c r="AA560" s="31"/>
      <c r="AB560" s="31"/>
      <c r="AC560" s="31"/>
      <c r="AD560" s="31"/>
      <c r="AE560" s="31"/>
      <c r="AF560" s="31"/>
      <c r="AG560" s="31"/>
      <c r="AH560" s="31"/>
      <c r="AI560" s="32"/>
      <c r="AJ560" s="32"/>
      <c r="AK560" s="32"/>
      <c r="AL560" s="32"/>
      <c r="AM560" s="32">
        <v>19050</v>
      </c>
      <c r="AN560" s="32">
        <v>19050</v>
      </c>
      <c r="AO560" s="32">
        <v>19050</v>
      </c>
      <c r="AP560" s="32">
        <v>19050</v>
      </c>
      <c r="AQ560" s="32">
        <v>19050</v>
      </c>
      <c r="AR560" s="32">
        <v>19050</v>
      </c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CR560">
        <v>124080</v>
      </c>
      <c r="CS560">
        <v>3</v>
      </c>
    </row>
    <row r="561" spans="1:97" x14ac:dyDescent="0.4">
      <c r="A561" t="s">
        <v>1725</v>
      </c>
      <c r="D561" t="s">
        <v>2370</v>
      </c>
      <c r="E561" t="s">
        <v>2371</v>
      </c>
      <c r="F561" t="s">
        <v>1726</v>
      </c>
      <c r="G561" t="s">
        <v>4657</v>
      </c>
      <c r="H561">
        <v>8040106153</v>
      </c>
      <c r="I561" t="s">
        <v>1727</v>
      </c>
      <c r="J561" t="s">
        <v>2433</v>
      </c>
      <c r="L561" t="s">
        <v>4658</v>
      </c>
      <c r="M561" t="s">
        <v>2518</v>
      </c>
      <c r="N561" t="s">
        <v>4659</v>
      </c>
      <c r="O561" t="s">
        <v>4660</v>
      </c>
      <c r="Q561" t="s">
        <v>2468</v>
      </c>
      <c r="R561" s="30">
        <v>45021</v>
      </c>
      <c r="S561" t="s">
        <v>44</v>
      </c>
      <c r="T561" s="30">
        <v>45767</v>
      </c>
      <c r="U561" s="20">
        <v>114300</v>
      </c>
      <c r="V561" s="31"/>
      <c r="W561" s="34"/>
      <c r="X561" s="34">
        <f>+U561</f>
        <v>114300</v>
      </c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2"/>
      <c r="AJ561" s="35"/>
      <c r="AK561" s="32">
        <v>19050</v>
      </c>
      <c r="AL561" s="32">
        <v>19050</v>
      </c>
      <c r="AM561" s="32">
        <v>19050</v>
      </c>
      <c r="AN561" s="32">
        <v>19050</v>
      </c>
      <c r="AO561" s="32">
        <v>19050</v>
      </c>
      <c r="AP561" s="32">
        <v>19050</v>
      </c>
      <c r="AQ561" s="32"/>
      <c r="AR561" s="32"/>
      <c r="AS561" s="32"/>
      <c r="AT561" s="32"/>
      <c r="AU561" s="32"/>
      <c r="AV561" s="35"/>
      <c r="AW561" s="35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CR561">
        <v>702370</v>
      </c>
      <c r="CS561">
        <v>4</v>
      </c>
    </row>
    <row r="562" spans="1:97" x14ac:dyDescent="0.4">
      <c r="A562" t="s">
        <v>1728</v>
      </c>
      <c r="D562" t="s">
        <v>2370</v>
      </c>
      <c r="E562" t="s">
        <v>2371</v>
      </c>
      <c r="F562" t="s">
        <v>1729</v>
      </c>
      <c r="G562" t="s">
        <v>4661</v>
      </c>
      <c r="H562">
        <v>9097130148</v>
      </c>
      <c r="I562" t="s">
        <v>1730</v>
      </c>
      <c r="J562" t="s">
        <v>2433</v>
      </c>
      <c r="L562" t="s">
        <v>4662</v>
      </c>
      <c r="M562" t="s">
        <v>2435</v>
      </c>
      <c r="N562" t="s">
        <v>4663</v>
      </c>
      <c r="O562" t="s">
        <v>4664</v>
      </c>
      <c r="Q562" t="s">
        <v>2468</v>
      </c>
      <c r="R562" s="30">
        <v>45020</v>
      </c>
      <c r="S562" t="s">
        <v>44</v>
      </c>
      <c r="T562" s="30">
        <v>45858</v>
      </c>
      <c r="U562" s="20">
        <v>114300</v>
      </c>
      <c r="V562" s="31"/>
      <c r="W562" s="31"/>
      <c r="X562" s="31"/>
      <c r="Y562" s="31"/>
      <c r="Z562" s="31"/>
      <c r="AA562" s="31">
        <f>+U562</f>
        <v>114300</v>
      </c>
      <c r="AB562" s="31"/>
      <c r="AC562" s="31"/>
      <c r="AD562" s="31"/>
      <c r="AE562" s="31"/>
      <c r="AF562" s="31"/>
      <c r="AG562" s="31"/>
      <c r="AH562" s="31"/>
      <c r="AI562" s="32"/>
      <c r="AJ562" s="32"/>
      <c r="AK562" s="32"/>
      <c r="AL562" s="32"/>
      <c r="AM562" s="32"/>
      <c r="AN562" s="32">
        <v>19050</v>
      </c>
      <c r="AO562" s="32">
        <v>19050</v>
      </c>
      <c r="AP562" s="32">
        <v>19050</v>
      </c>
      <c r="AQ562" s="32">
        <v>19050</v>
      </c>
      <c r="AR562" s="32">
        <v>19050</v>
      </c>
      <c r="AS562" s="32">
        <v>19050</v>
      </c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CR562">
        <v>783720</v>
      </c>
      <c r="CS562">
        <v>11</v>
      </c>
    </row>
    <row r="563" spans="1:97" x14ac:dyDescent="0.4">
      <c r="A563" t="s">
        <v>1732</v>
      </c>
      <c r="D563" t="s">
        <v>2370</v>
      </c>
      <c r="E563" t="s">
        <v>2371</v>
      </c>
      <c r="F563" t="s">
        <v>1733</v>
      </c>
      <c r="G563" t="s">
        <v>4665</v>
      </c>
      <c r="H563">
        <v>9088701880</v>
      </c>
      <c r="I563" t="s">
        <v>1734</v>
      </c>
      <c r="J563" t="s">
        <v>2433</v>
      </c>
      <c r="L563" t="s">
        <v>4666</v>
      </c>
      <c r="M563" t="s">
        <v>2444</v>
      </c>
      <c r="N563" t="s">
        <v>4667</v>
      </c>
      <c r="O563" t="s">
        <v>4668</v>
      </c>
      <c r="Q563" t="s">
        <v>2468</v>
      </c>
      <c r="R563" s="30">
        <v>45015</v>
      </c>
      <c r="S563" t="s">
        <v>25</v>
      </c>
      <c r="T563" s="30">
        <v>45736</v>
      </c>
      <c r="U563">
        <v>59400</v>
      </c>
      <c r="V563" s="34"/>
      <c r="W563" s="34">
        <f>+U563</f>
        <v>59400</v>
      </c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5"/>
      <c r="AJ563" s="32">
        <v>19800</v>
      </c>
      <c r="AK563" s="32">
        <v>19800</v>
      </c>
      <c r="AL563" s="32">
        <v>19800</v>
      </c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CR563">
        <v>895850</v>
      </c>
      <c r="CS563">
        <v>11</v>
      </c>
    </row>
    <row r="564" spans="1:97" x14ac:dyDescent="0.4">
      <c r="A564" t="s">
        <v>1735</v>
      </c>
      <c r="D564" t="s">
        <v>2370</v>
      </c>
      <c r="E564" t="s">
        <v>2371</v>
      </c>
      <c r="F564" t="s">
        <v>1736</v>
      </c>
      <c r="G564" t="s">
        <v>4669</v>
      </c>
      <c r="H564">
        <v>8039374666</v>
      </c>
      <c r="I564" t="s">
        <v>1737</v>
      </c>
      <c r="J564" t="s">
        <v>2433</v>
      </c>
      <c r="L564" t="s">
        <v>4670</v>
      </c>
      <c r="M564" t="s">
        <v>2518</v>
      </c>
      <c r="N564" t="s">
        <v>4671</v>
      </c>
      <c r="O564" t="s">
        <v>4672</v>
      </c>
      <c r="Q564" t="s">
        <v>2468</v>
      </c>
      <c r="R564" s="30">
        <v>45011</v>
      </c>
      <c r="S564" t="s">
        <v>44</v>
      </c>
      <c r="T564" s="30">
        <v>45767</v>
      </c>
      <c r="U564" s="20">
        <v>114300</v>
      </c>
      <c r="V564" s="31"/>
      <c r="W564" s="34"/>
      <c r="X564" s="34">
        <f t="shared" ref="X564:X567" si="95">+U564</f>
        <v>114300</v>
      </c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2"/>
      <c r="AJ564" s="35"/>
      <c r="AK564" s="32">
        <v>19050</v>
      </c>
      <c r="AL564" s="32">
        <v>19050</v>
      </c>
      <c r="AM564" s="32">
        <v>19050</v>
      </c>
      <c r="AN564" s="32">
        <v>19050</v>
      </c>
      <c r="AO564" s="32">
        <v>19050</v>
      </c>
      <c r="AP564" s="32">
        <v>19050</v>
      </c>
      <c r="AQ564" s="32"/>
      <c r="AR564" s="32"/>
      <c r="AS564" s="32"/>
      <c r="AT564" s="32"/>
      <c r="AU564" s="32"/>
      <c r="AV564" s="35"/>
      <c r="AW564" s="35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CR564">
        <v>806000</v>
      </c>
      <c r="CS564">
        <v>19</v>
      </c>
    </row>
    <row r="565" spans="1:97" x14ac:dyDescent="0.4">
      <c r="A565" t="s">
        <v>1738</v>
      </c>
      <c r="D565" t="s">
        <v>2370</v>
      </c>
      <c r="E565" t="s">
        <v>2371</v>
      </c>
      <c r="F565" t="s">
        <v>1739</v>
      </c>
      <c r="G565" t="s">
        <v>4673</v>
      </c>
      <c r="H565">
        <v>7026796806</v>
      </c>
      <c r="I565" t="s">
        <v>1740</v>
      </c>
      <c r="J565" t="s">
        <v>2433</v>
      </c>
      <c r="L565" t="s">
        <v>4674</v>
      </c>
      <c r="M565" t="s">
        <v>2492</v>
      </c>
      <c r="N565" t="s">
        <v>4675</v>
      </c>
      <c r="O565" t="s">
        <v>4676</v>
      </c>
      <c r="Q565" t="s">
        <v>2468</v>
      </c>
      <c r="R565" s="30">
        <v>45003</v>
      </c>
      <c r="S565" t="s">
        <v>25</v>
      </c>
      <c r="T565" s="30">
        <v>45767</v>
      </c>
      <c r="U565">
        <v>59400</v>
      </c>
      <c r="V565" s="34"/>
      <c r="W565" s="34"/>
      <c r="X565" s="34">
        <f t="shared" si="95"/>
        <v>59400</v>
      </c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5"/>
      <c r="AJ565" s="35"/>
      <c r="AK565" s="32">
        <v>19800</v>
      </c>
      <c r="AL565" s="32">
        <v>19800</v>
      </c>
      <c r="AM565" s="32">
        <v>19800</v>
      </c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CR565">
        <v>784300</v>
      </c>
      <c r="CS565">
        <v>20</v>
      </c>
    </row>
    <row r="566" spans="1:97" x14ac:dyDescent="0.4">
      <c r="A566" t="s">
        <v>1741</v>
      </c>
      <c r="D566" t="s">
        <v>2370</v>
      </c>
      <c r="E566" t="s">
        <v>2371</v>
      </c>
      <c r="F566" t="s">
        <v>1742</v>
      </c>
      <c r="G566" t="s">
        <v>4677</v>
      </c>
      <c r="H566">
        <v>439556275</v>
      </c>
      <c r="I566" t="s">
        <v>1743</v>
      </c>
      <c r="J566" t="s">
        <v>2433</v>
      </c>
      <c r="L566" t="s">
        <v>4678</v>
      </c>
      <c r="M566" t="s">
        <v>2598</v>
      </c>
      <c r="N566" t="s">
        <v>4679</v>
      </c>
      <c r="O566" s="41">
        <v>36953</v>
      </c>
      <c r="Q566" t="s">
        <v>2468</v>
      </c>
      <c r="R566" s="30">
        <v>45003</v>
      </c>
      <c r="S566" t="s">
        <v>44</v>
      </c>
      <c r="T566" s="30">
        <v>45767</v>
      </c>
      <c r="U566" s="20">
        <v>114300</v>
      </c>
      <c r="V566" s="31"/>
      <c r="W566" s="34"/>
      <c r="X566" s="34">
        <f t="shared" si="95"/>
        <v>114300</v>
      </c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2"/>
      <c r="AJ566" s="35"/>
      <c r="AK566" s="32">
        <v>19050</v>
      </c>
      <c r="AL566" s="32">
        <v>19050</v>
      </c>
      <c r="AM566" s="32">
        <v>19050</v>
      </c>
      <c r="AN566" s="32">
        <v>19050</v>
      </c>
      <c r="AO566" s="32">
        <v>19050</v>
      </c>
      <c r="AP566" s="32">
        <v>19050</v>
      </c>
      <c r="AQ566" s="32"/>
      <c r="AR566" s="32"/>
      <c r="AS566" s="32"/>
      <c r="AT566" s="32"/>
      <c r="AU566" s="32"/>
      <c r="AV566" s="35"/>
      <c r="AW566" s="35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CR566">
        <v>661900</v>
      </c>
      <c r="CS566">
        <v>4</v>
      </c>
    </row>
    <row r="567" spans="1:97" x14ac:dyDescent="0.4">
      <c r="A567" t="s">
        <v>1744</v>
      </c>
      <c r="D567" t="s">
        <v>2370</v>
      </c>
      <c r="E567" t="s">
        <v>2371</v>
      </c>
      <c r="F567" t="s">
        <v>1745</v>
      </c>
      <c r="G567" t="s">
        <v>4680</v>
      </c>
      <c r="H567">
        <v>9010438013</v>
      </c>
      <c r="I567" t="s">
        <v>1746</v>
      </c>
      <c r="J567" t="s">
        <v>2433</v>
      </c>
      <c r="L567" t="s">
        <v>2762</v>
      </c>
      <c r="M567" t="s">
        <v>2518</v>
      </c>
      <c r="N567" t="s">
        <v>4681</v>
      </c>
      <c r="O567" s="40">
        <v>11749</v>
      </c>
      <c r="Q567" t="s">
        <v>2468</v>
      </c>
      <c r="R567" s="30">
        <v>44998</v>
      </c>
      <c r="S567" t="s">
        <v>44</v>
      </c>
      <c r="T567" s="30">
        <v>45767</v>
      </c>
      <c r="U567" s="20">
        <v>114300</v>
      </c>
      <c r="V567" s="31"/>
      <c r="W567" s="34"/>
      <c r="X567" s="34">
        <f t="shared" si="95"/>
        <v>114300</v>
      </c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2"/>
      <c r="AJ567" s="35"/>
      <c r="AK567" s="32">
        <v>19050</v>
      </c>
      <c r="AL567" s="32">
        <v>19050</v>
      </c>
      <c r="AM567" s="32">
        <v>19050</v>
      </c>
      <c r="AN567" s="32">
        <v>19050</v>
      </c>
      <c r="AO567" s="32">
        <v>19050</v>
      </c>
      <c r="AP567" s="32">
        <v>19050</v>
      </c>
      <c r="AQ567" s="32"/>
      <c r="AR567" s="32"/>
      <c r="AS567" s="32"/>
      <c r="AT567" s="32"/>
      <c r="AU567" s="32"/>
      <c r="AV567" s="35"/>
      <c r="AW567" s="35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CR567">
        <v>1027300</v>
      </c>
      <c r="CS567">
        <v>6</v>
      </c>
    </row>
    <row r="568" spans="1:97" x14ac:dyDescent="0.4">
      <c r="A568" t="s">
        <v>1747</v>
      </c>
      <c r="D568" t="s">
        <v>2370</v>
      </c>
      <c r="E568" t="s">
        <v>2371</v>
      </c>
      <c r="F568" t="s">
        <v>1748</v>
      </c>
      <c r="G568" t="s">
        <v>4682</v>
      </c>
      <c r="H568">
        <v>662110026</v>
      </c>
      <c r="I568" t="s">
        <v>1749</v>
      </c>
      <c r="J568" t="s">
        <v>2433</v>
      </c>
      <c r="L568" t="s">
        <v>2529</v>
      </c>
      <c r="M568" t="s">
        <v>2435</v>
      </c>
      <c r="N568" t="s">
        <v>4683</v>
      </c>
      <c r="O568" s="41">
        <v>37442</v>
      </c>
      <c r="Q568" t="s">
        <v>2468</v>
      </c>
      <c r="R568" s="30">
        <v>44996</v>
      </c>
      <c r="S568" t="s">
        <v>44</v>
      </c>
      <c r="T568" s="30">
        <v>45828</v>
      </c>
      <c r="U568" s="20">
        <v>114300</v>
      </c>
      <c r="V568" s="31"/>
      <c r="W568" s="31"/>
      <c r="X568" s="31"/>
      <c r="Y568" s="31"/>
      <c r="Z568" s="31">
        <f>+U568</f>
        <v>114300</v>
      </c>
      <c r="AA568" s="31"/>
      <c r="AB568" s="31"/>
      <c r="AC568" s="31"/>
      <c r="AD568" s="31"/>
      <c r="AE568" s="31"/>
      <c r="AF568" s="31"/>
      <c r="AG568" s="31"/>
      <c r="AH568" s="31"/>
      <c r="AI568" s="32"/>
      <c r="AJ568" s="32"/>
      <c r="AK568" s="32"/>
      <c r="AL568" s="32"/>
      <c r="AM568" s="32">
        <v>19050</v>
      </c>
      <c r="AN568" s="32">
        <v>19050</v>
      </c>
      <c r="AO568" s="32">
        <v>19050</v>
      </c>
      <c r="AP568" s="32">
        <v>19050</v>
      </c>
      <c r="AQ568" s="32">
        <v>19050</v>
      </c>
      <c r="AR568" s="32">
        <v>19050</v>
      </c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CR568">
        <v>904000</v>
      </c>
      <c r="CS568">
        <v>9</v>
      </c>
    </row>
    <row r="569" spans="1:97" x14ac:dyDescent="0.4">
      <c r="A569" t="s">
        <v>1751</v>
      </c>
      <c r="D569" t="s">
        <v>2370</v>
      </c>
      <c r="E569" t="s">
        <v>2371</v>
      </c>
      <c r="F569" t="s">
        <v>1752</v>
      </c>
      <c r="G569" t="s">
        <v>4684</v>
      </c>
      <c r="H569">
        <v>8054202414</v>
      </c>
      <c r="I569" t="s">
        <v>1753</v>
      </c>
      <c r="J569" t="s">
        <v>2433</v>
      </c>
      <c r="L569" t="s">
        <v>4685</v>
      </c>
      <c r="M569" t="s">
        <v>2444</v>
      </c>
      <c r="N569" t="s">
        <v>4686</v>
      </c>
      <c r="O569" t="s">
        <v>4687</v>
      </c>
      <c r="Q569" t="s">
        <v>2468</v>
      </c>
      <c r="R569" s="30">
        <v>44993</v>
      </c>
      <c r="S569" t="s">
        <v>25</v>
      </c>
      <c r="T569" s="30">
        <v>45736</v>
      </c>
      <c r="U569">
        <v>59400</v>
      </c>
      <c r="V569" s="34"/>
      <c r="W569" s="34">
        <f>+U569</f>
        <v>59400</v>
      </c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5"/>
      <c r="AJ569" s="32">
        <v>19800</v>
      </c>
      <c r="AK569" s="32">
        <v>19800</v>
      </c>
      <c r="AL569" s="32">
        <v>19800</v>
      </c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CR569">
        <v>848100</v>
      </c>
      <c r="CS569">
        <v>10</v>
      </c>
    </row>
    <row r="570" spans="1:97" x14ac:dyDescent="0.4">
      <c r="A570" t="s">
        <v>1755</v>
      </c>
      <c r="D570" t="s">
        <v>2370</v>
      </c>
      <c r="E570" t="s">
        <v>2371</v>
      </c>
      <c r="F570" t="s">
        <v>1756</v>
      </c>
      <c r="G570" t="s">
        <v>4688</v>
      </c>
      <c r="H570">
        <v>8041670655</v>
      </c>
      <c r="I570" t="s">
        <v>1757</v>
      </c>
      <c r="J570" t="s">
        <v>2433</v>
      </c>
      <c r="L570" t="s">
        <v>4689</v>
      </c>
      <c r="M570" t="s">
        <v>2444</v>
      </c>
      <c r="N570" t="s">
        <v>4690</v>
      </c>
      <c r="O570" t="s">
        <v>4691</v>
      </c>
      <c r="Q570" t="s">
        <v>2468</v>
      </c>
      <c r="R570" s="30">
        <v>44992</v>
      </c>
      <c r="S570" t="s">
        <v>50</v>
      </c>
      <c r="T570" s="30">
        <v>45828</v>
      </c>
      <c r="U570" s="20">
        <v>114300</v>
      </c>
      <c r="V570" s="31"/>
      <c r="W570" s="31"/>
      <c r="X570" s="31"/>
      <c r="Y570" s="31"/>
      <c r="Z570" s="31">
        <f t="shared" ref="Z570:Z572" si="96">+U570</f>
        <v>114300</v>
      </c>
      <c r="AA570" s="31"/>
      <c r="AB570" s="31"/>
      <c r="AC570" s="31"/>
      <c r="AD570" s="31"/>
      <c r="AE570" s="31"/>
      <c r="AF570" s="31"/>
      <c r="AG570" s="31"/>
      <c r="AH570" s="31"/>
      <c r="AI570" s="32"/>
      <c r="AJ570" s="32"/>
      <c r="AK570" s="32"/>
      <c r="AL570" s="32"/>
      <c r="AM570" s="32">
        <v>19050</v>
      </c>
      <c r="AN570" s="32">
        <v>19050</v>
      </c>
      <c r="AO570" s="32">
        <v>19050</v>
      </c>
      <c r="AP570" s="32">
        <v>19050</v>
      </c>
      <c r="AQ570" s="32">
        <v>19050</v>
      </c>
      <c r="AR570" s="32">
        <v>19050</v>
      </c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CR570">
        <v>906300</v>
      </c>
      <c r="CS570">
        <v>5</v>
      </c>
    </row>
    <row r="571" spans="1:97" x14ac:dyDescent="0.4">
      <c r="A571" t="s">
        <v>1758</v>
      </c>
      <c r="D571" t="s">
        <v>2370</v>
      </c>
      <c r="E571" t="s">
        <v>2371</v>
      </c>
      <c r="F571" t="s">
        <v>1759</v>
      </c>
      <c r="G571" t="s">
        <v>4692</v>
      </c>
      <c r="H571">
        <v>9078329566</v>
      </c>
      <c r="I571" t="s">
        <v>1760</v>
      </c>
      <c r="J571" t="s">
        <v>2433</v>
      </c>
      <c r="L571" t="s">
        <v>4693</v>
      </c>
      <c r="M571" t="s">
        <v>2465</v>
      </c>
      <c r="N571" t="s">
        <v>4694</v>
      </c>
      <c r="O571" t="s">
        <v>4695</v>
      </c>
      <c r="Q571" t="s">
        <v>4641</v>
      </c>
      <c r="R571" s="30">
        <v>44982</v>
      </c>
      <c r="S571" t="s">
        <v>44</v>
      </c>
      <c r="T571" s="30">
        <v>45828</v>
      </c>
      <c r="U571" s="20">
        <v>114300</v>
      </c>
      <c r="V571" s="31"/>
      <c r="W571" s="31"/>
      <c r="X571" s="31"/>
      <c r="Y571" s="31"/>
      <c r="Z571" s="31">
        <f t="shared" si="96"/>
        <v>114300</v>
      </c>
      <c r="AA571" s="31"/>
      <c r="AB571" s="31"/>
      <c r="AC571" s="31"/>
      <c r="AD571" s="31"/>
      <c r="AE571" s="31"/>
      <c r="AF571" s="31"/>
      <c r="AG571" s="31"/>
      <c r="AH571" s="31"/>
      <c r="AI571" s="32"/>
      <c r="AJ571" s="32"/>
      <c r="AK571" s="32"/>
      <c r="AL571" s="32"/>
      <c r="AM571" s="32">
        <v>19050</v>
      </c>
      <c r="AN571" s="32">
        <v>19050</v>
      </c>
      <c r="AO571" s="32">
        <v>19050</v>
      </c>
      <c r="AP571" s="32">
        <v>19050</v>
      </c>
      <c r="AQ571" s="32">
        <v>19050</v>
      </c>
      <c r="AR571" s="32">
        <v>19050</v>
      </c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CR571">
        <v>762750</v>
      </c>
      <c r="CS571">
        <v>10</v>
      </c>
    </row>
    <row r="572" spans="1:97" x14ac:dyDescent="0.4">
      <c r="A572" t="s">
        <v>1761</v>
      </c>
      <c r="D572" t="s">
        <v>2370</v>
      </c>
      <c r="E572" t="s">
        <v>2371</v>
      </c>
      <c r="F572" t="s">
        <v>1762</v>
      </c>
      <c r="G572" t="s">
        <v>4696</v>
      </c>
      <c r="H572">
        <v>9033475065</v>
      </c>
      <c r="I572" t="s">
        <v>1763</v>
      </c>
      <c r="J572" t="s">
        <v>2433</v>
      </c>
      <c r="L572" t="s">
        <v>4697</v>
      </c>
      <c r="M572" t="s">
        <v>2771</v>
      </c>
      <c r="N572" t="s">
        <v>4698</v>
      </c>
      <c r="O572" t="s">
        <v>4699</v>
      </c>
      <c r="Q572" t="s">
        <v>4641</v>
      </c>
      <c r="R572" s="30">
        <v>44982</v>
      </c>
      <c r="S572" t="s">
        <v>44</v>
      </c>
      <c r="T572" s="30">
        <v>45828</v>
      </c>
      <c r="U572" s="20">
        <v>114300</v>
      </c>
      <c r="V572" s="31"/>
      <c r="W572" s="31"/>
      <c r="X572" s="31"/>
      <c r="Y572" s="31"/>
      <c r="Z572" s="31">
        <f t="shared" si="96"/>
        <v>114300</v>
      </c>
      <c r="AA572" s="31"/>
      <c r="AB572" s="31"/>
      <c r="AC572" s="31"/>
      <c r="AD572" s="31"/>
      <c r="AE572" s="31"/>
      <c r="AF572" s="31"/>
      <c r="AG572" s="31"/>
      <c r="AH572" s="31"/>
      <c r="AI572" s="32"/>
      <c r="AJ572" s="32"/>
      <c r="AK572" s="32"/>
      <c r="AL572" s="32"/>
      <c r="AM572" s="32">
        <v>19050</v>
      </c>
      <c r="AN572" s="32">
        <v>19050</v>
      </c>
      <c r="AO572" s="32">
        <v>19050</v>
      </c>
      <c r="AP572" s="32">
        <v>19050</v>
      </c>
      <c r="AQ572" s="32">
        <v>19050</v>
      </c>
      <c r="AR572" s="32">
        <v>19050</v>
      </c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CR572">
        <v>792450</v>
      </c>
      <c r="CS572">
        <v>5</v>
      </c>
    </row>
    <row r="573" spans="1:97" s="36" customFormat="1" x14ac:dyDescent="0.4">
      <c r="A573" s="36" t="s">
        <v>4700</v>
      </c>
      <c r="D573" s="36" t="s">
        <v>2370</v>
      </c>
      <c r="E573" s="36" t="s">
        <v>2371</v>
      </c>
      <c r="F573" s="36" t="s">
        <v>4701</v>
      </c>
      <c r="G573" s="36" t="s">
        <v>4702</v>
      </c>
      <c r="H573" s="36">
        <v>7084353687</v>
      </c>
      <c r="I573" s="36" t="s">
        <v>4703</v>
      </c>
      <c r="J573" s="36" t="s">
        <v>2433</v>
      </c>
      <c r="L573" s="36" t="s">
        <v>4704</v>
      </c>
      <c r="M573" s="36" t="s">
        <v>2435</v>
      </c>
      <c r="N573" s="36" t="s">
        <v>4705</v>
      </c>
      <c r="O573" s="43">
        <v>36984</v>
      </c>
      <c r="Q573" s="36" t="s">
        <v>4641</v>
      </c>
      <c r="R573" s="37">
        <v>44984</v>
      </c>
      <c r="S573" s="36" t="s">
        <v>2503</v>
      </c>
      <c r="T573" s="37">
        <v>45703</v>
      </c>
      <c r="U573" s="37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CR573" s="36">
        <v>453270</v>
      </c>
      <c r="CS573" s="36">
        <v>7</v>
      </c>
    </row>
    <row r="574" spans="1:97" x14ac:dyDescent="0.4">
      <c r="A574" t="s">
        <v>1764</v>
      </c>
      <c r="D574" t="s">
        <v>2370</v>
      </c>
      <c r="E574" t="s">
        <v>2371</v>
      </c>
      <c r="F574" t="s">
        <v>1765</v>
      </c>
      <c r="G574" t="s">
        <v>4706</v>
      </c>
      <c r="H574">
        <v>9022428774</v>
      </c>
      <c r="I574" t="s">
        <v>1766</v>
      </c>
      <c r="J574" t="s">
        <v>2433</v>
      </c>
      <c r="L574" t="s">
        <v>4707</v>
      </c>
      <c r="M574" t="s">
        <v>2518</v>
      </c>
      <c r="N574" t="s">
        <v>4708</v>
      </c>
      <c r="O574" t="s">
        <v>4709</v>
      </c>
      <c r="Q574" t="s">
        <v>4641</v>
      </c>
      <c r="R574" s="30">
        <v>44985</v>
      </c>
      <c r="S574" t="s">
        <v>44</v>
      </c>
      <c r="T574" s="30">
        <v>45828</v>
      </c>
      <c r="U574" s="20">
        <v>114300</v>
      </c>
      <c r="V574" s="31"/>
      <c r="W574" s="31"/>
      <c r="X574" s="31"/>
      <c r="Y574" s="31"/>
      <c r="Z574" s="31">
        <f t="shared" ref="Z574:Z575" si="97">+U574</f>
        <v>114300</v>
      </c>
      <c r="AA574" s="31"/>
      <c r="AB574" s="31"/>
      <c r="AC574" s="31"/>
      <c r="AD574" s="31"/>
      <c r="AE574" s="31"/>
      <c r="AF574" s="31"/>
      <c r="AG574" s="31"/>
      <c r="AH574" s="31"/>
      <c r="AI574" s="32"/>
      <c r="AJ574" s="32"/>
      <c r="AK574" s="32"/>
      <c r="AL574" s="32"/>
      <c r="AM574" s="32">
        <v>19050</v>
      </c>
      <c r="AN574" s="32">
        <v>19050</v>
      </c>
      <c r="AO574" s="32">
        <v>19050</v>
      </c>
      <c r="AP574" s="32">
        <v>19050</v>
      </c>
      <c r="AQ574" s="32">
        <v>19050</v>
      </c>
      <c r="AR574" s="32">
        <v>19050</v>
      </c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CR574">
        <v>546600</v>
      </c>
      <c r="CS574">
        <v>7</v>
      </c>
    </row>
    <row r="575" spans="1:97" x14ac:dyDescent="0.4">
      <c r="A575" t="s">
        <v>1767</v>
      </c>
      <c r="D575" t="s">
        <v>2370</v>
      </c>
      <c r="E575" t="s">
        <v>2371</v>
      </c>
      <c r="F575" t="s">
        <v>1768</v>
      </c>
      <c r="G575" t="s">
        <v>4710</v>
      </c>
      <c r="H575">
        <v>9059634651</v>
      </c>
      <c r="I575" t="s">
        <v>1769</v>
      </c>
      <c r="J575" t="s">
        <v>2433</v>
      </c>
      <c r="L575" t="s">
        <v>4711</v>
      </c>
      <c r="M575" t="s">
        <v>2630</v>
      </c>
      <c r="N575" t="s">
        <v>4712</v>
      </c>
      <c r="O575" t="s">
        <v>4713</v>
      </c>
      <c r="Q575" t="s">
        <v>4641</v>
      </c>
      <c r="R575" s="30">
        <v>44986</v>
      </c>
      <c r="S575" t="s">
        <v>44</v>
      </c>
      <c r="T575" s="30">
        <v>45828</v>
      </c>
      <c r="U575" s="20">
        <v>114300</v>
      </c>
      <c r="V575" s="31"/>
      <c r="W575" s="31"/>
      <c r="X575" s="31"/>
      <c r="Y575" s="31"/>
      <c r="Z575" s="31">
        <f t="shared" si="97"/>
        <v>114300</v>
      </c>
      <c r="AA575" s="31"/>
      <c r="AB575" s="31"/>
      <c r="AC575" s="31"/>
      <c r="AD575" s="31"/>
      <c r="AE575" s="31"/>
      <c r="AF575" s="31"/>
      <c r="AG575" s="31"/>
      <c r="AH575" s="31"/>
      <c r="AI575" s="32"/>
      <c r="AJ575" s="32"/>
      <c r="AK575" s="32"/>
      <c r="AL575" s="32"/>
      <c r="AM575" s="32">
        <v>19050</v>
      </c>
      <c r="AN575" s="32">
        <v>19050</v>
      </c>
      <c r="AO575" s="32">
        <v>19050</v>
      </c>
      <c r="AP575" s="32">
        <v>19050</v>
      </c>
      <c r="AQ575" s="32">
        <v>19050</v>
      </c>
      <c r="AR575" s="32">
        <v>19050</v>
      </c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CR575">
        <v>576300</v>
      </c>
      <c r="CS575">
        <v>4</v>
      </c>
    </row>
    <row r="576" spans="1:97" x14ac:dyDescent="0.4">
      <c r="A576" t="s">
        <v>1770</v>
      </c>
      <c r="D576" t="s">
        <v>2370</v>
      </c>
      <c r="E576" t="s">
        <v>2371</v>
      </c>
      <c r="F576" t="s">
        <v>1771</v>
      </c>
      <c r="G576" t="s">
        <v>4714</v>
      </c>
      <c r="H576">
        <v>9084610804</v>
      </c>
      <c r="I576" t="s">
        <v>1772</v>
      </c>
      <c r="J576" t="s">
        <v>2433</v>
      </c>
      <c r="L576" t="s">
        <v>4715</v>
      </c>
      <c r="M576" t="s">
        <v>2465</v>
      </c>
      <c r="N576" t="s">
        <v>4716</v>
      </c>
      <c r="O576" t="s">
        <v>4717</v>
      </c>
      <c r="Q576" t="s">
        <v>4641</v>
      </c>
      <c r="R576" s="30">
        <v>44986</v>
      </c>
      <c r="S576" t="s">
        <v>44</v>
      </c>
      <c r="T576" s="30">
        <v>45767</v>
      </c>
      <c r="U576" s="20">
        <v>114300</v>
      </c>
      <c r="V576" s="31"/>
      <c r="W576" s="34"/>
      <c r="X576" s="34">
        <f>+U576</f>
        <v>114300</v>
      </c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2"/>
      <c r="AJ576" s="35"/>
      <c r="AK576" s="32">
        <v>19050</v>
      </c>
      <c r="AL576" s="32">
        <v>19050</v>
      </c>
      <c r="AM576" s="32">
        <v>19050</v>
      </c>
      <c r="AN576" s="32">
        <v>19050</v>
      </c>
      <c r="AO576" s="32">
        <v>19050</v>
      </c>
      <c r="AP576" s="32">
        <v>19050</v>
      </c>
      <c r="AQ576" s="32"/>
      <c r="AR576" s="32"/>
      <c r="AS576" s="32"/>
      <c r="AT576" s="32"/>
      <c r="AU576" s="32"/>
      <c r="AV576" s="35"/>
      <c r="AW576" s="35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CR576">
        <v>597300</v>
      </c>
      <c r="CS576">
        <v>4</v>
      </c>
    </row>
    <row r="577" spans="1:97" x14ac:dyDescent="0.4">
      <c r="A577" t="s">
        <v>1773</v>
      </c>
      <c r="D577" t="s">
        <v>2370</v>
      </c>
      <c r="E577" t="s">
        <v>2371</v>
      </c>
      <c r="F577" t="s">
        <v>1774</v>
      </c>
      <c r="G577" t="s">
        <v>4718</v>
      </c>
      <c r="H577">
        <v>8066745715</v>
      </c>
      <c r="I577" t="s">
        <v>1775</v>
      </c>
      <c r="J577" t="s">
        <v>2433</v>
      </c>
      <c r="L577" t="s">
        <v>4719</v>
      </c>
      <c r="M577" t="s">
        <v>2444</v>
      </c>
      <c r="N577" t="s">
        <v>3531</v>
      </c>
      <c r="O577" t="s">
        <v>4720</v>
      </c>
      <c r="Q577" t="s">
        <v>4641</v>
      </c>
      <c r="R577" s="30">
        <v>44988</v>
      </c>
      <c r="S577" t="s">
        <v>44</v>
      </c>
      <c r="T577" s="30">
        <v>45828</v>
      </c>
      <c r="U577" s="20">
        <v>114300</v>
      </c>
      <c r="V577" s="31"/>
      <c r="W577" s="31"/>
      <c r="X577" s="31"/>
      <c r="Y577" s="31"/>
      <c r="Z577" s="31">
        <f>+U577</f>
        <v>114300</v>
      </c>
      <c r="AA577" s="31"/>
      <c r="AB577" s="31"/>
      <c r="AC577" s="31"/>
      <c r="AD577" s="31"/>
      <c r="AE577" s="31"/>
      <c r="AF577" s="31"/>
      <c r="AG577" s="31"/>
      <c r="AH577" s="31"/>
      <c r="AI577" s="32"/>
      <c r="AJ577" s="32"/>
      <c r="AK577" s="32"/>
      <c r="AL577" s="32"/>
      <c r="AM577" s="32">
        <v>19050</v>
      </c>
      <c r="AN577" s="32">
        <v>19050</v>
      </c>
      <c r="AO577" s="32">
        <v>19050</v>
      </c>
      <c r="AP577" s="32">
        <v>19050</v>
      </c>
      <c r="AQ577" s="32">
        <v>19050</v>
      </c>
      <c r="AR577" s="32">
        <v>19050</v>
      </c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CR577">
        <v>546600</v>
      </c>
      <c r="CS577">
        <v>3</v>
      </c>
    </row>
    <row r="578" spans="1:97" x14ac:dyDescent="0.4">
      <c r="A578" t="s">
        <v>1776</v>
      </c>
      <c r="D578" t="s">
        <v>2370</v>
      </c>
      <c r="E578" t="s">
        <v>2371</v>
      </c>
      <c r="F578" t="s">
        <v>1777</v>
      </c>
      <c r="G578" t="s">
        <v>4721</v>
      </c>
      <c r="H578">
        <v>8053021956</v>
      </c>
      <c r="I578" t="s">
        <v>1778</v>
      </c>
      <c r="J578" t="s">
        <v>2433</v>
      </c>
      <c r="L578" t="s">
        <v>4722</v>
      </c>
      <c r="M578" t="s">
        <v>2460</v>
      </c>
      <c r="N578" t="s">
        <v>4723</v>
      </c>
      <c r="O578" t="s">
        <v>4724</v>
      </c>
      <c r="Q578" t="s">
        <v>4641</v>
      </c>
      <c r="R578" s="30">
        <v>44989</v>
      </c>
      <c r="S578" t="s">
        <v>44</v>
      </c>
      <c r="T578" s="30">
        <v>45767</v>
      </c>
      <c r="U578" s="20">
        <v>114300</v>
      </c>
      <c r="V578" s="31"/>
      <c r="W578" s="34"/>
      <c r="X578" s="34">
        <f t="shared" ref="X578:X579" si="98">+U578</f>
        <v>114300</v>
      </c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2"/>
      <c r="AJ578" s="35"/>
      <c r="AK578" s="32">
        <v>19050</v>
      </c>
      <c r="AL578" s="32">
        <v>19050</v>
      </c>
      <c r="AM578" s="32">
        <v>19050</v>
      </c>
      <c r="AN578" s="32">
        <v>19050</v>
      </c>
      <c r="AO578" s="32">
        <v>19050</v>
      </c>
      <c r="AP578" s="32">
        <v>19050</v>
      </c>
      <c r="AQ578" s="32"/>
      <c r="AR578" s="32"/>
      <c r="AS578" s="32"/>
      <c r="AT578" s="32"/>
      <c r="AU578" s="32"/>
      <c r="AV578" s="35"/>
      <c r="AW578" s="35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CR578">
        <v>993000</v>
      </c>
      <c r="CS578">
        <v>19</v>
      </c>
    </row>
    <row r="579" spans="1:97" x14ac:dyDescent="0.4">
      <c r="A579" t="s">
        <v>1779</v>
      </c>
      <c r="D579" t="s">
        <v>2370</v>
      </c>
      <c r="E579" t="s">
        <v>2371</v>
      </c>
      <c r="F579" t="s">
        <v>1780</v>
      </c>
      <c r="G579" t="s">
        <v>4725</v>
      </c>
      <c r="H579">
        <v>9070056114</v>
      </c>
      <c r="I579" t="s">
        <v>1781</v>
      </c>
      <c r="J579" t="s">
        <v>2433</v>
      </c>
      <c r="L579" t="s">
        <v>4726</v>
      </c>
      <c r="M579" t="s">
        <v>2518</v>
      </c>
      <c r="N579" t="s">
        <v>4727</v>
      </c>
      <c r="O579" t="s">
        <v>4728</v>
      </c>
      <c r="Q579" t="s">
        <v>4641</v>
      </c>
      <c r="R579" s="30">
        <v>44992</v>
      </c>
      <c r="S579" t="s">
        <v>44</v>
      </c>
      <c r="T579" s="30">
        <v>45767</v>
      </c>
      <c r="U579" s="20">
        <v>114300</v>
      </c>
      <c r="V579" s="31"/>
      <c r="W579" s="34"/>
      <c r="X579" s="34">
        <f t="shared" si="98"/>
        <v>114300</v>
      </c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2"/>
      <c r="AJ579" s="35"/>
      <c r="AK579" s="32">
        <v>19050</v>
      </c>
      <c r="AL579" s="32">
        <v>19050</v>
      </c>
      <c r="AM579" s="32">
        <v>19050</v>
      </c>
      <c r="AN579" s="32">
        <v>19050</v>
      </c>
      <c r="AO579" s="32">
        <v>19050</v>
      </c>
      <c r="AP579" s="32">
        <v>19050</v>
      </c>
      <c r="AQ579" s="32"/>
      <c r="AR579" s="32"/>
      <c r="AS579" s="32"/>
      <c r="AT579" s="32"/>
      <c r="AU579" s="32"/>
      <c r="AV579" s="35"/>
      <c r="AW579" s="35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CF579" t="s">
        <v>3817</v>
      </c>
      <c r="CG579" s="41">
        <v>45218</v>
      </c>
      <c r="CR579">
        <v>965000</v>
      </c>
      <c r="CS579">
        <v>25</v>
      </c>
    </row>
    <row r="580" spans="1:97" s="36" customFormat="1" x14ac:dyDescent="0.4">
      <c r="A580" s="36" t="s">
        <v>1782</v>
      </c>
      <c r="D580" s="36" t="s">
        <v>2370</v>
      </c>
      <c r="E580" s="36" t="s">
        <v>2371</v>
      </c>
      <c r="F580" s="36" t="s">
        <v>1783</v>
      </c>
      <c r="G580" s="36" t="s">
        <v>4729</v>
      </c>
      <c r="H580" s="36">
        <v>8051172694</v>
      </c>
      <c r="I580" s="36" t="s">
        <v>1784</v>
      </c>
      <c r="J580" s="36" t="s">
        <v>2433</v>
      </c>
      <c r="L580" s="36" t="s">
        <v>4730</v>
      </c>
      <c r="M580" s="36" t="s">
        <v>2500</v>
      </c>
      <c r="N580" s="36" t="s">
        <v>4731</v>
      </c>
      <c r="O580" s="36" t="s">
        <v>4732</v>
      </c>
      <c r="Q580" s="36" t="s">
        <v>4641</v>
      </c>
      <c r="R580" s="37">
        <v>44992</v>
      </c>
      <c r="S580" s="36" t="s">
        <v>3191</v>
      </c>
      <c r="T580" s="37">
        <v>45736</v>
      </c>
      <c r="U580" s="37"/>
      <c r="V580" s="38"/>
      <c r="W580" s="34">
        <f t="shared" ref="W580:W585" si="99">+U580</f>
        <v>0</v>
      </c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9"/>
      <c r="AJ580" s="35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5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CR580" s="36">
        <v>853170</v>
      </c>
      <c r="CS580" s="36">
        <v>6</v>
      </c>
    </row>
    <row r="581" spans="1:97" x14ac:dyDescent="0.4">
      <c r="A581" t="s">
        <v>1785</v>
      </c>
      <c r="D581" t="s">
        <v>2370</v>
      </c>
      <c r="E581" t="s">
        <v>2371</v>
      </c>
      <c r="F581" t="s">
        <v>1786</v>
      </c>
      <c r="G581" t="s">
        <v>4733</v>
      </c>
      <c r="H581">
        <v>9087399836</v>
      </c>
      <c r="I581" t="s">
        <v>1787</v>
      </c>
      <c r="J581" t="s">
        <v>2433</v>
      </c>
      <c r="L581" t="s">
        <v>4734</v>
      </c>
      <c r="M581" t="s">
        <v>2451</v>
      </c>
      <c r="N581" t="s">
        <v>4735</v>
      </c>
      <c r="O581" t="s">
        <v>4736</v>
      </c>
      <c r="R581" s="30">
        <v>44989</v>
      </c>
      <c r="S581" t="s">
        <v>44</v>
      </c>
      <c r="T581" s="30">
        <v>45736</v>
      </c>
      <c r="U581" s="20">
        <v>114300</v>
      </c>
      <c r="V581" s="31"/>
      <c r="W581" s="34">
        <f t="shared" si="99"/>
        <v>114300</v>
      </c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2"/>
      <c r="AJ581" s="32">
        <v>19050</v>
      </c>
      <c r="AK581" s="32">
        <v>19050</v>
      </c>
      <c r="AL581" s="32">
        <v>19050</v>
      </c>
      <c r="AM581" s="32">
        <v>19050</v>
      </c>
      <c r="AN581" s="32">
        <v>19050</v>
      </c>
      <c r="AO581" s="32">
        <v>19050</v>
      </c>
      <c r="AP581" s="32"/>
      <c r="AQ581" s="32"/>
      <c r="AR581" s="32"/>
      <c r="AS581" s="32"/>
      <c r="AT581" s="32"/>
      <c r="AU581" s="32"/>
      <c r="AV581" s="35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P581" t="s">
        <v>3335</v>
      </c>
      <c r="BQ581" s="41">
        <v>45091</v>
      </c>
      <c r="CR581">
        <v>933000</v>
      </c>
      <c r="CS581">
        <v>10</v>
      </c>
    </row>
    <row r="582" spans="1:97" x14ac:dyDescent="0.4">
      <c r="A582" t="s">
        <v>1788</v>
      </c>
      <c r="D582" t="s">
        <v>2370</v>
      </c>
      <c r="E582" t="s">
        <v>2371</v>
      </c>
      <c r="F582" t="s">
        <v>1789</v>
      </c>
      <c r="G582" t="s">
        <v>4737</v>
      </c>
      <c r="H582">
        <v>9032132632</v>
      </c>
      <c r="I582" t="s">
        <v>1790</v>
      </c>
      <c r="J582" t="s">
        <v>2433</v>
      </c>
      <c r="L582" t="s">
        <v>4738</v>
      </c>
      <c r="M582" t="s">
        <v>2483</v>
      </c>
      <c r="N582" t="s">
        <v>4739</v>
      </c>
      <c r="O582" t="s">
        <v>4740</v>
      </c>
      <c r="R582" s="30">
        <v>44988</v>
      </c>
      <c r="S582" t="s">
        <v>25</v>
      </c>
      <c r="T582" s="30">
        <v>45736</v>
      </c>
      <c r="U582">
        <v>59400</v>
      </c>
      <c r="V582" s="34"/>
      <c r="W582" s="34">
        <f t="shared" si="99"/>
        <v>59400</v>
      </c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5"/>
      <c r="AJ582" s="32">
        <v>19800</v>
      </c>
      <c r="AK582" s="32">
        <v>19800</v>
      </c>
      <c r="AL582" s="32">
        <v>19800</v>
      </c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P582" t="s">
        <v>3335</v>
      </c>
      <c r="BQ582" s="41">
        <v>45447</v>
      </c>
      <c r="CR582">
        <v>784560</v>
      </c>
      <c r="CS582">
        <v>28</v>
      </c>
    </row>
    <row r="583" spans="1:97" x14ac:dyDescent="0.4">
      <c r="A583" t="s">
        <v>1791</v>
      </c>
      <c r="D583" t="s">
        <v>2370</v>
      </c>
      <c r="E583" t="s">
        <v>2371</v>
      </c>
      <c r="F583" t="s">
        <v>1792</v>
      </c>
      <c r="G583" t="s">
        <v>4741</v>
      </c>
      <c r="H583">
        <v>9028102926</v>
      </c>
      <c r="I583" t="s">
        <v>1793</v>
      </c>
      <c r="J583" t="s">
        <v>2433</v>
      </c>
      <c r="L583" t="s">
        <v>4742</v>
      </c>
      <c r="M583" t="s">
        <v>2460</v>
      </c>
      <c r="N583" t="s">
        <v>4743</v>
      </c>
      <c r="O583" t="s">
        <v>4744</v>
      </c>
      <c r="R583" s="30">
        <v>44988</v>
      </c>
      <c r="S583" t="s">
        <v>44</v>
      </c>
      <c r="T583" s="30">
        <v>45736</v>
      </c>
      <c r="U583" s="20">
        <v>114300</v>
      </c>
      <c r="V583" s="31"/>
      <c r="W583" s="34">
        <f t="shared" si="99"/>
        <v>114300</v>
      </c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2"/>
      <c r="AJ583" s="32">
        <v>19050</v>
      </c>
      <c r="AK583" s="32">
        <v>19050</v>
      </c>
      <c r="AL583" s="32">
        <v>19050</v>
      </c>
      <c r="AM583" s="32">
        <v>19050</v>
      </c>
      <c r="AN583" s="32">
        <v>19050</v>
      </c>
      <c r="AO583" s="32">
        <v>19050</v>
      </c>
      <c r="AP583" s="32"/>
      <c r="AQ583" s="32"/>
      <c r="AR583" s="32"/>
      <c r="AS583" s="32"/>
      <c r="AT583" s="32"/>
      <c r="AU583" s="32"/>
      <c r="AV583" s="35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P583" t="s">
        <v>3335</v>
      </c>
      <c r="BQ583" s="41">
        <v>45091</v>
      </c>
      <c r="CR583">
        <v>934000</v>
      </c>
      <c r="CS583">
        <v>11</v>
      </c>
    </row>
    <row r="584" spans="1:97" x14ac:dyDescent="0.4">
      <c r="A584" t="s">
        <v>1794</v>
      </c>
      <c r="D584" t="s">
        <v>2370</v>
      </c>
      <c r="E584" t="s">
        <v>2371</v>
      </c>
      <c r="F584" t="s">
        <v>1795</v>
      </c>
      <c r="G584" t="s">
        <v>4745</v>
      </c>
      <c r="H584">
        <v>9018380149</v>
      </c>
      <c r="I584" t="s">
        <v>1796</v>
      </c>
      <c r="J584" t="s">
        <v>2433</v>
      </c>
      <c r="L584" t="s">
        <v>4746</v>
      </c>
      <c r="M584" t="s">
        <v>2771</v>
      </c>
      <c r="N584" t="s">
        <v>4747</v>
      </c>
      <c r="O584" t="s">
        <v>4748</v>
      </c>
      <c r="R584" s="30">
        <v>44987</v>
      </c>
      <c r="S584" t="s">
        <v>44</v>
      </c>
      <c r="T584" s="30">
        <v>45736</v>
      </c>
      <c r="U584" s="20">
        <v>114300</v>
      </c>
      <c r="V584" s="31"/>
      <c r="W584" s="34">
        <f t="shared" si="99"/>
        <v>114300</v>
      </c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2"/>
      <c r="AJ584" s="32">
        <v>19050</v>
      </c>
      <c r="AK584" s="32">
        <v>19050</v>
      </c>
      <c r="AL584" s="32">
        <v>19050</v>
      </c>
      <c r="AM584" s="32">
        <v>19050</v>
      </c>
      <c r="AN584" s="32">
        <v>19050</v>
      </c>
      <c r="AO584" s="32">
        <v>19050</v>
      </c>
      <c r="AP584" s="32"/>
      <c r="AQ584" s="32"/>
      <c r="AR584" s="32"/>
      <c r="AS584" s="32"/>
      <c r="AT584" s="32"/>
      <c r="AU584" s="32"/>
      <c r="AV584" s="35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P584" t="s">
        <v>4749</v>
      </c>
      <c r="BQ584" s="41">
        <v>45097</v>
      </c>
      <c r="CR584">
        <v>935000</v>
      </c>
      <c r="CS584">
        <v>10</v>
      </c>
    </row>
    <row r="585" spans="1:97" x14ac:dyDescent="0.4">
      <c r="A585" t="s">
        <v>1797</v>
      </c>
      <c r="D585" t="s">
        <v>2370</v>
      </c>
      <c r="E585" t="s">
        <v>2371</v>
      </c>
      <c r="F585" t="s">
        <v>1798</v>
      </c>
      <c r="G585" t="s">
        <v>4750</v>
      </c>
      <c r="H585">
        <v>9086595342</v>
      </c>
      <c r="I585" t="s">
        <v>1799</v>
      </c>
      <c r="J585" t="s">
        <v>2433</v>
      </c>
      <c r="L585" t="s">
        <v>4751</v>
      </c>
      <c r="M585" t="s">
        <v>2435</v>
      </c>
      <c r="N585" t="s">
        <v>4752</v>
      </c>
      <c r="O585" t="s">
        <v>4753</v>
      </c>
      <c r="Q585" t="s">
        <v>2468</v>
      </c>
      <c r="R585" s="30">
        <v>44986</v>
      </c>
      <c r="S585" t="s">
        <v>25</v>
      </c>
      <c r="T585" s="30">
        <v>45736</v>
      </c>
      <c r="U585">
        <v>59400</v>
      </c>
      <c r="V585" s="34"/>
      <c r="W585" s="34">
        <f t="shared" si="99"/>
        <v>59400</v>
      </c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5"/>
      <c r="AJ585" s="32">
        <v>19800</v>
      </c>
      <c r="AK585" s="32">
        <v>19800</v>
      </c>
      <c r="AL585" s="32">
        <v>19800</v>
      </c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CR585">
        <v>1455900</v>
      </c>
      <c r="CS585">
        <v>15</v>
      </c>
    </row>
    <row r="586" spans="1:97" x14ac:dyDescent="0.4">
      <c r="A586" t="s">
        <v>1800</v>
      </c>
      <c r="D586" t="s">
        <v>2370</v>
      </c>
      <c r="E586" t="s">
        <v>2371</v>
      </c>
      <c r="F586" t="s">
        <v>1801</v>
      </c>
      <c r="G586" t="s">
        <v>4754</v>
      </c>
      <c r="H586">
        <v>7075387218</v>
      </c>
      <c r="I586" t="s">
        <v>1802</v>
      </c>
      <c r="J586" t="s">
        <v>2433</v>
      </c>
      <c r="L586" t="s">
        <v>4755</v>
      </c>
      <c r="M586" t="s">
        <v>2518</v>
      </c>
      <c r="N586" t="s">
        <v>4756</v>
      </c>
      <c r="O586" t="s">
        <v>4757</v>
      </c>
      <c r="R586" s="30">
        <v>44983</v>
      </c>
      <c r="S586" t="s">
        <v>25</v>
      </c>
      <c r="T586" s="30">
        <v>45797</v>
      </c>
      <c r="U586">
        <v>59400</v>
      </c>
      <c r="V586" s="34"/>
      <c r="W586" s="34"/>
      <c r="X586" s="34"/>
      <c r="Y586" s="31">
        <f>+U586</f>
        <v>59400</v>
      </c>
      <c r="Z586" s="34"/>
      <c r="AA586" s="34"/>
      <c r="AB586" s="34"/>
      <c r="AC586" s="34"/>
      <c r="AD586" s="34"/>
      <c r="AE586" s="34"/>
      <c r="AF586" s="34"/>
      <c r="AG586" s="34"/>
      <c r="AH586" s="34"/>
      <c r="AI586" s="35"/>
      <c r="AJ586" s="35"/>
      <c r="AK586" s="35"/>
      <c r="AL586" s="32">
        <v>19800</v>
      </c>
      <c r="AM586" s="32">
        <v>19800</v>
      </c>
      <c r="AN586" s="32">
        <v>19800</v>
      </c>
      <c r="AO586" s="35"/>
      <c r="AP586" s="35"/>
      <c r="AQ586" s="35"/>
      <c r="AR586" s="35"/>
      <c r="AS586" s="35"/>
      <c r="AT586" s="35"/>
      <c r="AU586" s="35"/>
      <c r="AV586" s="35"/>
      <c r="AW586" s="35"/>
      <c r="AX586" s="32"/>
      <c r="AY586" s="35"/>
      <c r="AZ586" s="35"/>
      <c r="BA586" s="35"/>
      <c r="BB586" s="35"/>
      <c r="BC586" s="35"/>
      <c r="BD586" s="35"/>
      <c r="BE586" s="35"/>
      <c r="BF586" s="35"/>
      <c r="BG586" s="35"/>
      <c r="CR586">
        <v>908500</v>
      </c>
      <c r="CS586">
        <v>11</v>
      </c>
    </row>
    <row r="587" spans="1:97" x14ac:dyDescent="0.4">
      <c r="A587" t="s">
        <v>1804</v>
      </c>
      <c r="D587" t="s">
        <v>2370</v>
      </c>
      <c r="E587" t="s">
        <v>2371</v>
      </c>
      <c r="F587" t="s">
        <v>1805</v>
      </c>
      <c r="G587" t="s">
        <v>4758</v>
      </c>
      <c r="H587">
        <v>9015034951</v>
      </c>
      <c r="I587" t="s">
        <v>1806</v>
      </c>
      <c r="J587" t="s">
        <v>2433</v>
      </c>
      <c r="L587" t="s">
        <v>4759</v>
      </c>
      <c r="M587" t="s">
        <v>2598</v>
      </c>
      <c r="N587" t="s">
        <v>4760</v>
      </c>
      <c r="O587" t="s">
        <v>4761</v>
      </c>
      <c r="Q587" t="s">
        <v>2468</v>
      </c>
      <c r="R587" s="30">
        <v>44983</v>
      </c>
      <c r="S587" t="s">
        <v>44</v>
      </c>
      <c r="T587" s="30">
        <v>45828</v>
      </c>
      <c r="U587" s="20">
        <v>114300</v>
      </c>
      <c r="V587" s="31"/>
      <c r="W587" s="31"/>
      <c r="X587" s="31"/>
      <c r="Y587" s="31"/>
      <c r="Z587" s="31">
        <f t="shared" ref="Z587:Z588" si="100">+U587</f>
        <v>114300</v>
      </c>
      <c r="AA587" s="31"/>
      <c r="AB587" s="31"/>
      <c r="AC587" s="31"/>
      <c r="AD587" s="31"/>
      <c r="AE587" s="31"/>
      <c r="AF587" s="31"/>
      <c r="AG587" s="31"/>
      <c r="AH587" s="31"/>
      <c r="AI587" s="32"/>
      <c r="AJ587" s="32"/>
      <c r="AK587" s="32"/>
      <c r="AL587" s="32"/>
      <c r="AM587" s="32">
        <v>19050</v>
      </c>
      <c r="AN587" s="32">
        <v>19050</v>
      </c>
      <c r="AO587" s="32">
        <v>19050</v>
      </c>
      <c r="AP587" s="32">
        <v>19050</v>
      </c>
      <c r="AQ587" s="32">
        <v>19050</v>
      </c>
      <c r="AR587" s="32">
        <v>19050</v>
      </c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CR587">
        <v>778000</v>
      </c>
      <c r="CS587">
        <v>9</v>
      </c>
    </row>
    <row r="588" spans="1:97" x14ac:dyDescent="0.4">
      <c r="A588" t="s">
        <v>1807</v>
      </c>
      <c r="D588" t="s">
        <v>2370</v>
      </c>
      <c r="E588" t="s">
        <v>2371</v>
      </c>
      <c r="F588" t="s">
        <v>1808</v>
      </c>
      <c r="G588" t="s">
        <v>4762</v>
      </c>
      <c r="H588">
        <v>9077872125</v>
      </c>
      <c r="I588" t="s">
        <v>1809</v>
      </c>
      <c r="J588" t="s">
        <v>2433</v>
      </c>
      <c r="L588" t="s">
        <v>4763</v>
      </c>
      <c r="M588" t="s">
        <v>3141</v>
      </c>
      <c r="N588" t="s">
        <v>4764</v>
      </c>
      <c r="O588" t="s">
        <v>4765</v>
      </c>
      <c r="R588" s="30">
        <v>44983</v>
      </c>
      <c r="S588" t="s">
        <v>44</v>
      </c>
      <c r="T588" s="30">
        <v>45828</v>
      </c>
      <c r="U588" s="20">
        <v>114300</v>
      </c>
      <c r="V588" s="31"/>
      <c r="W588" s="31"/>
      <c r="X588" s="31"/>
      <c r="Y588" s="31"/>
      <c r="Z588" s="31">
        <f t="shared" si="100"/>
        <v>114300</v>
      </c>
      <c r="AA588" s="31"/>
      <c r="AB588" s="31"/>
      <c r="AC588" s="31"/>
      <c r="AD588" s="31"/>
      <c r="AE588" s="31"/>
      <c r="AF588" s="31"/>
      <c r="AG588" s="31"/>
      <c r="AH588" s="31"/>
      <c r="AI588" s="32"/>
      <c r="AJ588" s="32"/>
      <c r="AK588" s="32"/>
      <c r="AL588" s="32"/>
      <c r="AM588" s="32">
        <v>19050</v>
      </c>
      <c r="AN588" s="32">
        <v>19050</v>
      </c>
      <c r="AO588" s="32">
        <v>19050</v>
      </c>
      <c r="AP588" s="32">
        <v>19050</v>
      </c>
      <c r="AQ588" s="32">
        <v>19050</v>
      </c>
      <c r="AR588" s="32">
        <v>19050</v>
      </c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CR588">
        <v>889500</v>
      </c>
      <c r="CS588">
        <v>5</v>
      </c>
    </row>
    <row r="589" spans="1:97" x14ac:dyDescent="0.4">
      <c r="A589" t="s">
        <v>1811</v>
      </c>
      <c r="D589" t="s">
        <v>2370</v>
      </c>
      <c r="E589" t="s">
        <v>2371</v>
      </c>
      <c r="F589" t="s">
        <v>1812</v>
      </c>
      <c r="G589" t="s">
        <v>4766</v>
      </c>
      <c r="H589">
        <v>9028160343</v>
      </c>
      <c r="I589" t="s">
        <v>1813</v>
      </c>
      <c r="J589" t="s">
        <v>2433</v>
      </c>
      <c r="L589" t="s">
        <v>4767</v>
      </c>
      <c r="M589" t="s">
        <v>2455</v>
      </c>
      <c r="N589" t="s">
        <v>4768</v>
      </c>
      <c r="O589" s="33">
        <v>45724</v>
      </c>
      <c r="Q589" t="s">
        <v>2468</v>
      </c>
      <c r="R589" s="30">
        <v>44976</v>
      </c>
      <c r="S589" t="s">
        <v>44</v>
      </c>
      <c r="T589" s="30">
        <v>45767</v>
      </c>
      <c r="U589" s="20">
        <v>114300</v>
      </c>
      <c r="V589" s="31"/>
      <c r="W589" s="34"/>
      <c r="X589" s="34">
        <f>+U589</f>
        <v>114300</v>
      </c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2"/>
      <c r="AJ589" s="35"/>
      <c r="AK589" s="32">
        <v>19050</v>
      </c>
      <c r="AL589" s="32">
        <v>19050</v>
      </c>
      <c r="AM589" s="32">
        <v>19050</v>
      </c>
      <c r="AN589" s="32">
        <v>19050</v>
      </c>
      <c r="AO589" s="32">
        <v>19050</v>
      </c>
      <c r="AP589" s="32">
        <v>19050</v>
      </c>
      <c r="AQ589" s="32"/>
      <c r="AR589" s="32"/>
      <c r="AS589" s="32"/>
      <c r="AT589" s="32"/>
      <c r="AU589" s="32"/>
      <c r="AV589" s="35"/>
      <c r="AW589" s="35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CR589">
        <v>957975</v>
      </c>
      <c r="CS589">
        <v>20</v>
      </c>
    </row>
    <row r="590" spans="1:97" x14ac:dyDescent="0.4">
      <c r="A590" t="s">
        <v>1814</v>
      </c>
      <c r="D590" t="s">
        <v>2370</v>
      </c>
      <c r="E590" t="s">
        <v>2371</v>
      </c>
      <c r="F590" t="s">
        <v>1815</v>
      </c>
      <c r="G590" t="s">
        <v>4769</v>
      </c>
      <c r="H590">
        <v>9064186885</v>
      </c>
      <c r="I590" t="s">
        <v>1816</v>
      </c>
      <c r="J590" t="s">
        <v>2433</v>
      </c>
      <c r="L590" t="s">
        <v>4770</v>
      </c>
      <c r="M590" t="s">
        <v>2598</v>
      </c>
      <c r="N590" t="s">
        <v>4771</v>
      </c>
      <c r="O590" s="33">
        <v>45829</v>
      </c>
      <c r="Q590" t="s">
        <v>2468</v>
      </c>
      <c r="R590" s="30">
        <v>44975</v>
      </c>
      <c r="S590" t="s">
        <v>50</v>
      </c>
      <c r="T590" s="30">
        <v>45828</v>
      </c>
      <c r="U590" s="20">
        <v>114300</v>
      </c>
      <c r="V590" s="31"/>
      <c r="W590" s="31"/>
      <c r="X590" s="31"/>
      <c r="Y590" s="31"/>
      <c r="Z590" s="31">
        <f t="shared" ref="Z590:Z591" si="101">+U590</f>
        <v>114300</v>
      </c>
      <c r="AA590" s="31"/>
      <c r="AB590" s="31"/>
      <c r="AC590" s="31"/>
      <c r="AD590" s="31"/>
      <c r="AE590" s="31"/>
      <c r="AF590" s="31"/>
      <c r="AG590" s="31"/>
      <c r="AH590" s="31"/>
      <c r="AI590" s="32"/>
      <c r="AJ590" s="32"/>
      <c r="AK590" s="32"/>
      <c r="AL590" s="32"/>
      <c r="AM590" s="32">
        <v>19050</v>
      </c>
      <c r="AN590" s="32">
        <v>19050</v>
      </c>
      <c r="AO590" s="32">
        <v>19050</v>
      </c>
      <c r="AP590" s="32">
        <v>19050</v>
      </c>
      <c r="AQ590" s="32">
        <v>19050</v>
      </c>
      <c r="AR590" s="32">
        <v>19050</v>
      </c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CR590">
        <v>546600</v>
      </c>
      <c r="CS590">
        <v>2</v>
      </c>
    </row>
    <row r="591" spans="1:97" x14ac:dyDescent="0.4">
      <c r="A591" t="s">
        <v>1817</v>
      </c>
      <c r="D591" t="s">
        <v>2370</v>
      </c>
      <c r="E591" t="s">
        <v>2371</v>
      </c>
      <c r="F591" t="s">
        <v>1818</v>
      </c>
      <c r="G591" t="s">
        <v>4772</v>
      </c>
      <c r="H591">
        <v>339972518</v>
      </c>
      <c r="I591" t="s">
        <v>1819</v>
      </c>
      <c r="J591" t="s">
        <v>2433</v>
      </c>
      <c r="L591" t="s">
        <v>4773</v>
      </c>
      <c r="M591" t="s">
        <v>2444</v>
      </c>
      <c r="N591" t="s">
        <v>4774</v>
      </c>
      <c r="O591" t="s">
        <v>4775</v>
      </c>
      <c r="Q591" t="s">
        <v>2468</v>
      </c>
      <c r="R591" s="30">
        <v>44973</v>
      </c>
      <c r="S591" t="s">
        <v>44</v>
      </c>
      <c r="T591" s="30">
        <v>45828</v>
      </c>
      <c r="U591" s="20">
        <v>114300</v>
      </c>
      <c r="V591" s="31"/>
      <c r="W591" s="31"/>
      <c r="X591" s="31"/>
      <c r="Y591" s="31"/>
      <c r="Z591" s="31">
        <f t="shared" si="101"/>
        <v>114300</v>
      </c>
      <c r="AA591" s="31"/>
      <c r="AB591" s="31"/>
      <c r="AC591" s="31"/>
      <c r="AD591" s="31"/>
      <c r="AE591" s="31"/>
      <c r="AF591" s="31"/>
      <c r="AG591" s="31"/>
      <c r="AH591" s="31"/>
      <c r="AI591" s="32"/>
      <c r="AJ591" s="32"/>
      <c r="AK591" s="32"/>
      <c r="AL591" s="32"/>
      <c r="AM591" s="32">
        <v>19050</v>
      </c>
      <c r="AN591" s="32">
        <v>19050</v>
      </c>
      <c r="AO591" s="32">
        <v>19050</v>
      </c>
      <c r="AP591" s="32">
        <v>19050</v>
      </c>
      <c r="AQ591" s="32">
        <v>19050</v>
      </c>
      <c r="AR591" s="32">
        <v>19050</v>
      </c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CR591">
        <v>762750</v>
      </c>
      <c r="CS591">
        <v>10</v>
      </c>
    </row>
    <row r="592" spans="1:97" x14ac:dyDescent="0.4">
      <c r="A592" t="s">
        <v>1820</v>
      </c>
      <c r="D592" t="s">
        <v>2370</v>
      </c>
      <c r="E592" t="s">
        <v>2371</v>
      </c>
      <c r="F592" t="s">
        <v>1821</v>
      </c>
      <c r="G592" t="s">
        <v>4776</v>
      </c>
      <c r="H592">
        <v>9080580849</v>
      </c>
      <c r="I592" t="s">
        <v>1822</v>
      </c>
      <c r="J592" t="s">
        <v>2433</v>
      </c>
      <c r="L592" t="s">
        <v>4777</v>
      </c>
      <c r="M592" t="s">
        <v>2492</v>
      </c>
      <c r="N592" t="s">
        <v>4778</v>
      </c>
      <c r="O592" t="s">
        <v>4779</v>
      </c>
      <c r="Q592" t="s">
        <v>2468</v>
      </c>
      <c r="R592" s="30">
        <v>44969</v>
      </c>
      <c r="S592" t="s">
        <v>44</v>
      </c>
      <c r="T592" s="30">
        <v>45767</v>
      </c>
      <c r="U592" s="20">
        <v>114300</v>
      </c>
      <c r="V592" s="31"/>
      <c r="W592" s="34"/>
      <c r="X592" s="34">
        <f t="shared" ref="X592:X594" si="102">+U592</f>
        <v>114300</v>
      </c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2"/>
      <c r="AJ592" s="35"/>
      <c r="AK592" s="32">
        <v>19050</v>
      </c>
      <c r="AL592" s="32">
        <v>19050</v>
      </c>
      <c r="AM592" s="32">
        <v>19050</v>
      </c>
      <c r="AN592" s="32">
        <v>19050</v>
      </c>
      <c r="AO592" s="32">
        <v>19050</v>
      </c>
      <c r="AP592" s="32">
        <v>19050</v>
      </c>
      <c r="AQ592" s="32"/>
      <c r="AR592" s="32"/>
      <c r="AS592" s="32"/>
      <c r="AT592" s="32"/>
      <c r="AU592" s="32"/>
      <c r="AV592" s="35"/>
      <c r="AW592" s="35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CR592">
        <v>1996700</v>
      </c>
      <c r="CS592">
        <v>9</v>
      </c>
    </row>
    <row r="593" spans="1:97" x14ac:dyDescent="0.4">
      <c r="A593" t="s">
        <v>1823</v>
      </c>
      <c r="D593" t="s">
        <v>2370</v>
      </c>
      <c r="E593" t="s">
        <v>2371</v>
      </c>
      <c r="F593" t="s">
        <v>1824</v>
      </c>
      <c r="G593" t="s">
        <v>4780</v>
      </c>
      <c r="H593">
        <v>9042442357</v>
      </c>
      <c r="I593" t="s">
        <v>1825</v>
      </c>
      <c r="J593" t="s">
        <v>2433</v>
      </c>
      <c r="L593" t="s">
        <v>2704</v>
      </c>
      <c r="M593" t="s">
        <v>2465</v>
      </c>
      <c r="N593" t="s">
        <v>4781</v>
      </c>
      <c r="O593" t="s">
        <v>4782</v>
      </c>
      <c r="Q593" t="s">
        <v>2468</v>
      </c>
      <c r="R593" s="30">
        <v>44969</v>
      </c>
      <c r="S593" t="s">
        <v>44</v>
      </c>
      <c r="T593" s="30">
        <v>45767</v>
      </c>
      <c r="U593" s="20">
        <v>114300</v>
      </c>
      <c r="V593" s="31"/>
      <c r="W593" s="34"/>
      <c r="X593" s="34">
        <f t="shared" si="102"/>
        <v>114300</v>
      </c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2"/>
      <c r="AJ593" s="35"/>
      <c r="AK593" s="32">
        <v>19050</v>
      </c>
      <c r="AL593" s="32">
        <v>19050</v>
      </c>
      <c r="AM593" s="32">
        <v>19050</v>
      </c>
      <c r="AN593" s="32">
        <v>19050</v>
      </c>
      <c r="AO593" s="32">
        <v>19050</v>
      </c>
      <c r="AP593" s="32">
        <v>19050</v>
      </c>
      <c r="AQ593" s="32"/>
      <c r="AR593" s="32"/>
      <c r="AS593" s="32"/>
      <c r="AT593" s="32"/>
      <c r="AU593" s="32"/>
      <c r="AV593" s="35"/>
      <c r="AW593" s="35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CR593">
        <v>661900</v>
      </c>
      <c r="CS593">
        <v>4</v>
      </c>
    </row>
    <row r="594" spans="1:97" x14ac:dyDescent="0.4">
      <c r="A594" t="s">
        <v>1826</v>
      </c>
      <c r="D594" t="s">
        <v>2370</v>
      </c>
      <c r="E594" t="s">
        <v>2371</v>
      </c>
      <c r="F594" t="s">
        <v>1827</v>
      </c>
      <c r="G594" t="s">
        <v>4783</v>
      </c>
      <c r="H594">
        <v>9045593109</v>
      </c>
      <c r="I594" t="s">
        <v>1828</v>
      </c>
      <c r="J594" t="s">
        <v>2433</v>
      </c>
      <c r="L594" t="s">
        <v>4784</v>
      </c>
      <c r="M594" t="s">
        <v>3097</v>
      </c>
      <c r="N594" t="s">
        <v>4785</v>
      </c>
      <c r="O594" t="s">
        <v>4786</v>
      </c>
      <c r="Q594" t="s">
        <v>2468</v>
      </c>
      <c r="R594" s="30">
        <v>44966</v>
      </c>
      <c r="S594" t="s">
        <v>44</v>
      </c>
      <c r="T594" s="30">
        <v>45767</v>
      </c>
      <c r="U594" s="20">
        <v>114300</v>
      </c>
      <c r="V594" s="31"/>
      <c r="W594" s="34"/>
      <c r="X594" s="34">
        <f t="shared" si="102"/>
        <v>114300</v>
      </c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2"/>
      <c r="AJ594" s="35"/>
      <c r="AK594" s="32">
        <v>19050</v>
      </c>
      <c r="AL594" s="32">
        <v>19050</v>
      </c>
      <c r="AM594" s="32">
        <v>19050</v>
      </c>
      <c r="AN594" s="32">
        <v>19050</v>
      </c>
      <c r="AO594" s="32">
        <v>19050</v>
      </c>
      <c r="AP594" s="32">
        <v>19050</v>
      </c>
      <c r="AQ594" s="32"/>
      <c r="AR594" s="32"/>
      <c r="AS594" s="32"/>
      <c r="AT594" s="32"/>
      <c r="AU594" s="32"/>
      <c r="AV594" s="35"/>
      <c r="AW594" s="35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CR594">
        <v>834700</v>
      </c>
      <c r="CS594">
        <v>19</v>
      </c>
    </row>
    <row r="595" spans="1:97" x14ac:dyDescent="0.4">
      <c r="A595" t="s">
        <v>1829</v>
      </c>
      <c r="D595" t="s">
        <v>2370</v>
      </c>
      <c r="E595" t="s">
        <v>2371</v>
      </c>
      <c r="F595" t="s">
        <v>1830</v>
      </c>
      <c r="G595" t="s">
        <v>4787</v>
      </c>
      <c r="H595">
        <v>9069442916</v>
      </c>
      <c r="I595" t="s">
        <v>1831</v>
      </c>
      <c r="J595" t="s">
        <v>2433</v>
      </c>
      <c r="L595" t="s">
        <v>4788</v>
      </c>
      <c r="M595" t="s">
        <v>2518</v>
      </c>
      <c r="N595" t="s">
        <v>4789</v>
      </c>
      <c r="O595" t="s">
        <v>4790</v>
      </c>
      <c r="Q595" t="s">
        <v>2468</v>
      </c>
      <c r="R595" s="30">
        <v>44966</v>
      </c>
      <c r="S595" t="s">
        <v>25</v>
      </c>
      <c r="T595" s="30">
        <v>45736</v>
      </c>
      <c r="U595">
        <v>59400</v>
      </c>
      <c r="V595" s="34"/>
      <c r="W595" s="34">
        <f>+U595</f>
        <v>59400</v>
      </c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5"/>
      <c r="AJ595" s="32">
        <v>19800</v>
      </c>
      <c r="AK595" s="32">
        <v>19800</v>
      </c>
      <c r="AL595" s="32">
        <v>19800</v>
      </c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CR595">
        <v>618540</v>
      </c>
      <c r="CS595">
        <v>10</v>
      </c>
    </row>
    <row r="596" spans="1:97" x14ac:dyDescent="0.4">
      <c r="A596" t="s">
        <v>1832</v>
      </c>
      <c r="D596" t="s">
        <v>2370</v>
      </c>
      <c r="E596" t="s">
        <v>2371</v>
      </c>
      <c r="F596" t="s">
        <v>1833</v>
      </c>
      <c r="G596" t="s">
        <v>4791</v>
      </c>
      <c r="H596">
        <v>8018423574</v>
      </c>
      <c r="I596" t="s">
        <v>1834</v>
      </c>
      <c r="J596" t="s">
        <v>2433</v>
      </c>
      <c r="L596" t="s">
        <v>4792</v>
      </c>
      <c r="M596" t="s">
        <v>2471</v>
      </c>
      <c r="N596" t="s">
        <v>4793</v>
      </c>
      <c r="O596" t="s">
        <v>4794</v>
      </c>
      <c r="Q596" t="s">
        <v>2468</v>
      </c>
      <c r="R596" s="30">
        <v>44964</v>
      </c>
      <c r="S596" t="s">
        <v>44</v>
      </c>
      <c r="T596" s="30">
        <v>45828</v>
      </c>
      <c r="U596" s="20">
        <v>114300</v>
      </c>
      <c r="V596" s="31"/>
      <c r="W596" s="31"/>
      <c r="X596" s="31"/>
      <c r="Y596" s="31"/>
      <c r="Z596" s="31">
        <f t="shared" ref="Z596:Z597" si="103">+U596</f>
        <v>114300</v>
      </c>
      <c r="AA596" s="31"/>
      <c r="AB596" s="31"/>
      <c r="AC596" s="31"/>
      <c r="AD596" s="31"/>
      <c r="AE596" s="31"/>
      <c r="AF596" s="31"/>
      <c r="AG596" s="31"/>
      <c r="AH596" s="31"/>
      <c r="AI596" s="32"/>
      <c r="AJ596" s="32"/>
      <c r="AK596" s="32"/>
      <c r="AL596" s="32"/>
      <c r="AM596" s="32">
        <v>19050</v>
      </c>
      <c r="AN596" s="32">
        <v>19050</v>
      </c>
      <c r="AO596" s="32">
        <v>19050</v>
      </c>
      <c r="AP596" s="32">
        <v>19050</v>
      </c>
      <c r="AQ596" s="32">
        <v>19050</v>
      </c>
      <c r="AR596" s="32">
        <v>19050</v>
      </c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CR596">
        <v>829102</v>
      </c>
      <c r="CS596">
        <v>18</v>
      </c>
    </row>
    <row r="597" spans="1:97" x14ac:dyDescent="0.4">
      <c r="A597" t="s">
        <v>1835</v>
      </c>
      <c r="D597" t="s">
        <v>2370</v>
      </c>
      <c r="E597" t="s">
        <v>2371</v>
      </c>
      <c r="F597" t="s">
        <v>1836</v>
      </c>
      <c r="G597" t="s">
        <v>4795</v>
      </c>
      <c r="H597">
        <v>8042132806</v>
      </c>
      <c r="I597" t="s">
        <v>1837</v>
      </c>
      <c r="J597" t="s">
        <v>2433</v>
      </c>
      <c r="L597" t="s">
        <v>4796</v>
      </c>
      <c r="M597" t="s">
        <v>2451</v>
      </c>
      <c r="N597" t="s">
        <v>4797</v>
      </c>
      <c r="O597" t="s">
        <v>4798</v>
      </c>
      <c r="Q597" t="s">
        <v>2468</v>
      </c>
      <c r="R597" s="30">
        <v>44963</v>
      </c>
      <c r="S597" t="s">
        <v>44</v>
      </c>
      <c r="T597" s="30">
        <v>45828</v>
      </c>
      <c r="U597" s="20">
        <v>114300</v>
      </c>
      <c r="V597" s="31"/>
      <c r="W597" s="31"/>
      <c r="X597" s="31"/>
      <c r="Y597" s="31"/>
      <c r="Z597" s="31">
        <f t="shared" si="103"/>
        <v>114300</v>
      </c>
      <c r="AA597" s="31"/>
      <c r="AB597" s="31"/>
      <c r="AC597" s="31"/>
      <c r="AD597" s="31"/>
      <c r="AE597" s="31"/>
      <c r="AF597" s="31"/>
      <c r="AG597" s="31"/>
      <c r="AH597" s="31"/>
      <c r="AI597" s="32"/>
      <c r="AJ597" s="32"/>
      <c r="AK597" s="32"/>
      <c r="AL597" s="32"/>
      <c r="AM597" s="32">
        <v>19050</v>
      </c>
      <c r="AN597" s="32">
        <v>19050</v>
      </c>
      <c r="AO597" s="32">
        <v>19050</v>
      </c>
      <c r="AP597" s="32">
        <v>19050</v>
      </c>
      <c r="AQ597" s="32">
        <v>19050</v>
      </c>
      <c r="AR597" s="32">
        <v>19050</v>
      </c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CR597">
        <v>985420</v>
      </c>
      <c r="CS597">
        <v>4</v>
      </c>
    </row>
    <row r="598" spans="1:97" x14ac:dyDescent="0.4">
      <c r="A598" t="s">
        <v>1838</v>
      </c>
      <c r="D598" t="s">
        <v>2370</v>
      </c>
      <c r="E598" t="s">
        <v>2371</v>
      </c>
      <c r="F598" t="s">
        <v>1839</v>
      </c>
      <c r="G598" t="s">
        <v>4799</v>
      </c>
      <c r="H598">
        <v>7053323552</v>
      </c>
      <c r="I598" t="s">
        <v>1840</v>
      </c>
      <c r="J598" t="s">
        <v>2433</v>
      </c>
      <c r="L598" t="s">
        <v>4800</v>
      </c>
      <c r="M598" t="s">
        <v>2500</v>
      </c>
      <c r="N598" t="s">
        <v>4801</v>
      </c>
      <c r="Q598" t="s">
        <v>2468</v>
      </c>
      <c r="R598" s="30">
        <v>44960</v>
      </c>
      <c r="S598" t="s">
        <v>44</v>
      </c>
      <c r="T598" s="30">
        <v>45767</v>
      </c>
      <c r="U598" s="20">
        <v>114300</v>
      </c>
      <c r="V598" s="31"/>
      <c r="W598" s="34"/>
      <c r="X598" s="34">
        <f t="shared" ref="X598:X599" si="104">+U598</f>
        <v>114300</v>
      </c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2"/>
      <c r="AJ598" s="35"/>
      <c r="AK598" s="32">
        <v>19050</v>
      </c>
      <c r="AL598" s="32">
        <v>19050</v>
      </c>
      <c r="AM598" s="32">
        <v>19050</v>
      </c>
      <c r="AN598" s="32">
        <v>19050</v>
      </c>
      <c r="AO598" s="32">
        <v>19050</v>
      </c>
      <c r="AP598" s="32">
        <v>19050</v>
      </c>
      <c r="AQ598" s="32"/>
      <c r="AR598" s="32"/>
      <c r="AS598" s="32"/>
      <c r="AT598" s="32"/>
      <c r="AU598" s="32"/>
      <c r="AV598" s="35"/>
      <c r="AW598" s="35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CR598">
        <v>966975</v>
      </c>
      <c r="CS598">
        <v>18</v>
      </c>
    </row>
    <row r="599" spans="1:97" x14ac:dyDescent="0.4">
      <c r="A599" t="s">
        <v>1841</v>
      </c>
      <c r="D599" t="s">
        <v>2370</v>
      </c>
      <c r="E599" t="s">
        <v>2371</v>
      </c>
      <c r="F599" t="s">
        <v>1842</v>
      </c>
      <c r="G599" t="s">
        <v>4802</v>
      </c>
      <c r="H599">
        <v>9049554847</v>
      </c>
      <c r="I599" t="s">
        <v>1843</v>
      </c>
      <c r="J599" t="s">
        <v>2433</v>
      </c>
      <c r="L599" t="s">
        <v>4803</v>
      </c>
      <c r="M599" t="s">
        <v>2444</v>
      </c>
      <c r="N599" t="s">
        <v>3146</v>
      </c>
      <c r="O599" t="s">
        <v>4804</v>
      </c>
      <c r="Q599" t="s">
        <v>2468</v>
      </c>
      <c r="R599" s="30">
        <v>44958</v>
      </c>
      <c r="S599" t="s">
        <v>25</v>
      </c>
      <c r="T599" s="30">
        <v>45767</v>
      </c>
      <c r="U599">
        <v>59400</v>
      </c>
      <c r="V599" s="34"/>
      <c r="W599" s="34"/>
      <c r="X599" s="34">
        <f t="shared" si="104"/>
        <v>59400</v>
      </c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5"/>
      <c r="AJ599" s="35"/>
      <c r="AK599" s="32">
        <v>19800</v>
      </c>
      <c r="AL599" s="32">
        <v>19800</v>
      </c>
      <c r="AM599" s="32">
        <v>19800</v>
      </c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CR599">
        <v>815000</v>
      </c>
      <c r="CS599">
        <v>21</v>
      </c>
    </row>
    <row r="600" spans="1:97" s="36" customFormat="1" x14ac:dyDescent="0.4">
      <c r="A600" s="36" t="s">
        <v>4805</v>
      </c>
      <c r="D600" s="36" t="s">
        <v>2370</v>
      </c>
      <c r="E600" s="36" t="s">
        <v>2371</v>
      </c>
      <c r="F600" s="36" t="s">
        <v>4806</v>
      </c>
      <c r="G600" s="36" t="s">
        <v>4807</v>
      </c>
      <c r="H600" s="36">
        <v>9012368539</v>
      </c>
      <c r="I600" s="36" t="s">
        <v>4808</v>
      </c>
      <c r="J600" s="36" t="s">
        <v>2433</v>
      </c>
      <c r="L600" s="36" t="s">
        <v>4809</v>
      </c>
      <c r="M600" s="36" t="s">
        <v>2500</v>
      </c>
      <c r="N600" s="36" t="s">
        <v>4810</v>
      </c>
      <c r="O600" s="44">
        <v>45699</v>
      </c>
      <c r="Q600" s="36" t="s">
        <v>2468</v>
      </c>
      <c r="R600" s="37">
        <v>44958</v>
      </c>
      <c r="S600" s="36" t="s">
        <v>2503</v>
      </c>
      <c r="T600" s="37">
        <v>45700</v>
      </c>
      <c r="U600" s="37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CR600" s="36">
        <v>775580</v>
      </c>
      <c r="CS600" s="36">
        <v>22</v>
      </c>
    </row>
    <row r="601" spans="1:97" x14ac:dyDescent="0.4">
      <c r="A601" t="s">
        <v>1844</v>
      </c>
      <c r="D601" t="s">
        <v>2370</v>
      </c>
      <c r="E601" t="s">
        <v>2371</v>
      </c>
      <c r="F601" t="s">
        <v>1845</v>
      </c>
      <c r="G601" t="s">
        <v>4811</v>
      </c>
      <c r="H601">
        <v>9010237467</v>
      </c>
      <c r="I601" t="s">
        <v>1846</v>
      </c>
      <c r="J601" t="s">
        <v>2433</v>
      </c>
      <c r="L601" t="s">
        <v>4812</v>
      </c>
      <c r="M601" t="s">
        <v>3085</v>
      </c>
      <c r="N601" t="s">
        <v>4813</v>
      </c>
      <c r="O601" t="s">
        <v>4814</v>
      </c>
      <c r="Q601" t="s">
        <v>2468</v>
      </c>
      <c r="R601" s="30">
        <v>44954</v>
      </c>
      <c r="S601" t="s">
        <v>44</v>
      </c>
      <c r="T601" s="30">
        <v>45767</v>
      </c>
      <c r="U601" s="20">
        <v>114300</v>
      </c>
      <c r="V601" s="31"/>
      <c r="W601" s="34"/>
      <c r="X601" s="34">
        <f t="shared" ref="X601:X602" si="105">+U601</f>
        <v>114300</v>
      </c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2"/>
      <c r="AJ601" s="35"/>
      <c r="AK601" s="32">
        <v>19050</v>
      </c>
      <c r="AL601" s="32">
        <v>19050</v>
      </c>
      <c r="AM601" s="32">
        <v>19050</v>
      </c>
      <c r="AN601" s="32">
        <v>19050</v>
      </c>
      <c r="AO601" s="32">
        <v>19050</v>
      </c>
      <c r="AP601" s="32">
        <v>19050</v>
      </c>
      <c r="AQ601" s="32"/>
      <c r="AR601" s="32"/>
      <c r="AS601" s="32"/>
      <c r="AT601" s="32"/>
      <c r="AU601" s="32"/>
      <c r="AV601" s="35"/>
      <c r="AW601" s="35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CR601">
        <v>660900</v>
      </c>
      <c r="CS601">
        <v>3</v>
      </c>
    </row>
    <row r="602" spans="1:97" x14ac:dyDescent="0.4">
      <c r="A602" t="s">
        <v>1847</v>
      </c>
      <c r="D602" t="s">
        <v>2370</v>
      </c>
      <c r="E602" t="s">
        <v>2371</v>
      </c>
      <c r="F602" t="s">
        <v>1848</v>
      </c>
      <c r="G602" t="s">
        <v>4815</v>
      </c>
      <c r="H602">
        <v>9097651336</v>
      </c>
      <c r="I602" t="s">
        <v>1849</v>
      </c>
      <c r="J602" t="s">
        <v>2433</v>
      </c>
      <c r="L602" t="s">
        <v>4816</v>
      </c>
      <c r="M602" t="s">
        <v>3368</v>
      </c>
      <c r="N602" t="s">
        <v>4817</v>
      </c>
      <c r="O602" t="s">
        <v>4818</v>
      </c>
      <c r="Q602" t="s">
        <v>2468</v>
      </c>
      <c r="R602" s="30">
        <v>44952</v>
      </c>
      <c r="S602" t="s">
        <v>44</v>
      </c>
      <c r="T602" s="30">
        <v>45767</v>
      </c>
      <c r="U602" s="20">
        <v>114300</v>
      </c>
      <c r="V602" s="31"/>
      <c r="W602" s="34"/>
      <c r="X602" s="34">
        <f t="shared" si="105"/>
        <v>114300</v>
      </c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2"/>
      <c r="AJ602" s="35"/>
      <c r="AK602" s="32">
        <v>19050</v>
      </c>
      <c r="AL602" s="32">
        <v>19050</v>
      </c>
      <c r="AM602" s="32">
        <v>19050</v>
      </c>
      <c r="AN602" s="32">
        <v>19050</v>
      </c>
      <c r="AO602" s="32">
        <v>19050</v>
      </c>
      <c r="AP602" s="32">
        <v>19050</v>
      </c>
      <c r="AQ602" s="32"/>
      <c r="AR602" s="32"/>
      <c r="AS602" s="32"/>
      <c r="AT602" s="32"/>
      <c r="AU602" s="32"/>
      <c r="AV602" s="35"/>
      <c r="AW602" s="35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CR602">
        <v>703370</v>
      </c>
      <c r="CS602">
        <v>5</v>
      </c>
    </row>
    <row r="603" spans="1:97" x14ac:dyDescent="0.4">
      <c r="A603" t="s">
        <v>1850</v>
      </c>
      <c r="D603" t="s">
        <v>2370</v>
      </c>
      <c r="E603" t="s">
        <v>2371</v>
      </c>
      <c r="F603" t="s">
        <v>1851</v>
      </c>
      <c r="G603" t="s">
        <v>4819</v>
      </c>
      <c r="H603">
        <v>9096647164</v>
      </c>
      <c r="I603" t="s">
        <v>1852</v>
      </c>
      <c r="J603" t="s">
        <v>2433</v>
      </c>
      <c r="L603" t="s">
        <v>4820</v>
      </c>
      <c r="M603" t="s">
        <v>2640</v>
      </c>
      <c r="N603" t="s">
        <v>4821</v>
      </c>
      <c r="O603" t="s">
        <v>4822</v>
      </c>
      <c r="Q603" t="s">
        <v>2468</v>
      </c>
      <c r="R603" s="30">
        <v>44950</v>
      </c>
      <c r="S603" t="s">
        <v>44</v>
      </c>
      <c r="T603" s="30">
        <v>45797</v>
      </c>
      <c r="U603" s="20">
        <v>114300</v>
      </c>
      <c r="V603" s="31"/>
      <c r="W603" s="31"/>
      <c r="X603" s="31"/>
      <c r="Y603" s="31">
        <f>+U603</f>
        <v>114300</v>
      </c>
      <c r="Z603" s="31"/>
      <c r="AA603" s="31"/>
      <c r="AB603" s="31"/>
      <c r="AC603" s="31"/>
      <c r="AD603" s="31"/>
      <c r="AE603" s="31"/>
      <c r="AF603" s="31"/>
      <c r="AG603" s="31"/>
      <c r="AH603" s="31"/>
      <c r="AI603" s="32"/>
      <c r="AJ603" s="32"/>
      <c r="AK603" s="32"/>
      <c r="AL603" s="32">
        <v>19050</v>
      </c>
      <c r="AM603" s="32">
        <v>19050</v>
      </c>
      <c r="AN603" s="32">
        <v>19050</v>
      </c>
      <c r="AO603" s="32">
        <v>19050</v>
      </c>
      <c r="AP603" s="32">
        <v>19050</v>
      </c>
      <c r="AQ603" s="32">
        <v>19050</v>
      </c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CR603">
        <v>1315800</v>
      </c>
      <c r="CS603">
        <v>7</v>
      </c>
    </row>
    <row r="604" spans="1:97" x14ac:dyDescent="0.4">
      <c r="A604" t="s">
        <v>1854</v>
      </c>
      <c r="D604" t="s">
        <v>2370</v>
      </c>
      <c r="E604" t="s">
        <v>2371</v>
      </c>
      <c r="F604" t="s">
        <v>1855</v>
      </c>
      <c r="G604" t="s">
        <v>4823</v>
      </c>
      <c r="H604">
        <v>9091494927</v>
      </c>
      <c r="I604" t="s">
        <v>1856</v>
      </c>
      <c r="J604" t="s">
        <v>2433</v>
      </c>
      <c r="L604" t="s">
        <v>4824</v>
      </c>
      <c r="M604" t="s">
        <v>2444</v>
      </c>
      <c r="N604" t="s">
        <v>4825</v>
      </c>
      <c r="O604" t="s">
        <v>4826</v>
      </c>
      <c r="Q604" t="s">
        <v>2468</v>
      </c>
      <c r="R604" s="30">
        <v>44950</v>
      </c>
      <c r="S604" t="s">
        <v>44</v>
      </c>
      <c r="T604" s="30">
        <v>45736</v>
      </c>
      <c r="U604" s="20">
        <v>114300</v>
      </c>
      <c r="V604" s="31"/>
      <c r="W604" s="34">
        <f>+U604</f>
        <v>114300</v>
      </c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2"/>
      <c r="AJ604" s="32">
        <v>19050</v>
      </c>
      <c r="AK604" s="32">
        <v>19050</v>
      </c>
      <c r="AL604" s="32">
        <v>19050</v>
      </c>
      <c r="AM604" s="32">
        <v>19050</v>
      </c>
      <c r="AN604" s="32">
        <v>19050</v>
      </c>
      <c r="AO604" s="32">
        <v>19050</v>
      </c>
      <c r="AP604" s="32"/>
      <c r="AQ604" s="32"/>
      <c r="AR604" s="32"/>
      <c r="AS604" s="32"/>
      <c r="AT604" s="32"/>
      <c r="AU604" s="32"/>
      <c r="AV604" s="35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P604" t="s">
        <v>3335</v>
      </c>
      <c r="BQ604" s="41">
        <v>45091</v>
      </c>
      <c r="CR604">
        <v>1464700</v>
      </c>
      <c r="CS604">
        <v>13</v>
      </c>
    </row>
    <row r="605" spans="1:97" x14ac:dyDescent="0.4">
      <c r="A605" t="s">
        <v>1857</v>
      </c>
      <c r="D605" t="s">
        <v>2370</v>
      </c>
      <c r="E605" t="s">
        <v>2371</v>
      </c>
      <c r="F605" t="s">
        <v>1858</v>
      </c>
      <c r="G605" t="s">
        <v>4827</v>
      </c>
      <c r="H605">
        <v>8035817117</v>
      </c>
      <c r="I605" t="s">
        <v>1859</v>
      </c>
      <c r="J605" t="s">
        <v>2433</v>
      </c>
      <c r="L605" t="s">
        <v>4828</v>
      </c>
      <c r="M605" t="s">
        <v>2444</v>
      </c>
      <c r="N605" t="s">
        <v>4829</v>
      </c>
      <c r="O605" t="s">
        <v>4830</v>
      </c>
      <c r="Q605" t="s">
        <v>2468</v>
      </c>
      <c r="R605" s="30">
        <v>44943</v>
      </c>
      <c r="S605" t="s">
        <v>44</v>
      </c>
      <c r="T605" s="30">
        <v>45828</v>
      </c>
      <c r="U605" s="20">
        <v>114300</v>
      </c>
      <c r="V605" s="31"/>
      <c r="W605" s="31"/>
      <c r="X605" s="31"/>
      <c r="Y605" s="31"/>
      <c r="Z605" s="31">
        <f>+U605</f>
        <v>114300</v>
      </c>
      <c r="AA605" s="31"/>
      <c r="AB605" s="31"/>
      <c r="AC605" s="31"/>
      <c r="AD605" s="31"/>
      <c r="AE605" s="31"/>
      <c r="AF605" s="31"/>
      <c r="AG605" s="31"/>
      <c r="AH605" s="31"/>
      <c r="AI605" s="32"/>
      <c r="AJ605" s="32"/>
      <c r="AK605" s="32"/>
      <c r="AL605" s="32"/>
      <c r="AM605" s="32">
        <v>19050</v>
      </c>
      <c r="AN605" s="32">
        <v>19050</v>
      </c>
      <c r="AO605" s="32">
        <v>19050</v>
      </c>
      <c r="AP605" s="32">
        <v>19050</v>
      </c>
      <c r="AQ605" s="32">
        <v>19050</v>
      </c>
      <c r="AR605" s="32">
        <v>19050</v>
      </c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CR605">
        <v>834800</v>
      </c>
      <c r="CS605">
        <v>6</v>
      </c>
    </row>
    <row r="606" spans="1:97" x14ac:dyDescent="0.4">
      <c r="A606" t="s">
        <v>1860</v>
      </c>
      <c r="D606" t="s">
        <v>2370</v>
      </c>
      <c r="E606" t="s">
        <v>2371</v>
      </c>
      <c r="F606" t="s">
        <v>1861</v>
      </c>
      <c r="G606" t="s">
        <v>4831</v>
      </c>
      <c r="H606">
        <v>8055123330</v>
      </c>
      <c r="I606" t="s">
        <v>1862</v>
      </c>
      <c r="J606" t="s">
        <v>2433</v>
      </c>
      <c r="L606" t="s">
        <v>4832</v>
      </c>
      <c r="M606" t="s">
        <v>2465</v>
      </c>
      <c r="N606" t="s">
        <v>4833</v>
      </c>
      <c r="O606" t="s">
        <v>4834</v>
      </c>
      <c r="Q606" t="s">
        <v>2468</v>
      </c>
      <c r="R606" s="30">
        <v>44939</v>
      </c>
      <c r="S606" t="s">
        <v>44</v>
      </c>
      <c r="T606" s="30">
        <v>45767</v>
      </c>
      <c r="U606" s="20">
        <v>114300</v>
      </c>
      <c r="V606" s="31"/>
      <c r="W606" s="34"/>
      <c r="X606" s="34">
        <f>+U606</f>
        <v>114300</v>
      </c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2"/>
      <c r="AJ606" s="35"/>
      <c r="AK606" s="32">
        <v>19050</v>
      </c>
      <c r="AL606" s="32">
        <v>19050</v>
      </c>
      <c r="AM606" s="32">
        <v>19050</v>
      </c>
      <c r="AN606" s="32">
        <v>19050</v>
      </c>
      <c r="AO606" s="32">
        <v>19050</v>
      </c>
      <c r="AP606" s="32">
        <v>19050</v>
      </c>
      <c r="AQ606" s="32"/>
      <c r="AR606" s="32"/>
      <c r="AS606" s="32"/>
      <c r="AT606" s="32"/>
      <c r="AU606" s="32"/>
      <c r="AV606" s="35"/>
      <c r="AW606" s="35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CR606">
        <v>702370</v>
      </c>
      <c r="CS606">
        <v>4</v>
      </c>
    </row>
    <row r="607" spans="1:97" x14ac:dyDescent="0.4">
      <c r="A607" t="s">
        <v>1863</v>
      </c>
      <c r="D607" t="s">
        <v>2370</v>
      </c>
      <c r="E607" t="s">
        <v>2371</v>
      </c>
      <c r="F607" t="s">
        <v>1864</v>
      </c>
      <c r="G607" t="s">
        <v>4835</v>
      </c>
      <c r="H607">
        <v>9039436073</v>
      </c>
      <c r="I607" t="s">
        <v>1865</v>
      </c>
      <c r="J607" t="s">
        <v>2433</v>
      </c>
      <c r="L607" t="s">
        <v>4836</v>
      </c>
      <c r="M607" t="s">
        <v>3180</v>
      </c>
      <c r="N607" t="s">
        <v>4837</v>
      </c>
      <c r="O607" t="s">
        <v>4838</v>
      </c>
      <c r="Q607" t="s">
        <v>2468</v>
      </c>
      <c r="R607" s="30">
        <v>44939</v>
      </c>
      <c r="S607" t="s">
        <v>44</v>
      </c>
      <c r="T607" s="30">
        <v>45828</v>
      </c>
      <c r="U607" s="20">
        <v>114300</v>
      </c>
      <c r="V607" s="31"/>
      <c r="W607" s="31"/>
      <c r="X607" s="31"/>
      <c r="Y607" s="31"/>
      <c r="Z607" s="31">
        <f t="shared" ref="Z607:Z608" si="106">+U607</f>
        <v>114300</v>
      </c>
      <c r="AA607" s="31"/>
      <c r="AB607" s="31"/>
      <c r="AC607" s="31"/>
      <c r="AD607" s="31"/>
      <c r="AE607" s="31"/>
      <c r="AF607" s="31"/>
      <c r="AG607" s="31"/>
      <c r="AH607" s="31"/>
      <c r="AI607" s="32"/>
      <c r="AJ607" s="32"/>
      <c r="AK607" s="32"/>
      <c r="AL607" s="32"/>
      <c r="AM607" s="32">
        <v>19050</v>
      </c>
      <c r="AN607" s="32">
        <v>19050</v>
      </c>
      <c r="AO607" s="32">
        <v>19050</v>
      </c>
      <c r="AP607" s="32">
        <v>19050</v>
      </c>
      <c r="AQ607" s="32">
        <v>19050</v>
      </c>
      <c r="AR607" s="32">
        <v>19050</v>
      </c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CR607">
        <v>762750</v>
      </c>
      <c r="CS607">
        <v>10</v>
      </c>
    </row>
    <row r="608" spans="1:97" x14ac:dyDescent="0.4">
      <c r="A608" t="s">
        <v>1866</v>
      </c>
      <c r="D608" t="s">
        <v>2370</v>
      </c>
      <c r="E608" t="s">
        <v>2371</v>
      </c>
      <c r="F608" t="s">
        <v>1867</v>
      </c>
      <c r="G608" t="s">
        <v>4839</v>
      </c>
      <c r="H608">
        <v>9038707242</v>
      </c>
      <c r="I608" t="s">
        <v>1868</v>
      </c>
      <c r="J608" t="s">
        <v>2433</v>
      </c>
      <c r="L608" t="s">
        <v>4840</v>
      </c>
      <c r="M608" t="s">
        <v>2435</v>
      </c>
      <c r="N608" t="s">
        <v>4841</v>
      </c>
      <c r="O608" s="41">
        <v>37687</v>
      </c>
      <c r="Q608" t="s">
        <v>2722</v>
      </c>
      <c r="R608" s="30">
        <v>44939</v>
      </c>
      <c r="S608" t="s">
        <v>44</v>
      </c>
      <c r="T608" s="30">
        <v>45828</v>
      </c>
      <c r="U608" s="20">
        <v>114300</v>
      </c>
      <c r="V608" s="31"/>
      <c r="W608" s="31"/>
      <c r="X608" s="31"/>
      <c r="Y608" s="31"/>
      <c r="Z608" s="31">
        <f t="shared" si="106"/>
        <v>114300</v>
      </c>
      <c r="AA608" s="31"/>
      <c r="AB608" s="31"/>
      <c r="AC608" s="31"/>
      <c r="AD608" s="31"/>
      <c r="AE608" s="31"/>
      <c r="AF608" s="31"/>
      <c r="AG608" s="31"/>
      <c r="AH608" s="31"/>
      <c r="AI608" s="32"/>
      <c r="AJ608" s="32"/>
      <c r="AK608" s="32"/>
      <c r="AL608" s="32"/>
      <c r="AM608" s="32">
        <v>19050</v>
      </c>
      <c r="AN608" s="32">
        <v>19050</v>
      </c>
      <c r="AO608" s="32">
        <v>19050</v>
      </c>
      <c r="AP608" s="32">
        <v>19050</v>
      </c>
      <c r="AQ608" s="32">
        <v>19050</v>
      </c>
      <c r="AR608" s="32">
        <v>19050</v>
      </c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CR608">
        <v>995100</v>
      </c>
      <c r="CS608">
        <v>11</v>
      </c>
    </row>
    <row r="609" spans="1:97" x14ac:dyDescent="0.4">
      <c r="A609" t="s">
        <v>1869</v>
      </c>
      <c r="D609" t="s">
        <v>2370</v>
      </c>
      <c r="E609" t="s">
        <v>2371</v>
      </c>
      <c r="F609" t="s">
        <v>1870</v>
      </c>
      <c r="G609" t="s">
        <v>4842</v>
      </c>
      <c r="H609">
        <v>9028693622</v>
      </c>
      <c r="I609" t="s">
        <v>1871</v>
      </c>
      <c r="J609" t="s">
        <v>2433</v>
      </c>
      <c r="L609" t="s">
        <v>4843</v>
      </c>
      <c r="M609" t="s">
        <v>3194</v>
      </c>
      <c r="N609" t="s">
        <v>4844</v>
      </c>
      <c r="O609">
        <v>282</v>
      </c>
      <c r="Q609" t="s">
        <v>4845</v>
      </c>
      <c r="R609" s="30">
        <v>44936</v>
      </c>
      <c r="S609" t="s">
        <v>44</v>
      </c>
      <c r="T609" s="30">
        <v>45797</v>
      </c>
      <c r="U609" s="20">
        <v>114300</v>
      </c>
      <c r="V609" s="31"/>
      <c r="W609" s="31"/>
      <c r="X609" s="31"/>
      <c r="Y609" s="31">
        <f>+U609</f>
        <v>114300</v>
      </c>
      <c r="Z609" s="31"/>
      <c r="AA609" s="31"/>
      <c r="AB609" s="31"/>
      <c r="AC609" s="31"/>
      <c r="AD609" s="31"/>
      <c r="AE609" s="31"/>
      <c r="AF609" s="31"/>
      <c r="AG609" s="31"/>
      <c r="AH609" s="31"/>
      <c r="AI609" s="32"/>
      <c r="AJ609" s="32"/>
      <c r="AK609" s="32"/>
      <c r="AL609" s="32">
        <v>19050</v>
      </c>
      <c r="AM609" s="32">
        <v>19050</v>
      </c>
      <c r="AN609" s="32">
        <v>19050</v>
      </c>
      <c r="AO609" s="32">
        <v>19050</v>
      </c>
      <c r="AP609" s="32">
        <v>19050</v>
      </c>
      <c r="AQ609" s="32">
        <v>19050</v>
      </c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CR609">
        <v>1033500</v>
      </c>
      <c r="CS609">
        <v>7</v>
      </c>
    </row>
    <row r="610" spans="1:97" x14ac:dyDescent="0.4">
      <c r="A610" t="s">
        <v>1873</v>
      </c>
      <c r="D610" t="s">
        <v>2370</v>
      </c>
      <c r="E610" t="s">
        <v>2371</v>
      </c>
      <c r="F610" t="s">
        <v>1874</v>
      </c>
      <c r="G610" t="s">
        <v>4846</v>
      </c>
      <c r="H610">
        <v>9035388954</v>
      </c>
      <c r="I610" t="s">
        <v>1875</v>
      </c>
      <c r="J610" t="s">
        <v>2433</v>
      </c>
      <c r="L610" t="s">
        <v>4847</v>
      </c>
      <c r="M610" t="s">
        <v>2518</v>
      </c>
      <c r="N610" t="s">
        <v>4848</v>
      </c>
      <c r="O610" s="41">
        <v>38293</v>
      </c>
      <c r="Q610" t="s">
        <v>2468</v>
      </c>
      <c r="R610" s="30">
        <v>44936</v>
      </c>
      <c r="S610" t="s">
        <v>44</v>
      </c>
      <c r="T610" s="30">
        <v>45828</v>
      </c>
      <c r="U610" s="20">
        <v>114300</v>
      </c>
      <c r="V610" s="31"/>
      <c r="W610" s="31"/>
      <c r="X610" s="31"/>
      <c r="Y610" s="31"/>
      <c r="Z610" s="31">
        <f t="shared" ref="Z610:Z612" si="107">+U610</f>
        <v>114300</v>
      </c>
      <c r="AA610" s="31"/>
      <c r="AB610" s="31"/>
      <c r="AC610" s="31"/>
      <c r="AD610" s="31"/>
      <c r="AE610" s="31"/>
      <c r="AF610" s="31"/>
      <c r="AG610" s="31"/>
      <c r="AH610" s="31"/>
      <c r="AI610" s="32"/>
      <c r="AJ610" s="32"/>
      <c r="AK610" s="32"/>
      <c r="AL610" s="32"/>
      <c r="AM610" s="32">
        <v>19050</v>
      </c>
      <c r="AN610" s="32">
        <v>19050</v>
      </c>
      <c r="AO610" s="32">
        <v>19050</v>
      </c>
      <c r="AP610" s="32">
        <v>19050</v>
      </c>
      <c r="AQ610" s="32">
        <v>19050</v>
      </c>
      <c r="AR610" s="32">
        <v>19050</v>
      </c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CR610">
        <v>546600</v>
      </c>
      <c r="CS610">
        <v>2</v>
      </c>
    </row>
    <row r="611" spans="1:97" x14ac:dyDescent="0.4">
      <c r="A611" t="s">
        <v>1876</v>
      </c>
      <c r="D611" t="s">
        <v>2370</v>
      </c>
      <c r="E611" t="s">
        <v>2371</v>
      </c>
      <c r="F611" t="s">
        <v>1877</v>
      </c>
      <c r="G611" t="s">
        <v>4849</v>
      </c>
      <c r="H611">
        <v>9050503555</v>
      </c>
      <c r="I611" t="s">
        <v>1878</v>
      </c>
      <c r="J611" t="s">
        <v>2433</v>
      </c>
      <c r="L611" t="s">
        <v>4850</v>
      </c>
      <c r="M611" t="s">
        <v>2435</v>
      </c>
      <c r="N611" t="s">
        <v>4851</v>
      </c>
      <c r="O611" t="s">
        <v>4852</v>
      </c>
      <c r="Q611" t="s">
        <v>2468</v>
      </c>
      <c r="R611" s="30">
        <v>44934</v>
      </c>
      <c r="S611" t="s">
        <v>44</v>
      </c>
      <c r="T611" s="30">
        <v>45828</v>
      </c>
      <c r="U611" s="20">
        <v>114300</v>
      </c>
      <c r="V611" s="31"/>
      <c r="W611" s="31"/>
      <c r="X611" s="31"/>
      <c r="Y611" s="31"/>
      <c r="Z611" s="31">
        <f t="shared" si="107"/>
        <v>114300</v>
      </c>
      <c r="AA611" s="31"/>
      <c r="AB611" s="31"/>
      <c r="AC611" s="31"/>
      <c r="AD611" s="31"/>
      <c r="AE611" s="31"/>
      <c r="AF611" s="31"/>
      <c r="AG611" s="31"/>
      <c r="AH611" s="31"/>
      <c r="AI611" s="32"/>
      <c r="AJ611" s="32"/>
      <c r="AK611" s="32"/>
      <c r="AL611" s="32"/>
      <c r="AM611" s="32">
        <v>19050</v>
      </c>
      <c r="AN611" s="32">
        <v>19050</v>
      </c>
      <c r="AO611" s="32">
        <v>19050</v>
      </c>
      <c r="AP611" s="32">
        <v>19050</v>
      </c>
      <c r="AQ611" s="32">
        <v>19050</v>
      </c>
      <c r="AR611" s="32">
        <v>19050</v>
      </c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CR611">
        <v>804220</v>
      </c>
      <c r="CS611">
        <v>11</v>
      </c>
    </row>
    <row r="612" spans="1:97" x14ac:dyDescent="0.4">
      <c r="A612" t="s">
        <v>1879</v>
      </c>
      <c r="D612" t="s">
        <v>2370</v>
      </c>
      <c r="E612" t="s">
        <v>2371</v>
      </c>
      <c r="F612" t="s">
        <v>1880</v>
      </c>
      <c r="G612" t="s">
        <v>4853</v>
      </c>
      <c r="H612">
        <v>8052800953</v>
      </c>
      <c r="I612" t="s">
        <v>1881</v>
      </c>
      <c r="J612" t="s">
        <v>2433</v>
      </c>
      <c r="L612" t="s">
        <v>4854</v>
      </c>
      <c r="M612" t="s">
        <v>4169</v>
      </c>
      <c r="N612" t="s">
        <v>4855</v>
      </c>
      <c r="O612" t="s">
        <v>4856</v>
      </c>
      <c r="Q612" t="s">
        <v>3561</v>
      </c>
      <c r="R612" s="30">
        <v>44931</v>
      </c>
      <c r="S612" t="s">
        <v>44</v>
      </c>
      <c r="T612" s="30">
        <v>45828</v>
      </c>
      <c r="U612" s="20">
        <v>114300</v>
      </c>
      <c r="V612" s="31"/>
      <c r="W612" s="31"/>
      <c r="X612" s="31"/>
      <c r="Y612" s="31"/>
      <c r="Z612" s="31">
        <f t="shared" si="107"/>
        <v>114300</v>
      </c>
      <c r="AA612" s="31"/>
      <c r="AB612" s="31"/>
      <c r="AC612" s="31"/>
      <c r="AD612" s="31"/>
      <c r="AE612" s="31"/>
      <c r="AF612" s="31"/>
      <c r="AG612" s="31"/>
      <c r="AH612" s="31"/>
      <c r="AI612" s="32"/>
      <c r="AJ612" s="32"/>
      <c r="AK612" s="32"/>
      <c r="AL612" s="32"/>
      <c r="AM612" s="32">
        <v>19050</v>
      </c>
      <c r="AN612" s="32">
        <v>19050</v>
      </c>
      <c r="AO612" s="32">
        <v>19050</v>
      </c>
      <c r="AP612" s="32">
        <v>19050</v>
      </c>
      <c r="AQ612" s="32">
        <v>19050</v>
      </c>
      <c r="AR612" s="32">
        <v>19050</v>
      </c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P612" t="s">
        <v>3335</v>
      </c>
      <c r="BQ612" s="41">
        <v>45072</v>
      </c>
      <c r="CR612">
        <v>806250</v>
      </c>
      <c r="CS612">
        <v>7</v>
      </c>
    </row>
    <row r="613" spans="1:97" x14ac:dyDescent="0.4">
      <c r="A613" t="s">
        <v>1882</v>
      </c>
      <c r="D613" t="s">
        <v>2370</v>
      </c>
      <c r="E613" t="s">
        <v>2371</v>
      </c>
      <c r="F613" t="s">
        <v>1883</v>
      </c>
      <c r="G613" t="s">
        <v>4857</v>
      </c>
      <c r="H613">
        <v>880311733</v>
      </c>
      <c r="I613" t="s">
        <v>1884</v>
      </c>
      <c r="J613" t="s">
        <v>2433</v>
      </c>
      <c r="L613" t="s">
        <v>4858</v>
      </c>
      <c r="M613" t="s">
        <v>3422</v>
      </c>
      <c r="N613" t="s">
        <v>4859</v>
      </c>
      <c r="O613" t="s">
        <v>4860</v>
      </c>
      <c r="Q613" t="s">
        <v>3561</v>
      </c>
      <c r="R613" s="30">
        <v>44928</v>
      </c>
      <c r="S613" t="s">
        <v>44</v>
      </c>
      <c r="T613" s="30">
        <v>45736</v>
      </c>
      <c r="U613" s="20">
        <v>114300</v>
      </c>
      <c r="V613" s="31"/>
      <c r="W613" s="34">
        <f t="shared" ref="W613:W614" si="108">+U613</f>
        <v>114300</v>
      </c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2"/>
      <c r="AJ613" s="32">
        <v>19050</v>
      </c>
      <c r="AK613" s="32">
        <v>19050</v>
      </c>
      <c r="AL613" s="32">
        <v>19050</v>
      </c>
      <c r="AM613" s="32">
        <v>19050</v>
      </c>
      <c r="AN613" s="32">
        <v>19050</v>
      </c>
      <c r="AO613" s="32">
        <v>19050</v>
      </c>
      <c r="AP613" s="32"/>
      <c r="AQ613" s="32"/>
      <c r="AR613" s="32"/>
      <c r="AS613" s="32"/>
      <c r="AT613" s="32"/>
      <c r="AU613" s="32"/>
      <c r="AV613" s="35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CR613">
        <v>775200</v>
      </c>
      <c r="CS613">
        <v>6</v>
      </c>
    </row>
    <row r="614" spans="1:97" x14ac:dyDescent="0.4">
      <c r="A614" t="s">
        <v>1886</v>
      </c>
      <c r="D614" t="s">
        <v>2370</v>
      </c>
      <c r="E614" t="s">
        <v>2371</v>
      </c>
      <c r="F614" t="s">
        <v>1887</v>
      </c>
      <c r="G614" t="s">
        <v>4861</v>
      </c>
      <c r="H614">
        <v>8053598873</v>
      </c>
      <c r="I614" t="s">
        <v>1888</v>
      </c>
      <c r="J614" t="s">
        <v>2433</v>
      </c>
      <c r="L614" t="s">
        <v>4862</v>
      </c>
      <c r="M614" t="s">
        <v>2435</v>
      </c>
      <c r="N614" t="s">
        <v>4863</v>
      </c>
      <c r="O614" t="s">
        <v>4864</v>
      </c>
      <c r="Q614" t="s">
        <v>3561</v>
      </c>
      <c r="R614" s="30">
        <v>44928</v>
      </c>
      <c r="S614" t="s">
        <v>44</v>
      </c>
      <c r="T614" s="30">
        <v>45736</v>
      </c>
      <c r="U614" s="20">
        <v>114300</v>
      </c>
      <c r="V614" s="31"/>
      <c r="W614" s="34">
        <f t="shared" si="108"/>
        <v>114300</v>
      </c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2"/>
      <c r="AJ614" s="32">
        <v>19050</v>
      </c>
      <c r="AK614" s="32">
        <v>19050</v>
      </c>
      <c r="AL614" s="32">
        <v>19050</v>
      </c>
      <c r="AM614" s="32">
        <v>19050</v>
      </c>
      <c r="AN614" s="32">
        <v>19050</v>
      </c>
      <c r="AO614" s="32">
        <v>19050</v>
      </c>
      <c r="AP614" s="32"/>
      <c r="AQ614" s="32"/>
      <c r="AR614" s="32"/>
      <c r="AS614" s="32"/>
      <c r="AT614" s="32"/>
      <c r="AU614" s="32"/>
      <c r="AV614" s="35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CR614">
        <v>890500</v>
      </c>
      <c r="CS614">
        <v>6</v>
      </c>
    </row>
    <row r="615" spans="1:97" x14ac:dyDescent="0.4">
      <c r="A615" t="s">
        <v>1889</v>
      </c>
      <c r="D615" t="s">
        <v>2370</v>
      </c>
      <c r="E615" t="s">
        <v>2371</v>
      </c>
      <c r="F615" t="s">
        <v>1890</v>
      </c>
      <c r="G615" t="s">
        <v>4865</v>
      </c>
      <c r="H615">
        <v>7035370925</v>
      </c>
      <c r="I615" t="s">
        <v>1891</v>
      </c>
      <c r="J615" t="s">
        <v>2433</v>
      </c>
      <c r="L615" t="s">
        <v>4866</v>
      </c>
      <c r="M615" t="s">
        <v>2465</v>
      </c>
      <c r="N615" t="s">
        <v>4867</v>
      </c>
      <c r="O615" t="s">
        <v>4868</v>
      </c>
      <c r="Q615" t="s">
        <v>2468</v>
      </c>
      <c r="R615" s="30">
        <v>44928</v>
      </c>
      <c r="S615" t="s">
        <v>44</v>
      </c>
      <c r="T615" s="30">
        <v>45797</v>
      </c>
      <c r="U615" s="20">
        <v>114300</v>
      </c>
      <c r="V615" s="31"/>
      <c r="W615" s="31"/>
      <c r="X615" s="31"/>
      <c r="Y615" s="31">
        <f>+U615</f>
        <v>114300</v>
      </c>
      <c r="Z615" s="31"/>
      <c r="AA615" s="31"/>
      <c r="AB615" s="31"/>
      <c r="AC615" s="31"/>
      <c r="AD615" s="31"/>
      <c r="AE615" s="31"/>
      <c r="AF615" s="31"/>
      <c r="AG615" s="31"/>
      <c r="AH615" s="31"/>
      <c r="AI615" s="32"/>
      <c r="AJ615" s="32"/>
      <c r="AK615" s="32"/>
      <c r="AL615" s="32">
        <v>19050</v>
      </c>
      <c r="AM615" s="32">
        <v>19050</v>
      </c>
      <c r="AN615" s="32">
        <v>19050</v>
      </c>
      <c r="AO615" s="32">
        <v>19050</v>
      </c>
      <c r="AP615" s="32">
        <v>19050</v>
      </c>
      <c r="AQ615" s="32">
        <v>19050</v>
      </c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CR615">
        <v>1006800</v>
      </c>
      <c r="CS615">
        <v>11</v>
      </c>
    </row>
    <row r="616" spans="1:97" x14ac:dyDescent="0.4">
      <c r="A616" t="s">
        <v>1893</v>
      </c>
      <c r="D616" t="s">
        <v>2370</v>
      </c>
      <c r="E616" t="s">
        <v>2371</v>
      </c>
      <c r="F616" t="s">
        <v>1894</v>
      </c>
      <c r="G616" t="s">
        <v>4869</v>
      </c>
      <c r="H616">
        <v>9099413552</v>
      </c>
      <c r="I616" t="s">
        <v>1895</v>
      </c>
      <c r="J616" t="s">
        <v>2433</v>
      </c>
      <c r="L616" t="s">
        <v>4870</v>
      </c>
      <c r="M616" t="s">
        <v>2500</v>
      </c>
      <c r="N616" t="s">
        <v>4871</v>
      </c>
      <c r="O616" t="s">
        <v>4872</v>
      </c>
      <c r="Q616" t="s">
        <v>2468</v>
      </c>
      <c r="R616" s="30">
        <v>44919</v>
      </c>
      <c r="S616" t="s">
        <v>44</v>
      </c>
      <c r="T616" s="30">
        <v>45736</v>
      </c>
      <c r="U616" s="20">
        <v>114300</v>
      </c>
      <c r="V616" s="31"/>
      <c r="W616" s="34">
        <f t="shared" ref="W616:W617" si="109">+U616</f>
        <v>114300</v>
      </c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2"/>
      <c r="AJ616" s="32">
        <v>19050</v>
      </c>
      <c r="AK616" s="32">
        <v>19050</v>
      </c>
      <c r="AL616" s="32">
        <v>19050</v>
      </c>
      <c r="AM616" s="32">
        <v>19050</v>
      </c>
      <c r="AN616" s="32">
        <v>19050</v>
      </c>
      <c r="AO616" s="32">
        <v>19050</v>
      </c>
      <c r="AP616" s="32"/>
      <c r="AQ616" s="32"/>
      <c r="AR616" s="32"/>
      <c r="AS616" s="32"/>
      <c r="AT616" s="32"/>
      <c r="AU616" s="32"/>
      <c r="AV616" s="35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CR616">
        <v>891500</v>
      </c>
      <c r="CS616">
        <v>7</v>
      </c>
    </row>
    <row r="617" spans="1:97" x14ac:dyDescent="0.4">
      <c r="A617" t="s">
        <v>1897</v>
      </c>
      <c r="D617" t="s">
        <v>2370</v>
      </c>
      <c r="E617" t="s">
        <v>2371</v>
      </c>
      <c r="F617" t="s">
        <v>1898</v>
      </c>
      <c r="G617" t="s">
        <v>4873</v>
      </c>
      <c r="H617">
        <v>9041970334</v>
      </c>
      <c r="I617" t="s">
        <v>1899</v>
      </c>
      <c r="J617" t="s">
        <v>2433</v>
      </c>
      <c r="L617" t="s">
        <v>4874</v>
      </c>
      <c r="M617" t="s">
        <v>3488</v>
      </c>
      <c r="N617" t="s">
        <v>4875</v>
      </c>
      <c r="O617" s="33">
        <v>45702</v>
      </c>
      <c r="Q617" t="s">
        <v>2468</v>
      </c>
      <c r="R617" s="30">
        <v>44919</v>
      </c>
      <c r="S617" t="s">
        <v>44</v>
      </c>
      <c r="T617" s="30">
        <v>45736</v>
      </c>
      <c r="U617" s="20">
        <v>114300</v>
      </c>
      <c r="V617" s="31"/>
      <c r="W617" s="34">
        <f t="shared" si="109"/>
        <v>114300</v>
      </c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2"/>
      <c r="AJ617" s="32">
        <v>19050</v>
      </c>
      <c r="AK617" s="32">
        <v>19050</v>
      </c>
      <c r="AL617" s="32">
        <v>19050</v>
      </c>
      <c r="AM617" s="32">
        <v>19050</v>
      </c>
      <c r="AN617" s="32">
        <v>19050</v>
      </c>
      <c r="AO617" s="32">
        <v>19050</v>
      </c>
      <c r="AP617" s="32"/>
      <c r="AQ617" s="32"/>
      <c r="AR617" s="32"/>
      <c r="AS617" s="32"/>
      <c r="AT617" s="32"/>
      <c r="AU617" s="32"/>
      <c r="AV617" s="35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CR617">
        <v>890500</v>
      </c>
      <c r="CS617">
        <v>6</v>
      </c>
    </row>
    <row r="618" spans="1:97" x14ac:dyDescent="0.4">
      <c r="A618" t="s">
        <v>1900</v>
      </c>
      <c r="D618" t="s">
        <v>2370</v>
      </c>
      <c r="E618" t="s">
        <v>2371</v>
      </c>
      <c r="F618" t="s">
        <v>1901</v>
      </c>
      <c r="G618" t="s">
        <v>4876</v>
      </c>
      <c r="H618">
        <v>9021773807</v>
      </c>
      <c r="I618" t="s">
        <v>1902</v>
      </c>
      <c r="J618" t="s">
        <v>2433</v>
      </c>
      <c r="L618" t="s">
        <v>4877</v>
      </c>
      <c r="M618" t="s">
        <v>2630</v>
      </c>
      <c r="N618" t="s">
        <v>4878</v>
      </c>
      <c r="O618">
        <v>605</v>
      </c>
      <c r="Q618" t="s">
        <v>2468</v>
      </c>
      <c r="R618" s="30">
        <v>44919</v>
      </c>
      <c r="S618" t="s">
        <v>44</v>
      </c>
      <c r="T618" s="30">
        <v>45828</v>
      </c>
      <c r="U618" s="20">
        <v>114300</v>
      </c>
      <c r="V618" s="31"/>
      <c r="W618" s="31"/>
      <c r="X618" s="31"/>
      <c r="Y618" s="31"/>
      <c r="Z618" s="31">
        <f>+U618</f>
        <v>114300</v>
      </c>
      <c r="AA618" s="31"/>
      <c r="AB618" s="31"/>
      <c r="AC618" s="31"/>
      <c r="AD618" s="31"/>
      <c r="AE618" s="31"/>
      <c r="AF618" s="31"/>
      <c r="AG618" s="31"/>
      <c r="AH618" s="31"/>
      <c r="AI618" s="32"/>
      <c r="AJ618" s="32"/>
      <c r="AK618" s="32"/>
      <c r="AL618" s="32"/>
      <c r="AM618" s="32">
        <v>19050</v>
      </c>
      <c r="AN618" s="32">
        <v>19050</v>
      </c>
      <c r="AO618" s="32">
        <v>19050</v>
      </c>
      <c r="AP618" s="32">
        <v>19050</v>
      </c>
      <c r="AQ618" s="32">
        <v>19050</v>
      </c>
      <c r="AR618" s="32">
        <v>19050</v>
      </c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CR618">
        <v>762750</v>
      </c>
      <c r="CS618">
        <v>10</v>
      </c>
    </row>
    <row r="619" spans="1:97" s="36" customFormat="1" x14ac:dyDescent="0.4">
      <c r="A619" s="36" t="s">
        <v>4879</v>
      </c>
      <c r="D619" s="36" t="s">
        <v>2370</v>
      </c>
      <c r="E619" s="36" t="s">
        <v>2371</v>
      </c>
      <c r="F619" s="36" t="s">
        <v>4880</v>
      </c>
      <c r="G619" s="36" t="s">
        <v>4881</v>
      </c>
      <c r="H619" s="36">
        <v>8090347773</v>
      </c>
      <c r="I619" s="36" t="s">
        <v>4882</v>
      </c>
      <c r="J619" s="36" t="s">
        <v>2433</v>
      </c>
      <c r="L619" s="36" t="s">
        <v>4883</v>
      </c>
      <c r="M619" s="36" t="s">
        <v>2444</v>
      </c>
      <c r="N619" s="36" t="s">
        <v>4884</v>
      </c>
      <c r="O619" s="36" t="s">
        <v>4885</v>
      </c>
      <c r="Q619" s="36" t="s">
        <v>2468</v>
      </c>
      <c r="R619" s="37">
        <v>44919</v>
      </c>
      <c r="S619" s="36" t="s">
        <v>2503</v>
      </c>
      <c r="T619" s="37">
        <v>45702</v>
      </c>
      <c r="U619" s="37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CR619" s="36">
        <v>648450</v>
      </c>
      <c r="CS619" s="36">
        <v>9</v>
      </c>
    </row>
    <row r="620" spans="1:97" x14ac:dyDescent="0.4">
      <c r="A620" t="s">
        <v>1903</v>
      </c>
      <c r="D620" t="s">
        <v>2370</v>
      </c>
      <c r="E620" t="s">
        <v>2371</v>
      </c>
      <c r="F620" t="s">
        <v>1904</v>
      </c>
      <c r="G620" t="s">
        <v>4886</v>
      </c>
      <c r="H620">
        <v>9070277629</v>
      </c>
      <c r="I620" t="s">
        <v>1905</v>
      </c>
      <c r="J620" t="s">
        <v>2433</v>
      </c>
      <c r="L620" t="s">
        <v>4887</v>
      </c>
      <c r="M620" t="s">
        <v>2500</v>
      </c>
      <c r="N620" t="s">
        <v>4888</v>
      </c>
      <c r="O620" t="s">
        <v>4889</v>
      </c>
      <c r="Q620" t="s">
        <v>2468</v>
      </c>
      <c r="R620" s="30">
        <v>44916</v>
      </c>
      <c r="S620" t="s">
        <v>44</v>
      </c>
      <c r="T620" s="30">
        <v>45767</v>
      </c>
      <c r="U620" s="20">
        <v>114300</v>
      </c>
      <c r="V620" s="31"/>
      <c r="W620" s="34"/>
      <c r="X620" s="34">
        <f t="shared" ref="X620:X621" si="110">+U620</f>
        <v>114300</v>
      </c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2"/>
      <c r="AJ620" s="35"/>
      <c r="AK620" s="32">
        <v>19050</v>
      </c>
      <c r="AL620" s="32">
        <v>19050</v>
      </c>
      <c r="AM620" s="32">
        <v>19050</v>
      </c>
      <c r="AN620" s="32">
        <v>19050</v>
      </c>
      <c r="AO620" s="32">
        <v>19050</v>
      </c>
      <c r="AP620" s="32">
        <v>19050</v>
      </c>
      <c r="AQ620" s="32"/>
      <c r="AR620" s="32"/>
      <c r="AS620" s="32"/>
      <c r="AT620" s="32"/>
      <c r="AU620" s="32"/>
      <c r="AV620" s="35"/>
      <c r="AW620" s="35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CR620">
        <v>806000</v>
      </c>
      <c r="CS620">
        <v>19</v>
      </c>
    </row>
    <row r="621" spans="1:97" x14ac:dyDescent="0.4">
      <c r="A621" t="s">
        <v>1906</v>
      </c>
      <c r="D621" t="s">
        <v>2370</v>
      </c>
      <c r="E621" t="s">
        <v>2371</v>
      </c>
      <c r="F621" t="s">
        <v>1907</v>
      </c>
      <c r="G621" t="s">
        <v>4890</v>
      </c>
      <c r="H621">
        <v>9036273774</v>
      </c>
      <c r="I621" t="s">
        <v>1908</v>
      </c>
      <c r="J621" t="s">
        <v>2433</v>
      </c>
      <c r="L621" t="s">
        <v>4891</v>
      </c>
      <c r="M621" t="s">
        <v>2460</v>
      </c>
      <c r="N621" t="s">
        <v>4892</v>
      </c>
      <c r="O621" t="s">
        <v>4893</v>
      </c>
      <c r="Q621" t="s">
        <v>2468</v>
      </c>
      <c r="R621" s="30">
        <v>44909</v>
      </c>
      <c r="S621" t="s">
        <v>44</v>
      </c>
      <c r="T621" s="30">
        <v>45767</v>
      </c>
      <c r="U621" s="20">
        <v>114300</v>
      </c>
      <c r="V621" s="31"/>
      <c r="W621" s="34"/>
      <c r="X621" s="34">
        <f t="shared" si="110"/>
        <v>114300</v>
      </c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2"/>
      <c r="AJ621" s="35"/>
      <c r="AK621" s="32">
        <v>19050</v>
      </c>
      <c r="AL621" s="32">
        <v>19050</v>
      </c>
      <c r="AM621" s="32">
        <v>19050</v>
      </c>
      <c r="AN621" s="32">
        <v>19050</v>
      </c>
      <c r="AO621" s="32">
        <v>19050</v>
      </c>
      <c r="AP621" s="32">
        <v>19050</v>
      </c>
      <c r="AQ621" s="32"/>
      <c r="AR621" s="32"/>
      <c r="AS621" s="32"/>
      <c r="AT621" s="32"/>
      <c r="AU621" s="32"/>
      <c r="AV621" s="35"/>
      <c r="AW621" s="35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CR621">
        <v>1358370</v>
      </c>
      <c r="CS621">
        <v>24</v>
      </c>
    </row>
    <row r="622" spans="1:97" x14ac:dyDescent="0.4">
      <c r="A622" t="s">
        <v>1909</v>
      </c>
      <c r="D622" t="s">
        <v>2370</v>
      </c>
      <c r="E622" t="s">
        <v>2371</v>
      </c>
      <c r="F622" t="s">
        <v>1910</v>
      </c>
      <c r="G622" t="s">
        <v>4894</v>
      </c>
      <c r="H622">
        <v>8010546149</v>
      </c>
      <c r="I622" t="s">
        <v>1911</v>
      </c>
      <c r="J622" t="s">
        <v>2433</v>
      </c>
      <c r="L622" t="s">
        <v>4895</v>
      </c>
      <c r="M622" t="s">
        <v>2444</v>
      </c>
      <c r="N622" t="s">
        <v>4014</v>
      </c>
      <c r="O622" t="s">
        <v>4896</v>
      </c>
      <c r="Q622" t="s">
        <v>2468</v>
      </c>
      <c r="R622" s="30">
        <v>44903</v>
      </c>
      <c r="S622" t="s">
        <v>44</v>
      </c>
      <c r="T622" s="30">
        <v>45828</v>
      </c>
      <c r="U622" s="20">
        <v>114300</v>
      </c>
      <c r="V622" s="31"/>
      <c r="W622" s="31"/>
      <c r="X622" s="31"/>
      <c r="Y622" s="31"/>
      <c r="Z622" s="31">
        <f t="shared" ref="Z622:Z623" si="111">+U622</f>
        <v>114300</v>
      </c>
      <c r="AA622" s="31"/>
      <c r="AB622" s="31"/>
      <c r="AC622" s="31"/>
      <c r="AD622" s="31"/>
      <c r="AE622" s="31"/>
      <c r="AF622" s="31"/>
      <c r="AG622" s="31"/>
      <c r="AH622" s="31"/>
      <c r="AI622" s="32"/>
      <c r="AJ622" s="32"/>
      <c r="AK622" s="32"/>
      <c r="AL622" s="32"/>
      <c r="AM622" s="32">
        <v>19050</v>
      </c>
      <c r="AN622" s="32">
        <v>19050</v>
      </c>
      <c r="AO622" s="32">
        <v>19050</v>
      </c>
      <c r="AP622" s="32">
        <v>19050</v>
      </c>
      <c r="AQ622" s="32">
        <v>19050</v>
      </c>
      <c r="AR622" s="32">
        <v>19050</v>
      </c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CR622">
        <v>546600</v>
      </c>
      <c r="CS622">
        <v>2</v>
      </c>
    </row>
    <row r="623" spans="1:97" x14ac:dyDescent="0.4">
      <c r="A623" t="s">
        <v>1912</v>
      </c>
      <c r="D623" t="s">
        <v>2370</v>
      </c>
      <c r="E623" t="s">
        <v>2371</v>
      </c>
      <c r="F623" t="s">
        <v>1913</v>
      </c>
      <c r="G623" t="s">
        <v>4897</v>
      </c>
      <c r="H623">
        <v>9025913760</v>
      </c>
      <c r="I623" t="s">
        <v>1914</v>
      </c>
      <c r="J623" t="s">
        <v>2433</v>
      </c>
      <c r="L623" t="s">
        <v>4898</v>
      </c>
      <c r="M623" t="s">
        <v>2444</v>
      </c>
      <c r="N623" t="s">
        <v>4899</v>
      </c>
      <c r="O623" t="s">
        <v>4900</v>
      </c>
      <c r="Q623" t="s">
        <v>2468</v>
      </c>
      <c r="R623" s="30">
        <v>44899</v>
      </c>
      <c r="S623" t="s">
        <v>44</v>
      </c>
      <c r="T623" s="30">
        <v>45828</v>
      </c>
      <c r="U623" s="20">
        <v>114300</v>
      </c>
      <c r="V623" s="31"/>
      <c r="W623" s="31"/>
      <c r="X623" s="31"/>
      <c r="Y623" s="31"/>
      <c r="Z623" s="31">
        <f t="shared" si="111"/>
        <v>114300</v>
      </c>
      <c r="AA623" s="31"/>
      <c r="AB623" s="31"/>
      <c r="AC623" s="31"/>
      <c r="AD623" s="31"/>
      <c r="AE623" s="31"/>
      <c r="AF623" s="31"/>
      <c r="AG623" s="31"/>
      <c r="AH623" s="31"/>
      <c r="AI623" s="32"/>
      <c r="AJ623" s="32"/>
      <c r="AK623" s="32"/>
      <c r="AL623" s="32"/>
      <c r="AM623" s="32">
        <v>19050</v>
      </c>
      <c r="AN623" s="32">
        <v>19050</v>
      </c>
      <c r="AO623" s="32">
        <v>19050</v>
      </c>
      <c r="AP623" s="32">
        <v>19050</v>
      </c>
      <c r="AQ623" s="32">
        <v>19050</v>
      </c>
      <c r="AR623" s="32">
        <v>19050</v>
      </c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CR623">
        <v>546600</v>
      </c>
      <c r="CS623">
        <v>2</v>
      </c>
    </row>
    <row r="624" spans="1:97" x14ac:dyDescent="0.4">
      <c r="A624" t="s">
        <v>1915</v>
      </c>
      <c r="D624" t="s">
        <v>2370</v>
      </c>
      <c r="E624" t="s">
        <v>2371</v>
      </c>
      <c r="F624" t="s">
        <v>1916</v>
      </c>
      <c r="G624" t="s">
        <v>4901</v>
      </c>
      <c r="H624">
        <v>9070471203</v>
      </c>
      <c r="I624" t="s">
        <v>1917</v>
      </c>
      <c r="J624" t="s">
        <v>2433</v>
      </c>
      <c r="L624" t="s">
        <v>4902</v>
      </c>
      <c r="M624" t="s">
        <v>2451</v>
      </c>
      <c r="N624" t="s">
        <v>4903</v>
      </c>
      <c r="O624" t="s">
        <v>4904</v>
      </c>
      <c r="Q624" t="s">
        <v>2468</v>
      </c>
      <c r="R624" s="30">
        <v>44899</v>
      </c>
      <c r="S624" t="s">
        <v>44</v>
      </c>
      <c r="T624" s="30">
        <v>45767</v>
      </c>
      <c r="U624" s="20">
        <v>114300</v>
      </c>
      <c r="V624" s="31"/>
      <c r="W624" s="34"/>
      <c r="X624" s="34">
        <f>+U624</f>
        <v>114300</v>
      </c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2"/>
      <c r="AJ624" s="35"/>
      <c r="AK624" s="32">
        <v>19050</v>
      </c>
      <c r="AL624" s="32">
        <v>19050</v>
      </c>
      <c r="AM624" s="32">
        <v>19050</v>
      </c>
      <c r="AN624" s="32">
        <v>19050</v>
      </c>
      <c r="AO624" s="32">
        <v>19050</v>
      </c>
      <c r="AP624" s="32">
        <v>19050</v>
      </c>
      <c r="AQ624" s="32"/>
      <c r="AR624" s="32"/>
      <c r="AS624" s="32"/>
      <c r="AT624" s="32"/>
      <c r="AU624" s="32"/>
      <c r="AV624" s="35"/>
      <c r="AW624" s="35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CR624">
        <v>1201300</v>
      </c>
      <c r="CS624">
        <v>15</v>
      </c>
    </row>
    <row r="625" spans="1:97" x14ac:dyDescent="0.4">
      <c r="A625" t="s">
        <v>1919</v>
      </c>
      <c r="D625" t="s">
        <v>2370</v>
      </c>
      <c r="E625" t="s">
        <v>2371</v>
      </c>
      <c r="F625" t="s">
        <v>1920</v>
      </c>
      <c r="G625" t="s">
        <v>4905</v>
      </c>
      <c r="H625">
        <v>9050589960</v>
      </c>
      <c r="I625" t="s">
        <v>1921</v>
      </c>
      <c r="J625" t="s">
        <v>2433</v>
      </c>
      <c r="L625" t="s">
        <v>4906</v>
      </c>
      <c r="M625" t="s">
        <v>2435</v>
      </c>
      <c r="N625" t="s">
        <v>4907</v>
      </c>
      <c r="O625" t="s">
        <v>3119</v>
      </c>
      <c r="Q625" t="s">
        <v>2468</v>
      </c>
      <c r="R625" s="30">
        <v>44889</v>
      </c>
      <c r="S625" t="s">
        <v>25</v>
      </c>
      <c r="T625" s="30">
        <v>45736</v>
      </c>
      <c r="U625">
        <v>59400</v>
      </c>
      <c r="V625" s="34"/>
      <c r="W625" s="34">
        <f>+U625</f>
        <v>59400</v>
      </c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5"/>
      <c r="AJ625" s="32">
        <v>19800</v>
      </c>
      <c r="AK625" s="32">
        <v>19800</v>
      </c>
      <c r="AL625" s="32">
        <v>19800</v>
      </c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CR625">
        <v>774202</v>
      </c>
      <c r="CS625">
        <v>18</v>
      </c>
    </row>
    <row r="626" spans="1:97" x14ac:dyDescent="0.4">
      <c r="A626" t="s">
        <v>1922</v>
      </c>
      <c r="D626" t="s">
        <v>2370</v>
      </c>
      <c r="E626" t="s">
        <v>2371</v>
      </c>
      <c r="F626" t="s">
        <v>1923</v>
      </c>
      <c r="G626" t="s">
        <v>4908</v>
      </c>
      <c r="H626">
        <v>8020381070</v>
      </c>
      <c r="I626" t="s">
        <v>1924</v>
      </c>
      <c r="J626" t="s">
        <v>2433</v>
      </c>
      <c r="L626" t="s">
        <v>4909</v>
      </c>
      <c r="M626" t="s">
        <v>2444</v>
      </c>
      <c r="N626" t="s">
        <v>3146</v>
      </c>
      <c r="O626" t="s">
        <v>4910</v>
      </c>
      <c r="Q626" t="s">
        <v>2468</v>
      </c>
      <c r="R626" s="30">
        <v>44886</v>
      </c>
      <c r="S626" t="s">
        <v>44</v>
      </c>
      <c r="T626" s="30">
        <v>45767</v>
      </c>
      <c r="U626" s="20">
        <v>114300</v>
      </c>
      <c r="V626" s="31"/>
      <c r="W626" s="34"/>
      <c r="X626" s="34">
        <f>+U626</f>
        <v>114300</v>
      </c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2"/>
      <c r="AJ626" s="35"/>
      <c r="AK626" s="32">
        <v>19050</v>
      </c>
      <c r="AL626" s="32">
        <v>19050</v>
      </c>
      <c r="AM626" s="32">
        <v>19050</v>
      </c>
      <c r="AN626" s="32">
        <v>19050</v>
      </c>
      <c r="AO626" s="32">
        <v>19050</v>
      </c>
      <c r="AP626" s="32">
        <v>19050</v>
      </c>
      <c r="AQ626" s="32"/>
      <c r="AR626" s="32"/>
      <c r="AS626" s="32"/>
      <c r="AT626" s="32"/>
      <c r="AU626" s="32"/>
      <c r="AV626" s="35"/>
      <c r="AW626" s="35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CR626">
        <v>703370</v>
      </c>
      <c r="CS626">
        <v>5</v>
      </c>
    </row>
    <row r="627" spans="1:97" x14ac:dyDescent="0.4">
      <c r="A627" t="s">
        <v>1925</v>
      </c>
      <c r="D627" t="s">
        <v>2370</v>
      </c>
      <c r="E627" t="s">
        <v>2371</v>
      </c>
      <c r="F627" t="s">
        <v>1926</v>
      </c>
      <c r="G627" t="s">
        <v>4911</v>
      </c>
      <c r="H627">
        <v>453213699</v>
      </c>
      <c r="I627" t="s">
        <v>1927</v>
      </c>
      <c r="J627" t="s">
        <v>2433</v>
      </c>
      <c r="L627" t="s">
        <v>4912</v>
      </c>
      <c r="M627" t="s">
        <v>2518</v>
      </c>
      <c r="N627" t="s">
        <v>4913</v>
      </c>
      <c r="O627" t="s">
        <v>4914</v>
      </c>
      <c r="R627" s="30">
        <v>44883</v>
      </c>
      <c r="S627" t="s">
        <v>44</v>
      </c>
      <c r="T627" s="30">
        <v>45889</v>
      </c>
      <c r="U627" s="20">
        <v>114300</v>
      </c>
      <c r="V627" s="31"/>
      <c r="W627" s="31"/>
      <c r="X627" s="31"/>
      <c r="Y627" s="31"/>
      <c r="Z627" s="31"/>
      <c r="AA627" s="31"/>
      <c r="AB627" s="31">
        <f>+U627</f>
        <v>114300</v>
      </c>
      <c r="AC627" s="31"/>
      <c r="AD627" s="31"/>
      <c r="AE627" s="31"/>
      <c r="AF627" s="31"/>
      <c r="AG627" s="31"/>
      <c r="AH627" s="31"/>
      <c r="AI627" s="32"/>
      <c r="AJ627" s="32"/>
      <c r="AK627" s="32"/>
      <c r="AL627" s="32"/>
      <c r="AM627" s="32"/>
      <c r="AN627" s="32"/>
      <c r="AO627" s="32">
        <v>19050</v>
      </c>
      <c r="AP627" s="32">
        <v>19050</v>
      </c>
      <c r="AQ627" s="32">
        <v>19050</v>
      </c>
      <c r="AR627" s="32">
        <v>19050</v>
      </c>
      <c r="AS627" s="32">
        <v>19050</v>
      </c>
      <c r="AT627" s="32">
        <v>19050</v>
      </c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CR627">
        <v>520110</v>
      </c>
      <c r="CS627">
        <v>6</v>
      </c>
    </row>
    <row r="628" spans="1:97" x14ac:dyDescent="0.4">
      <c r="A628" t="s">
        <v>1931</v>
      </c>
      <c r="D628" t="s">
        <v>2370</v>
      </c>
      <c r="E628" t="s">
        <v>2371</v>
      </c>
      <c r="F628" t="s">
        <v>1932</v>
      </c>
      <c r="G628" t="s">
        <v>4915</v>
      </c>
      <c r="H628">
        <v>9093167460</v>
      </c>
      <c r="I628" t="s">
        <v>1933</v>
      </c>
      <c r="J628" t="s">
        <v>2433</v>
      </c>
      <c r="L628" t="s">
        <v>4916</v>
      </c>
      <c r="M628" t="s">
        <v>2518</v>
      </c>
      <c r="N628" t="s">
        <v>4917</v>
      </c>
      <c r="O628" t="s">
        <v>4918</v>
      </c>
      <c r="Q628" t="s">
        <v>2637</v>
      </c>
      <c r="R628" s="30">
        <v>44873</v>
      </c>
      <c r="S628" t="s">
        <v>44</v>
      </c>
      <c r="T628" s="30">
        <v>45736</v>
      </c>
      <c r="U628" s="20">
        <v>114300</v>
      </c>
      <c r="V628" s="31"/>
      <c r="W628" s="34">
        <f>+U628</f>
        <v>114300</v>
      </c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2"/>
      <c r="AJ628" s="32">
        <v>19050</v>
      </c>
      <c r="AK628" s="32">
        <v>19050</v>
      </c>
      <c r="AL628" s="32">
        <v>19050</v>
      </c>
      <c r="AM628" s="32">
        <v>19050</v>
      </c>
      <c r="AN628" s="32">
        <v>19050</v>
      </c>
      <c r="AO628" s="32">
        <v>19050</v>
      </c>
      <c r="AP628" s="32"/>
      <c r="AQ628" s="32"/>
      <c r="AR628" s="32"/>
      <c r="AS628" s="32"/>
      <c r="AT628" s="32"/>
      <c r="AU628" s="32"/>
      <c r="AV628" s="35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P628" t="s">
        <v>3335</v>
      </c>
      <c r="BQ628" s="41">
        <v>45091</v>
      </c>
      <c r="CR628">
        <v>1425000</v>
      </c>
      <c r="CS628">
        <v>15</v>
      </c>
    </row>
    <row r="629" spans="1:97" x14ac:dyDescent="0.4">
      <c r="A629" t="s">
        <v>1935</v>
      </c>
      <c r="D629" t="s">
        <v>2370</v>
      </c>
      <c r="E629" t="s">
        <v>2371</v>
      </c>
      <c r="F629" t="s">
        <v>1936</v>
      </c>
      <c r="G629" t="s">
        <v>4919</v>
      </c>
      <c r="H629">
        <v>9062066023</v>
      </c>
      <c r="I629" t="s">
        <v>1937</v>
      </c>
      <c r="J629" t="s">
        <v>2433</v>
      </c>
      <c r="L629" t="s">
        <v>4920</v>
      </c>
      <c r="M629" t="s">
        <v>2435</v>
      </c>
      <c r="N629" t="s">
        <v>4921</v>
      </c>
      <c r="O629" t="s">
        <v>4922</v>
      </c>
      <c r="Q629" t="s">
        <v>2468</v>
      </c>
      <c r="R629" s="30">
        <v>44868</v>
      </c>
      <c r="S629" t="s">
        <v>44</v>
      </c>
      <c r="T629" s="30">
        <v>45767</v>
      </c>
      <c r="U629" s="20">
        <v>114300</v>
      </c>
      <c r="V629" s="31"/>
      <c r="W629" s="34"/>
      <c r="X629" s="34">
        <f t="shared" ref="X629:X630" si="112">+U629</f>
        <v>114300</v>
      </c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2"/>
      <c r="AJ629" s="35"/>
      <c r="AK629" s="32">
        <v>19050</v>
      </c>
      <c r="AL629" s="32">
        <v>19050</v>
      </c>
      <c r="AM629" s="32">
        <v>19050</v>
      </c>
      <c r="AN629" s="32">
        <v>19050</v>
      </c>
      <c r="AO629" s="32">
        <v>19050</v>
      </c>
      <c r="AP629" s="32">
        <v>19050</v>
      </c>
      <c r="AQ629" s="32"/>
      <c r="AR629" s="32"/>
      <c r="AS629" s="32"/>
      <c r="AT629" s="32"/>
      <c r="AU629" s="32"/>
      <c r="AV629" s="35"/>
      <c r="AW629" s="35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CR629">
        <v>835400</v>
      </c>
      <c r="CS629">
        <v>6</v>
      </c>
    </row>
    <row r="630" spans="1:97" x14ac:dyDescent="0.4">
      <c r="A630" t="s">
        <v>1938</v>
      </c>
      <c r="D630" t="s">
        <v>2370</v>
      </c>
      <c r="E630" t="s">
        <v>2371</v>
      </c>
      <c r="F630" t="s">
        <v>1939</v>
      </c>
      <c r="G630" t="s">
        <v>4923</v>
      </c>
      <c r="H630">
        <v>9026094794</v>
      </c>
      <c r="I630" t="s">
        <v>1940</v>
      </c>
      <c r="J630" t="s">
        <v>2433</v>
      </c>
      <c r="L630" t="s">
        <v>4924</v>
      </c>
      <c r="M630" t="s">
        <v>2471</v>
      </c>
      <c r="N630" t="s">
        <v>4925</v>
      </c>
      <c r="O630" t="s">
        <v>4926</v>
      </c>
      <c r="Q630" t="s">
        <v>2468</v>
      </c>
      <c r="R630" s="30">
        <v>44864</v>
      </c>
      <c r="S630" t="s">
        <v>44</v>
      </c>
      <c r="T630" s="30">
        <v>45767</v>
      </c>
      <c r="U630" s="20">
        <v>114300</v>
      </c>
      <c r="V630" s="31"/>
      <c r="W630" s="34"/>
      <c r="X630" s="34">
        <f t="shared" si="112"/>
        <v>114300</v>
      </c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2"/>
      <c r="AJ630" s="35"/>
      <c r="AK630" s="32">
        <v>19050</v>
      </c>
      <c r="AL630" s="32">
        <v>19050</v>
      </c>
      <c r="AM630" s="32">
        <v>19050</v>
      </c>
      <c r="AN630" s="32">
        <v>19050</v>
      </c>
      <c r="AO630" s="32">
        <v>19050</v>
      </c>
      <c r="AP630" s="32">
        <v>19050</v>
      </c>
      <c r="AQ630" s="32"/>
      <c r="AR630" s="32"/>
      <c r="AS630" s="32"/>
      <c r="AT630" s="32"/>
      <c r="AU630" s="32"/>
      <c r="AV630" s="35"/>
      <c r="AW630" s="35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CR630">
        <v>660900</v>
      </c>
      <c r="CS630">
        <v>5</v>
      </c>
    </row>
    <row r="631" spans="1:97" x14ac:dyDescent="0.4">
      <c r="A631" t="s">
        <v>1941</v>
      </c>
      <c r="D631" t="s">
        <v>2370</v>
      </c>
      <c r="E631" t="s">
        <v>2371</v>
      </c>
      <c r="F631" t="s">
        <v>1942</v>
      </c>
      <c r="G631" t="s">
        <v>4927</v>
      </c>
      <c r="H631">
        <v>9091667021</v>
      </c>
      <c r="I631" t="s">
        <v>1943</v>
      </c>
      <c r="J631" t="s">
        <v>2433</v>
      </c>
      <c r="L631" t="s">
        <v>4928</v>
      </c>
      <c r="M631" t="s">
        <v>2506</v>
      </c>
      <c r="N631" t="s">
        <v>4929</v>
      </c>
      <c r="O631" t="s">
        <v>4930</v>
      </c>
      <c r="Q631" t="s">
        <v>2468</v>
      </c>
      <c r="R631" s="30">
        <v>44874</v>
      </c>
      <c r="S631" t="s">
        <v>1944</v>
      </c>
      <c r="T631" s="30">
        <v>46073</v>
      </c>
      <c r="U631" s="20">
        <v>113220</v>
      </c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>
        <f>+U631</f>
        <v>113220</v>
      </c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>
        <v>9435</v>
      </c>
      <c r="AV631" s="32">
        <v>9435</v>
      </c>
      <c r="AW631" s="32">
        <v>9435</v>
      </c>
      <c r="AX631" s="32">
        <v>9435</v>
      </c>
      <c r="AY631" s="32">
        <v>9435</v>
      </c>
      <c r="AZ631" s="32">
        <v>9435</v>
      </c>
      <c r="BA631" s="32">
        <v>9435</v>
      </c>
      <c r="BB631" s="32">
        <v>9435</v>
      </c>
      <c r="BC631" s="32">
        <v>9435</v>
      </c>
      <c r="BD631" s="32">
        <v>9435</v>
      </c>
      <c r="BE631" s="32">
        <v>9435</v>
      </c>
      <c r="BF631" s="32">
        <v>9435</v>
      </c>
      <c r="BG631" s="32"/>
      <c r="BP631" t="s">
        <v>3335</v>
      </c>
      <c r="BQ631" s="41">
        <v>44882</v>
      </c>
      <c r="CR631">
        <v>865460</v>
      </c>
      <c r="CS631">
        <v>8</v>
      </c>
    </row>
    <row r="632" spans="1:97" x14ac:dyDescent="0.4">
      <c r="A632" t="s">
        <v>1947</v>
      </c>
      <c r="D632" t="s">
        <v>2370</v>
      </c>
      <c r="E632" t="s">
        <v>2371</v>
      </c>
      <c r="F632" t="s">
        <v>1948</v>
      </c>
      <c r="G632" t="s">
        <v>4931</v>
      </c>
      <c r="H632">
        <v>9011227789</v>
      </c>
      <c r="I632" t="s">
        <v>1949</v>
      </c>
      <c r="J632" t="s">
        <v>2433</v>
      </c>
      <c r="L632" t="s">
        <v>4932</v>
      </c>
      <c r="M632" t="s">
        <v>2640</v>
      </c>
      <c r="N632" t="s">
        <v>4933</v>
      </c>
      <c r="O632" t="s">
        <v>4934</v>
      </c>
      <c r="Q632" t="s">
        <v>2468</v>
      </c>
      <c r="R632" s="30">
        <v>44863</v>
      </c>
      <c r="S632" t="s">
        <v>44</v>
      </c>
      <c r="T632" s="30">
        <v>45828</v>
      </c>
      <c r="U632" s="20">
        <v>114300</v>
      </c>
      <c r="V632" s="31"/>
      <c r="W632" s="31"/>
      <c r="X632" s="31"/>
      <c r="Y632" s="31"/>
      <c r="Z632" s="31">
        <f>+U632</f>
        <v>114300</v>
      </c>
      <c r="AA632" s="31"/>
      <c r="AB632" s="31"/>
      <c r="AC632" s="31"/>
      <c r="AD632" s="31"/>
      <c r="AE632" s="31"/>
      <c r="AF632" s="31"/>
      <c r="AG632" s="31"/>
      <c r="AH632" s="31"/>
      <c r="AI632" s="32"/>
      <c r="AJ632" s="32"/>
      <c r="AK632" s="32"/>
      <c r="AL632" s="32"/>
      <c r="AM632" s="32">
        <v>19050</v>
      </c>
      <c r="AN632" s="32">
        <v>19050</v>
      </c>
      <c r="AO632" s="32">
        <v>19050</v>
      </c>
      <c r="AP632" s="32">
        <v>19050</v>
      </c>
      <c r="AQ632" s="32">
        <v>19050</v>
      </c>
      <c r="AR632" s="32">
        <v>19050</v>
      </c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CR632">
        <v>546700</v>
      </c>
      <c r="CS632">
        <v>3</v>
      </c>
    </row>
    <row r="633" spans="1:97" s="36" customFormat="1" x14ac:dyDescent="0.4">
      <c r="A633" s="36" t="s">
        <v>4935</v>
      </c>
      <c r="D633" s="36" t="s">
        <v>2370</v>
      </c>
      <c r="E633" s="36" t="s">
        <v>2371</v>
      </c>
      <c r="F633" s="36" t="s">
        <v>4936</v>
      </c>
      <c r="G633" s="36" t="s">
        <v>4937</v>
      </c>
      <c r="H633" s="36">
        <v>7013101928</v>
      </c>
      <c r="I633" s="36" t="s">
        <v>4938</v>
      </c>
      <c r="J633" s="36" t="s">
        <v>2433</v>
      </c>
      <c r="L633" s="36" t="s">
        <v>4939</v>
      </c>
      <c r="M633" s="36" t="s">
        <v>2518</v>
      </c>
      <c r="N633" s="36" t="s">
        <v>4940</v>
      </c>
      <c r="O633" s="36" t="s">
        <v>4941</v>
      </c>
      <c r="Q633" s="36" t="s">
        <v>2468</v>
      </c>
      <c r="R633" s="37">
        <v>44849</v>
      </c>
      <c r="S633" s="36" t="s">
        <v>2503</v>
      </c>
      <c r="T633" s="37">
        <v>45703</v>
      </c>
      <c r="U633" s="37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P633" s="36" t="s">
        <v>4942</v>
      </c>
      <c r="BQ633" s="43">
        <v>45005</v>
      </c>
      <c r="CF633" s="36" t="s">
        <v>4943</v>
      </c>
      <c r="CG633" s="43">
        <v>45158</v>
      </c>
      <c r="CR633" s="36">
        <v>1015940</v>
      </c>
      <c r="CS633" s="36">
        <v>19</v>
      </c>
    </row>
    <row r="634" spans="1:97" x14ac:dyDescent="0.4">
      <c r="A634" t="s">
        <v>1950</v>
      </c>
      <c r="D634" t="s">
        <v>2370</v>
      </c>
      <c r="E634" t="s">
        <v>2371</v>
      </c>
      <c r="F634" t="s">
        <v>1951</v>
      </c>
      <c r="G634" t="s">
        <v>4944</v>
      </c>
      <c r="H634">
        <v>9096755552</v>
      </c>
      <c r="I634" t="s">
        <v>1952</v>
      </c>
      <c r="J634" t="s">
        <v>2433</v>
      </c>
      <c r="L634" t="s">
        <v>4945</v>
      </c>
      <c r="M634" t="s">
        <v>2444</v>
      </c>
      <c r="N634" t="s">
        <v>4946</v>
      </c>
      <c r="O634" t="s">
        <v>4947</v>
      </c>
      <c r="R634" s="30">
        <v>44845</v>
      </c>
      <c r="S634" t="s">
        <v>1944</v>
      </c>
      <c r="T634" s="30">
        <v>46073</v>
      </c>
      <c r="U634" s="20">
        <v>113220</v>
      </c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>
        <f>+U634</f>
        <v>113220</v>
      </c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>
        <v>9435</v>
      </c>
      <c r="AV634" s="32">
        <v>9435</v>
      </c>
      <c r="AW634" s="32">
        <v>9435</v>
      </c>
      <c r="AX634" s="32">
        <v>9435</v>
      </c>
      <c r="AY634" s="32">
        <v>9435</v>
      </c>
      <c r="AZ634" s="32">
        <v>9435</v>
      </c>
      <c r="BA634" s="32">
        <v>9435</v>
      </c>
      <c r="BB634" s="32">
        <v>9435</v>
      </c>
      <c r="BC634" s="32">
        <v>9435</v>
      </c>
      <c r="BD634" s="32">
        <v>9435</v>
      </c>
      <c r="BE634" s="32">
        <v>9435</v>
      </c>
      <c r="BF634" s="32">
        <v>9435</v>
      </c>
      <c r="BG634" s="32"/>
      <c r="BP634" t="s">
        <v>3335</v>
      </c>
      <c r="BQ634" s="41">
        <v>44881</v>
      </c>
      <c r="CR634">
        <v>982760</v>
      </c>
      <c r="CS634">
        <v>11</v>
      </c>
    </row>
    <row r="635" spans="1:97" x14ac:dyDescent="0.4">
      <c r="A635" t="s">
        <v>1953</v>
      </c>
      <c r="D635" t="s">
        <v>2370</v>
      </c>
      <c r="E635" t="s">
        <v>2371</v>
      </c>
      <c r="F635" t="s">
        <v>1954</v>
      </c>
      <c r="G635" t="s">
        <v>4948</v>
      </c>
      <c r="H635">
        <v>9022017961</v>
      </c>
      <c r="I635" t="s">
        <v>1955</v>
      </c>
      <c r="J635" t="s">
        <v>2433</v>
      </c>
      <c r="L635" t="s">
        <v>4949</v>
      </c>
      <c r="M635" t="s">
        <v>2444</v>
      </c>
      <c r="N635" t="s">
        <v>4950</v>
      </c>
      <c r="O635" t="s">
        <v>4951</v>
      </c>
      <c r="Q635" t="s">
        <v>2468</v>
      </c>
      <c r="R635" s="30">
        <v>44823</v>
      </c>
      <c r="S635" t="s">
        <v>44</v>
      </c>
      <c r="T635" s="30">
        <v>45797</v>
      </c>
      <c r="U635" s="20">
        <v>114300</v>
      </c>
      <c r="V635" s="31"/>
      <c r="W635" s="31"/>
      <c r="X635" s="31"/>
      <c r="Y635" s="31">
        <f>+U635</f>
        <v>114300</v>
      </c>
      <c r="Z635" s="31"/>
      <c r="AA635" s="31"/>
      <c r="AB635" s="31"/>
      <c r="AC635" s="31"/>
      <c r="AD635" s="31"/>
      <c r="AE635" s="31"/>
      <c r="AF635" s="31"/>
      <c r="AG635" s="31"/>
      <c r="AH635" s="31"/>
      <c r="AI635" s="32"/>
      <c r="AJ635" s="32"/>
      <c r="AK635" s="32"/>
      <c r="AL635" s="32">
        <v>19050</v>
      </c>
      <c r="AM635" s="32">
        <v>19050</v>
      </c>
      <c r="AN635" s="32">
        <v>19050</v>
      </c>
      <c r="AO635" s="32">
        <v>19050</v>
      </c>
      <c r="AP635" s="32">
        <v>19050</v>
      </c>
      <c r="AQ635" s="32">
        <v>19050</v>
      </c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CR635">
        <v>961670</v>
      </c>
      <c r="CS635">
        <v>8</v>
      </c>
    </row>
    <row r="636" spans="1:97" x14ac:dyDescent="0.4">
      <c r="A636" t="s">
        <v>1957</v>
      </c>
      <c r="D636" t="s">
        <v>2370</v>
      </c>
      <c r="E636" t="s">
        <v>2371</v>
      </c>
      <c r="F636" t="s">
        <v>1958</v>
      </c>
      <c r="G636" t="s">
        <v>4952</v>
      </c>
      <c r="H636">
        <v>8065372494</v>
      </c>
      <c r="I636" t="s">
        <v>1959</v>
      </c>
      <c r="J636" t="s">
        <v>2433</v>
      </c>
      <c r="L636" t="s">
        <v>4953</v>
      </c>
      <c r="M636" t="s">
        <v>2444</v>
      </c>
      <c r="N636" t="s">
        <v>4954</v>
      </c>
      <c r="O636" t="s">
        <v>4955</v>
      </c>
      <c r="Q636" t="s">
        <v>2637</v>
      </c>
      <c r="R636" s="30">
        <v>44822</v>
      </c>
      <c r="S636" t="s">
        <v>44</v>
      </c>
      <c r="T636" s="30">
        <v>45767</v>
      </c>
      <c r="U636" s="20">
        <v>114300</v>
      </c>
      <c r="V636" s="31"/>
      <c r="W636" s="34"/>
      <c r="X636" s="34">
        <f t="shared" ref="X636:X637" si="113">+U636</f>
        <v>114300</v>
      </c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2"/>
      <c r="AJ636" s="35"/>
      <c r="AK636" s="32">
        <v>19050</v>
      </c>
      <c r="AL636" s="32">
        <v>19050</v>
      </c>
      <c r="AM636" s="32">
        <v>19050</v>
      </c>
      <c r="AN636" s="32">
        <v>19050</v>
      </c>
      <c r="AO636" s="32">
        <v>19050</v>
      </c>
      <c r="AP636" s="32">
        <v>19050</v>
      </c>
      <c r="AQ636" s="32"/>
      <c r="AR636" s="32"/>
      <c r="AS636" s="32"/>
      <c r="AT636" s="32"/>
      <c r="AU636" s="32"/>
      <c r="AV636" s="35"/>
      <c r="AW636" s="35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CF636" t="s">
        <v>4956</v>
      </c>
      <c r="CG636" s="41">
        <v>45616</v>
      </c>
      <c r="CR636">
        <v>868100</v>
      </c>
      <c r="CS636">
        <v>21</v>
      </c>
    </row>
    <row r="637" spans="1:97" x14ac:dyDescent="0.4">
      <c r="A637" t="s">
        <v>1960</v>
      </c>
      <c r="D637" t="s">
        <v>2370</v>
      </c>
      <c r="E637" t="s">
        <v>2371</v>
      </c>
      <c r="F637" t="s">
        <v>1961</v>
      </c>
      <c r="G637" t="s">
        <v>4957</v>
      </c>
      <c r="H637">
        <v>9068852301</v>
      </c>
      <c r="I637" t="s">
        <v>1962</v>
      </c>
      <c r="J637" t="s">
        <v>2433</v>
      </c>
      <c r="L637" t="s">
        <v>4958</v>
      </c>
      <c r="M637" t="s">
        <v>4174</v>
      </c>
      <c r="N637" t="s">
        <v>4959</v>
      </c>
      <c r="O637" t="s">
        <v>4960</v>
      </c>
      <c r="Q637" t="s">
        <v>2468</v>
      </c>
      <c r="R637" s="30">
        <v>44821</v>
      </c>
      <c r="S637" t="s">
        <v>25</v>
      </c>
      <c r="T637" s="30">
        <v>45767</v>
      </c>
      <c r="U637">
        <v>59400</v>
      </c>
      <c r="V637" s="34"/>
      <c r="W637" s="34"/>
      <c r="X637" s="34">
        <f t="shared" si="113"/>
        <v>59400</v>
      </c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5"/>
      <c r="AJ637" s="35"/>
      <c r="AK637" s="32">
        <v>19800</v>
      </c>
      <c r="AL637" s="32">
        <v>19800</v>
      </c>
      <c r="AM637" s="32">
        <v>19800</v>
      </c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CR637">
        <v>670900</v>
      </c>
      <c r="CS637">
        <v>6</v>
      </c>
    </row>
    <row r="638" spans="1:97" x14ac:dyDescent="0.4">
      <c r="A638" t="s">
        <v>1966</v>
      </c>
      <c r="D638" t="s">
        <v>2370</v>
      </c>
      <c r="E638" t="s">
        <v>2371</v>
      </c>
      <c r="F638" t="s">
        <v>1967</v>
      </c>
      <c r="G638" t="s">
        <v>4961</v>
      </c>
      <c r="H638">
        <v>8053635811</v>
      </c>
      <c r="I638" t="s">
        <v>1968</v>
      </c>
      <c r="J638" t="s">
        <v>2433</v>
      </c>
      <c r="L638" t="s">
        <v>4962</v>
      </c>
      <c r="M638" t="s">
        <v>2444</v>
      </c>
      <c r="N638" t="s">
        <v>4963</v>
      </c>
      <c r="O638" t="s">
        <v>4964</v>
      </c>
      <c r="Q638" t="s">
        <v>2468</v>
      </c>
      <c r="R638" s="30">
        <v>44803</v>
      </c>
      <c r="S638" t="s">
        <v>44</v>
      </c>
      <c r="T638" s="30">
        <v>45736</v>
      </c>
      <c r="U638" s="20">
        <v>114300</v>
      </c>
      <c r="V638" s="31"/>
      <c r="W638" s="34">
        <f>+U638</f>
        <v>114300</v>
      </c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2"/>
      <c r="AJ638" s="32">
        <v>19050</v>
      </c>
      <c r="AK638" s="32">
        <v>19050</v>
      </c>
      <c r="AL638" s="32">
        <v>19050</v>
      </c>
      <c r="AM638" s="32">
        <v>19050</v>
      </c>
      <c r="AN638" s="32">
        <v>19050</v>
      </c>
      <c r="AO638" s="32">
        <v>19050</v>
      </c>
      <c r="AP638" s="32"/>
      <c r="AQ638" s="32"/>
      <c r="AR638" s="32"/>
      <c r="AS638" s="32"/>
      <c r="AT638" s="32"/>
      <c r="AU638" s="32"/>
      <c r="AV638" s="35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CR638">
        <v>921200</v>
      </c>
      <c r="CS638">
        <v>10</v>
      </c>
    </row>
    <row r="639" spans="1:97" x14ac:dyDescent="0.4">
      <c r="A639" t="s">
        <v>1970</v>
      </c>
      <c r="D639" t="s">
        <v>2370</v>
      </c>
      <c r="E639" t="s">
        <v>2371</v>
      </c>
      <c r="F639" t="s">
        <v>1971</v>
      </c>
      <c r="G639" t="s">
        <v>4965</v>
      </c>
      <c r="H639">
        <v>9022469522</v>
      </c>
      <c r="I639" t="s">
        <v>1972</v>
      </c>
      <c r="J639" t="s">
        <v>2433</v>
      </c>
      <c r="L639" t="s">
        <v>4966</v>
      </c>
      <c r="M639" t="s">
        <v>2492</v>
      </c>
      <c r="N639" t="s">
        <v>4967</v>
      </c>
      <c r="O639" t="s">
        <v>4968</v>
      </c>
      <c r="Q639" t="s">
        <v>2468</v>
      </c>
      <c r="R639" s="30">
        <v>44798</v>
      </c>
      <c r="S639" t="s">
        <v>44</v>
      </c>
      <c r="T639" s="30">
        <v>45767</v>
      </c>
      <c r="U639" s="20">
        <v>114300</v>
      </c>
      <c r="V639" s="31"/>
      <c r="W639" s="34"/>
      <c r="X639" s="34">
        <f t="shared" ref="X639:X640" si="114">+U639</f>
        <v>114300</v>
      </c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2"/>
      <c r="AJ639" s="35"/>
      <c r="AK639" s="32">
        <v>19050</v>
      </c>
      <c r="AL639" s="32">
        <v>19050</v>
      </c>
      <c r="AM639" s="32">
        <v>19050</v>
      </c>
      <c r="AN639" s="32">
        <v>19050</v>
      </c>
      <c r="AO639" s="32">
        <v>19050</v>
      </c>
      <c r="AP639" s="32">
        <v>19050</v>
      </c>
      <c r="AQ639" s="32"/>
      <c r="AR639" s="32"/>
      <c r="AS639" s="32"/>
      <c r="AT639" s="32"/>
      <c r="AU639" s="32"/>
      <c r="AV639" s="35"/>
      <c r="AW639" s="35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CR639">
        <v>1480145</v>
      </c>
      <c r="CS639">
        <v>28</v>
      </c>
    </row>
    <row r="640" spans="1:97" x14ac:dyDescent="0.4">
      <c r="A640" t="s">
        <v>1973</v>
      </c>
      <c r="D640" t="s">
        <v>2370</v>
      </c>
      <c r="E640" t="s">
        <v>2371</v>
      </c>
      <c r="F640" t="s">
        <v>1974</v>
      </c>
      <c r="G640" t="s">
        <v>4969</v>
      </c>
      <c r="H640">
        <v>9076593639</v>
      </c>
      <c r="I640" t="s">
        <v>1975</v>
      </c>
      <c r="J640" t="s">
        <v>2433</v>
      </c>
      <c r="L640" t="s">
        <v>4970</v>
      </c>
      <c r="M640" t="s">
        <v>2455</v>
      </c>
      <c r="N640" t="s">
        <v>4971</v>
      </c>
      <c r="O640" t="s">
        <v>4972</v>
      </c>
      <c r="Q640" t="s">
        <v>2468</v>
      </c>
      <c r="R640" s="30">
        <v>44796</v>
      </c>
      <c r="S640" t="s">
        <v>25</v>
      </c>
      <c r="T640" s="30">
        <v>45767</v>
      </c>
      <c r="U640">
        <v>59400</v>
      </c>
      <c r="V640" s="34"/>
      <c r="W640" s="34"/>
      <c r="X640" s="34">
        <f t="shared" si="114"/>
        <v>59400</v>
      </c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5"/>
      <c r="AJ640" s="35"/>
      <c r="AK640" s="32">
        <v>19800</v>
      </c>
      <c r="AL640" s="32">
        <v>19800</v>
      </c>
      <c r="AM640" s="32">
        <v>19800</v>
      </c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CF640" t="s">
        <v>4956</v>
      </c>
      <c r="CG640" s="41">
        <v>45342</v>
      </c>
      <c r="CR640">
        <v>996082</v>
      </c>
      <c r="CS640">
        <v>25</v>
      </c>
    </row>
    <row r="641" spans="1:97" x14ac:dyDescent="0.4">
      <c r="A641" t="s">
        <v>1976</v>
      </c>
      <c r="D641" t="s">
        <v>2370</v>
      </c>
      <c r="E641" t="s">
        <v>2371</v>
      </c>
      <c r="F641" t="s">
        <v>1977</v>
      </c>
      <c r="G641" t="s">
        <v>4973</v>
      </c>
      <c r="H641">
        <v>9029598203</v>
      </c>
      <c r="I641" t="s">
        <v>1978</v>
      </c>
      <c r="J641" t="s">
        <v>2433</v>
      </c>
      <c r="L641" t="s">
        <v>4974</v>
      </c>
      <c r="M641" t="s">
        <v>2561</v>
      </c>
      <c r="N641" t="s">
        <v>4975</v>
      </c>
      <c r="O641" s="41">
        <v>36904</v>
      </c>
      <c r="Q641" t="s">
        <v>2468</v>
      </c>
      <c r="R641" s="30">
        <v>44795</v>
      </c>
      <c r="S641" t="s">
        <v>44</v>
      </c>
      <c r="T641" s="30">
        <v>45736</v>
      </c>
      <c r="U641" s="20">
        <v>114300</v>
      </c>
      <c r="V641" s="31"/>
      <c r="W641" s="34">
        <f>+U641</f>
        <v>114300</v>
      </c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2"/>
      <c r="AJ641" s="32">
        <v>19050</v>
      </c>
      <c r="AK641" s="32">
        <v>19050</v>
      </c>
      <c r="AL641" s="32">
        <v>19050</v>
      </c>
      <c r="AM641" s="32">
        <v>19050</v>
      </c>
      <c r="AN641" s="32">
        <v>19050</v>
      </c>
      <c r="AO641" s="32">
        <v>19050</v>
      </c>
      <c r="AP641" s="32"/>
      <c r="AQ641" s="32"/>
      <c r="AR641" s="32"/>
      <c r="AS641" s="32"/>
      <c r="AT641" s="32"/>
      <c r="AU641" s="32"/>
      <c r="AV641" s="35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CR641">
        <v>891500</v>
      </c>
      <c r="CS641">
        <v>7</v>
      </c>
    </row>
    <row r="642" spans="1:97" x14ac:dyDescent="0.4">
      <c r="A642" t="s">
        <v>1980</v>
      </c>
      <c r="D642" t="s">
        <v>2370</v>
      </c>
      <c r="E642" t="s">
        <v>2371</v>
      </c>
      <c r="F642" t="s">
        <v>1981</v>
      </c>
      <c r="G642" t="s">
        <v>4976</v>
      </c>
      <c r="I642" t="s">
        <v>1982</v>
      </c>
      <c r="J642" t="s">
        <v>2433</v>
      </c>
      <c r="L642" t="s">
        <v>4977</v>
      </c>
      <c r="M642" t="s">
        <v>2444</v>
      </c>
      <c r="N642" t="s">
        <v>4978</v>
      </c>
      <c r="O642" s="41">
        <v>39512</v>
      </c>
      <c r="Q642" t="s">
        <v>2468</v>
      </c>
      <c r="R642" s="30">
        <v>44795</v>
      </c>
      <c r="S642" t="s">
        <v>44</v>
      </c>
      <c r="T642" s="30">
        <v>45767</v>
      </c>
      <c r="U642" s="20">
        <v>114300</v>
      </c>
      <c r="V642" s="31"/>
      <c r="W642" s="34"/>
      <c r="X642" s="34">
        <f>+U642</f>
        <v>114300</v>
      </c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2"/>
      <c r="AJ642" s="35"/>
      <c r="AK642" s="32">
        <v>19050</v>
      </c>
      <c r="AL642" s="32">
        <v>19050</v>
      </c>
      <c r="AM642" s="32">
        <v>19050</v>
      </c>
      <c r="AN642" s="32">
        <v>19050</v>
      </c>
      <c r="AO642" s="32">
        <v>19050</v>
      </c>
      <c r="AP642" s="32">
        <v>19050</v>
      </c>
      <c r="AQ642" s="32"/>
      <c r="AR642" s="32"/>
      <c r="AS642" s="32"/>
      <c r="AT642" s="32"/>
      <c r="AU642" s="32"/>
      <c r="AV642" s="35"/>
      <c r="AW642" s="35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CR642">
        <v>661900</v>
      </c>
      <c r="CS642">
        <v>4</v>
      </c>
    </row>
    <row r="643" spans="1:97" x14ac:dyDescent="0.4">
      <c r="A643" t="s">
        <v>1983</v>
      </c>
      <c r="D643" t="s">
        <v>2370</v>
      </c>
      <c r="E643" t="s">
        <v>2371</v>
      </c>
      <c r="F643" t="s">
        <v>1984</v>
      </c>
      <c r="G643" t="s">
        <v>4979</v>
      </c>
      <c r="H643">
        <v>9056696838</v>
      </c>
      <c r="I643" t="s">
        <v>1985</v>
      </c>
      <c r="J643" t="s">
        <v>2433</v>
      </c>
      <c r="L643" t="s">
        <v>4980</v>
      </c>
      <c r="M643" t="s">
        <v>2518</v>
      </c>
      <c r="N643" t="s">
        <v>4981</v>
      </c>
      <c r="O643" t="s">
        <v>4982</v>
      </c>
      <c r="Q643" t="s">
        <v>2468</v>
      </c>
      <c r="R643" s="30">
        <v>44791</v>
      </c>
      <c r="S643" t="s">
        <v>44</v>
      </c>
      <c r="T643" s="30">
        <v>45797</v>
      </c>
      <c r="U643" s="20">
        <v>114300</v>
      </c>
      <c r="V643" s="31"/>
      <c r="W643" s="31"/>
      <c r="X643" s="31"/>
      <c r="Y643" s="31">
        <f>+U643</f>
        <v>114300</v>
      </c>
      <c r="Z643" s="31"/>
      <c r="AA643" s="31"/>
      <c r="AB643" s="31"/>
      <c r="AC643" s="31"/>
      <c r="AD643" s="31"/>
      <c r="AE643" s="31"/>
      <c r="AF643" s="31"/>
      <c r="AG643" s="31"/>
      <c r="AH643" s="31"/>
      <c r="AI643" s="32"/>
      <c r="AJ643" s="32"/>
      <c r="AK643" s="32"/>
      <c r="AL643" s="32">
        <v>19050</v>
      </c>
      <c r="AM643" s="32">
        <v>19050</v>
      </c>
      <c r="AN643" s="32">
        <v>19050</v>
      </c>
      <c r="AO643" s="32">
        <v>19050</v>
      </c>
      <c r="AP643" s="32">
        <v>19050</v>
      </c>
      <c r="AQ643" s="32">
        <v>19050</v>
      </c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CR643">
        <v>1006800</v>
      </c>
      <c r="CS643">
        <v>11</v>
      </c>
    </row>
    <row r="644" spans="1:97" x14ac:dyDescent="0.4">
      <c r="A644" t="s">
        <v>1987</v>
      </c>
      <c r="D644" t="s">
        <v>2370</v>
      </c>
      <c r="E644" t="s">
        <v>2371</v>
      </c>
      <c r="F644" t="s">
        <v>1988</v>
      </c>
      <c r="G644" t="s">
        <v>4983</v>
      </c>
      <c r="H644">
        <v>9045414589</v>
      </c>
      <c r="I644" t="s">
        <v>1989</v>
      </c>
      <c r="J644" t="s">
        <v>2433</v>
      </c>
      <c r="L644" t="s">
        <v>4984</v>
      </c>
      <c r="M644" t="s">
        <v>2771</v>
      </c>
      <c r="N644" t="s">
        <v>4985</v>
      </c>
      <c r="O644" t="s">
        <v>4986</v>
      </c>
      <c r="Q644" t="s">
        <v>2468</v>
      </c>
      <c r="R644" s="30">
        <v>44787</v>
      </c>
      <c r="S644" t="s">
        <v>44</v>
      </c>
      <c r="T644" s="30">
        <v>45828</v>
      </c>
      <c r="U644" s="20">
        <v>114300</v>
      </c>
      <c r="V644" s="31"/>
      <c r="W644" s="31"/>
      <c r="X644" s="31"/>
      <c r="Y644" s="31"/>
      <c r="Z644" s="31">
        <f>+U644</f>
        <v>114300</v>
      </c>
      <c r="AA644" s="31"/>
      <c r="AB644" s="31"/>
      <c r="AC644" s="31"/>
      <c r="AD644" s="31"/>
      <c r="AE644" s="31"/>
      <c r="AF644" s="31"/>
      <c r="AG644" s="31"/>
      <c r="AH644" s="31"/>
      <c r="AI644" s="32"/>
      <c r="AJ644" s="32"/>
      <c r="AK644" s="32"/>
      <c r="AL644" s="32"/>
      <c r="AM644" s="32">
        <v>19050</v>
      </c>
      <c r="AN644" s="32">
        <v>19050</v>
      </c>
      <c r="AO644" s="32">
        <v>19050</v>
      </c>
      <c r="AP644" s="32">
        <v>19050</v>
      </c>
      <c r="AQ644" s="32">
        <v>19050</v>
      </c>
      <c r="AR644" s="32">
        <v>19050</v>
      </c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CR644">
        <v>551490</v>
      </c>
      <c r="CS644">
        <v>3</v>
      </c>
    </row>
    <row r="645" spans="1:97" x14ac:dyDescent="0.4">
      <c r="A645" t="s">
        <v>1990</v>
      </c>
      <c r="D645" t="s">
        <v>2370</v>
      </c>
      <c r="E645" t="s">
        <v>2371</v>
      </c>
      <c r="F645" t="s">
        <v>1991</v>
      </c>
      <c r="G645" t="s">
        <v>4987</v>
      </c>
      <c r="H645">
        <v>9053032148</v>
      </c>
      <c r="I645" t="s">
        <v>1992</v>
      </c>
      <c r="J645" t="s">
        <v>2433</v>
      </c>
      <c r="L645" t="s">
        <v>4988</v>
      </c>
      <c r="M645" t="s">
        <v>2640</v>
      </c>
      <c r="N645" t="s">
        <v>4989</v>
      </c>
      <c r="O645" s="40">
        <v>34881</v>
      </c>
      <c r="Q645" t="s">
        <v>2468</v>
      </c>
      <c r="R645" s="30">
        <v>44782</v>
      </c>
      <c r="S645" t="s">
        <v>1944</v>
      </c>
      <c r="T645" s="30">
        <v>46073</v>
      </c>
      <c r="U645" s="20">
        <v>113220</v>
      </c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>
        <f>+U645</f>
        <v>113220</v>
      </c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>
        <v>9435</v>
      </c>
      <c r="AV645" s="32">
        <v>9435</v>
      </c>
      <c r="AW645" s="32">
        <v>9435</v>
      </c>
      <c r="AX645" s="32">
        <v>9435</v>
      </c>
      <c r="AY645" s="32">
        <v>9435</v>
      </c>
      <c r="AZ645" s="32">
        <v>9435</v>
      </c>
      <c r="BA645" s="32">
        <v>9435</v>
      </c>
      <c r="BB645" s="32">
        <v>9435</v>
      </c>
      <c r="BC645" s="32">
        <v>9435</v>
      </c>
      <c r="BD645" s="32">
        <v>9435</v>
      </c>
      <c r="BE645" s="32">
        <v>9435</v>
      </c>
      <c r="BF645" s="32">
        <v>9435</v>
      </c>
      <c r="BG645" s="32"/>
      <c r="BP645" t="s">
        <v>3335</v>
      </c>
      <c r="BQ645" s="41">
        <v>44882</v>
      </c>
      <c r="CR645">
        <v>786620</v>
      </c>
      <c r="CS645">
        <v>11</v>
      </c>
    </row>
    <row r="646" spans="1:97" x14ac:dyDescent="0.4">
      <c r="A646" t="s">
        <v>1993</v>
      </c>
      <c r="D646" t="s">
        <v>2370</v>
      </c>
      <c r="E646" t="s">
        <v>2371</v>
      </c>
      <c r="F646" t="s">
        <v>1994</v>
      </c>
      <c r="G646" t="s">
        <v>4990</v>
      </c>
      <c r="H646">
        <v>8021877606</v>
      </c>
      <c r="I646" t="s">
        <v>1995</v>
      </c>
      <c r="J646" t="s">
        <v>2433</v>
      </c>
      <c r="L646" t="s">
        <v>4437</v>
      </c>
      <c r="M646" t="s">
        <v>2444</v>
      </c>
      <c r="N646" t="s">
        <v>4991</v>
      </c>
      <c r="O646" t="s">
        <v>4992</v>
      </c>
      <c r="Q646" t="s">
        <v>2468</v>
      </c>
      <c r="R646" s="30">
        <v>44773</v>
      </c>
      <c r="S646" t="s">
        <v>44</v>
      </c>
      <c r="T646" s="30">
        <v>45767</v>
      </c>
      <c r="U646" s="20">
        <v>114300</v>
      </c>
      <c r="V646" s="31"/>
      <c r="W646" s="34"/>
      <c r="X646" s="34">
        <f>+U646</f>
        <v>114300</v>
      </c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2"/>
      <c r="AJ646" s="35"/>
      <c r="AK646" s="32">
        <v>19050</v>
      </c>
      <c r="AL646" s="32">
        <v>19050</v>
      </c>
      <c r="AM646" s="32">
        <v>19050</v>
      </c>
      <c r="AN646" s="32">
        <v>19050</v>
      </c>
      <c r="AO646" s="32">
        <v>19050</v>
      </c>
      <c r="AP646" s="32">
        <v>19050</v>
      </c>
      <c r="AQ646" s="32"/>
      <c r="AR646" s="32"/>
      <c r="AS646" s="32"/>
      <c r="AT646" s="32"/>
      <c r="AU646" s="32"/>
      <c r="AV646" s="35"/>
      <c r="AW646" s="35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CR646">
        <v>805000</v>
      </c>
      <c r="CS646">
        <v>18</v>
      </c>
    </row>
    <row r="647" spans="1:97" x14ac:dyDescent="0.4">
      <c r="A647" t="s">
        <v>1996</v>
      </c>
      <c r="D647" t="s">
        <v>2370</v>
      </c>
      <c r="E647" t="s">
        <v>2371</v>
      </c>
      <c r="F647" t="s">
        <v>1997</v>
      </c>
      <c r="G647" t="s">
        <v>4993</v>
      </c>
      <c r="H647">
        <v>9024327179</v>
      </c>
      <c r="I647" t="s">
        <v>1998</v>
      </c>
      <c r="J647" t="s">
        <v>2433</v>
      </c>
      <c r="L647" t="s">
        <v>2784</v>
      </c>
      <c r="M647" t="s">
        <v>2444</v>
      </c>
      <c r="N647" t="s">
        <v>2785</v>
      </c>
      <c r="O647" t="s">
        <v>4994</v>
      </c>
      <c r="Q647" t="s">
        <v>2468</v>
      </c>
      <c r="R647" s="30">
        <v>44760</v>
      </c>
      <c r="S647" t="s">
        <v>50</v>
      </c>
      <c r="T647" s="30">
        <v>45828</v>
      </c>
      <c r="U647" s="20">
        <v>114300</v>
      </c>
      <c r="V647" s="31"/>
      <c r="W647" s="31"/>
      <c r="X647" s="31"/>
      <c r="Y647" s="31"/>
      <c r="Z647" s="31">
        <f>+U647</f>
        <v>114300</v>
      </c>
      <c r="AA647" s="31"/>
      <c r="AB647" s="31"/>
      <c r="AC647" s="31"/>
      <c r="AD647" s="31"/>
      <c r="AE647" s="31"/>
      <c r="AF647" s="31"/>
      <c r="AG647" s="31"/>
      <c r="AH647" s="31"/>
      <c r="AI647" s="32"/>
      <c r="AJ647" s="32"/>
      <c r="AK647" s="32"/>
      <c r="AL647" s="32"/>
      <c r="AM647" s="32">
        <v>19050</v>
      </c>
      <c r="AN647" s="32">
        <v>19050</v>
      </c>
      <c r="AO647" s="32">
        <v>19050</v>
      </c>
      <c r="AP647" s="32">
        <v>19050</v>
      </c>
      <c r="AQ647" s="32">
        <v>19050</v>
      </c>
      <c r="AR647" s="32">
        <v>19050</v>
      </c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CR647">
        <v>1533850</v>
      </c>
      <c r="CS647">
        <v>10</v>
      </c>
    </row>
    <row r="648" spans="1:97" x14ac:dyDescent="0.4">
      <c r="A648" t="s">
        <v>1999</v>
      </c>
      <c r="D648" t="s">
        <v>2370</v>
      </c>
      <c r="E648" t="s">
        <v>2371</v>
      </c>
      <c r="F648" t="s">
        <v>2000</v>
      </c>
      <c r="G648" t="s">
        <v>4995</v>
      </c>
      <c r="H648">
        <v>9021420470</v>
      </c>
      <c r="I648" t="s">
        <v>2001</v>
      </c>
      <c r="J648" t="s">
        <v>2433</v>
      </c>
      <c r="L648" t="s">
        <v>4996</v>
      </c>
      <c r="M648" t="s">
        <v>2444</v>
      </c>
      <c r="N648" t="s">
        <v>4997</v>
      </c>
      <c r="O648" s="41">
        <v>37381</v>
      </c>
      <c r="Q648" t="s">
        <v>2468</v>
      </c>
      <c r="R648" s="30">
        <v>44758</v>
      </c>
      <c r="S648" t="s">
        <v>44</v>
      </c>
      <c r="T648" s="30">
        <v>45767</v>
      </c>
      <c r="U648" s="20">
        <v>114300</v>
      </c>
      <c r="V648" s="31"/>
      <c r="W648" s="34"/>
      <c r="X648" s="34">
        <f t="shared" ref="X648:X649" si="115">+U648</f>
        <v>114300</v>
      </c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2"/>
      <c r="AJ648" s="35"/>
      <c r="AK648" s="32">
        <v>19050</v>
      </c>
      <c r="AL648" s="32">
        <v>19050</v>
      </c>
      <c r="AM648" s="32">
        <v>19050</v>
      </c>
      <c r="AN648" s="32">
        <v>19050</v>
      </c>
      <c r="AO648" s="32">
        <v>19050</v>
      </c>
      <c r="AP648" s="32">
        <v>19050</v>
      </c>
      <c r="AQ648" s="32"/>
      <c r="AR648" s="32"/>
      <c r="AS648" s="32"/>
      <c r="AT648" s="32"/>
      <c r="AU648" s="32"/>
      <c r="AV648" s="35"/>
      <c r="AW648" s="35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CR648">
        <v>806000</v>
      </c>
      <c r="CS648">
        <v>19</v>
      </c>
    </row>
    <row r="649" spans="1:97" x14ac:dyDescent="0.4">
      <c r="A649" t="s">
        <v>2002</v>
      </c>
      <c r="D649" t="s">
        <v>2370</v>
      </c>
      <c r="E649" t="s">
        <v>2371</v>
      </c>
      <c r="F649" t="s">
        <v>2003</v>
      </c>
      <c r="G649" t="s">
        <v>4998</v>
      </c>
      <c r="H649">
        <v>9041508255</v>
      </c>
      <c r="I649" t="s">
        <v>2004</v>
      </c>
      <c r="J649" t="s">
        <v>2433</v>
      </c>
      <c r="L649" t="s">
        <v>4999</v>
      </c>
      <c r="M649" t="s">
        <v>2465</v>
      </c>
      <c r="N649" t="s">
        <v>5000</v>
      </c>
      <c r="O649" t="s">
        <v>5001</v>
      </c>
      <c r="Q649" t="s">
        <v>2468</v>
      </c>
      <c r="R649" s="30">
        <v>44754</v>
      </c>
      <c r="S649" t="s">
        <v>44</v>
      </c>
      <c r="T649" s="30">
        <v>45767</v>
      </c>
      <c r="U649" s="20">
        <v>114300</v>
      </c>
      <c r="V649" s="31"/>
      <c r="W649" s="34"/>
      <c r="X649" s="34">
        <f t="shared" si="115"/>
        <v>114300</v>
      </c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2"/>
      <c r="AJ649" s="35"/>
      <c r="AK649" s="32">
        <v>19050</v>
      </c>
      <c r="AL649" s="32">
        <v>19050</v>
      </c>
      <c r="AM649" s="32">
        <v>19050</v>
      </c>
      <c r="AN649" s="32">
        <v>19050</v>
      </c>
      <c r="AO649" s="32">
        <v>19050</v>
      </c>
      <c r="AP649" s="32">
        <v>19050</v>
      </c>
      <c r="AQ649" s="32"/>
      <c r="AR649" s="32"/>
      <c r="AS649" s="32"/>
      <c r="AT649" s="32"/>
      <c r="AU649" s="32"/>
      <c r="AV649" s="35"/>
      <c r="AW649" s="35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CR649">
        <v>660900</v>
      </c>
      <c r="CS649">
        <v>3</v>
      </c>
    </row>
    <row r="650" spans="1:97" x14ac:dyDescent="0.4">
      <c r="A650" t="s">
        <v>2005</v>
      </c>
      <c r="D650" t="s">
        <v>2370</v>
      </c>
      <c r="E650" t="s">
        <v>2371</v>
      </c>
      <c r="F650" t="s">
        <v>2006</v>
      </c>
      <c r="G650" t="s">
        <v>5002</v>
      </c>
      <c r="H650">
        <v>9018314250</v>
      </c>
      <c r="I650" t="s">
        <v>2007</v>
      </c>
      <c r="J650" t="s">
        <v>2433</v>
      </c>
      <c r="L650" t="s">
        <v>5003</v>
      </c>
      <c r="M650" t="s">
        <v>2500</v>
      </c>
      <c r="N650" t="s">
        <v>3984</v>
      </c>
      <c r="O650" t="s">
        <v>5004</v>
      </c>
      <c r="Q650" t="s">
        <v>2468</v>
      </c>
      <c r="R650" s="30">
        <v>44753</v>
      </c>
      <c r="S650" t="s">
        <v>44</v>
      </c>
      <c r="T650" s="30">
        <v>45828</v>
      </c>
      <c r="U650" s="20">
        <v>114300</v>
      </c>
      <c r="V650" s="31"/>
      <c r="W650" s="31"/>
      <c r="X650" s="31"/>
      <c r="Y650" s="31"/>
      <c r="Z650" s="31">
        <f>+U650</f>
        <v>114300</v>
      </c>
      <c r="AA650" s="31"/>
      <c r="AB650" s="31"/>
      <c r="AC650" s="31"/>
      <c r="AD650" s="31"/>
      <c r="AE650" s="31"/>
      <c r="AF650" s="31"/>
      <c r="AG650" s="31"/>
      <c r="AH650" s="31"/>
      <c r="AI650" s="32"/>
      <c r="AJ650" s="32"/>
      <c r="AK650" s="32"/>
      <c r="AL650" s="32"/>
      <c r="AM650" s="32">
        <v>19050</v>
      </c>
      <c r="AN650" s="32">
        <v>19050</v>
      </c>
      <c r="AO650" s="32">
        <v>19050</v>
      </c>
      <c r="AP650" s="32">
        <v>19050</v>
      </c>
      <c r="AQ650" s="32">
        <v>19050</v>
      </c>
      <c r="AR650" s="32">
        <v>19050</v>
      </c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CR650">
        <v>829102</v>
      </c>
      <c r="CS650">
        <v>18</v>
      </c>
    </row>
    <row r="651" spans="1:97" x14ac:dyDescent="0.4">
      <c r="A651" t="s">
        <v>2008</v>
      </c>
      <c r="D651" t="s">
        <v>2370</v>
      </c>
      <c r="E651" t="s">
        <v>2371</v>
      </c>
      <c r="F651" t="s">
        <v>2009</v>
      </c>
      <c r="G651" t="s">
        <v>5005</v>
      </c>
      <c r="H651">
        <v>8064477343</v>
      </c>
      <c r="I651" t="s">
        <v>2010</v>
      </c>
      <c r="J651" t="s">
        <v>2433</v>
      </c>
      <c r="L651" t="s">
        <v>5006</v>
      </c>
      <c r="M651" t="s">
        <v>3180</v>
      </c>
      <c r="N651" t="s">
        <v>5007</v>
      </c>
      <c r="O651" t="s">
        <v>5008</v>
      </c>
      <c r="Q651" t="s">
        <v>2468</v>
      </c>
      <c r="R651" s="30">
        <v>44732</v>
      </c>
      <c r="S651" t="s">
        <v>44</v>
      </c>
      <c r="T651" s="30">
        <v>45797</v>
      </c>
      <c r="U651" s="20">
        <v>114300</v>
      </c>
      <c r="V651" s="31"/>
      <c r="W651" s="31"/>
      <c r="X651" s="31"/>
      <c r="Y651" s="31">
        <f>+U651</f>
        <v>114300</v>
      </c>
      <c r="Z651" s="31"/>
      <c r="AA651" s="31"/>
      <c r="AB651" s="31"/>
      <c r="AC651" s="31"/>
      <c r="AD651" s="31"/>
      <c r="AE651" s="31"/>
      <c r="AF651" s="31"/>
      <c r="AG651" s="31"/>
      <c r="AH651" s="31"/>
      <c r="AI651" s="32"/>
      <c r="AJ651" s="32"/>
      <c r="AK651" s="32"/>
      <c r="AL651" s="32">
        <v>19050</v>
      </c>
      <c r="AM651" s="32">
        <v>19050</v>
      </c>
      <c r="AN651" s="32">
        <v>19050</v>
      </c>
      <c r="AO651" s="32">
        <v>19050</v>
      </c>
      <c r="AP651" s="32">
        <v>19050</v>
      </c>
      <c r="AQ651" s="32">
        <v>19050</v>
      </c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CR651">
        <v>892500</v>
      </c>
      <c r="CS651">
        <v>8</v>
      </c>
    </row>
    <row r="652" spans="1:97" x14ac:dyDescent="0.4">
      <c r="A652" t="s">
        <v>2012</v>
      </c>
      <c r="D652" t="s">
        <v>2370</v>
      </c>
      <c r="E652" t="s">
        <v>2371</v>
      </c>
      <c r="F652" t="s">
        <v>2013</v>
      </c>
      <c r="G652" t="s">
        <v>5009</v>
      </c>
      <c r="H652">
        <v>9099551163</v>
      </c>
      <c r="I652" t="s">
        <v>2014</v>
      </c>
      <c r="J652" t="s">
        <v>2433</v>
      </c>
      <c r="L652" t="s">
        <v>5010</v>
      </c>
      <c r="M652" t="s">
        <v>2465</v>
      </c>
      <c r="N652" t="s">
        <v>5011</v>
      </c>
      <c r="O652" t="s">
        <v>5012</v>
      </c>
      <c r="Q652" t="s">
        <v>2468</v>
      </c>
      <c r="R652" s="30">
        <v>44730</v>
      </c>
      <c r="S652" t="s">
        <v>44</v>
      </c>
      <c r="T652" s="30">
        <v>45767</v>
      </c>
      <c r="U652" s="20">
        <v>114300</v>
      </c>
      <c r="V652" s="31"/>
      <c r="W652" s="34"/>
      <c r="X652" s="34">
        <f t="shared" ref="X652:X653" si="116">+U652</f>
        <v>114300</v>
      </c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2"/>
      <c r="AJ652" s="35"/>
      <c r="AK652" s="32">
        <v>19050</v>
      </c>
      <c r="AL652" s="32">
        <v>19050</v>
      </c>
      <c r="AM652" s="32">
        <v>19050</v>
      </c>
      <c r="AN652" s="32">
        <v>19050</v>
      </c>
      <c r="AO652" s="32">
        <v>19050</v>
      </c>
      <c r="AP652" s="32">
        <v>19050</v>
      </c>
      <c r="AQ652" s="32"/>
      <c r="AR652" s="32"/>
      <c r="AS652" s="32"/>
      <c r="AT652" s="32"/>
      <c r="AU652" s="32"/>
      <c r="AV652" s="35"/>
      <c r="AW652" s="35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CR652">
        <v>1003600</v>
      </c>
      <c r="CS652">
        <v>6</v>
      </c>
    </row>
    <row r="653" spans="1:97" x14ac:dyDescent="0.4">
      <c r="A653" t="s">
        <v>2015</v>
      </c>
      <c r="D653" t="s">
        <v>2370</v>
      </c>
      <c r="E653" t="s">
        <v>2371</v>
      </c>
      <c r="F653" t="s">
        <v>2016</v>
      </c>
      <c r="G653" t="s">
        <v>5013</v>
      </c>
      <c r="H653">
        <v>9015321086</v>
      </c>
      <c r="I653" t="s">
        <v>2017</v>
      </c>
      <c r="J653" t="s">
        <v>2433</v>
      </c>
      <c r="L653" t="s">
        <v>5014</v>
      </c>
      <c r="M653" t="s">
        <v>2715</v>
      </c>
      <c r="N653" t="s">
        <v>5015</v>
      </c>
      <c r="O653" t="s">
        <v>5016</v>
      </c>
      <c r="Q653" t="s">
        <v>2637</v>
      </c>
      <c r="R653" s="30">
        <v>44728</v>
      </c>
      <c r="S653" t="s">
        <v>44</v>
      </c>
      <c r="T653" s="30">
        <v>45767</v>
      </c>
      <c r="U653" s="20">
        <v>114300</v>
      </c>
      <c r="V653" s="31"/>
      <c r="W653" s="34"/>
      <c r="X653" s="34">
        <f t="shared" si="116"/>
        <v>114300</v>
      </c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2"/>
      <c r="AJ653" s="35"/>
      <c r="AK653" s="32">
        <v>19050</v>
      </c>
      <c r="AL653" s="32">
        <v>19050</v>
      </c>
      <c r="AM653" s="32">
        <v>19050</v>
      </c>
      <c r="AN653" s="32">
        <v>19050</v>
      </c>
      <c r="AO653" s="32">
        <v>19050</v>
      </c>
      <c r="AP653" s="32">
        <v>19050</v>
      </c>
      <c r="AQ653" s="32"/>
      <c r="AR653" s="32"/>
      <c r="AS653" s="32"/>
      <c r="AT653" s="32"/>
      <c r="AU653" s="32"/>
      <c r="AV653" s="35"/>
      <c r="AW653" s="35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CR653">
        <v>691600</v>
      </c>
      <c r="CS653">
        <v>5</v>
      </c>
    </row>
    <row r="654" spans="1:97" x14ac:dyDescent="0.4">
      <c r="A654" t="s">
        <v>5017</v>
      </c>
      <c r="D654" t="s">
        <v>2370</v>
      </c>
      <c r="E654" t="s">
        <v>2371</v>
      </c>
      <c r="F654" t="s">
        <v>5018</v>
      </c>
      <c r="G654" t="s">
        <v>5019</v>
      </c>
      <c r="H654">
        <v>9058217820</v>
      </c>
      <c r="I654" t="s">
        <v>5020</v>
      </c>
      <c r="J654" t="s">
        <v>2433</v>
      </c>
      <c r="L654" t="s">
        <v>5021</v>
      </c>
      <c r="M654" t="s">
        <v>2518</v>
      </c>
      <c r="N654" t="s">
        <v>5022</v>
      </c>
      <c r="O654" s="41">
        <v>37202</v>
      </c>
      <c r="Q654" t="s">
        <v>2468</v>
      </c>
      <c r="R654" s="30">
        <v>44709</v>
      </c>
      <c r="S654" t="s">
        <v>25</v>
      </c>
      <c r="T654" s="30">
        <v>45797</v>
      </c>
      <c r="U654">
        <v>59400</v>
      </c>
      <c r="V654" s="34"/>
      <c r="W654" s="34"/>
      <c r="X654" s="34"/>
      <c r="Y654" s="31">
        <f>+U654</f>
        <v>59400</v>
      </c>
      <c r="Z654" s="34"/>
      <c r="AA654" s="34"/>
      <c r="AB654" s="34"/>
      <c r="AC654" s="34"/>
      <c r="AD654" s="34"/>
      <c r="AE654" s="34"/>
      <c r="AF654" s="34"/>
      <c r="AG654" s="34"/>
      <c r="AH654" s="34"/>
      <c r="AI654" s="35"/>
      <c r="AJ654" s="35"/>
      <c r="AK654" s="35"/>
      <c r="AL654" s="32">
        <v>19800</v>
      </c>
      <c r="AM654" s="32">
        <v>19800</v>
      </c>
      <c r="AN654" s="32">
        <v>19800</v>
      </c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5"/>
      <c r="AZ654" s="35"/>
      <c r="BA654" s="35"/>
      <c r="BB654" s="35"/>
      <c r="BC654" s="35"/>
      <c r="BD654" s="35"/>
      <c r="BE654" s="35"/>
      <c r="BF654" s="35"/>
      <c r="BG654" s="35"/>
      <c r="CR654">
        <v>692810</v>
      </c>
      <c r="CS654">
        <v>6</v>
      </c>
    </row>
    <row r="655" spans="1:97" x14ac:dyDescent="0.4">
      <c r="A655" t="s">
        <v>2022</v>
      </c>
      <c r="D655" t="s">
        <v>2370</v>
      </c>
      <c r="E655" t="s">
        <v>2371</v>
      </c>
      <c r="F655" t="s">
        <v>2023</v>
      </c>
      <c r="G655" t="s">
        <v>5023</v>
      </c>
      <c r="H655">
        <v>9075387368</v>
      </c>
      <c r="I655" t="s">
        <v>2024</v>
      </c>
      <c r="J655" t="s">
        <v>2433</v>
      </c>
      <c r="L655" t="s">
        <v>5024</v>
      </c>
      <c r="M655" t="s">
        <v>3085</v>
      </c>
      <c r="N655" t="s">
        <v>5025</v>
      </c>
      <c r="O655" t="s">
        <v>5026</v>
      </c>
      <c r="Q655" t="s">
        <v>2468</v>
      </c>
      <c r="R655" s="30">
        <v>44707</v>
      </c>
      <c r="S655" t="s">
        <v>44</v>
      </c>
      <c r="T655" s="30">
        <v>45828</v>
      </c>
      <c r="U655" s="20">
        <v>114300</v>
      </c>
      <c r="V655" s="31"/>
      <c r="W655" s="31"/>
      <c r="X655" s="31"/>
      <c r="Y655" s="31"/>
      <c r="Z655" s="31">
        <f>+U655</f>
        <v>114300</v>
      </c>
      <c r="AA655" s="31"/>
      <c r="AB655" s="31"/>
      <c r="AC655" s="31"/>
      <c r="AD655" s="31"/>
      <c r="AE655" s="31"/>
      <c r="AF655" s="31"/>
      <c r="AG655" s="31"/>
      <c r="AH655" s="31"/>
      <c r="AI655" s="32"/>
      <c r="AJ655" s="32"/>
      <c r="AK655" s="32"/>
      <c r="AL655" s="32"/>
      <c r="AM655" s="32">
        <v>19050</v>
      </c>
      <c r="AN655" s="32">
        <v>19050</v>
      </c>
      <c r="AO655" s="32">
        <v>19050</v>
      </c>
      <c r="AP655" s="32">
        <v>19050</v>
      </c>
      <c r="AQ655" s="32">
        <v>19050</v>
      </c>
      <c r="AR655" s="32">
        <v>19050</v>
      </c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CR655">
        <v>804220</v>
      </c>
      <c r="CS655">
        <v>11</v>
      </c>
    </row>
    <row r="656" spans="1:97" x14ac:dyDescent="0.4">
      <c r="A656" t="s">
        <v>2025</v>
      </c>
      <c r="D656" t="s">
        <v>2370</v>
      </c>
      <c r="E656" t="s">
        <v>2371</v>
      </c>
      <c r="F656" t="s">
        <v>2026</v>
      </c>
      <c r="G656" t="s">
        <v>5027</v>
      </c>
      <c r="H656">
        <v>9090199865</v>
      </c>
      <c r="I656" t="s">
        <v>2027</v>
      </c>
      <c r="J656" t="s">
        <v>2433</v>
      </c>
      <c r="L656" t="s">
        <v>5028</v>
      </c>
      <c r="M656" t="s">
        <v>2598</v>
      </c>
      <c r="N656" t="s">
        <v>5029</v>
      </c>
      <c r="O656">
        <v>186</v>
      </c>
      <c r="Q656" t="s">
        <v>5030</v>
      </c>
      <c r="R656" s="30">
        <v>44707</v>
      </c>
      <c r="S656" t="s">
        <v>44</v>
      </c>
      <c r="T656" s="30">
        <v>45767</v>
      </c>
      <c r="U656" s="20">
        <v>114300</v>
      </c>
      <c r="V656" s="31"/>
      <c r="W656" s="34"/>
      <c r="X656" s="34">
        <f>+U656</f>
        <v>114300</v>
      </c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2"/>
      <c r="AJ656" s="35"/>
      <c r="AK656" s="32">
        <v>19050</v>
      </c>
      <c r="AL656" s="32">
        <v>19050</v>
      </c>
      <c r="AM656" s="32">
        <v>19050</v>
      </c>
      <c r="AN656" s="32">
        <v>19050</v>
      </c>
      <c r="AO656" s="32">
        <v>19050</v>
      </c>
      <c r="AP656" s="32">
        <v>19050</v>
      </c>
      <c r="AQ656" s="32"/>
      <c r="AR656" s="32"/>
      <c r="AS656" s="32"/>
      <c r="AT656" s="32"/>
      <c r="AU656" s="32"/>
      <c r="AV656" s="35"/>
      <c r="AW656" s="35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CR656">
        <v>805120</v>
      </c>
      <c r="CS656">
        <v>14</v>
      </c>
    </row>
    <row r="657" spans="1:97" x14ac:dyDescent="0.4">
      <c r="A657" t="s">
        <v>2028</v>
      </c>
      <c r="D657" t="s">
        <v>2370</v>
      </c>
      <c r="E657" t="s">
        <v>2371</v>
      </c>
      <c r="F657" t="s">
        <v>2029</v>
      </c>
      <c r="G657" t="s">
        <v>5031</v>
      </c>
      <c r="H657">
        <v>8055986748</v>
      </c>
      <c r="I657" t="s">
        <v>2030</v>
      </c>
      <c r="J657" t="s">
        <v>2433</v>
      </c>
      <c r="L657" t="s">
        <v>5032</v>
      </c>
      <c r="M657" t="s">
        <v>2455</v>
      </c>
      <c r="N657" t="s">
        <v>5033</v>
      </c>
      <c r="O657" t="s">
        <v>5034</v>
      </c>
      <c r="R657" s="30">
        <v>44700</v>
      </c>
      <c r="S657" t="s">
        <v>44</v>
      </c>
      <c r="T657" s="30">
        <v>45736</v>
      </c>
      <c r="U657" s="20">
        <v>114300</v>
      </c>
      <c r="V657" s="31"/>
      <c r="W657" s="34">
        <f>+U657</f>
        <v>114300</v>
      </c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2"/>
      <c r="AJ657" s="32">
        <v>19050</v>
      </c>
      <c r="AK657" s="32">
        <v>19050</v>
      </c>
      <c r="AL657" s="32">
        <v>19050</v>
      </c>
      <c r="AM657" s="32">
        <v>19050</v>
      </c>
      <c r="AN657" s="32">
        <v>19050</v>
      </c>
      <c r="AO657" s="32">
        <v>19050</v>
      </c>
      <c r="AP657" s="32"/>
      <c r="AQ657" s="32"/>
      <c r="AR657" s="32"/>
      <c r="AS657" s="32"/>
      <c r="AT657" s="32"/>
      <c r="AU657" s="32"/>
      <c r="AV657" s="35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P657" t="s">
        <v>3335</v>
      </c>
      <c r="BQ657" s="41">
        <v>44854</v>
      </c>
      <c r="CR657">
        <v>1146580</v>
      </c>
      <c r="CS657">
        <v>13</v>
      </c>
    </row>
    <row r="658" spans="1:97" x14ac:dyDescent="0.4">
      <c r="A658" t="s">
        <v>2032</v>
      </c>
      <c r="D658" t="s">
        <v>2370</v>
      </c>
      <c r="E658" t="s">
        <v>2371</v>
      </c>
      <c r="F658" t="s">
        <v>2033</v>
      </c>
      <c r="G658" t="s">
        <v>5035</v>
      </c>
      <c r="H658">
        <v>9049213672</v>
      </c>
      <c r="I658" t="s">
        <v>2034</v>
      </c>
      <c r="J658" t="s">
        <v>2433</v>
      </c>
      <c r="L658" t="s">
        <v>2675</v>
      </c>
      <c r="M658" t="s">
        <v>2676</v>
      </c>
      <c r="N658" t="s">
        <v>2677</v>
      </c>
      <c r="O658" s="42">
        <v>45721</v>
      </c>
      <c r="R658" s="30">
        <v>44700</v>
      </c>
      <c r="S658" t="s">
        <v>1944</v>
      </c>
      <c r="T658" s="30">
        <v>45889</v>
      </c>
      <c r="U658" s="20">
        <v>113220</v>
      </c>
      <c r="V658" s="31"/>
      <c r="W658" s="31"/>
      <c r="X658" s="31"/>
      <c r="Y658" s="31"/>
      <c r="Z658" s="31"/>
      <c r="AA658" s="31"/>
      <c r="AB658" s="31">
        <f>+U658</f>
        <v>113220</v>
      </c>
      <c r="AC658" s="31"/>
      <c r="AD658" s="31"/>
      <c r="AE658" s="31"/>
      <c r="AF658" s="31"/>
      <c r="AG658" s="31"/>
      <c r="AH658" s="31"/>
      <c r="AI658" s="32"/>
      <c r="AJ658" s="32"/>
      <c r="AK658" s="32"/>
      <c r="AL658" s="32"/>
      <c r="AM658" s="32"/>
      <c r="AN658" s="32"/>
      <c r="AO658" s="32">
        <v>9435</v>
      </c>
      <c r="AP658" s="32">
        <v>9435</v>
      </c>
      <c r="AQ658" s="32">
        <v>9435</v>
      </c>
      <c r="AR658" s="32">
        <v>9435</v>
      </c>
      <c r="AS658" s="32">
        <v>9435</v>
      </c>
      <c r="AT658" s="32">
        <v>9435</v>
      </c>
      <c r="AU658" s="32">
        <v>9435</v>
      </c>
      <c r="AV658" s="32">
        <v>9435</v>
      </c>
      <c r="AW658" s="32">
        <v>9435</v>
      </c>
      <c r="AX658" s="32">
        <v>9435</v>
      </c>
      <c r="AY658" s="32">
        <v>9435</v>
      </c>
      <c r="AZ658" s="32">
        <v>9435</v>
      </c>
      <c r="BA658" s="32"/>
      <c r="BB658" s="32"/>
      <c r="BC658" s="32"/>
      <c r="BD658" s="32"/>
      <c r="BE658" s="32"/>
      <c r="BF658" s="32"/>
      <c r="BG658" s="32"/>
      <c r="BP658" t="s">
        <v>3335</v>
      </c>
      <c r="BQ658" s="41">
        <v>44701</v>
      </c>
      <c r="CR658">
        <v>865460</v>
      </c>
      <c r="CS658">
        <v>8</v>
      </c>
    </row>
    <row r="659" spans="1:97" x14ac:dyDescent="0.4">
      <c r="A659" t="s">
        <v>2036</v>
      </c>
      <c r="D659" t="s">
        <v>2370</v>
      </c>
      <c r="E659" t="s">
        <v>2371</v>
      </c>
      <c r="F659" t="s">
        <v>2037</v>
      </c>
      <c r="G659" t="s">
        <v>5036</v>
      </c>
      <c r="H659">
        <v>9065957477</v>
      </c>
      <c r="I659" t="s">
        <v>2038</v>
      </c>
      <c r="J659" t="s">
        <v>2433</v>
      </c>
      <c r="L659" t="s">
        <v>5037</v>
      </c>
      <c r="M659" t="s">
        <v>2451</v>
      </c>
      <c r="N659" t="s">
        <v>5038</v>
      </c>
      <c r="O659" s="33">
        <v>45908</v>
      </c>
      <c r="Q659" t="s">
        <v>2637</v>
      </c>
      <c r="R659" s="30">
        <v>44698</v>
      </c>
      <c r="S659" t="s">
        <v>25</v>
      </c>
      <c r="T659" s="30">
        <v>45736</v>
      </c>
      <c r="U659">
        <v>59400</v>
      </c>
      <c r="V659" s="34"/>
      <c r="W659" s="34">
        <f>+U659</f>
        <v>59400</v>
      </c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5"/>
      <c r="AJ659" s="32">
        <v>19800</v>
      </c>
      <c r="AK659" s="32">
        <v>19800</v>
      </c>
      <c r="AL659" s="32">
        <v>19800</v>
      </c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P659" t="s">
        <v>3335</v>
      </c>
      <c r="BQ659" s="41">
        <v>45463</v>
      </c>
      <c r="CR659">
        <v>839700</v>
      </c>
      <c r="CS659">
        <v>26</v>
      </c>
    </row>
    <row r="660" spans="1:97" x14ac:dyDescent="0.4">
      <c r="A660" t="s">
        <v>2039</v>
      </c>
      <c r="D660" t="s">
        <v>2370</v>
      </c>
      <c r="E660" t="s">
        <v>2371</v>
      </c>
      <c r="F660" t="s">
        <v>2040</v>
      </c>
      <c r="G660" t="s">
        <v>5039</v>
      </c>
      <c r="H660">
        <v>8052028204</v>
      </c>
      <c r="I660" t="s">
        <v>2041</v>
      </c>
      <c r="J660" t="s">
        <v>2433</v>
      </c>
      <c r="L660" t="s">
        <v>5040</v>
      </c>
      <c r="M660" t="s">
        <v>2715</v>
      </c>
      <c r="N660" t="s">
        <v>5041</v>
      </c>
      <c r="O660" t="s">
        <v>5042</v>
      </c>
      <c r="Q660" t="s">
        <v>2637</v>
      </c>
      <c r="R660" s="30">
        <v>44697</v>
      </c>
      <c r="S660" t="s">
        <v>1944</v>
      </c>
      <c r="T660" s="30">
        <v>45889</v>
      </c>
      <c r="U660" s="20">
        <v>113220</v>
      </c>
      <c r="V660" s="31"/>
      <c r="W660" s="31"/>
      <c r="X660" s="31"/>
      <c r="Y660" s="31"/>
      <c r="Z660" s="31"/>
      <c r="AA660" s="31"/>
      <c r="AB660" s="31">
        <f>+U660</f>
        <v>113220</v>
      </c>
      <c r="AC660" s="31"/>
      <c r="AD660" s="31"/>
      <c r="AE660" s="31"/>
      <c r="AF660" s="31"/>
      <c r="AG660" s="31"/>
      <c r="AH660" s="31"/>
      <c r="AI660" s="32"/>
      <c r="AJ660" s="32"/>
      <c r="AK660" s="32"/>
      <c r="AL660" s="32"/>
      <c r="AM660" s="32"/>
      <c r="AN660" s="32"/>
      <c r="AO660" s="32">
        <v>9435</v>
      </c>
      <c r="AP660" s="32">
        <v>9435</v>
      </c>
      <c r="AQ660" s="32">
        <v>9435</v>
      </c>
      <c r="AR660" s="32">
        <v>9435</v>
      </c>
      <c r="AS660" s="32">
        <v>9435</v>
      </c>
      <c r="AT660" s="32">
        <v>9435</v>
      </c>
      <c r="AU660" s="32">
        <v>9435</v>
      </c>
      <c r="AV660" s="32">
        <v>9435</v>
      </c>
      <c r="AW660" s="32">
        <v>9435</v>
      </c>
      <c r="AX660" s="32">
        <v>9435</v>
      </c>
      <c r="AY660" s="32">
        <v>9435</v>
      </c>
      <c r="AZ660" s="32">
        <v>9435</v>
      </c>
      <c r="BA660" s="32"/>
      <c r="BB660" s="32"/>
      <c r="BC660" s="32"/>
      <c r="BD660" s="32"/>
      <c r="BE660" s="32"/>
      <c r="BF660" s="32"/>
      <c r="BG660" s="32"/>
      <c r="BN660" t="s">
        <v>5043</v>
      </c>
      <c r="BO660" s="41">
        <v>45524</v>
      </c>
      <c r="BP660" t="s">
        <v>3335</v>
      </c>
      <c r="BQ660" s="41">
        <v>44701</v>
      </c>
      <c r="CR660">
        <v>1113140</v>
      </c>
      <c r="CS660">
        <v>34</v>
      </c>
    </row>
    <row r="661" spans="1:97" x14ac:dyDescent="0.4">
      <c r="A661" t="s">
        <v>2043</v>
      </c>
      <c r="D661" t="s">
        <v>2370</v>
      </c>
      <c r="E661" t="s">
        <v>2371</v>
      </c>
      <c r="F661" t="s">
        <v>2044</v>
      </c>
      <c r="G661" t="s">
        <v>5044</v>
      </c>
      <c r="H661">
        <v>7053254817</v>
      </c>
      <c r="I661" t="s">
        <v>2045</v>
      </c>
      <c r="J661" t="s">
        <v>2433</v>
      </c>
      <c r="L661" t="s">
        <v>5045</v>
      </c>
      <c r="M661" t="s">
        <v>2500</v>
      </c>
      <c r="N661" t="s">
        <v>5046</v>
      </c>
      <c r="O661" s="40">
        <v>24047</v>
      </c>
      <c r="Q661" t="s">
        <v>2468</v>
      </c>
      <c r="R661" s="30">
        <v>44697</v>
      </c>
      <c r="S661" t="s">
        <v>44</v>
      </c>
      <c r="T661" s="30">
        <v>45736</v>
      </c>
      <c r="U661" s="20">
        <v>114300</v>
      </c>
      <c r="V661" s="31"/>
      <c r="W661" s="34">
        <f t="shared" ref="W661:W662" si="117">+U661</f>
        <v>114300</v>
      </c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2"/>
      <c r="AJ661" s="32">
        <v>19050</v>
      </c>
      <c r="AK661" s="32">
        <v>19050</v>
      </c>
      <c r="AL661" s="32">
        <v>19050</v>
      </c>
      <c r="AM661" s="32">
        <v>19050</v>
      </c>
      <c r="AN661" s="32">
        <v>19050</v>
      </c>
      <c r="AO661" s="32">
        <v>19050</v>
      </c>
      <c r="AP661" s="32"/>
      <c r="AQ661" s="32"/>
      <c r="AR661" s="32"/>
      <c r="AS661" s="32"/>
      <c r="AT661" s="32"/>
      <c r="AU661" s="32"/>
      <c r="AV661" s="35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CR661">
        <v>891500</v>
      </c>
      <c r="CS661">
        <v>7</v>
      </c>
    </row>
    <row r="662" spans="1:97" s="36" customFormat="1" x14ac:dyDescent="0.4">
      <c r="A662" s="36" t="s">
        <v>2046</v>
      </c>
      <c r="D662" s="36" t="s">
        <v>2370</v>
      </c>
      <c r="E662" s="36" t="s">
        <v>2371</v>
      </c>
      <c r="F662" s="36" t="s">
        <v>2047</v>
      </c>
      <c r="G662" s="36" t="s">
        <v>5047</v>
      </c>
      <c r="H662" s="36">
        <v>9083959139</v>
      </c>
      <c r="I662" s="36" t="s">
        <v>2048</v>
      </c>
      <c r="J662" s="36" t="s">
        <v>2433</v>
      </c>
      <c r="L662" s="36" t="s">
        <v>5048</v>
      </c>
      <c r="M662" s="36" t="s">
        <v>3467</v>
      </c>
      <c r="N662" s="36" t="s">
        <v>5049</v>
      </c>
      <c r="O662" s="36" t="s">
        <v>5050</v>
      </c>
      <c r="Q662" s="36" t="s">
        <v>2468</v>
      </c>
      <c r="R662" s="37">
        <v>44696</v>
      </c>
      <c r="S662" s="36" t="s">
        <v>3191</v>
      </c>
      <c r="T662" s="37">
        <v>45736</v>
      </c>
      <c r="U662" s="37"/>
      <c r="V662" s="38"/>
      <c r="W662" s="34">
        <f t="shared" si="117"/>
        <v>0</v>
      </c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9"/>
      <c r="AJ662" s="35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5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CR662" s="36">
        <v>737550</v>
      </c>
      <c r="CS662" s="36">
        <v>11</v>
      </c>
    </row>
    <row r="663" spans="1:97" x14ac:dyDescent="0.4">
      <c r="A663" t="s">
        <v>2049</v>
      </c>
      <c r="D663" t="s">
        <v>2370</v>
      </c>
      <c r="E663" t="s">
        <v>2371</v>
      </c>
      <c r="F663" t="s">
        <v>2050</v>
      </c>
      <c r="G663" t="s">
        <v>5051</v>
      </c>
      <c r="H663">
        <v>9083936656</v>
      </c>
      <c r="I663" t="s">
        <v>2051</v>
      </c>
      <c r="J663" t="s">
        <v>2433</v>
      </c>
      <c r="L663" t="s">
        <v>5052</v>
      </c>
      <c r="M663" t="s">
        <v>4174</v>
      </c>
      <c r="N663" t="s">
        <v>5053</v>
      </c>
      <c r="O663" s="40">
        <v>23774</v>
      </c>
      <c r="Q663" t="s">
        <v>5054</v>
      </c>
      <c r="R663" s="30">
        <v>44687</v>
      </c>
      <c r="S663" t="s">
        <v>44</v>
      </c>
      <c r="T663" s="30">
        <v>45828</v>
      </c>
      <c r="U663" s="20">
        <v>114300</v>
      </c>
      <c r="V663" s="31"/>
      <c r="W663" s="31"/>
      <c r="X663" s="31"/>
      <c r="Y663" s="31"/>
      <c r="Z663" s="31">
        <f>+U663</f>
        <v>114300</v>
      </c>
      <c r="AA663" s="31"/>
      <c r="AB663" s="31"/>
      <c r="AC663" s="31"/>
      <c r="AD663" s="31"/>
      <c r="AE663" s="31"/>
      <c r="AF663" s="31"/>
      <c r="AG663" s="31"/>
      <c r="AH663" s="31"/>
      <c r="AI663" s="32"/>
      <c r="AJ663" s="32"/>
      <c r="AK663" s="32"/>
      <c r="AL663" s="32"/>
      <c r="AM663" s="32">
        <v>19050</v>
      </c>
      <c r="AN663" s="32">
        <v>19050</v>
      </c>
      <c r="AO663" s="32">
        <v>19050</v>
      </c>
      <c r="AP663" s="32">
        <v>19050</v>
      </c>
      <c r="AQ663" s="32">
        <v>19050</v>
      </c>
      <c r="AR663" s="32">
        <v>19050</v>
      </c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CF663" t="s">
        <v>3817</v>
      </c>
      <c r="CG663" s="41">
        <v>44740</v>
      </c>
      <c r="CR663">
        <v>1641670</v>
      </c>
      <c r="CS663">
        <v>19</v>
      </c>
    </row>
    <row r="664" spans="1:97" x14ac:dyDescent="0.4">
      <c r="A664" t="s">
        <v>2052</v>
      </c>
      <c r="D664" t="s">
        <v>2370</v>
      </c>
      <c r="E664" t="s">
        <v>2371</v>
      </c>
      <c r="F664" t="s">
        <v>2053</v>
      </c>
      <c r="G664" t="s">
        <v>5055</v>
      </c>
      <c r="H664">
        <v>9015142225</v>
      </c>
      <c r="I664" t="s">
        <v>2054</v>
      </c>
      <c r="J664" t="s">
        <v>2433</v>
      </c>
      <c r="L664" t="s">
        <v>5056</v>
      </c>
      <c r="M664" t="s">
        <v>2444</v>
      </c>
      <c r="N664" t="s">
        <v>5057</v>
      </c>
      <c r="O664" t="s">
        <v>5058</v>
      </c>
      <c r="Q664" t="s">
        <v>2468</v>
      </c>
      <c r="R664" s="30">
        <v>44680</v>
      </c>
      <c r="S664" t="s">
        <v>44</v>
      </c>
      <c r="T664" s="30">
        <v>45767</v>
      </c>
      <c r="U664" s="20">
        <v>114300</v>
      </c>
      <c r="V664" s="31"/>
      <c r="W664" s="34"/>
      <c r="X664" s="34">
        <f t="shared" ref="X664:X665" si="118">+U664</f>
        <v>114300</v>
      </c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2"/>
      <c r="AJ664" s="35"/>
      <c r="AK664" s="32">
        <v>19050</v>
      </c>
      <c r="AL664" s="32">
        <v>19050</v>
      </c>
      <c r="AM664" s="32">
        <v>19050</v>
      </c>
      <c r="AN664" s="32">
        <v>19050</v>
      </c>
      <c r="AO664" s="32">
        <v>19050</v>
      </c>
      <c r="AP664" s="32">
        <v>19050</v>
      </c>
      <c r="AQ664" s="32"/>
      <c r="AR664" s="32"/>
      <c r="AS664" s="32"/>
      <c r="AT664" s="32"/>
      <c r="AU664" s="32"/>
      <c r="AV664" s="35"/>
      <c r="AW664" s="35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CR664">
        <v>1929200</v>
      </c>
      <c r="CS664">
        <v>12</v>
      </c>
    </row>
    <row r="665" spans="1:97" x14ac:dyDescent="0.4">
      <c r="A665" t="s">
        <v>2055</v>
      </c>
      <c r="D665" t="s">
        <v>2370</v>
      </c>
      <c r="E665" t="s">
        <v>2371</v>
      </c>
      <c r="F665" t="s">
        <v>2056</v>
      </c>
      <c r="G665" t="s">
        <v>5059</v>
      </c>
      <c r="H665">
        <v>8054652617</v>
      </c>
      <c r="I665" t="s">
        <v>2057</v>
      </c>
      <c r="J665" t="s">
        <v>2433</v>
      </c>
      <c r="L665" t="s">
        <v>5060</v>
      </c>
      <c r="M665" t="s">
        <v>2518</v>
      </c>
      <c r="N665" t="s">
        <v>5061</v>
      </c>
      <c r="O665" t="s">
        <v>5062</v>
      </c>
      <c r="Q665" t="s">
        <v>5063</v>
      </c>
      <c r="R665" s="30">
        <v>44656</v>
      </c>
      <c r="S665" t="s">
        <v>44</v>
      </c>
      <c r="T665" s="30">
        <v>45767</v>
      </c>
      <c r="U665" s="20">
        <v>114300</v>
      </c>
      <c r="V665" s="31"/>
      <c r="W665" s="34"/>
      <c r="X665" s="34">
        <f t="shared" si="118"/>
        <v>114300</v>
      </c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2"/>
      <c r="AJ665" s="35"/>
      <c r="AK665" s="32">
        <v>19050</v>
      </c>
      <c r="AL665" s="32">
        <v>19050</v>
      </c>
      <c r="AM665" s="32">
        <v>19050</v>
      </c>
      <c r="AN665" s="32">
        <v>19050</v>
      </c>
      <c r="AO665" s="32">
        <v>19050</v>
      </c>
      <c r="AP665" s="32">
        <v>19050</v>
      </c>
      <c r="AQ665" s="32"/>
      <c r="AR665" s="32"/>
      <c r="AS665" s="32"/>
      <c r="AT665" s="32"/>
      <c r="AU665" s="32"/>
      <c r="AV665" s="35"/>
      <c r="AW665" s="35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CR665">
        <v>691600</v>
      </c>
      <c r="CS665">
        <v>5</v>
      </c>
    </row>
    <row r="666" spans="1:97" x14ac:dyDescent="0.4">
      <c r="A666" t="s">
        <v>2058</v>
      </c>
      <c r="D666" t="s">
        <v>2370</v>
      </c>
      <c r="E666" t="s">
        <v>2371</v>
      </c>
      <c r="F666" t="s">
        <v>2059</v>
      </c>
      <c r="G666" t="s">
        <v>5064</v>
      </c>
      <c r="H666">
        <v>9052950659</v>
      </c>
      <c r="I666" t="s">
        <v>2060</v>
      </c>
      <c r="J666" t="s">
        <v>2433</v>
      </c>
      <c r="L666" t="s">
        <v>5065</v>
      </c>
      <c r="M666" t="s">
        <v>2465</v>
      </c>
      <c r="N666" t="s">
        <v>5066</v>
      </c>
      <c r="O666" t="s">
        <v>5067</v>
      </c>
      <c r="Q666" t="s">
        <v>5063</v>
      </c>
      <c r="R666" s="30">
        <v>44871</v>
      </c>
      <c r="S666" t="s">
        <v>1944</v>
      </c>
      <c r="T666" s="30">
        <v>46073</v>
      </c>
      <c r="U666" s="20">
        <v>113220</v>
      </c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>
        <f>+U666</f>
        <v>113220</v>
      </c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>
        <v>9435</v>
      </c>
      <c r="AV666" s="32">
        <v>9435</v>
      </c>
      <c r="AW666" s="32">
        <v>9435</v>
      </c>
      <c r="AX666" s="32">
        <v>9435</v>
      </c>
      <c r="AY666" s="32">
        <v>9435</v>
      </c>
      <c r="AZ666" s="32">
        <v>9435</v>
      </c>
      <c r="BA666" s="32">
        <v>9435</v>
      </c>
      <c r="BB666" s="32">
        <v>9435</v>
      </c>
      <c r="BC666" s="32">
        <v>9435</v>
      </c>
      <c r="BD666" s="32">
        <v>9435</v>
      </c>
      <c r="BE666" s="32">
        <v>9435</v>
      </c>
      <c r="BF666" s="32">
        <v>9435</v>
      </c>
      <c r="BG666" s="32"/>
      <c r="BP666" t="s">
        <v>3335</v>
      </c>
      <c r="BQ666" s="41">
        <v>44882</v>
      </c>
      <c r="CR666">
        <v>867460</v>
      </c>
      <c r="CS666">
        <v>10</v>
      </c>
    </row>
    <row r="667" spans="1:97" x14ac:dyDescent="0.4">
      <c r="A667" t="s">
        <v>2062</v>
      </c>
      <c r="D667" t="s">
        <v>2370</v>
      </c>
      <c r="E667" t="s">
        <v>2371</v>
      </c>
      <c r="F667" t="s">
        <v>2063</v>
      </c>
      <c r="G667" t="s">
        <v>5068</v>
      </c>
      <c r="H667">
        <v>798558737</v>
      </c>
      <c r="I667" t="s">
        <v>2064</v>
      </c>
      <c r="J667" t="s">
        <v>2433</v>
      </c>
      <c r="L667" t="s">
        <v>5069</v>
      </c>
      <c r="M667" t="s">
        <v>2460</v>
      </c>
      <c r="N667" t="s">
        <v>5070</v>
      </c>
      <c r="O667" t="s">
        <v>5071</v>
      </c>
      <c r="R667" s="30">
        <v>44594</v>
      </c>
      <c r="S667" t="s">
        <v>44</v>
      </c>
      <c r="T667" s="30">
        <v>45736</v>
      </c>
      <c r="U667" s="20">
        <v>114300</v>
      </c>
      <c r="V667" s="31"/>
      <c r="W667" s="34">
        <f>+U667</f>
        <v>114300</v>
      </c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2"/>
      <c r="AJ667" s="32">
        <v>19050</v>
      </c>
      <c r="AK667" s="32">
        <v>19050</v>
      </c>
      <c r="AL667" s="32">
        <v>19050</v>
      </c>
      <c r="AM667" s="32">
        <v>19050</v>
      </c>
      <c r="AN667" s="32">
        <v>19050</v>
      </c>
      <c r="AO667" s="32">
        <v>19050</v>
      </c>
      <c r="AP667" s="32"/>
      <c r="AQ667" s="32"/>
      <c r="AR667" s="32"/>
      <c r="AS667" s="32"/>
      <c r="AT667" s="32"/>
      <c r="AU667" s="32"/>
      <c r="AV667" s="35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P667" t="s">
        <v>3335</v>
      </c>
      <c r="BQ667" s="41">
        <v>45091</v>
      </c>
      <c r="CR667">
        <v>1121500</v>
      </c>
      <c r="CS667">
        <v>21</v>
      </c>
    </row>
    <row r="668" spans="1:97" x14ac:dyDescent="0.4">
      <c r="A668" t="s">
        <v>2066</v>
      </c>
      <c r="D668" t="s">
        <v>2370</v>
      </c>
      <c r="E668" t="s">
        <v>2371</v>
      </c>
      <c r="F668" t="s">
        <v>2067</v>
      </c>
      <c r="G668" t="s">
        <v>5072</v>
      </c>
      <c r="H668">
        <v>9097817008</v>
      </c>
      <c r="I668" t="s">
        <v>2068</v>
      </c>
      <c r="J668" t="s">
        <v>2433</v>
      </c>
      <c r="L668" t="s">
        <v>5073</v>
      </c>
      <c r="M668" t="s">
        <v>2960</v>
      </c>
      <c r="N668" t="s">
        <v>5074</v>
      </c>
      <c r="O668" t="s">
        <v>5075</v>
      </c>
      <c r="R668" s="30">
        <v>44593</v>
      </c>
      <c r="S668" t="s">
        <v>1944</v>
      </c>
      <c r="T668" s="30">
        <v>45889</v>
      </c>
      <c r="U668" s="20">
        <v>113220</v>
      </c>
      <c r="V668" s="31"/>
      <c r="W668" s="31"/>
      <c r="X668" s="31"/>
      <c r="Y668" s="31"/>
      <c r="Z668" s="31"/>
      <c r="AA668" s="31"/>
      <c r="AB668" s="31">
        <f>+U668</f>
        <v>113220</v>
      </c>
      <c r="AC668" s="31"/>
      <c r="AD668" s="31"/>
      <c r="AE668" s="31"/>
      <c r="AF668" s="31"/>
      <c r="AG668" s="31"/>
      <c r="AH668" s="31"/>
      <c r="AI668" s="32"/>
      <c r="AJ668" s="32"/>
      <c r="AK668" s="32"/>
      <c r="AL668" s="32"/>
      <c r="AM668" s="32"/>
      <c r="AN668" s="32"/>
      <c r="AO668" s="32">
        <v>9435</v>
      </c>
      <c r="AP668" s="32">
        <v>9435</v>
      </c>
      <c r="AQ668" s="32">
        <v>9435</v>
      </c>
      <c r="AR668" s="32">
        <v>9435</v>
      </c>
      <c r="AS668" s="32">
        <v>9435</v>
      </c>
      <c r="AT668" s="32">
        <v>9435</v>
      </c>
      <c r="AU668" s="32">
        <v>9435</v>
      </c>
      <c r="AV668" s="32">
        <v>9435</v>
      </c>
      <c r="AW668" s="32">
        <v>9435</v>
      </c>
      <c r="AX668" s="32">
        <v>9435</v>
      </c>
      <c r="AY668" s="32">
        <v>9435</v>
      </c>
      <c r="AZ668" s="32">
        <v>9435</v>
      </c>
      <c r="BA668" s="32"/>
      <c r="BB668" s="32"/>
      <c r="BC668" s="32"/>
      <c r="BD668" s="32"/>
      <c r="BE668" s="32"/>
      <c r="BF668" s="32"/>
      <c r="BG668" s="32"/>
      <c r="BP668" t="s">
        <v>3335</v>
      </c>
      <c r="BQ668" s="41">
        <v>44701</v>
      </c>
      <c r="CR668">
        <v>897460</v>
      </c>
      <c r="CS668">
        <v>13</v>
      </c>
    </row>
    <row r="669" spans="1:97" x14ac:dyDescent="0.4">
      <c r="A669" t="s">
        <v>2070</v>
      </c>
      <c r="D669" t="s">
        <v>2370</v>
      </c>
      <c r="E669" t="s">
        <v>2371</v>
      </c>
      <c r="F669" t="s">
        <v>2071</v>
      </c>
      <c r="G669" t="s">
        <v>5076</v>
      </c>
      <c r="H669">
        <v>9073444140</v>
      </c>
      <c r="I669" t="s">
        <v>2072</v>
      </c>
      <c r="J669" t="s">
        <v>2433</v>
      </c>
      <c r="L669" t="s">
        <v>5077</v>
      </c>
      <c r="M669" t="s">
        <v>2435</v>
      </c>
      <c r="N669" t="s">
        <v>5078</v>
      </c>
      <c r="O669" t="s">
        <v>5079</v>
      </c>
      <c r="Q669" t="s">
        <v>2637</v>
      </c>
      <c r="R669" s="30">
        <v>44583</v>
      </c>
      <c r="S669" t="s">
        <v>1944</v>
      </c>
      <c r="T669" s="30">
        <v>45858</v>
      </c>
      <c r="U669" s="20">
        <v>113220</v>
      </c>
      <c r="V669" s="31"/>
      <c r="W669" s="31"/>
      <c r="X669" s="31"/>
      <c r="Y669" s="31"/>
      <c r="Z669" s="31"/>
      <c r="AA669" s="31">
        <f>+U669</f>
        <v>113220</v>
      </c>
      <c r="AB669" s="31"/>
      <c r="AC669" s="31"/>
      <c r="AD669" s="31"/>
      <c r="AE669" s="31"/>
      <c r="AF669" s="31"/>
      <c r="AG669" s="31"/>
      <c r="AH669" s="31"/>
      <c r="AI669" s="32"/>
      <c r="AJ669" s="32"/>
      <c r="AK669" s="32"/>
      <c r="AL669" s="32"/>
      <c r="AM669" s="32"/>
      <c r="AN669" s="32">
        <v>9435</v>
      </c>
      <c r="AO669" s="32">
        <v>9435</v>
      </c>
      <c r="AP669" s="32">
        <v>9435</v>
      </c>
      <c r="AQ669" s="32">
        <v>9435</v>
      </c>
      <c r="AR669" s="32">
        <v>9435</v>
      </c>
      <c r="AS669" s="32">
        <v>9435</v>
      </c>
      <c r="AT669" s="32">
        <v>9435</v>
      </c>
      <c r="AU669" s="32">
        <v>9435</v>
      </c>
      <c r="AV669" s="32">
        <v>9435</v>
      </c>
      <c r="AW669" s="32">
        <v>9435</v>
      </c>
      <c r="AX669" s="32">
        <v>9435</v>
      </c>
      <c r="AY669" s="32">
        <v>9435</v>
      </c>
      <c r="AZ669" s="32"/>
      <c r="BA669" s="32"/>
      <c r="BB669" s="32"/>
      <c r="BC669" s="32"/>
      <c r="BD669" s="32"/>
      <c r="BE669" s="32"/>
      <c r="BF669" s="32"/>
      <c r="BG669" s="32"/>
      <c r="CR669">
        <v>1093520</v>
      </c>
      <c r="CS669">
        <v>17</v>
      </c>
    </row>
    <row r="670" spans="1:97" x14ac:dyDescent="0.4">
      <c r="A670" t="s">
        <v>2075</v>
      </c>
      <c r="D670" t="s">
        <v>2370</v>
      </c>
      <c r="E670" t="s">
        <v>2371</v>
      </c>
      <c r="F670" t="s">
        <v>2076</v>
      </c>
      <c r="G670" t="s">
        <v>5080</v>
      </c>
      <c r="H670">
        <v>9068080019</v>
      </c>
      <c r="I670" t="s">
        <v>2077</v>
      </c>
      <c r="J670" t="s">
        <v>2433</v>
      </c>
      <c r="L670" t="s">
        <v>5081</v>
      </c>
      <c r="M670" t="s">
        <v>3180</v>
      </c>
      <c r="N670" t="s">
        <v>5082</v>
      </c>
      <c r="O670">
        <v>69</v>
      </c>
      <c r="Q670" t="s">
        <v>2637</v>
      </c>
      <c r="R670" s="30">
        <v>44551</v>
      </c>
      <c r="S670" t="s">
        <v>44</v>
      </c>
      <c r="T670" s="30">
        <v>45767</v>
      </c>
      <c r="U670" s="20">
        <v>114300</v>
      </c>
      <c r="V670" s="31"/>
      <c r="W670" s="34"/>
      <c r="X670" s="34">
        <f>+U670</f>
        <v>114300</v>
      </c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2"/>
      <c r="AJ670" s="35"/>
      <c r="AK670" s="32">
        <v>19050</v>
      </c>
      <c r="AL670" s="32">
        <v>19050</v>
      </c>
      <c r="AM670" s="32">
        <v>19050</v>
      </c>
      <c r="AN670" s="32">
        <v>19050</v>
      </c>
      <c r="AO670" s="32">
        <v>19050</v>
      </c>
      <c r="AP670" s="32">
        <v>19050</v>
      </c>
      <c r="AQ670" s="32"/>
      <c r="AR670" s="32"/>
      <c r="AS670" s="32"/>
      <c r="AT670" s="32"/>
      <c r="AU670" s="32"/>
      <c r="AV670" s="35"/>
      <c r="AW670" s="35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CR670">
        <v>1149950</v>
      </c>
      <c r="CS670">
        <v>19</v>
      </c>
    </row>
    <row r="671" spans="1:97" x14ac:dyDescent="0.4">
      <c r="A671" t="s">
        <v>2082</v>
      </c>
      <c r="D671" t="s">
        <v>2370</v>
      </c>
      <c r="E671" t="s">
        <v>2371</v>
      </c>
      <c r="F671" t="s">
        <v>2083</v>
      </c>
      <c r="G671" t="s">
        <v>5083</v>
      </c>
      <c r="H671">
        <v>8022117036</v>
      </c>
      <c r="I671" t="s">
        <v>2084</v>
      </c>
      <c r="J671" t="s">
        <v>2433</v>
      </c>
      <c r="L671" t="s">
        <v>5084</v>
      </c>
      <c r="M671" t="s">
        <v>2444</v>
      </c>
      <c r="N671" t="s">
        <v>5085</v>
      </c>
      <c r="O671" t="s">
        <v>5086</v>
      </c>
      <c r="R671" s="30">
        <v>44457</v>
      </c>
      <c r="S671" t="s">
        <v>1944</v>
      </c>
      <c r="T671" s="30">
        <v>46073</v>
      </c>
      <c r="U671" s="20">
        <v>113220</v>
      </c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>
        <f>+U671</f>
        <v>113220</v>
      </c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>
        <v>9435</v>
      </c>
      <c r="AV671" s="32">
        <v>9435</v>
      </c>
      <c r="AW671" s="32">
        <v>9435</v>
      </c>
      <c r="AX671" s="32">
        <v>9435</v>
      </c>
      <c r="AY671" s="32">
        <v>9435</v>
      </c>
      <c r="AZ671" s="32">
        <v>9435</v>
      </c>
      <c r="BA671" s="32">
        <v>9435</v>
      </c>
      <c r="BB671" s="32">
        <v>9435</v>
      </c>
      <c r="BC671" s="32">
        <v>9435</v>
      </c>
      <c r="BD671" s="32">
        <v>9435</v>
      </c>
      <c r="BE671" s="32">
        <v>9435</v>
      </c>
      <c r="BF671" s="32">
        <v>9435</v>
      </c>
      <c r="BG671" s="32"/>
      <c r="BP671" t="s">
        <v>3335</v>
      </c>
      <c r="BQ671" s="41">
        <v>44516</v>
      </c>
      <c r="CD671" t="s">
        <v>5087</v>
      </c>
      <c r="CE671" s="41">
        <v>44885</v>
      </c>
      <c r="CR671">
        <v>1071240</v>
      </c>
      <c r="CS671">
        <v>43</v>
      </c>
    </row>
    <row r="672" spans="1:97" x14ac:dyDescent="0.4">
      <c r="A672" t="s">
        <v>2085</v>
      </c>
      <c r="D672" t="s">
        <v>2370</v>
      </c>
      <c r="E672" t="s">
        <v>2371</v>
      </c>
      <c r="F672" t="s">
        <v>2086</v>
      </c>
      <c r="G672" t="s">
        <v>5088</v>
      </c>
      <c r="H672">
        <v>9015897212</v>
      </c>
      <c r="I672" t="s">
        <v>2087</v>
      </c>
      <c r="J672" t="s">
        <v>2433</v>
      </c>
      <c r="L672" t="s">
        <v>5089</v>
      </c>
      <c r="M672" t="s">
        <v>2630</v>
      </c>
      <c r="N672" t="s">
        <v>5090</v>
      </c>
      <c r="O672" t="s">
        <v>5091</v>
      </c>
      <c r="R672" s="30">
        <v>44455</v>
      </c>
      <c r="S672" t="s">
        <v>25</v>
      </c>
      <c r="T672" s="30">
        <v>45767</v>
      </c>
      <c r="U672">
        <v>59400</v>
      </c>
      <c r="V672" s="34"/>
      <c r="W672" s="34"/>
      <c r="X672" s="34">
        <f t="shared" ref="X672:X673" si="119">+U672</f>
        <v>59400</v>
      </c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5"/>
      <c r="AJ672" s="35"/>
      <c r="AK672" s="32">
        <v>19800</v>
      </c>
      <c r="AL672" s="32">
        <v>19800</v>
      </c>
      <c r="AM672" s="32">
        <v>19800</v>
      </c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P672" t="s">
        <v>3335</v>
      </c>
      <c r="BQ672" s="41">
        <v>45280</v>
      </c>
      <c r="CR672">
        <v>799320</v>
      </c>
      <c r="CS672">
        <v>31</v>
      </c>
    </row>
    <row r="673" spans="1:97" x14ac:dyDescent="0.4">
      <c r="A673" t="s">
        <v>2088</v>
      </c>
      <c r="D673" t="s">
        <v>2370</v>
      </c>
      <c r="E673" t="s">
        <v>2371</v>
      </c>
      <c r="F673" t="s">
        <v>2089</v>
      </c>
      <c r="G673" t="s">
        <v>5092</v>
      </c>
      <c r="H673">
        <v>9099015678</v>
      </c>
      <c r="I673" t="s">
        <v>2090</v>
      </c>
      <c r="J673" t="s">
        <v>2433</v>
      </c>
      <c r="L673" t="s">
        <v>5093</v>
      </c>
      <c r="M673" t="s">
        <v>2500</v>
      </c>
      <c r="N673" t="s">
        <v>5094</v>
      </c>
      <c r="O673" t="s">
        <v>5095</v>
      </c>
      <c r="R673" s="30">
        <v>44454</v>
      </c>
      <c r="S673" t="s">
        <v>44</v>
      </c>
      <c r="T673" s="30">
        <v>45767</v>
      </c>
      <c r="U673" s="20">
        <v>114300</v>
      </c>
      <c r="V673" s="31"/>
      <c r="W673" s="34"/>
      <c r="X673" s="34">
        <f t="shared" si="119"/>
        <v>114300</v>
      </c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2"/>
      <c r="AJ673" s="35"/>
      <c r="AK673" s="32">
        <v>19050</v>
      </c>
      <c r="AL673" s="32">
        <v>19050</v>
      </c>
      <c r="AM673" s="32">
        <v>19050</v>
      </c>
      <c r="AN673" s="32">
        <v>19050</v>
      </c>
      <c r="AO673" s="32">
        <v>19050</v>
      </c>
      <c r="AP673" s="32">
        <v>19050</v>
      </c>
      <c r="AQ673" s="32"/>
      <c r="AR673" s="32"/>
      <c r="AS673" s="32"/>
      <c r="AT673" s="32"/>
      <c r="AU673" s="32"/>
      <c r="AV673" s="35"/>
      <c r="AW673" s="35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P673" t="s">
        <v>3335</v>
      </c>
      <c r="BQ673" s="41">
        <v>44509</v>
      </c>
      <c r="CR673">
        <v>862140</v>
      </c>
      <c r="CS673">
        <v>14</v>
      </c>
    </row>
    <row r="674" spans="1:97" x14ac:dyDescent="0.4">
      <c r="A674" t="s">
        <v>2094</v>
      </c>
      <c r="D674" t="s">
        <v>2370</v>
      </c>
      <c r="E674" t="s">
        <v>2371</v>
      </c>
      <c r="F674" t="s">
        <v>2095</v>
      </c>
      <c r="G674" t="s">
        <v>5096</v>
      </c>
      <c r="H674">
        <v>8055191190</v>
      </c>
      <c r="I674" t="s">
        <v>2096</v>
      </c>
      <c r="J674" t="s">
        <v>2433</v>
      </c>
      <c r="L674" t="s">
        <v>5097</v>
      </c>
      <c r="M674" t="s">
        <v>2444</v>
      </c>
      <c r="N674" t="s">
        <v>5098</v>
      </c>
      <c r="O674" t="s">
        <v>5099</v>
      </c>
      <c r="R674" s="30">
        <v>44075</v>
      </c>
      <c r="S674" t="s">
        <v>1944</v>
      </c>
      <c r="T674" s="30">
        <v>45889</v>
      </c>
      <c r="U674" s="20">
        <v>113220</v>
      </c>
      <c r="V674" s="31"/>
      <c r="W674" s="31"/>
      <c r="X674" s="31"/>
      <c r="Y674" s="31"/>
      <c r="Z674" s="31"/>
      <c r="AA674" s="31"/>
      <c r="AB674" s="31">
        <f t="shared" ref="AB674:AB675" si="120">+U674</f>
        <v>113220</v>
      </c>
      <c r="AC674" s="31"/>
      <c r="AD674" s="31"/>
      <c r="AE674" s="31"/>
      <c r="AF674" s="31"/>
      <c r="AG674" s="31"/>
      <c r="AH674" s="31"/>
      <c r="AI674" s="32"/>
      <c r="AJ674" s="32"/>
      <c r="AK674" s="32"/>
      <c r="AL674" s="32"/>
      <c r="AM674" s="32"/>
      <c r="AN674" s="32"/>
      <c r="AO674" s="32">
        <v>9435</v>
      </c>
      <c r="AP674" s="32">
        <v>9435</v>
      </c>
      <c r="AQ674" s="32">
        <v>9435</v>
      </c>
      <c r="AR674" s="32">
        <v>9435</v>
      </c>
      <c r="AS674" s="32">
        <v>9435</v>
      </c>
      <c r="AT674" s="32">
        <v>9435</v>
      </c>
      <c r="AU674" s="32">
        <v>9435</v>
      </c>
      <c r="AV674" s="32">
        <v>9435</v>
      </c>
      <c r="AW674" s="32">
        <v>9435</v>
      </c>
      <c r="AX674" s="32">
        <v>9435</v>
      </c>
      <c r="AY674" s="32">
        <v>9435</v>
      </c>
      <c r="AZ674" s="32">
        <v>9435</v>
      </c>
      <c r="BA674" s="32"/>
      <c r="BB674" s="32"/>
      <c r="BC674" s="32"/>
      <c r="BD674" s="32"/>
      <c r="BE674" s="32"/>
      <c r="BF674" s="32"/>
      <c r="BG674" s="32"/>
      <c r="BP674" t="s">
        <v>3335</v>
      </c>
      <c r="BQ674" s="41">
        <v>44509</v>
      </c>
      <c r="CR674">
        <v>995260</v>
      </c>
      <c r="CS674">
        <v>11</v>
      </c>
    </row>
    <row r="675" spans="1:97" x14ac:dyDescent="0.4">
      <c r="A675" t="s">
        <v>2097</v>
      </c>
      <c r="D675" t="s">
        <v>2370</v>
      </c>
      <c r="E675" t="s">
        <v>2371</v>
      </c>
      <c r="F675" t="s">
        <v>2098</v>
      </c>
      <c r="G675" t="s">
        <v>5100</v>
      </c>
      <c r="H675">
        <v>926003000</v>
      </c>
      <c r="I675" t="s">
        <v>2099</v>
      </c>
      <c r="J675" t="s">
        <v>2433</v>
      </c>
      <c r="L675" t="s">
        <v>5101</v>
      </c>
      <c r="M675" t="s">
        <v>2715</v>
      </c>
      <c r="N675" t="s">
        <v>5102</v>
      </c>
      <c r="O675" s="33">
        <v>45742</v>
      </c>
      <c r="R675" s="30">
        <v>43799</v>
      </c>
      <c r="S675" t="s">
        <v>1944</v>
      </c>
      <c r="T675" s="30">
        <v>45889</v>
      </c>
      <c r="U675" s="20">
        <v>113220</v>
      </c>
      <c r="V675" s="31"/>
      <c r="W675" s="31"/>
      <c r="X675" s="31"/>
      <c r="Y675" s="31"/>
      <c r="Z675" s="31"/>
      <c r="AA675" s="31"/>
      <c r="AB675" s="31">
        <f t="shared" si="120"/>
        <v>113220</v>
      </c>
      <c r="AC675" s="31"/>
      <c r="AD675" s="31"/>
      <c r="AE675" s="31"/>
      <c r="AF675" s="31"/>
      <c r="AG675" s="31"/>
      <c r="AH675" s="31"/>
      <c r="AI675" s="32"/>
      <c r="AJ675" s="32"/>
      <c r="AK675" s="32"/>
      <c r="AL675" s="32"/>
      <c r="AM675" s="32"/>
      <c r="AN675" s="32"/>
      <c r="AO675" s="32">
        <v>9435</v>
      </c>
      <c r="AP675" s="32">
        <v>9435</v>
      </c>
      <c r="AQ675" s="32">
        <v>9435</v>
      </c>
      <c r="AR675" s="32">
        <v>9435</v>
      </c>
      <c r="AS675" s="32">
        <v>9435</v>
      </c>
      <c r="AT675" s="32">
        <v>9435</v>
      </c>
      <c r="AU675" s="32">
        <v>9435</v>
      </c>
      <c r="AV675" s="32">
        <v>9435</v>
      </c>
      <c r="AW675" s="32">
        <v>9435</v>
      </c>
      <c r="AX675" s="32">
        <v>9435</v>
      </c>
      <c r="AY675" s="32">
        <v>9435</v>
      </c>
      <c r="AZ675" s="32">
        <v>9435</v>
      </c>
      <c r="BA675" s="32"/>
      <c r="BB675" s="32"/>
      <c r="BC675" s="32"/>
      <c r="BD675" s="32"/>
      <c r="BE675" s="32"/>
      <c r="BF675" s="32"/>
      <c r="BG675" s="32"/>
      <c r="BP675" t="s">
        <v>3335</v>
      </c>
      <c r="BQ675" s="41">
        <v>44510</v>
      </c>
      <c r="CR675">
        <v>885040</v>
      </c>
      <c r="CS675">
        <v>13</v>
      </c>
    </row>
    <row r="676" spans="1:97" x14ac:dyDescent="0.4">
      <c r="A676" t="s">
        <v>2101</v>
      </c>
      <c r="D676" t="s">
        <v>2370</v>
      </c>
      <c r="E676" t="s">
        <v>2371</v>
      </c>
      <c r="F676" t="s">
        <v>2102</v>
      </c>
      <c r="G676" t="s">
        <v>5103</v>
      </c>
      <c r="H676">
        <v>474873239</v>
      </c>
      <c r="I676" t="s">
        <v>2103</v>
      </c>
      <c r="J676" t="s">
        <v>2433</v>
      </c>
      <c r="L676" t="s">
        <v>5104</v>
      </c>
      <c r="M676" t="s">
        <v>2598</v>
      </c>
      <c r="N676" t="s">
        <v>5105</v>
      </c>
      <c r="O676" s="41">
        <v>38171</v>
      </c>
      <c r="R676" s="30">
        <v>44451</v>
      </c>
      <c r="S676" t="s">
        <v>1944</v>
      </c>
      <c r="T676" s="30">
        <v>45797</v>
      </c>
      <c r="U676" s="20">
        <v>113220</v>
      </c>
      <c r="V676" s="31"/>
      <c r="W676" s="31"/>
      <c r="X676" s="31"/>
      <c r="Y676" s="31">
        <f>+U676</f>
        <v>113220</v>
      </c>
      <c r="Z676" s="31"/>
      <c r="AA676" s="31"/>
      <c r="AB676" s="31"/>
      <c r="AC676" s="31"/>
      <c r="AD676" s="31"/>
      <c r="AE676" s="31"/>
      <c r="AF676" s="31"/>
      <c r="AG676" s="31"/>
      <c r="AH676" s="31"/>
      <c r="AI676" s="32"/>
      <c r="AJ676" s="32"/>
      <c r="AK676" s="32"/>
      <c r="AL676" s="32">
        <v>9435</v>
      </c>
      <c r="AM676" s="32">
        <v>9435</v>
      </c>
      <c r="AN676" s="32">
        <v>9435</v>
      </c>
      <c r="AO676" s="32">
        <v>9435</v>
      </c>
      <c r="AP676" s="32">
        <v>9435</v>
      </c>
      <c r="AQ676" s="32">
        <v>9435</v>
      </c>
      <c r="AR676" s="32">
        <v>9435</v>
      </c>
      <c r="AS676" s="32">
        <v>9435</v>
      </c>
      <c r="AT676" s="32">
        <v>9435</v>
      </c>
      <c r="AU676" s="32">
        <v>9435</v>
      </c>
      <c r="AV676" s="32">
        <v>9435</v>
      </c>
      <c r="AW676" s="32">
        <v>9435</v>
      </c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P676" t="s">
        <v>3335</v>
      </c>
      <c r="BQ676" s="41">
        <v>44511</v>
      </c>
      <c r="CR676">
        <v>1056090</v>
      </c>
      <c r="CS676">
        <v>12</v>
      </c>
    </row>
    <row r="677" spans="1:97" x14ac:dyDescent="0.4">
      <c r="A677" t="s">
        <v>2106</v>
      </c>
      <c r="D677" t="s">
        <v>2370</v>
      </c>
      <c r="E677" t="s">
        <v>2371</v>
      </c>
      <c r="F677" t="s">
        <v>2107</v>
      </c>
      <c r="G677" t="s">
        <v>5106</v>
      </c>
      <c r="H677">
        <v>9041108854</v>
      </c>
      <c r="I677" t="s">
        <v>2108</v>
      </c>
      <c r="J677" t="s">
        <v>2433</v>
      </c>
      <c r="L677" t="s">
        <v>5107</v>
      </c>
      <c r="M677" t="s">
        <v>3488</v>
      </c>
      <c r="N677" t="s">
        <v>5108</v>
      </c>
      <c r="O677" t="s">
        <v>5109</v>
      </c>
      <c r="Q677" t="s">
        <v>2637</v>
      </c>
      <c r="R677" s="30">
        <v>44451</v>
      </c>
      <c r="S677" t="s">
        <v>1944</v>
      </c>
      <c r="T677" s="30">
        <v>46073</v>
      </c>
      <c r="U677" s="20">
        <v>113220</v>
      </c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>
        <f>+U677</f>
        <v>113220</v>
      </c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>
        <v>9435</v>
      </c>
      <c r="AV677" s="32">
        <v>9435</v>
      </c>
      <c r="AW677" s="32">
        <v>9435</v>
      </c>
      <c r="AX677" s="32">
        <v>9435</v>
      </c>
      <c r="AY677" s="32">
        <v>9435</v>
      </c>
      <c r="AZ677" s="32">
        <v>9435</v>
      </c>
      <c r="BA677" s="32">
        <v>9435</v>
      </c>
      <c r="BB677" s="32">
        <v>9435</v>
      </c>
      <c r="BC677" s="32">
        <v>9435</v>
      </c>
      <c r="BD677" s="32">
        <v>9435</v>
      </c>
      <c r="BE677" s="32">
        <v>9435</v>
      </c>
      <c r="BF677" s="32">
        <v>9435</v>
      </c>
      <c r="BG677" s="32"/>
      <c r="BP677" t="s">
        <v>3335</v>
      </c>
      <c r="BQ677" s="41">
        <v>44520</v>
      </c>
      <c r="CD677" t="s">
        <v>5087</v>
      </c>
      <c r="CE677" s="41">
        <v>44885</v>
      </c>
      <c r="CR677">
        <v>1225820</v>
      </c>
      <c r="CS677">
        <v>24</v>
      </c>
    </row>
    <row r="678" spans="1:97" x14ac:dyDescent="0.4">
      <c r="A678" t="s">
        <v>2109</v>
      </c>
      <c r="D678" t="s">
        <v>2370</v>
      </c>
      <c r="E678" t="s">
        <v>2371</v>
      </c>
      <c r="F678" t="s">
        <v>2110</v>
      </c>
      <c r="G678" t="s">
        <v>5110</v>
      </c>
      <c r="H678">
        <v>9035962054</v>
      </c>
      <c r="I678" t="s">
        <v>2111</v>
      </c>
      <c r="J678" t="s">
        <v>2433</v>
      </c>
      <c r="L678" t="s">
        <v>5111</v>
      </c>
      <c r="M678" t="s">
        <v>2444</v>
      </c>
      <c r="N678" t="s">
        <v>5112</v>
      </c>
      <c r="O678" s="33">
        <v>45795</v>
      </c>
      <c r="R678" s="30">
        <v>43304</v>
      </c>
      <c r="S678" t="s">
        <v>1944</v>
      </c>
      <c r="T678" s="30">
        <v>45797</v>
      </c>
      <c r="U678" s="20">
        <v>113220</v>
      </c>
      <c r="V678" s="31"/>
      <c r="W678" s="31"/>
      <c r="X678" s="31"/>
      <c r="Y678" s="31">
        <f>+U678</f>
        <v>113220</v>
      </c>
      <c r="Z678" s="31"/>
      <c r="AA678" s="31"/>
      <c r="AB678" s="31"/>
      <c r="AC678" s="31"/>
      <c r="AD678" s="31"/>
      <c r="AE678" s="31"/>
      <c r="AF678" s="31"/>
      <c r="AG678" s="31"/>
      <c r="AH678" s="31"/>
      <c r="AI678" s="32"/>
      <c r="AJ678" s="32"/>
      <c r="AK678" s="32"/>
      <c r="AL678" s="32">
        <v>9435</v>
      </c>
      <c r="AM678" s="32">
        <v>9435</v>
      </c>
      <c r="AN678" s="32">
        <v>9435</v>
      </c>
      <c r="AO678" s="32">
        <v>9435</v>
      </c>
      <c r="AP678" s="32">
        <v>9435</v>
      </c>
      <c r="AQ678" s="32">
        <v>9435</v>
      </c>
      <c r="AR678" s="32">
        <v>9435</v>
      </c>
      <c r="AS678" s="32">
        <v>9435</v>
      </c>
      <c r="AT678" s="32">
        <v>9435</v>
      </c>
      <c r="AU678" s="32">
        <v>9435</v>
      </c>
      <c r="AV678" s="32">
        <v>9435</v>
      </c>
      <c r="AW678" s="32">
        <v>9435</v>
      </c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P678" t="s">
        <v>3335</v>
      </c>
      <c r="BQ678" s="41">
        <v>44511</v>
      </c>
      <c r="CR678">
        <v>1008260</v>
      </c>
      <c r="CS678">
        <v>15</v>
      </c>
    </row>
    <row r="679" spans="1:97" x14ac:dyDescent="0.4">
      <c r="A679" t="s">
        <v>2113</v>
      </c>
      <c r="D679" t="s">
        <v>2370</v>
      </c>
      <c r="E679" t="s">
        <v>2371</v>
      </c>
      <c r="F679" t="s">
        <v>2114</v>
      </c>
      <c r="G679" t="s">
        <v>5113</v>
      </c>
      <c r="H679">
        <v>453257548</v>
      </c>
      <c r="I679" t="s">
        <v>2115</v>
      </c>
      <c r="J679" t="s">
        <v>2433</v>
      </c>
      <c r="L679" t="s">
        <v>5114</v>
      </c>
      <c r="M679" t="s">
        <v>2518</v>
      </c>
      <c r="N679" t="s">
        <v>5115</v>
      </c>
      <c r="O679" s="41">
        <v>37165</v>
      </c>
      <c r="R679" s="30">
        <v>43931</v>
      </c>
      <c r="S679" t="s">
        <v>1944</v>
      </c>
      <c r="T679" s="30">
        <v>45889</v>
      </c>
      <c r="U679" s="20">
        <v>113220</v>
      </c>
      <c r="V679" s="31"/>
      <c r="W679" s="31"/>
      <c r="X679" s="31"/>
      <c r="Y679" s="31"/>
      <c r="Z679" s="31"/>
      <c r="AA679" s="31"/>
      <c r="AB679" s="31">
        <f>+U679</f>
        <v>113220</v>
      </c>
      <c r="AC679" s="31"/>
      <c r="AD679" s="31"/>
      <c r="AE679" s="31"/>
      <c r="AF679" s="31"/>
      <c r="AG679" s="31"/>
      <c r="AH679" s="31"/>
      <c r="AI679" s="32"/>
      <c r="AJ679" s="32"/>
      <c r="AK679" s="32"/>
      <c r="AL679" s="32"/>
      <c r="AM679" s="32"/>
      <c r="AN679" s="32"/>
      <c r="AO679" s="32">
        <v>9435</v>
      </c>
      <c r="AP679" s="32">
        <v>9435</v>
      </c>
      <c r="AQ679" s="32">
        <v>9435</v>
      </c>
      <c r="AR679" s="32">
        <v>9435</v>
      </c>
      <c r="AS679" s="32">
        <v>9435</v>
      </c>
      <c r="AT679" s="32">
        <v>9435</v>
      </c>
      <c r="AU679" s="32">
        <v>9435</v>
      </c>
      <c r="AV679" s="32">
        <v>9435</v>
      </c>
      <c r="AW679" s="32">
        <v>9435</v>
      </c>
      <c r="AX679" s="32">
        <v>9435</v>
      </c>
      <c r="AY679" s="32">
        <v>9435</v>
      </c>
      <c r="AZ679" s="32">
        <v>9435</v>
      </c>
      <c r="BA679" s="32"/>
      <c r="BB679" s="32"/>
      <c r="BC679" s="32"/>
      <c r="BD679" s="32"/>
      <c r="BE679" s="32"/>
      <c r="BF679" s="32"/>
      <c r="BG679" s="32"/>
      <c r="BH679" t="s">
        <v>5116</v>
      </c>
      <c r="BI679" s="30">
        <v>44185</v>
      </c>
      <c r="BP679" t="s">
        <v>3335</v>
      </c>
      <c r="BQ679" s="41">
        <v>44518</v>
      </c>
      <c r="BZ679" t="s">
        <v>5117</v>
      </c>
      <c r="CA679" s="41">
        <v>44092</v>
      </c>
      <c r="CD679" t="s">
        <v>5118</v>
      </c>
      <c r="CE679" s="41">
        <v>44689</v>
      </c>
      <c r="CR679">
        <v>871920</v>
      </c>
      <c r="CS679">
        <v>15</v>
      </c>
    </row>
    <row r="680" spans="1:97" x14ac:dyDescent="0.4">
      <c r="A680" t="s">
        <v>2116</v>
      </c>
      <c r="D680" t="s">
        <v>2370</v>
      </c>
      <c r="E680" t="s">
        <v>2371</v>
      </c>
      <c r="F680" t="s">
        <v>2117</v>
      </c>
      <c r="G680" t="s">
        <v>5119</v>
      </c>
      <c r="H680">
        <v>9021465003</v>
      </c>
      <c r="I680" t="s">
        <v>2118</v>
      </c>
      <c r="J680" t="s">
        <v>2433</v>
      </c>
      <c r="L680" t="s">
        <v>2612</v>
      </c>
      <c r="M680" t="s">
        <v>2465</v>
      </c>
      <c r="N680" t="s">
        <v>2613</v>
      </c>
      <c r="O680" t="s">
        <v>5120</v>
      </c>
      <c r="R680" s="30">
        <v>43862</v>
      </c>
      <c r="S680" t="s">
        <v>1944</v>
      </c>
      <c r="T680" s="30">
        <v>46073</v>
      </c>
      <c r="U680" s="20">
        <v>113220</v>
      </c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>
        <f>+U680</f>
        <v>113220</v>
      </c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>
        <v>9435</v>
      </c>
      <c r="AV680" s="32">
        <v>9435</v>
      </c>
      <c r="AW680" s="32">
        <v>9435</v>
      </c>
      <c r="AX680" s="32">
        <v>9435</v>
      </c>
      <c r="AY680" s="32">
        <v>9435</v>
      </c>
      <c r="AZ680" s="32">
        <v>9435</v>
      </c>
      <c r="BA680" s="32">
        <v>9435</v>
      </c>
      <c r="BB680" s="32">
        <v>9435</v>
      </c>
      <c r="BC680" s="32">
        <v>9435</v>
      </c>
      <c r="BD680" s="32">
        <v>9435</v>
      </c>
      <c r="BE680" s="32">
        <v>9435</v>
      </c>
      <c r="BF680" s="32">
        <v>9435</v>
      </c>
      <c r="BG680" s="32"/>
      <c r="BP680" t="s">
        <v>5121</v>
      </c>
      <c r="BQ680" s="41">
        <v>44520</v>
      </c>
      <c r="CD680" t="s">
        <v>5087</v>
      </c>
      <c r="CE680" s="41">
        <v>44885</v>
      </c>
      <c r="CR680">
        <v>867320</v>
      </c>
      <c r="CS680">
        <v>21</v>
      </c>
    </row>
    <row r="681" spans="1:97" x14ac:dyDescent="0.4">
      <c r="A681" t="s">
        <v>2119</v>
      </c>
      <c r="D681" t="s">
        <v>2370</v>
      </c>
      <c r="E681" t="s">
        <v>2371</v>
      </c>
      <c r="F681" t="s">
        <v>2120</v>
      </c>
      <c r="G681" t="s">
        <v>5122</v>
      </c>
      <c r="H681">
        <v>8088979837</v>
      </c>
      <c r="I681" t="s">
        <v>2121</v>
      </c>
      <c r="J681" t="s">
        <v>2433</v>
      </c>
      <c r="L681" t="s">
        <v>5123</v>
      </c>
      <c r="M681" t="s">
        <v>2444</v>
      </c>
      <c r="N681" t="s">
        <v>5124</v>
      </c>
      <c r="O681" t="s">
        <v>5125</v>
      </c>
      <c r="Q681" t="s">
        <v>2637</v>
      </c>
      <c r="R681" s="30">
        <v>44295</v>
      </c>
      <c r="S681" t="s">
        <v>44</v>
      </c>
      <c r="T681" s="30">
        <v>45828</v>
      </c>
      <c r="U681" s="20">
        <v>114300</v>
      </c>
      <c r="V681" s="31"/>
      <c r="W681" s="31"/>
      <c r="X681" s="31"/>
      <c r="Y681" s="31"/>
      <c r="Z681" s="31">
        <f>+U681</f>
        <v>114300</v>
      </c>
      <c r="AA681" s="31"/>
      <c r="AB681" s="31"/>
      <c r="AC681" s="31"/>
      <c r="AD681" s="31"/>
      <c r="AE681" s="31"/>
      <c r="AF681" s="31"/>
      <c r="AG681" s="31"/>
      <c r="AH681" s="31"/>
      <c r="AI681" s="32"/>
      <c r="AJ681" s="32"/>
      <c r="AK681" s="32"/>
      <c r="AL681" s="32"/>
      <c r="AM681" s="32">
        <v>19050</v>
      </c>
      <c r="AN681" s="32">
        <v>19050</v>
      </c>
      <c r="AO681" s="32">
        <v>19050</v>
      </c>
      <c r="AP681" s="32">
        <v>19050</v>
      </c>
      <c r="AQ681" s="32">
        <v>19050</v>
      </c>
      <c r="AR681" s="32">
        <v>19050</v>
      </c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CR681">
        <v>641600</v>
      </c>
      <c r="CS681">
        <v>3</v>
      </c>
    </row>
    <row r="682" spans="1:97" x14ac:dyDescent="0.4">
      <c r="A682" t="s">
        <v>5126</v>
      </c>
      <c r="D682" t="s">
        <v>2370</v>
      </c>
      <c r="E682" t="s">
        <v>2371</v>
      </c>
      <c r="F682" t="s">
        <v>5127</v>
      </c>
      <c r="G682" t="s">
        <v>5128</v>
      </c>
      <c r="H682">
        <v>9058313203</v>
      </c>
      <c r="I682" t="s">
        <v>5129</v>
      </c>
      <c r="J682" t="s">
        <v>2433</v>
      </c>
      <c r="L682" t="s">
        <v>5130</v>
      </c>
      <c r="M682" t="s">
        <v>3434</v>
      </c>
      <c r="N682" t="s">
        <v>5131</v>
      </c>
      <c r="O682" t="s">
        <v>5132</v>
      </c>
      <c r="R682" s="30">
        <v>43588</v>
      </c>
      <c r="S682" t="s">
        <v>5133</v>
      </c>
      <c r="T682" s="30">
        <v>45889</v>
      </c>
      <c r="U682" s="20">
        <v>113220</v>
      </c>
      <c r="V682" s="31"/>
      <c r="W682" s="31"/>
      <c r="X682" s="31"/>
      <c r="Y682" s="31"/>
      <c r="Z682" s="31"/>
      <c r="AA682" s="31"/>
      <c r="AB682" s="31">
        <f>+U682</f>
        <v>113220</v>
      </c>
      <c r="AC682" s="31"/>
      <c r="AD682" s="31"/>
      <c r="AE682" s="31"/>
      <c r="AF682" s="31"/>
      <c r="AG682" s="31"/>
      <c r="AH682" s="31"/>
      <c r="AI682" s="32"/>
      <c r="AJ682" s="32"/>
      <c r="AK682" s="32"/>
      <c r="AL682" s="32"/>
      <c r="AM682" s="32"/>
      <c r="AN682" s="32"/>
      <c r="AO682" s="32">
        <v>9435</v>
      </c>
      <c r="AP682" s="32">
        <v>9435</v>
      </c>
      <c r="AQ682" s="32">
        <v>9435</v>
      </c>
      <c r="AR682" s="32">
        <v>9435</v>
      </c>
      <c r="AS682" s="32">
        <v>9435</v>
      </c>
      <c r="AT682" s="32">
        <v>9435</v>
      </c>
      <c r="AU682" s="32">
        <v>9435</v>
      </c>
      <c r="AV682" s="32">
        <v>9435</v>
      </c>
      <c r="AW682" s="32">
        <v>9435</v>
      </c>
      <c r="AX682" s="32">
        <v>9435</v>
      </c>
      <c r="AY682" s="32">
        <v>9435</v>
      </c>
      <c r="AZ682" s="32">
        <v>9435</v>
      </c>
      <c r="BA682" s="32"/>
      <c r="BB682" s="32"/>
      <c r="BC682" s="32"/>
      <c r="BD682" s="32"/>
      <c r="BE682" s="32"/>
      <c r="BF682" s="32"/>
      <c r="BG682" s="32"/>
      <c r="BP682" t="s">
        <v>5134</v>
      </c>
      <c r="BQ682" s="41">
        <v>44701</v>
      </c>
      <c r="CR682">
        <v>779290</v>
      </c>
      <c r="CS682">
        <v>11</v>
      </c>
    </row>
    <row r="683" spans="1:97" x14ac:dyDescent="0.4">
      <c r="A683" t="s">
        <v>2122</v>
      </c>
      <c r="D683" t="s">
        <v>2370</v>
      </c>
      <c r="E683" t="s">
        <v>2371</v>
      </c>
      <c r="F683" t="s">
        <v>2123</v>
      </c>
      <c r="G683" t="s">
        <v>5135</v>
      </c>
      <c r="H683">
        <v>9088333901</v>
      </c>
      <c r="I683" t="s">
        <v>2124</v>
      </c>
      <c r="J683" t="s">
        <v>2433</v>
      </c>
      <c r="L683" t="s">
        <v>5136</v>
      </c>
      <c r="M683" t="s">
        <v>2960</v>
      </c>
      <c r="N683" t="s">
        <v>5137</v>
      </c>
      <c r="O683" s="41">
        <v>37113</v>
      </c>
      <c r="R683" s="30">
        <v>44095</v>
      </c>
      <c r="S683" t="s">
        <v>1944</v>
      </c>
      <c r="T683" s="30">
        <v>45767</v>
      </c>
      <c r="U683" s="20">
        <v>113220</v>
      </c>
      <c r="V683" s="31"/>
      <c r="W683" s="34"/>
      <c r="X683" s="34">
        <f>+U683</f>
        <v>113220</v>
      </c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2"/>
      <c r="AJ683" s="35"/>
      <c r="AK683" s="32">
        <v>9435</v>
      </c>
      <c r="AL683" s="32">
        <v>9435</v>
      </c>
      <c r="AM683" s="32">
        <v>9435</v>
      </c>
      <c r="AN683" s="32">
        <v>9435</v>
      </c>
      <c r="AO683" s="32">
        <v>9435</v>
      </c>
      <c r="AP683" s="32">
        <v>9435</v>
      </c>
      <c r="AQ683" s="32">
        <v>9435</v>
      </c>
      <c r="AR683" s="32">
        <v>9435</v>
      </c>
      <c r="AS683" s="32">
        <v>9435</v>
      </c>
      <c r="AT683" s="32">
        <v>9435</v>
      </c>
      <c r="AU683" s="32">
        <v>9435</v>
      </c>
      <c r="AV683" s="32">
        <v>9435</v>
      </c>
      <c r="AW683" s="35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P683" t="s">
        <v>5121</v>
      </c>
      <c r="BQ683" s="41">
        <v>44124</v>
      </c>
      <c r="CR683">
        <v>759150</v>
      </c>
      <c r="CS683">
        <v>15</v>
      </c>
    </row>
    <row r="684" spans="1:97" x14ac:dyDescent="0.4">
      <c r="A684" t="s">
        <v>5138</v>
      </c>
      <c r="D684" t="s">
        <v>2370</v>
      </c>
      <c r="E684" t="s">
        <v>2371</v>
      </c>
      <c r="F684" t="s">
        <v>5139</v>
      </c>
      <c r="G684" t="s">
        <v>5140</v>
      </c>
      <c r="H684">
        <v>9014972478</v>
      </c>
      <c r="I684" t="s">
        <v>5141</v>
      </c>
      <c r="J684" t="s">
        <v>2433</v>
      </c>
      <c r="L684" t="s">
        <v>5142</v>
      </c>
      <c r="M684" t="s">
        <v>2455</v>
      </c>
      <c r="N684" t="s">
        <v>5143</v>
      </c>
      <c r="O684" t="s">
        <v>5144</v>
      </c>
      <c r="R684" s="30">
        <v>43790</v>
      </c>
      <c r="S684" t="s">
        <v>5133</v>
      </c>
      <c r="T684" s="30">
        <v>45889</v>
      </c>
      <c r="U684" s="20">
        <v>113220</v>
      </c>
      <c r="V684" s="31"/>
      <c r="W684" s="31"/>
      <c r="X684" s="31"/>
      <c r="Y684" s="31"/>
      <c r="Z684" s="31"/>
      <c r="AA684" s="31"/>
      <c r="AB684" s="31">
        <f>+U684</f>
        <v>113220</v>
      </c>
      <c r="AC684" s="31"/>
      <c r="AD684" s="31"/>
      <c r="AE684" s="31"/>
      <c r="AF684" s="31"/>
      <c r="AG684" s="31"/>
      <c r="AH684" s="31"/>
      <c r="AI684" s="32"/>
      <c r="AJ684" s="32"/>
      <c r="AK684" s="32"/>
      <c r="AL684" s="32"/>
      <c r="AM684" s="32"/>
      <c r="AN684" s="32"/>
      <c r="AO684" s="32">
        <v>9435</v>
      </c>
      <c r="AP684" s="32">
        <v>9435</v>
      </c>
      <c r="AQ684" s="32">
        <v>9435</v>
      </c>
      <c r="AR684" s="32">
        <v>9435</v>
      </c>
      <c r="AS684" s="32">
        <v>9435</v>
      </c>
      <c r="AT684" s="32">
        <v>9435</v>
      </c>
      <c r="AU684" s="32">
        <v>9435</v>
      </c>
      <c r="AV684" s="32">
        <v>9435</v>
      </c>
      <c r="AW684" s="32">
        <v>9435</v>
      </c>
      <c r="AX684" s="32">
        <v>9435</v>
      </c>
      <c r="AY684" s="32">
        <v>9435</v>
      </c>
      <c r="AZ684" s="32">
        <v>9435</v>
      </c>
      <c r="BA684" s="32"/>
      <c r="BB684" s="32"/>
      <c r="BC684" s="32"/>
      <c r="BD684" s="32"/>
      <c r="BE684" s="32"/>
      <c r="BF684" s="32"/>
      <c r="BG684" s="32"/>
      <c r="BP684" t="s">
        <v>5134</v>
      </c>
      <c r="BQ684" s="41">
        <v>44185</v>
      </c>
      <c r="CR684">
        <v>827280</v>
      </c>
      <c r="CS684">
        <v>35</v>
      </c>
    </row>
    <row r="685" spans="1:97" x14ac:dyDescent="0.4">
      <c r="A685" t="s">
        <v>2127</v>
      </c>
      <c r="D685" t="s">
        <v>2370</v>
      </c>
      <c r="E685" t="s">
        <v>2371</v>
      </c>
      <c r="F685" t="s">
        <v>2128</v>
      </c>
      <c r="G685" t="s">
        <v>5145</v>
      </c>
      <c r="H685">
        <v>9014092969</v>
      </c>
      <c r="I685" t="s">
        <v>2129</v>
      </c>
      <c r="J685" t="s">
        <v>2433</v>
      </c>
      <c r="L685" t="s">
        <v>5146</v>
      </c>
      <c r="M685" t="s">
        <v>2444</v>
      </c>
      <c r="N685" t="s">
        <v>2725</v>
      </c>
      <c r="O685" t="s">
        <v>5147</v>
      </c>
      <c r="R685" s="30">
        <v>43735</v>
      </c>
      <c r="S685" t="s">
        <v>44</v>
      </c>
      <c r="T685" s="30">
        <v>45828</v>
      </c>
      <c r="U685" s="20">
        <v>114300</v>
      </c>
      <c r="V685" s="31"/>
      <c r="W685" s="31"/>
      <c r="X685" s="31"/>
      <c r="Y685" s="31"/>
      <c r="Z685" s="31">
        <f>+U685</f>
        <v>114300</v>
      </c>
      <c r="AA685" s="31"/>
      <c r="AB685" s="31"/>
      <c r="AC685" s="31"/>
      <c r="AD685" s="31"/>
      <c r="AE685" s="31"/>
      <c r="AF685" s="31"/>
      <c r="AG685" s="31"/>
      <c r="AH685" s="31"/>
      <c r="AI685" s="32"/>
      <c r="AJ685" s="32"/>
      <c r="AK685" s="32"/>
      <c r="AL685" s="32"/>
      <c r="AM685" s="32">
        <v>19050</v>
      </c>
      <c r="AN685" s="32">
        <v>19050</v>
      </c>
      <c r="AO685" s="32">
        <v>19050</v>
      </c>
      <c r="AP685" s="32">
        <v>19050</v>
      </c>
      <c r="AQ685" s="32">
        <v>19050</v>
      </c>
      <c r="AR685" s="32">
        <v>19050</v>
      </c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P685" t="s">
        <v>5121</v>
      </c>
      <c r="BQ685" s="41">
        <v>43999</v>
      </c>
      <c r="BV685" t="s">
        <v>5148</v>
      </c>
      <c r="BW685" s="41">
        <v>43785</v>
      </c>
      <c r="CH685" t="s">
        <v>5149</v>
      </c>
      <c r="CI685" s="41">
        <v>45432</v>
      </c>
      <c r="CR685">
        <v>448950</v>
      </c>
      <c r="CS685">
        <v>16</v>
      </c>
    </row>
    <row r="686" spans="1:97" x14ac:dyDescent="0.4">
      <c r="A686" t="s">
        <v>2130</v>
      </c>
      <c r="D686" t="s">
        <v>2370</v>
      </c>
      <c r="E686" t="s">
        <v>2371</v>
      </c>
      <c r="F686" t="s">
        <v>2131</v>
      </c>
      <c r="G686" t="s">
        <v>5150</v>
      </c>
      <c r="H686">
        <v>9060863407</v>
      </c>
      <c r="I686" t="s">
        <v>2132</v>
      </c>
      <c r="J686" t="s">
        <v>2433</v>
      </c>
      <c r="L686" t="s">
        <v>5151</v>
      </c>
      <c r="M686" t="s">
        <v>2500</v>
      </c>
      <c r="N686" t="s">
        <v>5152</v>
      </c>
      <c r="O686" t="s">
        <v>5153</v>
      </c>
      <c r="R686" s="30">
        <v>43832</v>
      </c>
      <c r="S686" t="s">
        <v>1944</v>
      </c>
      <c r="T686" s="30">
        <v>45767</v>
      </c>
      <c r="U686" s="20">
        <v>113220</v>
      </c>
      <c r="V686" s="31"/>
      <c r="W686" s="34"/>
      <c r="X686" s="34">
        <f>+U686</f>
        <v>113220</v>
      </c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2"/>
      <c r="AJ686" s="35"/>
      <c r="AK686" s="32">
        <v>9435</v>
      </c>
      <c r="AL686" s="32">
        <v>9435</v>
      </c>
      <c r="AM686" s="32">
        <v>9435</v>
      </c>
      <c r="AN686" s="32">
        <v>9435</v>
      </c>
      <c r="AO686" s="32">
        <v>9435</v>
      </c>
      <c r="AP686" s="32">
        <v>9435</v>
      </c>
      <c r="AQ686" s="32">
        <v>9435</v>
      </c>
      <c r="AR686" s="32">
        <v>9435</v>
      </c>
      <c r="AS686" s="32">
        <v>9435</v>
      </c>
      <c r="AT686" s="32">
        <v>9435</v>
      </c>
      <c r="AU686" s="32">
        <v>9435</v>
      </c>
      <c r="AV686" s="32">
        <v>9435</v>
      </c>
      <c r="AW686" s="35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CR686">
        <v>869140</v>
      </c>
      <c r="CS686">
        <v>38</v>
      </c>
    </row>
    <row r="687" spans="1:97" x14ac:dyDescent="0.4">
      <c r="A687" t="s">
        <v>2134</v>
      </c>
      <c r="D687" t="s">
        <v>2370</v>
      </c>
      <c r="E687" t="s">
        <v>2371</v>
      </c>
      <c r="F687" t="s">
        <v>2135</v>
      </c>
      <c r="G687" t="s">
        <v>5154</v>
      </c>
      <c r="H687">
        <v>9045342715</v>
      </c>
      <c r="I687" t="s">
        <v>2136</v>
      </c>
      <c r="J687" t="s">
        <v>2433</v>
      </c>
      <c r="L687" t="s">
        <v>5155</v>
      </c>
      <c r="M687" t="s">
        <v>2444</v>
      </c>
      <c r="N687" t="s">
        <v>5156</v>
      </c>
      <c r="O687" t="s">
        <v>5157</v>
      </c>
      <c r="R687" s="30">
        <v>43371</v>
      </c>
      <c r="S687" t="s">
        <v>1944</v>
      </c>
      <c r="T687" s="30">
        <v>45889</v>
      </c>
      <c r="U687" s="20">
        <v>113220</v>
      </c>
      <c r="V687" s="31"/>
      <c r="W687" s="31"/>
      <c r="X687" s="31"/>
      <c r="Y687" s="31"/>
      <c r="Z687" s="31"/>
      <c r="AA687" s="31"/>
      <c r="AB687" s="31">
        <f t="shared" ref="AB687:AB688" si="121">+U687</f>
        <v>113220</v>
      </c>
      <c r="AC687" s="31"/>
      <c r="AD687" s="31"/>
      <c r="AE687" s="31"/>
      <c r="AF687" s="31"/>
      <c r="AG687" s="31"/>
      <c r="AH687" s="31"/>
      <c r="AI687" s="32"/>
      <c r="AJ687" s="32"/>
      <c r="AK687" s="32"/>
      <c r="AL687" s="32"/>
      <c r="AM687" s="32"/>
      <c r="AN687" s="32"/>
      <c r="AO687" s="32">
        <v>9435</v>
      </c>
      <c r="AP687" s="32">
        <v>9435</v>
      </c>
      <c r="AQ687" s="32">
        <v>9435</v>
      </c>
      <c r="AR687" s="32">
        <v>9435</v>
      </c>
      <c r="AS687" s="32">
        <v>9435</v>
      </c>
      <c r="AT687" s="32">
        <v>9435</v>
      </c>
      <c r="AU687" s="32">
        <v>9435</v>
      </c>
      <c r="AV687" s="32">
        <v>9435</v>
      </c>
      <c r="AW687" s="32">
        <v>9435</v>
      </c>
      <c r="AX687" s="32">
        <v>9435</v>
      </c>
      <c r="AY687" s="32">
        <v>9435</v>
      </c>
      <c r="AZ687" s="32">
        <v>9435</v>
      </c>
      <c r="BA687" s="32"/>
      <c r="BB687" s="32"/>
      <c r="BC687" s="32"/>
      <c r="BD687" s="32"/>
      <c r="BE687" s="32"/>
      <c r="BF687" s="32"/>
      <c r="BG687" s="32"/>
      <c r="CR687">
        <v>880450</v>
      </c>
      <c r="CS687">
        <v>19</v>
      </c>
    </row>
    <row r="688" spans="1:97" x14ac:dyDescent="0.4">
      <c r="A688" t="s">
        <v>2137</v>
      </c>
      <c r="D688" t="s">
        <v>2370</v>
      </c>
      <c r="E688" t="s">
        <v>2371</v>
      </c>
      <c r="F688" t="s">
        <v>2138</v>
      </c>
      <c r="G688" t="s">
        <v>5158</v>
      </c>
      <c r="H688">
        <v>8059011661</v>
      </c>
      <c r="I688" t="s">
        <v>2139</v>
      </c>
      <c r="J688" t="s">
        <v>2433</v>
      </c>
      <c r="L688" t="s">
        <v>5159</v>
      </c>
      <c r="M688" t="s">
        <v>2465</v>
      </c>
      <c r="N688" t="s">
        <v>5160</v>
      </c>
      <c r="O688" t="s">
        <v>5161</v>
      </c>
      <c r="R688" s="30">
        <v>43860</v>
      </c>
      <c r="S688" t="s">
        <v>1944</v>
      </c>
      <c r="T688" s="30">
        <v>45889</v>
      </c>
      <c r="U688" s="20">
        <v>113220</v>
      </c>
      <c r="V688" s="31"/>
      <c r="W688" s="31"/>
      <c r="X688" s="31"/>
      <c r="Y688" s="31"/>
      <c r="Z688" s="31"/>
      <c r="AA688" s="31"/>
      <c r="AB688" s="31">
        <f t="shared" si="121"/>
        <v>113220</v>
      </c>
      <c r="AC688" s="31"/>
      <c r="AD688" s="31"/>
      <c r="AE688" s="31"/>
      <c r="AF688" s="31"/>
      <c r="AG688" s="31"/>
      <c r="AH688" s="31"/>
      <c r="AI688" s="32"/>
      <c r="AJ688" s="32"/>
      <c r="AK688" s="32"/>
      <c r="AL688" s="32"/>
      <c r="AM688" s="32"/>
      <c r="AN688" s="32"/>
      <c r="AO688" s="32">
        <v>9435</v>
      </c>
      <c r="AP688" s="32">
        <v>9435</v>
      </c>
      <c r="AQ688" s="32">
        <v>9435</v>
      </c>
      <c r="AR688" s="32">
        <v>9435</v>
      </c>
      <c r="AS688" s="32">
        <v>9435</v>
      </c>
      <c r="AT688" s="32">
        <v>9435</v>
      </c>
      <c r="AU688" s="32">
        <v>9435</v>
      </c>
      <c r="AV688" s="32">
        <v>9435</v>
      </c>
      <c r="AW688" s="32">
        <v>9435</v>
      </c>
      <c r="AX688" s="32">
        <v>9435</v>
      </c>
      <c r="AY688" s="32">
        <v>9435</v>
      </c>
      <c r="AZ688" s="32">
        <v>9435</v>
      </c>
      <c r="BA688" s="32"/>
      <c r="BB688" s="32"/>
      <c r="BC688" s="32"/>
      <c r="BD688" s="32"/>
      <c r="BE688" s="32"/>
      <c r="BF688" s="32"/>
      <c r="BG688" s="32"/>
      <c r="BP688" t="s">
        <v>5121</v>
      </c>
      <c r="BQ688" s="41">
        <v>43999</v>
      </c>
      <c r="CR688">
        <v>759150</v>
      </c>
      <c r="CS688">
        <v>15</v>
      </c>
    </row>
    <row r="689" spans="1:97" x14ac:dyDescent="0.4">
      <c r="A689" t="s">
        <v>2140</v>
      </c>
      <c r="D689" t="s">
        <v>2370</v>
      </c>
      <c r="E689" t="s">
        <v>2371</v>
      </c>
      <c r="F689" t="s">
        <v>2141</v>
      </c>
      <c r="G689" t="s">
        <v>5162</v>
      </c>
      <c r="H689">
        <v>9013899009</v>
      </c>
      <c r="I689" t="s">
        <v>2142</v>
      </c>
      <c r="J689" t="s">
        <v>2433</v>
      </c>
      <c r="L689" t="s">
        <v>5163</v>
      </c>
      <c r="M689" t="s">
        <v>2455</v>
      </c>
      <c r="N689" t="s">
        <v>5164</v>
      </c>
      <c r="O689" t="s">
        <v>5165</v>
      </c>
      <c r="R689" s="30">
        <v>43982</v>
      </c>
      <c r="S689" t="s">
        <v>1944</v>
      </c>
      <c r="T689" s="30">
        <v>45767</v>
      </c>
      <c r="U689" s="20">
        <v>113220</v>
      </c>
      <c r="V689" s="31"/>
      <c r="W689" s="34"/>
      <c r="X689" s="34">
        <f>+U689</f>
        <v>113220</v>
      </c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2"/>
      <c r="AJ689" s="35"/>
      <c r="AK689" s="32">
        <v>9435</v>
      </c>
      <c r="AL689" s="32">
        <v>9435</v>
      </c>
      <c r="AM689" s="32">
        <v>9435</v>
      </c>
      <c r="AN689" s="32">
        <v>9435</v>
      </c>
      <c r="AO689" s="32">
        <v>9435</v>
      </c>
      <c r="AP689" s="32">
        <v>9435</v>
      </c>
      <c r="AQ689" s="32">
        <v>9435</v>
      </c>
      <c r="AR689" s="32">
        <v>9435</v>
      </c>
      <c r="AS689" s="32">
        <v>9435</v>
      </c>
      <c r="AT689" s="32">
        <v>9435</v>
      </c>
      <c r="AU689" s="32">
        <v>9435</v>
      </c>
      <c r="AV689" s="32">
        <v>9435</v>
      </c>
      <c r="AW689" s="35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P689" t="s">
        <v>5121</v>
      </c>
      <c r="BQ689" s="41">
        <v>43999</v>
      </c>
      <c r="CR689">
        <v>868140</v>
      </c>
      <c r="CS689">
        <v>37</v>
      </c>
    </row>
    <row r="690" spans="1:97" x14ac:dyDescent="0.4">
      <c r="A690" t="s">
        <v>2144</v>
      </c>
      <c r="D690" t="s">
        <v>2370</v>
      </c>
      <c r="E690" t="s">
        <v>2371</v>
      </c>
      <c r="F690" t="s">
        <v>2145</v>
      </c>
      <c r="G690" t="s">
        <v>5166</v>
      </c>
      <c r="H690">
        <v>9029547240</v>
      </c>
      <c r="I690" t="s">
        <v>2146</v>
      </c>
      <c r="J690" t="s">
        <v>2433</v>
      </c>
      <c r="L690" t="s">
        <v>5167</v>
      </c>
      <c r="M690" t="s">
        <v>2465</v>
      </c>
      <c r="N690" t="s">
        <v>5168</v>
      </c>
      <c r="O690" t="s">
        <v>5169</v>
      </c>
      <c r="R690" s="30">
        <v>43895</v>
      </c>
      <c r="S690" t="s">
        <v>1944</v>
      </c>
      <c r="T690" s="30">
        <v>45889</v>
      </c>
      <c r="U690" s="20">
        <v>113220</v>
      </c>
      <c r="V690" s="31"/>
      <c r="W690" s="31"/>
      <c r="X690" s="31"/>
      <c r="Y690" s="31"/>
      <c r="Z690" s="31"/>
      <c r="AA690" s="31"/>
      <c r="AB690" s="31">
        <f>+U690</f>
        <v>113220</v>
      </c>
      <c r="AC690" s="31"/>
      <c r="AD690" s="31"/>
      <c r="AE690" s="31"/>
      <c r="AF690" s="31"/>
      <c r="AG690" s="31"/>
      <c r="AH690" s="31"/>
      <c r="AI690" s="32"/>
      <c r="AJ690" s="32"/>
      <c r="AK690" s="32"/>
      <c r="AL690" s="32"/>
      <c r="AM690" s="32"/>
      <c r="AN690" s="32"/>
      <c r="AO690" s="32">
        <v>9435</v>
      </c>
      <c r="AP690" s="32">
        <v>9435</v>
      </c>
      <c r="AQ690" s="32">
        <v>9435</v>
      </c>
      <c r="AR690" s="32">
        <v>9435</v>
      </c>
      <c r="AS690" s="32">
        <v>9435</v>
      </c>
      <c r="AT690" s="32">
        <v>9435</v>
      </c>
      <c r="AU690" s="32">
        <v>9435</v>
      </c>
      <c r="AV690" s="32">
        <v>9435</v>
      </c>
      <c r="AW690" s="32">
        <v>9435</v>
      </c>
      <c r="AX690" s="32">
        <v>9435</v>
      </c>
      <c r="AY690" s="32">
        <v>9435</v>
      </c>
      <c r="AZ690" s="32">
        <v>9435</v>
      </c>
      <c r="BA690" s="32"/>
      <c r="BB690" s="32"/>
      <c r="BC690" s="32"/>
      <c r="BD690" s="32"/>
      <c r="BE690" s="32"/>
      <c r="BF690" s="32"/>
      <c r="BG690" s="32"/>
      <c r="BN690" t="s">
        <v>5043</v>
      </c>
      <c r="BO690" s="41">
        <v>44182</v>
      </c>
      <c r="BP690" t="s">
        <v>5121</v>
      </c>
      <c r="BQ690" s="41">
        <v>44124</v>
      </c>
      <c r="CR690">
        <v>650850</v>
      </c>
      <c r="CS690">
        <v>19</v>
      </c>
    </row>
    <row r="691" spans="1:97" x14ac:dyDescent="0.4">
      <c r="A691" t="s">
        <v>2147</v>
      </c>
      <c r="D691" t="s">
        <v>2370</v>
      </c>
      <c r="E691" t="s">
        <v>2371</v>
      </c>
      <c r="F691" t="s">
        <v>2148</v>
      </c>
      <c r="G691" t="s">
        <v>5170</v>
      </c>
      <c r="H691">
        <v>9074849436</v>
      </c>
      <c r="I691" t="s">
        <v>2149</v>
      </c>
      <c r="J691" t="s">
        <v>2433</v>
      </c>
      <c r="L691" t="s">
        <v>5171</v>
      </c>
      <c r="M691" t="s">
        <v>2435</v>
      </c>
      <c r="N691" t="s">
        <v>5172</v>
      </c>
      <c r="O691" t="s">
        <v>5173</v>
      </c>
      <c r="R691" s="30">
        <v>43172</v>
      </c>
      <c r="S691" t="s">
        <v>1944</v>
      </c>
      <c r="T691" s="30">
        <v>46011</v>
      </c>
      <c r="U691" s="20">
        <v>113220</v>
      </c>
      <c r="V691" s="31"/>
      <c r="W691" s="31"/>
      <c r="X691" s="31"/>
      <c r="Y691" s="31"/>
      <c r="Z691" s="31"/>
      <c r="AA691" s="31"/>
      <c r="AB691" s="31"/>
      <c r="AC691" s="31"/>
      <c r="AD691" s="31"/>
      <c r="AE691" s="31">
        <f>+U691</f>
        <v>113220</v>
      </c>
      <c r="AF691" s="31"/>
      <c r="AG691" s="31"/>
      <c r="AH691" s="31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>
        <v>9435</v>
      </c>
      <c r="AS691" s="32">
        <v>9435</v>
      </c>
      <c r="AT691" s="32">
        <v>9435</v>
      </c>
      <c r="AU691" s="32">
        <v>9435</v>
      </c>
      <c r="AV691" s="32">
        <v>9435</v>
      </c>
      <c r="AW691" s="32">
        <v>9435</v>
      </c>
      <c r="AX691" s="32">
        <v>9435</v>
      </c>
      <c r="AY691" s="32">
        <v>9435</v>
      </c>
      <c r="AZ691" s="32">
        <v>9435</v>
      </c>
      <c r="BA691" s="32">
        <v>9435</v>
      </c>
      <c r="BB691" s="32">
        <v>9435</v>
      </c>
      <c r="BC691" s="32">
        <v>9435</v>
      </c>
      <c r="BD691" s="32"/>
      <c r="BE691" s="32"/>
      <c r="BF691" s="32"/>
      <c r="BG691" s="32"/>
      <c r="CR691">
        <v>849285</v>
      </c>
      <c r="CS691">
        <v>46</v>
      </c>
    </row>
    <row r="692" spans="1:97" x14ac:dyDescent="0.4">
      <c r="A692" t="s">
        <v>2152</v>
      </c>
      <c r="D692" t="s">
        <v>2370</v>
      </c>
      <c r="E692" t="s">
        <v>2371</v>
      </c>
      <c r="F692" t="s">
        <v>2153</v>
      </c>
      <c r="G692" t="s">
        <v>5174</v>
      </c>
      <c r="H692">
        <v>337269063</v>
      </c>
      <c r="I692" t="s">
        <v>2154</v>
      </c>
      <c r="J692" t="s">
        <v>2433</v>
      </c>
      <c r="L692" t="s">
        <v>5175</v>
      </c>
      <c r="M692" t="s">
        <v>2444</v>
      </c>
      <c r="N692" t="s">
        <v>5176</v>
      </c>
      <c r="O692" t="s">
        <v>5177</v>
      </c>
      <c r="R692" s="30">
        <v>43052</v>
      </c>
      <c r="S692" t="s">
        <v>1944</v>
      </c>
      <c r="T692" s="30">
        <v>45767</v>
      </c>
      <c r="U692" s="20">
        <v>113220</v>
      </c>
      <c r="V692" s="31"/>
      <c r="W692" s="34"/>
      <c r="X692" s="34">
        <f>+U692</f>
        <v>113220</v>
      </c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2"/>
      <c r="AJ692" s="35"/>
      <c r="AK692" s="32">
        <v>9435</v>
      </c>
      <c r="AL692" s="32">
        <v>9435</v>
      </c>
      <c r="AM692" s="32">
        <v>9435</v>
      </c>
      <c r="AN692" s="32">
        <v>9435</v>
      </c>
      <c r="AO692" s="32">
        <v>9435</v>
      </c>
      <c r="AP692" s="32">
        <v>9435</v>
      </c>
      <c r="AQ692" s="32">
        <v>9435</v>
      </c>
      <c r="AR692" s="32">
        <v>9435</v>
      </c>
      <c r="AS692" s="32">
        <v>9435</v>
      </c>
      <c r="AT692" s="32">
        <v>9435</v>
      </c>
      <c r="AU692" s="32">
        <v>9435</v>
      </c>
      <c r="AV692" s="32">
        <v>9435</v>
      </c>
      <c r="AW692" s="35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CR692">
        <v>919390</v>
      </c>
      <c r="CS692">
        <v>21</v>
      </c>
    </row>
    <row r="693" spans="1:97" x14ac:dyDescent="0.4">
      <c r="A693" t="s">
        <v>2155</v>
      </c>
      <c r="D693" t="s">
        <v>2370</v>
      </c>
      <c r="E693" t="s">
        <v>2371</v>
      </c>
      <c r="F693" t="s">
        <v>2156</v>
      </c>
      <c r="G693" t="s">
        <v>5178</v>
      </c>
      <c r="H693">
        <v>8094705583</v>
      </c>
      <c r="I693" t="s">
        <v>2157</v>
      </c>
      <c r="J693" t="s">
        <v>2433</v>
      </c>
      <c r="L693" t="s">
        <v>5179</v>
      </c>
      <c r="M693" t="s">
        <v>2460</v>
      </c>
      <c r="N693" t="s">
        <v>5180</v>
      </c>
      <c r="O693" t="s">
        <v>5181</v>
      </c>
      <c r="R693" s="30">
        <v>43023</v>
      </c>
      <c r="S693" t="s">
        <v>1944</v>
      </c>
      <c r="T693" s="30">
        <v>45797</v>
      </c>
      <c r="U693" s="20">
        <v>113220</v>
      </c>
      <c r="V693" s="31"/>
      <c r="W693" s="31"/>
      <c r="X693" s="31"/>
      <c r="Y693" s="31">
        <f>+U693</f>
        <v>113220</v>
      </c>
      <c r="Z693" s="31"/>
      <c r="AA693" s="31"/>
      <c r="AB693" s="31"/>
      <c r="AC693" s="31"/>
      <c r="AD693" s="31"/>
      <c r="AE693" s="31"/>
      <c r="AF693" s="31"/>
      <c r="AG693" s="31"/>
      <c r="AH693" s="31"/>
      <c r="AI693" s="32"/>
      <c r="AJ693" s="32"/>
      <c r="AK693" s="32"/>
      <c r="AL693" s="32">
        <v>9435</v>
      </c>
      <c r="AM693" s="32">
        <v>9435</v>
      </c>
      <c r="AN693" s="32">
        <v>9435</v>
      </c>
      <c r="AO693" s="32">
        <v>9435</v>
      </c>
      <c r="AP693" s="32">
        <v>9435</v>
      </c>
      <c r="AQ693" s="32">
        <v>9435</v>
      </c>
      <c r="AR693" s="32">
        <v>9435</v>
      </c>
      <c r="AS693" s="32">
        <v>9435</v>
      </c>
      <c r="AT693" s="32">
        <v>9435</v>
      </c>
      <c r="AU693" s="32">
        <v>9435</v>
      </c>
      <c r="AV693" s="32">
        <v>9435</v>
      </c>
      <c r="AW693" s="32">
        <v>9435</v>
      </c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P693" t="s">
        <v>5121</v>
      </c>
      <c r="BQ693" s="41">
        <v>44124</v>
      </c>
      <c r="CR693">
        <v>777150</v>
      </c>
      <c r="CS693">
        <v>19</v>
      </c>
    </row>
    <row r="694" spans="1:97" x14ac:dyDescent="0.4">
      <c r="A694" t="s">
        <v>2159</v>
      </c>
      <c r="D694" t="s">
        <v>2370</v>
      </c>
      <c r="E694" t="s">
        <v>2371</v>
      </c>
      <c r="F694" t="s">
        <v>2160</v>
      </c>
      <c r="G694" t="s">
        <v>5182</v>
      </c>
      <c r="H694">
        <v>9081799343</v>
      </c>
      <c r="I694" t="s">
        <v>2161</v>
      </c>
      <c r="J694" t="s">
        <v>2433</v>
      </c>
      <c r="L694" t="s">
        <v>3145</v>
      </c>
      <c r="M694" t="s">
        <v>2444</v>
      </c>
      <c r="N694" t="s">
        <v>5183</v>
      </c>
      <c r="O694" t="s">
        <v>5184</v>
      </c>
      <c r="R694" s="30">
        <v>42919</v>
      </c>
      <c r="S694" t="s">
        <v>1944</v>
      </c>
      <c r="T694" s="30">
        <v>45889</v>
      </c>
      <c r="U694" s="20">
        <v>113220</v>
      </c>
      <c r="V694" s="31"/>
      <c r="W694" s="31"/>
      <c r="X694" s="31"/>
      <c r="Y694" s="31"/>
      <c r="Z694" s="31"/>
      <c r="AA694" s="31"/>
      <c r="AB694" s="31">
        <f>+U694</f>
        <v>113220</v>
      </c>
      <c r="AC694" s="31"/>
      <c r="AD694" s="31"/>
      <c r="AE694" s="31"/>
      <c r="AF694" s="31"/>
      <c r="AG694" s="31"/>
      <c r="AH694" s="31"/>
      <c r="AI694" s="32"/>
      <c r="AJ694" s="32"/>
      <c r="AK694" s="32"/>
      <c r="AL694" s="32"/>
      <c r="AM694" s="32"/>
      <c r="AN694" s="32"/>
      <c r="AO694" s="32">
        <v>9435</v>
      </c>
      <c r="AP694" s="32">
        <v>9435</v>
      </c>
      <c r="AQ694" s="32">
        <v>9435</v>
      </c>
      <c r="AR694" s="32">
        <v>9435</v>
      </c>
      <c r="AS694" s="32">
        <v>9435</v>
      </c>
      <c r="AT694" s="32">
        <v>9435</v>
      </c>
      <c r="AU694" s="32">
        <v>9435</v>
      </c>
      <c r="AV694" s="32">
        <v>9435</v>
      </c>
      <c r="AW694" s="32">
        <v>9435</v>
      </c>
      <c r="AX694" s="32">
        <v>9435</v>
      </c>
      <c r="AY694" s="32">
        <v>9435</v>
      </c>
      <c r="AZ694" s="32">
        <v>9435</v>
      </c>
      <c r="BA694" s="32"/>
      <c r="BB694" s="32"/>
      <c r="BC694" s="32"/>
      <c r="BD694" s="32"/>
      <c r="BE694" s="32"/>
      <c r="BF694" s="32"/>
      <c r="BG694" s="32"/>
      <c r="CR694">
        <v>759150</v>
      </c>
      <c r="CS694">
        <v>15</v>
      </c>
    </row>
    <row r="695" spans="1:97" x14ac:dyDescent="0.4">
      <c r="A695" t="s">
        <v>2162</v>
      </c>
      <c r="D695" t="s">
        <v>2370</v>
      </c>
      <c r="E695" t="s">
        <v>2371</v>
      </c>
      <c r="F695" t="s">
        <v>2163</v>
      </c>
      <c r="G695" t="s">
        <v>5185</v>
      </c>
      <c r="H695">
        <v>9013492728</v>
      </c>
      <c r="I695" t="s">
        <v>2164</v>
      </c>
      <c r="J695" t="s">
        <v>2433</v>
      </c>
      <c r="L695" t="s">
        <v>5186</v>
      </c>
      <c r="M695" t="s">
        <v>2444</v>
      </c>
      <c r="N695" t="s">
        <v>5187</v>
      </c>
      <c r="O695" t="s">
        <v>5188</v>
      </c>
      <c r="R695" s="30">
        <v>42900</v>
      </c>
      <c r="S695" t="s">
        <v>1944</v>
      </c>
      <c r="T695" s="30">
        <v>45767</v>
      </c>
      <c r="U695" s="20">
        <v>113220</v>
      </c>
      <c r="V695" s="31"/>
      <c r="W695" s="34"/>
      <c r="X695" s="34">
        <f>+U695</f>
        <v>113220</v>
      </c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2"/>
      <c r="AJ695" s="35"/>
      <c r="AK695" s="32">
        <v>9435</v>
      </c>
      <c r="AL695" s="32">
        <v>9435</v>
      </c>
      <c r="AM695" s="32">
        <v>9435</v>
      </c>
      <c r="AN695" s="32">
        <v>9435</v>
      </c>
      <c r="AO695" s="32">
        <v>9435</v>
      </c>
      <c r="AP695" s="32">
        <v>9435</v>
      </c>
      <c r="AQ695" s="32">
        <v>9435</v>
      </c>
      <c r="AR695" s="32">
        <v>9435</v>
      </c>
      <c r="AS695" s="32">
        <v>9435</v>
      </c>
      <c r="AT695" s="32">
        <v>9435</v>
      </c>
      <c r="AU695" s="32">
        <v>9435</v>
      </c>
      <c r="AV695" s="32">
        <v>9435</v>
      </c>
      <c r="AW695" s="35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CR695">
        <v>852170</v>
      </c>
      <c r="CS695">
        <v>37</v>
      </c>
    </row>
    <row r="696" spans="1:97" x14ac:dyDescent="0.4">
      <c r="A696" t="s">
        <v>2165</v>
      </c>
      <c r="D696" t="s">
        <v>2370</v>
      </c>
      <c r="E696" t="s">
        <v>2371</v>
      </c>
      <c r="F696" t="s">
        <v>2166</v>
      </c>
      <c r="G696" t="s">
        <v>5189</v>
      </c>
      <c r="H696">
        <v>9069935590</v>
      </c>
      <c r="I696" t="s">
        <v>2167</v>
      </c>
      <c r="J696" t="s">
        <v>2433</v>
      </c>
      <c r="L696" t="s">
        <v>5190</v>
      </c>
      <c r="M696" t="s">
        <v>2455</v>
      </c>
      <c r="N696" t="s">
        <v>5191</v>
      </c>
      <c r="O696" s="33">
        <v>45785</v>
      </c>
      <c r="R696" s="30">
        <v>43755</v>
      </c>
      <c r="S696" t="s">
        <v>1944</v>
      </c>
      <c r="T696" s="30">
        <v>45889</v>
      </c>
      <c r="U696" s="20">
        <v>113220</v>
      </c>
      <c r="V696" s="31"/>
      <c r="W696" s="31"/>
      <c r="X696" s="31"/>
      <c r="Y696" s="31"/>
      <c r="Z696" s="31"/>
      <c r="AA696" s="31"/>
      <c r="AB696" s="31">
        <f t="shared" ref="AB696:AB699" si="122">+U696</f>
        <v>113220</v>
      </c>
      <c r="AC696" s="31"/>
      <c r="AD696" s="31"/>
      <c r="AE696" s="31"/>
      <c r="AF696" s="31"/>
      <c r="AG696" s="31"/>
      <c r="AH696" s="31"/>
      <c r="AI696" s="32"/>
      <c r="AJ696" s="32"/>
      <c r="AK696" s="32"/>
      <c r="AL696" s="32"/>
      <c r="AM696" s="32"/>
      <c r="AN696" s="32"/>
      <c r="AO696" s="32">
        <v>9435</v>
      </c>
      <c r="AP696" s="32">
        <v>9435</v>
      </c>
      <c r="AQ696" s="32">
        <v>9435</v>
      </c>
      <c r="AR696" s="32">
        <v>9435</v>
      </c>
      <c r="AS696" s="32">
        <v>9435</v>
      </c>
      <c r="AT696" s="32">
        <v>9435</v>
      </c>
      <c r="AU696" s="32">
        <v>9435</v>
      </c>
      <c r="AV696" s="32">
        <v>9435</v>
      </c>
      <c r="AW696" s="32">
        <v>9435</v>
      </c>
      <c r="AX696" s="32">
        <v>9435</v>
      </c>
      <c r="AY696" s="32">
        <v>9435</v>
      </c>
      <c r="AZ696" s="32">
        <v>9435</v>
      </c>
      <c r="BA696" s="32"/>
      <c r="BB696" s="32"/>
      <c r="BC696" s="32"/>
      <c r="BD696" s="32"/>
      <c r="BE696" s="32"/>
      <c r="BF696" s="32"/>
      <c r="BG696" s="32"/>
      <c r="CR696">
        <v>759150</v>
      </c>
      <c r="CS696">
        <v>15</v>
      </c>
    </row>
    <row r="697" spans="1:97" x14ac:dyDescent="0.4">
      <c r="A697" t="s">
        <v>2169</v>
      </c>
      <c r="D697" t="s">
        <v>2370</v>
      </c>
      <c r="E697" t="s">
        <v>2371</v>
      </c>
      <c r="F697" t="s">
        <v>2170</v>
      </c>
      <c r="G697" t="s">
        <v>5192</v>
      </c>
      <c r="H697">
        <v>8053498326</v>
      </c>
      <c r="I697" t="s">
        <v>2171</v>
      </c>
      <c r="J697" t="s">
        <v>2433</v>
      </c>
      <c r="L697" t="s">
        <v>5193</v>
      </c>
      <c r="M697" t="s">
        <v>2435</v>
      </c>
      <c r="N697" t="s">
        <v>5194</v>
      </c>
      <c r="O697" s="41">
        <v>38118</v>
      </c>
      <c r="R697" s="30">
        <v>43850</v>
      </c>
      <c r="S697" t="s">
        <v>1944</v>
      </c>
      <c r="T697" s="30">
        <v>45889</v>
      </c>
      <c r="U697" s="20">
        <v>113220</v>
      </c>
      <c r="V697" s="31"/>
      <c r="W697" s="31"/>
      <c r="X697" s="31"/>
      <c r="Y697" s="31"/>
      <c r="Z697" s="31"/>
      <c r="AA697" s="31"/>
      <c r="AB697" s="31">
        <f t="shared" si="122"/>
        <v>113220</v>
      </c>
      <c r="AC697" s="31"/>
      <c r="AD697" s="31"/>
      <c r="AE697" s="31"/>
      <c r="AF697" s="31"/>
      <c r="AG697" s="31"/>
      <c r="AH697" s="31"/>
      <c r="AI697" s="32"/>
      <c r="AJ697" s="32"/>
      <c r="AK697" s="32"/>
      <c r="AL697" s="32"/>
      <c r="AM697" s="32"/>
      <c r="AN697" s="32"/>
      <c r="AO697" s="32">
        <v>9435</v>
      </c>
      <c r="AP697" s="32">
        <v>9435</v>
      </c>
      <c r="AQ697" s="32">
        <v>9435</v>
      </c>
      <c r="AR697" s="32">
        <v>9435</v>
      </c>
      <c r="AS697" s="32">
        <v>9435</v>
      </c>
      <c r="AT697" s="32">
        <v>9435</v>
      </c>
      <c r="AU697" s="32">
        <v>9435</v>
      </c>
      <c r="AV697" s="32">
        <v>9435</v>
      </c>
      <c r="AW697" s="32">
        <v>9435</v>
      </c>
      <c r="AX697" s="32">
        <v>9435</v>
      </c>
      <c r="AY697" s="32">
        <v>9435</v>
      </c>
      <c r="AZ697" s="32">
        <v>9435</v>
      </c>
      <c r="BA697" s="32"/>
      <c r="BB697" s="32"/>
      <c r="BC697" s="32"/>
      <c r="BD697" s="32"/>
      <c r="BE697" s="32"/>
      <c r="BF697" s="32"/>
      <c r="BG697" s="32"/>
      <c r="CR697">
        <v>759150</v>
      </c>
      <c r="CS697">
        <v>15</v>
      </c>
    </row>
    <row r="698" spans="1:97" x14ac:dyDescent="0.4">
      <c r="A698" t="s">
        <v>2172</v>
      </c>
      <c r="D698" t="s">
        <v>2370</v>
      </c>
      <c r="E698" t="s">
        <v>2371</v>
      </c>
      <c r="F698" t="s">
        <v>2173</v>
      </c>
      <c r="G698" t="s">
        <v>5195</v>
      </c>
      <c r="H698">
        <v>8046489642</v>
      </c>
      <c r="I698" t="s">
        <v>2174</v>
      </c>
      <c r="J698" t="s">
        <v>2433</v>
      </c>
      <c r="L698" t="s">
        <v>5196</v>
      </c>
      <c r="M698" t="s">
        <v>2518</v>
      </c>
      <c r="N698" t="s">
        <v>5197</v>
      </c>
      <c r="O698" t="s">
        <v>5198</v>
      </c>
      <c r="R698" s="30">
        <v>42827</v>
      </c>
      <c r="S698" t="s">
        <v>1944</v>
      </c>
      <c r="T698" s="30">
        <v>45889</v>
      </c>
      <c r="U698" s="20">
        <v>113220</v>
      </c>
      <c r="V698" s="31"/>
      <c r="W698" s="31"/>
      <c r="X698" s="31"/>
      <c r="Y698" s="31"/>
      <c r="Z698" s="31"/>
      <c r="AA698" s="31"/>
      <c r="AB698" s="31">
        <f t="shared" si="122"/>
        <v>113220</v>
      </c>
      <c r="AC698" s="31"/>
      <c r="AD698" s="31"/>
      <c r="AE698" s="31"/>
      <c r="AF698" s="31"/>
      <c r="AG698" s="31"/>
      <c r="AH698" s="31"/>
      <c r="AI698" s="32"/>
      <c r="AJ698" s="32"/>
      <c r="AK698" s="32"/>
      <c r="AL698" s="32"/>
      <c r="AM698" s="32"/>
      <c r="AN698" s="32"/>
      <c r="AO698" s="32">
        <v>9435</v>
      </c>
      <c r="AP698" s="32">
        <v>9435</v>
      </c>
      <c r="AQ698" s="32">
        <v>9435</v>
      </c>
      <c r="AR698" s="32">
        <v>9435</v>
      </c>
      <c r="AS698" s="32">
        <v>9435</v>
      </c>
      <c r="AT698" s="32">
        <v>9435</v>
      </c>
      <c r="AU698" s="32">
        <v>9435</v>
      </c>
      <c r="AV698" s="32">
        <v>9435</v>
      </c>
      <c r="AW698" s="32">
        <v>9435</v>
      </c>
      <c r="AX698" s="32">
        <v>9435</v>
      </c>
      <c r="AY698" s="32">
        <v>9435</v>
      </c>
      <c r="AZ698" s="32">
        <v>9435</v>
      </c>
      <c r="BA698" s="32"/>
      <c r="BB698" s="32"/>
      <c r="BC698" s="32"/>
      <c r="BD698" s="32"/>
      <c r="BE698" s="32"/>
      <c r="BF698" s="32"/>
      <c r="BG698" s="32"/>
      <c r="BP698" t="s">
        <v>5121</v>
      </c>
      <c r="BQ698" s="41">
        <v>43999</v>
      </c>
      <c r="CR698">
        <v>647850</v>
      </c>
      <c r="CS698">
        <v>16</v>
      </c>
    </row>
    <row r="699" spans="1:97" x14ac:dyDescent="0.4">
      <c r="A699" t="s">
        <v>2175</v>
      </c>
      <c r="D699" t="s">
        <v>2370</v>
      </c>
      <c r="E699" t="s">
        <v>2371</v>
      </c>
      <c r="F699" t="s">
        <v>2176</v>
      </c>
      <c r="G699" t="s">
        <v>5199</v>
      </c>
      <c r="H699">
        <v>9042491419</v>
      </c>
      <c r="I699" t="s">
        <v>2177</v>
      </c>
      <c r="J699" t="s">
        <v>2433</v>
      </c>
      <c r="L699" t="s">
        <v>2965</v>
      </c>
      <c r="M699" t="s">
        <v>2444</v>
      </c>
      <c r="N699" t="s">
        <v>2966</v>
      </c>
      <c r="O699" t="s">
        <v>5200</v>
      </c>
      <c r="R699" s="30">
        <v>44228</v>
      </c>
      <c r="S699" t="s">
        <v>1944</v>
      </c>
      <c r="T699" s="30">
        <v>45889</v>
      </c>
      <c r="U699" s="20">
        <v>113220</v>
      </c>
      <c r="V699" s="31"/>
      <c r="W699" s="31"/>
      <c r="X699" s="31"/>
      <c r="Y699" s="31"/>
      <c r="Z699" s="31"/>
      <c r="AA699" s="31"/>
      <c r="AB699" s="31">
        <f t="shared" si="122"/>
        <v>113220</v>
      </c>
      <c r="AC699" s="31"/>
      <c r="AD699" s="31"/>
      <c r="AE699" s="31"/>
      <c r="AF699" s="31"/>
      <c r="AG699" s="31"/>
      <c r="AH699" s="31"/>
      <c r="AI699" s="32"/>
      <c r="AJ699" s="32"/>
      <c r="AK699" s="32"/>
      <c r="AL699" s="32"/>
      <c r="AM699" s="32"/>
      <c r="AN699" s="32"/>
      <c r="AO699" s="32">
        <v>9435</v>
      </c>
      <c r="AP699" s="32">
        <v>9435</v>
      </c>
      <c r="AQ699" s="32">
        <v>9435</v>
      </c>
      <c r="AR699" s="32">
        <v>9435</v>
      </c>
      <c r="AS699" s="32">
        <v>9435</v>
      </c>
      <c r="AT699" s="32">
        <v>9435</v>
      </c>
      <c r="AU699" s="32">
        <v>9435</v>
      </c>
      <c r="AV699" s="32">
        <v>9435</v>
      </c>
      <c r="AW699" s="32">
        <v>9435</v>
      </c>
      <c r="AX699" s="32">
        <v>9435</v>
      </c>
      <c r="AY699" s="32">
        <v>9435</v>
      </c>
      <c r="AZ699" s="32">
        <v>9435</v>
      </c>
      <c r="BA699" s="32"/>
      <c r="BB699" s="32"/>
      <c r="BC699" s="32"/>
      <c r="BD699" s="32"/>
      <c r="BE699" s="32"/>
      <c r="BF699" s="32"/>
      <c r="BG699" s="32"/>
      <c r="BN699" t="s">
        <v>5043</v>
      </c>
      <c r="BO699" s="41">
        <v>45642</v>
      </c>
      <c r="BP699" t="s">
        <v>3335</v>
      </c>
      <c r="BQ699" s="41">
        <v>44520</v>
      </c>
      <c r="CD699" t="s">
        <v>5118</v>
      </c>
      <c r="CE699" s="41">
        <v>44711</v>
      </c>
      <c r="CR699">
        <v>1164200</v>
      </c>
      <c r="CS699">
        <v>79</v>
      </c>
    </row>
    <row r="700" spans="1:97" x14ac:dyDescent="0.4">
      <c r="A700" t="s">
        <v>2179</v>
      </c>
      <c r="D700" t="s">
        <v>2370</v>
      </c>
      <c r="E700" t="s">
        <v>2371</v>
      </c>
      <c r="F700" t="s">
        <v>2180</v>
      </c>
      <c r="G700" t="s">
        <v>5201</v>
      </c>
      <c r="H700">
        <v>9074797074</v>
      </c>
      <c r="I700" t="s">
        <v>2181</v>
      </c>
      <c r="J700" t="s">
        <v>2433</v>
      </c>
      <c r="L700" t="s">
        <v>5202</v>
      </c>
      <c r="M700" t="s">
        <v>3221</v>
      </c>
      <c r="N700" t="s">
        <v>5203</v>
      </c>
      <c r="O700" t="s">
        <v>5204</v>
      </c>
      <c r="Q700" t="s">
        <v>2637</v>
      </c>
      <c r="R700" s="30">
        <v>44178</v>
      </c>
      <c r="S700" t="s">
        <v>44</v>
      </c>
      <c r="T700" s="30">
        <v>45767</v>
      </c>
      <c r="U700" s="20">
        <v>114300</v>
      </c>
      <c r="V700" s="31"/>
      <c r="W700" s="34"/>
      <c r="X700" s="34">
        <f t="shared" ref="X700:X701" si="123">+U700</f>
        <v>114300</v>
      </c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2"/>
      <c r="AJ700" s="35"/>
      <c r="AK700" s="32">
        <v>19050</v>
      </c>
      <c r="AL700" s="32">
        <v>19050</v>
      </c>
      <c r="AM700" s="32">
        <v>19050</v>
      </c>
      <c r="AN700" s="32">
        <v>19050</v>
      </c>
      <c r="AO700" s="32">
        <v>19050</v>
      </c>
      <c r="AP700" s="32">
        <v>19050</v>
      </c>
      <c r="AQ700" s="32"/>
      <c r="AR700" s="32"/>
      <c r="AS700" s="32"/>
      <c r="AT700" s="32"/>
      <c r="AU700" s="32"/>
      <c r="AV700" s="35"/>
      <c r="AW700" s="35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N700" t="s">
        <v>5205</v>
      </c>
      <c r="CR700">
        <v>918025</v>
      </c>
      <c r="CS700">
        <v>66</v>
      </c>
    </row>
    <row r="701" spans="1:97" x14ac:dyDescent="0.4">
      <c r="A701" t="s">
        <v>2182</v>
      </c>
      <c r="D701" t="s">
        <v>2370</v>
      </c>
      <c r="E701" t="s">
        <v>2371</v>
      </c>
      <c r="F701" t="s">
        <v>2183</v>
      </c>
      <c r="G701" t="s">
        <v>5206</v>
      </c>
      <c r="H701">
        <v>9042132438</v>
      </c>
      <c r="I701" t="s">
        <v>2184</v>
      </c>
      <c r="J701" t="s">
        <v>2433</v>
      </c>
      <c r="L701" t="s">
        <v>5207</v>
      </c>
      <c r="M701" t="s">
        <v>2435</v>
      </c>
      <c r="N701" t="s">
        <v>5208</v>
      </c>
      <c r="O701" t="s">
        <v>5209</v>
      </c>
      <c r="R701" s="30">
        <v>43040</v>
      </c>
      <c r="S701" t="s">
        <v>25</v>
      </c>
      <c r="T701" s="30">
        <v>45767</v>
      </c>
      <c r="U701">
        <v>59400</v>
      </c>
      <c r="V701" s="34"/>
      <c r="W701" s="34"/>
      <c r="X701" s="34">
        <f t="shared" si="123"/>
        <v>59400</v>
      </c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5"/>
      <c r="AJ701" s="35"/>
      <c r="AK701" s="32">
        <v>19800</v>
      </c>
      <c r="AL701" s="32">
        <v>19800</v>
      </c>
      <c r="AM701" s="32">
        <v>19800</v>
      </c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N701" t="s">
        <v>5043</v>
      </c>
      <c r="BO701" s="41">
        <v>44489</v>
      </c>
      <c r="BP701" t="s">
        <v>3335</v>
      </c>
      <c r="BQ701" s="41">
        <v>45218</v>
      </c>
      <c r="CR701">
        <v>1002620</v>
      </c>
      <c r="CS701">
        <v>31</v>
      </c>
    </row>
    <row r="702" spans="1:97" x14ac:dyDescent="0.4">
      <c r="A702" t="s">
        <v>2185</v>
      </c>
      <c r="D702" t="s">
        <v>2370</v>
      </c>
      <c r="E702" t="s">
        <v>2371</v>
      </c>
      <c r="F702" t="s">
        <v>2186</v>
      </c>
      <c r="G702" t="s">
        <v>5210</v>
      </c>
      <c r="H702">
        <v>9028909391</v>
      </c>
      <c r="I702" t="s">
        <v>2187</v>
      </c>
      <c r="J702" t="s">
        <v>2433</v>
      </c>
      <c r="L702" t="s">
        <v>5211</v>
      </c>
      <c r="M702" t="s">
        <v>2830</v>
      </c>
      <c r="N702" t="s">
        <v>5212</v>
      </c>
      <c r="O702" t="s">
        <v>5213</v>
      </c>
      <c r="R702" s="30">
        <v>44096</v>
      </c>
      <c r="S702" t="s">
        <v>1944</v>
      </c>
      <c r="T702" s="30">
        <v>46073</v>
      </c>
      <c r="U702" s="20">
        <v>113220</v>
      </c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>
        <f>+U702</f>
        <v>113220</v>
      </c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>
        <v>9435</v>
      </c>
      <c r="AV702" s="32">
        <v>9435</v>
      </c>
      <c r="AW702" s="32">
        <v>9435</v>
      </c>
      <c r="AX702" s="32">
        <v>9435</v>
      </c>
      <c r="AY702" s="32">
        <v>9435</v>
      </c>
      <c r="AZ702" s="32">
        <v>9435</v>
      </c>
      <c r="BA702" s="32">
        <v>9435</v>
      </c>
      <c r="BB702" s="32">
        <v>9435</v>
      </c>
      <c r="BC702" s="32">
        <v>9435</v>
      </c>
      <c r="BD702" s="32">
        <v>9435</v>
      </c>
      <c r="BE702" s="32">
        <v>9435</v>
      </c>
      <c r="BF702" s="32">
        <v>9435</v>
      </c>
      <c r="BG702" s="32"/>
      <c r="BP702" t="s">
        <v>3335</v>
      </c>
      <c r="BQ702" s="41">
        <v>44977</v>
      </c>
      <c r="CD702" t="s">
        <v>5087</v>
      </c>
      <c r="CE702" s="41">
        <v>44885</v>
      </c>
      <c r="CR702">
        <v>925120</v>
      </c>
      <c r="CS702">
        <v>28</v>
      </c>
    </row>
    <row r="703" spans="1:97" x14ac:dyDescent="0.4">
      <c r="A703" t="s">
        <v>2189</v>
      </c>
      <c r="D703" t="s">
        <v>2370</v>
      </c>
      <c r="E703" t="s">
        <v>2371</v>
      </c>
      <c r="F703" t="s">
        <v>2190</v>
      </c>
      <c r="G703" t="s">
        <v>5214</v>
      </c>
      <c r="H703">
        <v>9098675271</v>
      </c>
      <c r="I703" t="s">
        <v>2191</v>
      </c>
      <c r="J703" t="s">
        <v>2433</v>
      </c>
      <c r="L703" t="s">
        <v>5215</v>
      </c>
      <c r="M703" t="s">
        <v>2640</v>
      </c>
      <c r="N703" t="s">
        <v>5216</v>
      </c>
      <c r="O703" t="s">
        <v>5217</v>
      </c>
      <c r="R703" s="30">
        <v>44097</v>
      </c>
      <c r="S703" t="s">
        <v>1944</v>
      </c>
      <c r="T703" s="30">
        <v>45889</v>
      </c>
      <c r="U703" s="20">
        <v>113220</v>
      </c>
      <c r="V703" s="31"/>
      <c r="W703" s="31"/>
      <c r="X703" s="31"/>
      <c r="Y703" s="31"/>
      <c r="Z703" s="31"/>
      <c r="AA703" s="31"/>
      <c r="AB703" s="31">
        <f>+U703</f>
        <v>113220</v>
      </c>
      <c r="AC703" s="31"/>
      <c r="AD703" s="31"/>
      <c r="AE703" s="31"/>
      <c r="AF703" s="31"/>
      <c r="AG703" s="31"/>
      <c r="AH703" s="31"/>
      <c r="AI703" s="32"/>
      <c r="AJ703" s="32"/>
      <c r="AK703" s="32"/>
      <c r="AL703" s="32"/>
      <c r="AM703" s="32"/>
      <c r="AN703" s="32"/>
      <c r="AO703" s="32">
        <v>9435</v>
      </c>
      <c r="AP703" s="32">
        <v>9435</v>
      </c>
      <c r="AQ703" s="32">
        <v>9435</v>
      </c>
      <c r="AR703" s="32">
        <v>9435</v>
      </c>
      <c r="AS703" s="32">
        <v>9435</v>
      </c>
      <c r="AT703" s="32">
        <v>9435</v>
      </c>
      <c r="AU703" s="32">
        <v>9435</v>
      </c>
      <c r="AV703" s="32">
        <v>9435</v>
      </c>
      <c r="AW703" s="32">
        <v>9435</v>
      </c>
      <c r="AX703" s="32">
        <v>9435</v>
      </c>
      <c r="AY703" s="32">
        <v>9435</v>
      </c>
      <c r="AZ703" s="32">
        <v>9435</v>
      </c>
      <c r="BA703" s="32"/>
      <c r="BB703" s="32"/>
      <c r="BC703" s="32"/>
      <c r="BD703" s="32"/>
      <c r="BE703" s="32"/>
      <c r="BF703" s="32"/>
      <c r="BG703" s="32"/>
      <c r="BP703" t="s">
        <v>5121</v>
      </c>
      <c r="BQ703" s="41">
        <v>44701</v>
      </c>
      <c r="CR703">
        <v>1096560</v>
      </c>
      <c r="CS703">
        <v>23</v>
      </c>
    </row>
    <row r="704" spans="1:97" x14ac:dyDescent="0.4">
      <c r="A704" t="s">
        <v>2192</v>
      </c>
      <c r="D704" t="s">
        <v>2370</v>
      </c>
      <c r="E704" t="s">
        <v>2371</v>
      </c>
      <c r="F704" t="s">
        <v>2193</v>
      </c>
      <c r="G704" t="s">
        <v>5218</v>
      </c>
      <c r="H704">
        <v>8043051063</v>
      </c>
      <c r="I704" t="s">
        <v>2194</v>
      </c>
      <c r="J704" t="s">
        <v>2433</v>
      </c>
      <c r="L704" t="s">
        <v>5219</v>
      </c>
      <c r="M704" t="s">
        <v>2500</v>
      </c>
      <c r="N704" t="s">
        <v>5220</v>
      </c>
      <c r="O704" t="s">
        <v>5221</v>
      </c>
      <c r="R704" s="30">
        <v>43207</v>
      </c>
      <c r="S704" t="s">
        <v>1944</v>
      </c>
      <c r="T704" s="30">
        <v>46073</v>
      </c>
      <c r="U704" s="20">
        <v>113220</v>
      </c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>
        <f>+U704</f>
        <v>113220</v>
      </c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>
        <v>9435</v>
      </c>
      <c r="AV704" s="32">
        <v>9435</v>
      </c>
      <c r="AW704" s="32">
        <v>9435</v>
      </c>
      <c r="AX704" s="32">
        <v>9435</v>
      </c>
      <c r="AY704" s="32">
        <v>9435</v>
      </c>
      <c r="AZ704" s="32">
        <v>9435</v>
      </c>
      <c r="BA704" s="32">
        <v>9435</v>
      </c>
      <c r="BB704" s="32">
        <v>9435</v>
      </c>
      <c r="BC704" s="32">
        <v>9435</v>
      </c>
      <c r="BD704" s="32">
        <v>9435</v>
      </c>
      <c r="BE704" s="32">
        <v>9435</v>
      </c>
      <c r="BF704" s="32">
        <v>9435</v>
      </c>
      <c r="BG704" s="32"/>
      <c r="BN704" t="s">
        <v>5043</v>
      </c>
      <c r="BO704" s="41">
        <v>45059</v>
      </c>
      <c r="BP704" t="s">
        <v>3335</v>
      </c>
      <c r="BQ704" s="41">
        <v>44516</v>
      </c>
      <c r="CD704" t="s">
        <v>5087</v>
      </c>
      <c r="CE704" s="41">
        <v>44885</v>
      </c>
      <c r="CR704">
        <v>1659570</v>
      </c>
      <c r="CS704">
        <v>58</v>
      </c>
    </row>
    <row r="705" spans="1:97" x14ac:dyDescent="0.4">
      <c r="A705" t="s">
        <v>2195</v>
      </c>
      <c r="D705" t="s">
        <v>2370</v>
      </c>
      <c r="E705" t="s">
        <v>2371</v>
      </c>
      <c r="F705" t="s">
        <v>2196</v>
      </c>
      <c r="G705" t="s">
        <v>5222</v>
      </c>
      <c r="H705">
        <v>9083136695</v>
      </c>
      <c r="I705" t="s">
        <v>2197</v>
      </c>
      <c r="J705" t="s">
        <v>2433</v>
      </c>
      <c r="L705" t="s">
        <v>5223</v>
      </c>
      <c r="M705" t="s">
        <v>2444</v>
      </c>
      <c r="N705" t="s">
        <v>5224</v>
      </c>
      <c r="O705" t="s">
        <v>5225</v>
      </c>
      <c r="R705" s="30">
        <v>43500</v>
      </c>
      <c r="S705" t="s">
        <v>1944</v>
      </c>
      <c r="T705" s="30">
        <v>45889</v>
      </c>
      <c r="U705" s="20">
        <v>113220</v>
      </c>
      <c r="V705" s="31"/>
      <c r="W705" s="31"/>
      <c r="X705" s="31"/>
      <c r="Y705" s="31"/>
      <c r="Z705" s="31"/>
      <c r="AA705" s="31"/>
      <c r="AB705" s="31">
        <f>+U705</f>
        <v>113220</v>
      </c>
      <c r="AC705" s="31"/>
      <c r="AD705" s="31"/>
      <c r="AE705" s="31"/>
      <c r="AF705" s="31"/>
      <c r="AG705" s="31"/>
      <c r="AH705" s="31"/>
      <c r="AI705" s="32"/>
      <c r="AJ705" s="32"/>
      <c r="AK705" s="32"/>
      <c r="AL705" s="32"/>
      <c r="AM705" s="32"/>
      <c r="AN705" s="32"/>
      <c r="AO705" s="32">
        <v>9435</v>
      </c>
      <c r="AP705" s="32">
        <v>9435</v>
      </c>
      <c r="AQ705" s="32">
        <v>9435</v>
      </c>
      <c r="AR705" s="32">
        <v>9435</v>
      </c>
      <c r="AS705" s="32">
        <v>9435</v>
      </c>
      <c r="AT705" s="32">
        <v>9435</v>
      </c>
      <c r="AU705" s="32">
        <v>9435</v>
      </c>
      <c r="AV705" s="32">
        <v>9435</v>
      </c>
      <c r="AW705" s="32">
        <v>9435</v>
      </c>
      <c r="AX705" s="32">
        <v>9435</v>
      </c>
      <c r="AY705" s="32">
        <v>9435</v>
      </c>
      <c r="AZ705" s="32">
        <v>9435</v>
      </c>
      <c r="BA705" s="32"/>
      <c r="BB705" s="32"/>
      <c r="BC705" s="32"/>
      <c r="BD705" s="32"/>
      <c r="BE705" s="32"/>
      <c r="BF705" s="32"/>
      <c r="BG705" s="32"/>
      <c r="BL705" t="s">
        <v>5226</v>
      </c>
      <c r="BM705" s="41">
        <v>44336</v>
      </c>
      <c r="BN705" t="s">
        <v>5227</v>
      </c>
      <c r="BT705" t="s">
        <v>5228</v>
      </c>
      <c r="BU705" s="41">
        <v>44519</v>
      </c>
      <c r="CR705">
        <v>870250</v>
      </c>
      <c r="CS705">
        <v>36</v>
      </c>
    </row>
    <row r="706" spans="1:97" s="36" customFormat="1" x14ac:dyDescent="0.4">
      <c r="A706" s="36" t="s">
        <v>2199</v>
      </c>
      <c r="D706" s="36" t="s">
        <v>2370</v>
      </c>
      <c r="E706" s="36" t="s">
        <v>2371</v>
      </c>
      <c r="F706" s="36" t="s">
        <v>2200</v>
      </c>
      <c r="G706" s="36" t="s">
        <v>5229</v>
      </c>
      <c r="H706" s="36">
        <v>9020472480</v>
      </c>
      <c r="I706" s="36" t="s">
        <v>2201</v>
      </c>
      <c r="J706" s="36" t="s">
        <v>2433</v>
      </c>
      <c r="L706" s="36" t="s">
        <v>5230</v>
      </c>
      <c r="M706" s="36" t="s">
        <v>2506</v>
      </c>
      <c r="N706" s="36" t="s">
        <v>5231</v>
      </c>
      <c r="O706" s="36" t="s">
        <v>5232</v>
      </c>
      <c r="Q706" s="36" t="s">
        <v>2637</v>
      </c>
      <c r="R706" s="37">
        <v>44214</v>
      </c>
      <c r="S706" s="36" t="s">
        <v>3191</v>
      </c>
      <c r="T706" s="37">
        <v>45736</v>
      </c>
      <c r="U706" s="37"/>
      <c r="V706" s="38"/>
      <c r="W706" s="34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9"/>
      <c r="AJ706" s="35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5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CR706" s="36">
        <v>804110</v>
      </c>
      <c r="CS706" s="36">
        <v>24</v>
      </c>
    </row>
    <row r="707" spans="1:97" x14ac:dyDescent="0.4">
      <c r="A707" t="s">
        <v>2202</v>
      </c>
      <c r="D707" t="s">
        <v>2370</v>
      </c>
      <c r="E707" t="s">
        <v>2371</v>
      </c>
      <c r="F707" t="s">
        <v>2203</v>
      </c>
      <c r="G707" t="s">
        <v>5233</v>
      </c>
      <c r="H707">
        <v>9061040844</v>
      </c>
      <c r="I707" t="s">
        <v>2204</v>
      </c>
      <c r="J707" t="s">
        <v>2433</v>
      </c>
      <c r="L707" t="s">
        <v>5234</v>
      </c>
      <c r="M707" t="s">
        <v>2640</v>
      </c>
      <c r="N707" t="s">
        <v>5235</v>
      </c>
      <c r="O707" t="s">
        <v>5236</v>
      </c>
      <c r="Q707" t="s">
        <v>2637</v>
      </c>
      <c r="R707" s="30">
        <v>44212</v>
      </c>
      <c r="S707" t="s">
        <v>1944</v>
      </c>
      <c r="T707" s="30">
        <v>45767</v>
      </c>
      <c r="U707" s="20">
        <v>113220</v>
      </c>
      <c r="V707" s="31"/>
      <c r="W707" s="34"/>
      <c r="X707" s="34">
        <f t="shared" ref="X707:X708" si="124">+U707</f>
        <v>113220</v>
      </c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2"/>
      <c r="AJ707" s="35"/>
      <c r="AK707" s="32">
        <v>9435</v>
      </c>
      <c r="AL707" s="32">
        <v>9435</v>
      </c>
      <c r="AM707" s="32">
        <v>9435</v>
      </c>
      <c r="AN707" s="32">
        <v>9435</v>
      </c>
      <c r="AO707" s="32">
        <v>9435</v>
      </c>
      <c r="AP707" s="32">
        <v>9435</v>
      </c>
      <c r="AQ707" s="32">
        <v>9435</v>
      </c>
      <c r="AR707" s="32">
        <v>9435</v>
      </c>
      <c r="AS707" s="32">
        <v>9435</v>
      </c>
      <c r="AT707" s="32">
        <v>9435</v>
      </c>
      <c r="AU707" s="32">
        <v>9435</v>
      </c>
      <c r="AV707" s="32">
        <v>9435</v>
      </c>
      <c r="AW707" s="35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CR707">
        <v>1023660</v>
      </c>
      <c r="CS707">
        <v>38</v>
      </c>
    </row>
    <row r="708" spans="1:97" x14ac:dyDescent="0.4">
      <c r="A708" t="s">
        <v>2205</v>
      </c>
      <c r="D708" t="s">
        <v>2370</v>
      </c>
      <c r="E708" t="s">
        <v>2371</v>
      </c>
      <c r="F708" t="s">
        <v>2206</v>
      </c>
      <c r="G708" t="s">
        <v>5237</v>
      </c>
      <c r="H708">
        <v>8043366436</v>
      </c>
      <c r="I708" t="s">
        <v>2207</v>
      </c>
      <c r="J708" t="s">
        <v>2433</v>
      </c>
      <c r="L708" t="s">
        <v>5238</v>
      </c>
      <c r="M708" t="s">
        <v>2444</v>
      </c>
      <c r="N708" t="s">
        <v>5239</v>
      </c>
      <c r="O708" t="s">
        <v>5240</v>
      </c>
      <c r="Q708" t="s">
        <v>2637</v>
      </c>
      <c r="R708" s="30">
        <v>44212</v>
      </c>
      <c r="S708" t="s">
        <v>44</v>
      </c>
      <c r="T708" s="30">
        <v>45767</v>
      </c>
      <c r="U708" s="20">
        <v>114300</v>
      </c>
      <c r="V708" s="31"/>
      <c r="W708" s="34"/>
      <c r="X708" s="34">
        <f t="shared" si="124"/>
        <v>114300</v>
      </c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2"/>
      <c r="AJ708" s="35"/>
      <c r="AK708" s="32">
        <v>19050</v>
      </c>
      <c r="AL708" s="32">
        <v>19050</v>
      </c>
      <c r="AM708" s="32">
        <v>19050</v>
      </c>
      <c r="AN708" s="32">
        <v>19050</v>
      </c>
      <c r="AO708" s="32">
        <v>19050</v>
      </c>
      <c r="AP708" s="32">
        <v>19050</v>
      </c>
      <c r="AQ708" s="32"/>
      <c r="AR708" s="32"/>
      <c r="AS708" s="32"/>
      <c r="AT708" s="32"/>
      <c r="AU708" s="32"/>
      <c r="AV708" s="35"/>
      <c r="AW708" s="35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CR708">
        <v>806000</v>
      </c>
      <c r="CS708">
        <v>19</v>
      </c>
    </row>
    <row r="709" spans="1:97" x14ac:dyDescent="0.4">
      <c r="A709" t="s">
        <v>5241</v>
      </c>
      <c r="D709" t="s">
        <v>2370</v>
      </c>
      <c r="E709" t="s">
        <v>2371</v>
      </c>
      <c r="F709" t="s">
        <v>5242</v>
      </c>
      <c r="G709" t="s">
        <v>5243</v>
      </c>
      <c r="H709">
        <v>9033546789</v>
      </c>
      <c r="I709" t="s">
        <v>5244</v>
      </c>
      <c r="J709" t="s">
        <v>2433</v>
      </c>
      <c r="L709" t="s">
        <v>5245</v>
      </c>
      <c r="M709" t="s">
        <v>3180</v>
      </c>
      <c r="N709" t="s">
        <v>5246</v>
      </c>
      <c r="O709" t="s">
        <v>5247</v>
      </c>
      <c r="Q709" t="s">
        <v>2637</v>
      </c>
      <c r="R709" s="30">
        <v>44210</v>
      </c>
      <c r="S709" t="s">
        <v>5133</v>
      </c>
      <c r="T709" s="30">
        <v>45889</v>
      </c>
      <c r="U709" s="20">
        <v>113220</v>
      </c>
      <c r="V709" s="31"/>
      <c r="W709" s="31"/>
      <c r="X709" s="31"/>
      <c r="Y709" s="31"/>
      <c r="Z709" s="31"/>
      <c r="AA709" s="31"/>
      <c r="AB709" s="31">
        <f>+U709</f>
        <v>113220</v>
      </c>
      <c r="AC709" s="31"/>
      <c r="AD709" s="31"/>
      <c r="AE709" s="31"/>
      <c r="AF709" s="31"/>
      <c r="AG709" s="31"/>
      <c r="AH709" s="31"/>
      <c r="AI709" s="32"/>
      <c r="AJ709" s="32"/>
      <c r="AK709" s="32"/>
      <c r="AL709" s="32"/>
      <c r="AM709" s="32"/>
      <c r="AN709" s="32"/>
      <c r="AO709" s="32">
        <v>9435</v>
      </c>
      <c r="AP709" s="32">
        <v>9435</v>
      </c>
      <c r="AQ709" s="32">
        <v>9435</v>
      </c>
      <c r="AR709" s="32">
        <v>9435</v>
      </c>
      <c r="AS709" s="32">
        <v>9435</v>
      </c>
      <c r="AT709" s="32">
        <v>9435</v>
      </c>
      <c r="AU709" s="32">
        <v>9435</v>
      </c>
      <c r="AV709" s="32">
        <v>9435</v>
      </c>
      <c r="AW709" s="32">
        <v>9435</v>
      </c>
      <c r="AX709" s="32">
        <v>9435</v>
      </c>
      <c r="AY709" s="32">
        <v>9435</v>
      </c>
      <c r="AZ709" s="32">
        <v>9435</v>
      </c>
      <c r="BA709" s="32"/>
      <c r="BB709" s="32"/>
      <c r="BC709" s="32"/>
      <c r="BD709" s="32"/>
      <c r="BE709" s="32"/>
      <c r="BF709" s="32"/>
      <c r="BG709" s="32"/>
      <c r="BN709" t="s">
        <v>5043</v>
      </c>
      <c r="BO709" s="41">
        <v>44483</v>
      </c>
      <c r="BP709" t="s">
        <v>5121</v>
      </c>
      <c r="BQ709" s="41">
        <v>44701</v>
      </c>
      <c r="CR709">
        <v>723170</v>
      </c>
      <c r="CS709">
        <v>25</v>
      </c>
    </row>
    <row r="710" spans="1:97" x14ac:dyDescent="0.4">
      <c r="A710" t="s">
        <v>2208</v>
      </c>
      <c r="D710" t="s">
        <v>2370</v>
      </c>
      <c r="E710" t="s">
        <v>2371</v>
      </c>
      <c r="F710" t="s">
        <v>2209</v>
      </c>
      <c r="G710" t="s">
        <v>5248</v>
      </c>
      <c r="H710">
        <v>9033721514</v>
      </c>
      <c r="I710" t="s">
        <v>2210</v>
      </c>
      <c r="J710" t="s">
        <v>2433</v>
      </c>
      <c r="L710" t="s">
        <v>5249</v>
      </c>
      <c r="M710" t="s">
        <v>2569</v>
      </c>
      <c r="N710" t="s">
        <v>5250</v>
      </c>
      <c r="O710" t="s">
        <v>5251</v>
      </c>
      <c r="Q710" t="s">
        <v>5252</v>
      </c>
      <c r="R710" s="30">
        <v>43975</v>
      </c>
      <c r="S710" t="s">
        <v>44</v>
      </c>
      <c r="T710" s="30">
        <v>45767</v>
      </c>
      <c r="U710" s="20">
        <v>114300</v>
      </c>
      <c r="V710" s="31"/>
      <c r="W710" s="34"/>
      <c r="X710" s="34">
        <f>+U710</f>
        <v>114300</v>
      </c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2"/>
      <c r="AJ710" s="35"/>
      <c r="AK710" s="32">
        <v>19050</v>
      </c>
      <c r="AL710" s="32">
        <v>19050</v>
      </c>
      <c r="AM710" s="32">
        <v>19050</v>
      </c>
      <c r="AN710" s="32">
        <v>19050</v>
      </c>
      <c r="AO710" s="32">
        <v>19050</v>
      </c>
      <c r="AP710" s="32">
        <v>19050</v>
      </c>
      <c r="AQ710" s="32"/>
      <c r="AR710" s="32"/>
      <c r="AS710" s="32"/>
      <c r="AT710" s="32"/>
      <c r="AU710" s="32"/>
      <c r="AV710" s="35"/>
      <c r="AW710" s="35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t="s">
        <v>5253</v>
      </c>
      <c r="BI710" s="30">
        <v>44256</v>
      </c>
      <c r="BN710" t="s">
        <v>5043</v>
      </c>
      <c r="BO710" s="41">
        <v>44137</v>
      </c>
      <c r="BP710" t="s">
        <v>3335</v>
      </c>
      <c r="BQ710" s="41">
        <v>45218</v>
      </c>
      <c r="BT710" t="s">
        <v>5228</v>
      </c>
      <c r="BU710" s="41">
        <v>44175</v>
      </c>
      <c r="BV710" t="s">
        <v>5148</v>
      </c>
      <c r="BW710" s="41">
        <v>44256</v>
      </c>
      <c r="CR710">
        <v>2188015</v>
      </c>
      <c r="CS710">
        <v>38</v>
      </c>
    </row>
    <row r="711" spans="1:97" x14ac:dyDescent="0.4">
      <c r="A711" t="s">
        <v>2211</v>
      </c>
      <c r="B711">
        <v>3034733</v>
      </c>
      <c r="D711" t="s">
        <v>2370</v>
      </c>
      <c r="E711" t="s">
        <v>2371</v>
      </c>
      <c r="F711" t="s">
        <v>2212</v>
      </c>
      <c r="G711" t="s">
        <v>5254</v>
      </c>
      <c r="H711">
        <v>8088083307</v>
      </c>
      <c r="I711" t="s">
        <v>2213</v>
      </c>
      <c r="J711" t="s">
        <v>2433</v>
      </c>
      <c r="L711" t="s">
        <v>2954</v>
      </c>
      <c r="M711" t="s">
        <v>2444</v>
      </c>
      <c r="N711" t="s">
        <v>2955</v>
      </c>
      <c r="O711" s="41">
        <v>37989</v>
      </c>
      <c r="Q711" t="s">
        <v>2722</v>
      </c>
      <c r="R711" s="30">
        <v>43918</v>
      </c>
      <c r="S711" t="s">
        <v>44</v>
      </c>
      <c r="T711" s="30">
        <v>45797</v>
      </c>
      <c r="U711" s="20">
        <v>114300</v>
      </c>
      <c r="V711" s="31"/>
      <c r="W711" s="31"/>
      <c r="X711" s="31"/>
      <c r="Y711" s="31">
        <f>+U711</f>
        <v>114300</v>
      </c>
      <c r="Z711" s="31"/>
      <c r="AA711" s="31"/>
      <c r="AB711" s="31"/>
      <c r="AC711" s="31"/>
      <c r="AD711" s="31"/>
      <c r="AE711" s="31"/>
      <c r="AF711" s="31"/>
      <c r="AG711" s="31"/>
      <c r="AH711" s="31"/>
      <c r="AI711" s="32"/>
      <c r="AJ711" s="32"/>
      <c r="AK711" s="32"/>
      <c r="AL711" s="32">
        <v>19050</v>
      </c>
      <c r="AM711" s="32">
        <v>19050</v>
      </c>
      <c r="AN711" s="32">
        <v>19050</v>
      </c>
      <c r="AO711" s="32">
        <v>19050</v>
      </c>
      <c r="AP711" s="32">
        <v>19050</v>
      </c>
      <c r="AQ711" s="32">
        <v>19050</v>
      </c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CO711" s="30">
        <v>43918</v>
      </c>
      <c r="CR711">
        <v>1568100</v>
      </c>
      <c r="CS711">
        <v>19</v>
      </c>
    </row>
    <row r="712" spans="1:97" x14ac:dyDescent="0.4">
      <c r="A712" t="s">
        <v>2215</v>
      </c>
      <c r="D712" t="s">
        <v>2370</v>
      </c>
      <c r="E712" t="s">
        <v>2371</v>
      </c>
      <c r="F712" t="s">
        <v>2216</v>
      </c>
      <c r="G712" t="s">
        <v>5255</v>
      </c>
      <c r="H712">
        <v>9024009011</v>
      </c>
      <c r="I712" t="s">
        <v>2217</v>
      </c>
      <c r="J712" t="s">
        <v>2433</v>
      </c>
      <c r="L712" t="s">
        <v>5256</v>
      </c>
      <c r="M712" t="s">
        <v>2444</v>
      </c>
      <c r="N712" t="s">
        <v>5257</v>
      </c>
      <c r="O712" t="s">
        <v>5258</v>
      </c>
      <c r="Q712" t="s">
        <v>2722</v>
      </c>
      <c r="R712" s="30">
        <v>44211</v>
      </c>
      <c r="S712" t="s">
        <v>44</v>
      </c>
      <c r="T712" s="30">
        <v>45828</v>
      </c>
      <c r="U712" s="20">
        <v>114300</v>
      </c>
      <c r="V712" s="31"/>
      <c r="W712" s="31"/>
      <c r="X712" s="31"/>
      <c r="Y712" s="31"/>
      <c r="Z712" s="31">
        <f t="shared" ref="Z712:Z714" si="125">+U712</f>
        <v>114300</v>
      </c>
      <c r="AA712" s="31"/>
      <c r="AB712" s="31"/>
      <c r="AC712" s="31"/>
      <c r="AD712" s="31"/>
      <c r="AE712" s="31"/>
      <c r="AF712" s="31"/>
      <c r="AG712" s="31"/>
      <c r="AH712" s="31"/>
      <c r="AI712" s="32"/>
      <c r="AJ712" s="32"/>
      <c r="AK712" s="32"/>
      <c r="AL712" s="32"/>
      <c r="AM712" s="32">
        <v>19050</v>
      </c>
      <c r="AN712" s="32">
        <v>19050</v>
      </c>
      <c r="AO712" s="32">
        <v>19050</v>
      </c>
      <c r="AP712" s="32">
        <v>19050</v>
      </c>
      <c r="AQ712" s="32">
        <v>19050</v>
      </c>
      <c r="AR712" s="32">
        <v>19050</v>
      </c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N712" t="s">
        <v>5205</v>
      </c>
      <c r="BP712" t="s">
        <v>3335</v>
      </c>
      <c r="BQ712" s="41">
        <v>45216</v>
      </c>
      <c r="CR712">
        <v>2669440</v>
      </c>
      <c r="CS712">
        <v>30</v>
      </c>
    </row>
    <row r="713" spans="1:97" x14ac:dyDescent="0.4">
      <c r="A713" t="s">
        <v>2219</v>
      </c>
      <c r="D713" t="s">
        <v>2370</v>
      </c>
      <c r="E713" t="s">
        <v>2371</v>
      </c>
      <c r="F713" t="s">
        <v>2220</v>
      </c>
      <c r="G713" t="s">
        <v>5259</v>
      </c>
      <c r="H713">
        <v>8052398239</v>
      </c>
      <c r="I713" t="s">
        <v>2221</v>
      </c>
      <c r="J713" t="s">
        <v>2433</v>
      </c>
      <c r="L713" t="s">
        <v>5260</v>
      </c>
      <c r="M713" t="s">
        <v>3194</v>
      </c>
      <c r="N713" t="s">
        <v>5261</v>
      </c>
      <c r="O713" s="41">
        <v>40148</v>
      </c>
      <c r="Q713" t="s">
        <v>5262</v>
      </c>
      <c r="R713" s="30">
        <v>43293</v>
      </c>
      <c r="S713" t="s">
        <v>44</v>
      </c>
      <c r="T713" s="30">
        <v>45828</v>
      </c>
      <c r="U713" s="20">
        <v>114300</v>
      </c>
      <c r="V713" s="31"/>
      <c r="W713" s="31"/>
      <c r="X713" s="31"/>
      <c r="Y713" s="31"/>
      <c r="Z713" s="31">
        <f t="shared" si="125"/>
        <v>114300</v>
      </c>
      <c r="AA713" s="31"/>
      <c r="AB713" s="31"/>
      <c r="AC713" s="31"/>
      <c r="AD713" s="31"/>
      <c r="AE713" s="31"/>
      <c r="AF713" s="31"/>
      <c r="AG713" s="31"/>
      <c r="AH713" s="31"/>
      <c r="AI713" s="32"/>
      <c r="AJ713" s="32"/>
      <c r="AK713" s="32"/>
      <c r="AL713" s="32"/>
      <c r="AM713" s="32">
        <v>19050</v>
      </c>
      <c r="AN713" s="32">
        <v>19050</v>
      </c>
      <c r="AO713" s="32">
        <v>19050</v>
      </c>
      <c r="AP713" s="32">
        <v>19050</v>
      </c>
      <c r="AQ713" s="32">
        <v>19050</v>
      </c>
      <c r="AR713" s="32">
        <v>19050</v>
      </c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CR713">
        <v>546600</v>
      </c>
      <c r="CS713">
        <v>2</v>
      </c>
    </row>
    <row r="714" spans="1:97" x14ac:dyDescent="0.4">
      <c r="A714" t="s">
        <v>2222</v>
      </c>
      <c r="B714">
        <v>3009841</v>
      </c>
      <c r="D714" t="s">
        <v>2370</v>
      </c>
      <c r="E714" t="s">
        <v>2371</v>
      </c>
      <c r="F714" t="s">
        <v>2223</v>
      </c>
      <c r="G714" t="s">
        <v>5263</v>
      </c>
      <c r="H714">
        <v>9051376200</v>
      </c>
      <c r="I714" t="s">
        <v>2224</v>
      </c>
      <c r="J714" t="s">
        <v>2433</v>
      </c>
      <c r="L714" t="s">
        <v>5264</v>
      </c>
      <c r="M714" t="s">
        <v>2460</v>
      </c>
      <c r="N714" t="s">
        <v>5265</v>
      </c>
      <c r="O714" t="s">
        <v>5266</v>
      </c>
      <c r="Q714" t="s">
        <v>2637</v>
      </c>
      <c r="R714" s="30">
        <v>42906</v>
      </c>
      <c r="S714" t="s">
        <v>44</v>
      </c>
      <c r="T714" s="30">
        <v>45828</v>
      </c>
      <c r="U714" s="20">
        <v>114300</v>
      </c>
      <c r="V714" s="31"/>
      <c r="W714" s="31"/>
      <c r="X714" s="31"/>
      <c r="Y714" s="31"/>
      <c r="Z714" s="31">
        <f t="shared" si="125"/>
        <v>114300</v>
      </c>
      <c r="AA714" s="31"/>
      <c r="AB714" s="31"/>
      <c r="AC714" s="31"/>
      <c r="AD714" s="31"/>
      <c r="AE714" s="31"/>
      <c r="AF714" s="31"/>
      <c r="AG714" s="31"/>
      <c r="AH714" s="31"/>
      <c r="AI714" s="32"/>
      <c r="AJ714" s="32"/>
      <c r="AK714" s="32"/>
      <c r="AL714" s="32"/>
      <c r="AM714" s="32">
        <v>19050</v>
      </c>
      <c r="AN714" s="32">
        <v>19050</v>
      </c>
      <c r="AO714" s="32">
        <v>19050</v>
      </c>
      <c r="AP714" s="32">
        <v>19050</v>
      </c>
      <c r="AQ714" s="32">
        <v>19050</v>
      </c>
      <c r="AR714" s="32">
        <v>19050</v>
      </c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N714" t="s">
        <v>5267</v>
      </c>
      <c r="CR714">
        <v>1369000</v>
      </c>
      <c r="CS714">
        <v>14</v>
      </c>
    </row>
    <row r="715" spans="1:97" x14ac:dyDescent="0.4">
      <c r="A715" t="s">
        <v>2225</v>
      </c>
      <c r="D715" t="s">
        <v>2370</v>
      </c>
      <c r="E715" t="s">
        <v>2371</v>
      </c>
      <c r="F715" t="s">
        <v>2226</v>
      </c>
      <c r="G715" t="s">
        <v>5268</v>
      </c>
      <c r="H715">
        <v>9016743574</v>
      </c>
      <c r="I715" t="s">
        <v>2227</v>
      </c>
      <c r="J715" t="s">
        <v>2433</v>
      </c>
      <c r="L715" t="s">
        <v>5269</v>
      </c>
      <c r="M715" t="s">
        <v>2435</v>
      </c>
      <c r="N715" t="s">
        <v>5270</v>
      </c>
      <c r="O715" t="s">
        <v>5271</v>
      </c>
      <c r="Q715" t="s">
        <v>5272</v>
      </c>
      <c r="R715" s="30">
        <v>42802</v>
      </c>
      <c r="S715" t="s">
        <v>1944</v>
      </c>
      <c r="T715" s="30">
        <v>46073</v>
      </c>
      <c r="U715" s="20">
        <v>113220</v>
      </c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>
        <f>+U715</f>
        <v>113220</v>
      </c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>
        <v>9435</v>
      </c>
      <c r="AV715" s="32">
        <v>9435</v>
      </c>
      <c r="AW715" s="32">
        <v>9435</v>
      </c>
      <c r="AX715" s="32">
        <v>9435</v>
      </c>
      <c r="AY715" s="32">
        <v>9435</v>
      </c>
      <c r="AZ715" s="32">
        <v>9435</v>
      </c>
      <c r="BA715" s="32">
        <v>9435</v>
      </c>
      <c r="BB715" s="32">
        <v>9435</v>
      </c>
      <c r="BC715" s="32">
        <v>9435</v>
      </c>
      <c r="BD715" s="32">
        <v>9435</v>
      </c>
      <c r="BE715" s="32">
        <v>9435</v>
      </c>
      <c r="BF715" s="32">
        <v>9435</v>
      </c>
      <c r="BG715" s="32"/>
      <c r="BP715" t="s">
        <v>3335</v>
      </c>
      <c r="BQ715" s="41">
        <v>44520</v>
      </c>
      <c r="CD715" t="s">
        <v>5087</v>
      </c>
      <c r="CE715" s="41">
        <v>44885</v>
      </c>
      <c r="CR715">
        <v>867920</v>
      </c>
      <c r="CS715">
        <v>19</v>
      </c>
    </row>
    <row r="716" spans="1:97" x14ac:dyDescent="0.4">
      <c r="A716" s="45" t="s">
        <v>1925</v>
      </c>
      <c r="B716" s="46"/>
      <c r="C716" s="46"/>
      <c r="D716" s="46"/>
      <c r="E716" s="46"/>
      <c r="F716" s="45" t="s">
        <v>1926</v>
      </c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7"/>
      <c r="S716" s="45" t="s">
        <v>44</v>
      </c>
      <c r="T716" s="48" t="s">
        <v>1929</v>
      </c>
      <c r="U716" s="46">
        <v>114300</v>
      </c>
      <c r="V716" s="49">
        <v>114300</v>
      </c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>
        <v>19050</v>
      </c>
      <c r="AJ716" s="50">
        <v>19050</v>
      </c>
      <c r="AK716" s="50">
        <v>19050</v>
      </c>
      <c r="AL716" s="50">
        <v>19050</v>
      </c>
      <c r="AM716" s="50">
        <v>19050</v>
      </c>
      <c r="AN716" s="50">
        <v>19050</v>
      </c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Q716" s="41"/>
      <c r="CE716" s="41"/>
    </row>
    <row r="717" spans="1:97" x14ac:dyDescent="0.4">
      <c r="A717" s="45" t="s">
        <v>2018</v>
      </c>
      <c r="B717" s="46"/>
      <c r="C717" s="46"/>
      <c r="D717" s="46"/>
      <c r="E717" s="46"/>
      <c r="F717" s="45" t="s">
        <v>2019</v>
      </c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7"/>
      <c r="S717" s="45" t="s">
        <v>44</v>
      </c>
      <c r="T717" s="48" t="s">
        <v>1929</v>
      </c>
      <c r="U717" s="46">
        <v>114300</v>
      </c>
      <c r="V717" s="49">
        <v>114300</v>
      </c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>
        <v>19050</v>
      </c>
      <c r="AJ717" s="50">
        <v>19050</v>
      </c>
      <c r="AK717" s="50">
        <v>19050</v>
      </c>
      <c r="AL717" s="50">
        <v>19050</v>
      </c>
      <c r="AM717" s="50">
        <v>19050</v>
      </c>
      <c r="AN717" s="50">
        <v>19050</v>
      </c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Q717" s="41"/>
      <c r="CE717" s="41"/>
    </row>
    <row r="718" spans="1:97" x14ac:dyDescent="0.4">
      <c r="A718" s="45" t="s">
        <v>2091</v>
      </c>
      <c r="B718" s="46"/>
      <c r="C718" s="46"/>
      <c r="D718" s="46"/>
      <c r="E718" s="46"/>
      <c r="F718" s="45" t="s">
        <v>2092</v>
      </c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7"/>
      <c r="S718" s="45" t="s">
        <v>25</v>
      </c>
      <c r="T718" s="48" t="s">
        <v>1929</v>
      </c>
      <c r="U718" s="46">
        <v>59400</v>
      </c>
      <c r="V718" s="49">
        <v>59400</v>
      </c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>
        <v>19800</v>
      </c>
      <c r="AJ718" s="50">
        <v>19800</v>
      </c>
      <c r="AK718" s="50">
        <v>19800</v>
      </c>
      <c r="AL718" s="50"/>
      <c r="AM718" s="50"/>
      <c r="AN718" s="50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Q718" s="41"/>
      <c r="CE718" s="41"/>
    </row>
    <row r="719" spans="1:97" x14ac:dyDescent="0.4">
      <c r="U719" s="52">
        <f>SUM(U707:U715)</f>
        <v>1025460</v>
      </c>
      <c r="V719" s="52">
        <f>SUM(V2:V718)</f>
        <v>288000</v>
      </c>
      <c r="W719" s="52">
        <f>SUM(W2:W718)</f>
        <v>8139600</v>
      </c>
      <c r="X719" s="52">
        <f t="shared" ref="X719:AH719" si="126">SUM(X2:X718)</f>
        <v>17366220</v>
      </c>
      <c r="Y719" s="52">
        <f t="shared" si="126"/>
        <v>1487160</v>
      </c>
      <c r="Z719" s="52">
        <f t="shared" si="126"/>
        <v>39433500</v>
      </c>
      <c r="AA719" s="52">
        <f t="shared" si="126"/>
        <v>799020</v>
      </c>
      <c r="AB719" s="52">
        <f t="shared" si="126"/>
        <v>2722680</v>
      </c>
      <c r="AC719" s="52">
        <f t="shared" si="126"/>
        <v>114300</v>
      </c>
      <c r="AD719" s="52">
        <f t="shared" si="126"/>
        <v>0</v>
      </c>
      <c r="AE719" s="52">
        <f t="shared" si="126"/>
        <v>113220</v>
      </c>
      <c r="AF719" s="52">
        <f t="shared" si="126"/>
        <v>0</v>
      </c>
      <c r="AG719" s="52">
        <f t="shared" si="126"/>
        <v>0</v>
      </c>
      <c r="AH719" s="52">
        <f t="shared" si="126"/>
        <v>1132200</v>
      </c>
      <c r="AI719" s="52">
        <f>SUM(AI2:AI718)</f>
        <v>57900</v>
      </c>
      <c r="AJ719" s="52">
        <f t="shared" ref="AJ719:AO719" si="127">SUM(AJ2:AJ718)</f>
        <v>2275800</v>
      </c>
      <c r="AK719" s="52">
        <f t="shared" si="127"/>
        <v>5361060</v>
      </c>
      <c r="AL719" s="52">
        <f t="shared" si="127"/>
        <v>5580615</v>
      </c>
      <c r="AM719" s="52">
        <f t="shared" si="127"/>
        <v>10430265</v>
      </c>
      <c r="AN719" s="52">
        <f t="shared" si="127"/>
        <v>10059000</v>
      </c>
      <c r="AO719" s="52">
        <f t="shared" si="127"/>
        <v>10255815</v>
      </c>
      <c r="AP719" s="52">
        <f t="shared" ref="AP719:BG719" si="128">SUM(AP2:AP715)</f>
        <v>9779565</v>
      </c>
      <c r="AQ719" s="52">
        <f t="shared" si="128"/>
        <v>7245915</v>
      </c>
      <c r="AR719" s="52">
        <f t="shared" si="128"/>
        <v>7083900</v>
      </c>
      <c r="AS719" s="52">
        <f t="shared" si="128"/>
        <v>511650</v>
      </c>
      <c r="AT719" s="52">
        <f t="shared" si="128"/>
        <v>397350</v>
      </c>
      <c r="AU719" s="52">
        <f t="shared" si="128"/>
        <v>396450</v>
      </c>
      <c r="AV719" s="52">
        <f t="shared" si="128"/>
        <v>377400</v>
      </c>
      <c r="AW719" s="52">
        <f t="shared" si="128"/>
        <v>320790</v>
      </c>
      <c r="AX719" s="52">
        <f t="shared" si="128"/>
        <v>292485</v>
      </c>
      <c r="AY719" s="52">
        <f t="shared" si="128"/>
        <v>292485</v>
      </c>
      <c r="AZ719" s="52">
        <f t="shared" si="128"/>
        <v>283050</v>
      </c>
      <c r="BA719" s="52">
        <f t="shared" si="128"/>
        <v>103785</v>
      </c>
      <c r="BB719" s="52">
        <f t="shared" si="128"/>
        <v>103785</v>
      </c>
      <c r="BC719" s="52">
        <f t="shared" si="128"/>
        <v>103785</v>
      </c>
      <c r="BD719" s="52">
        <f t="shared" si="128"/>
        <v>94350</v>
      </c>
      <c r="BE719" s="52">
        <f t="shared" si="128"/>
        <v>94350</v>
      </c>
      <c r="BF719" s="52">
        <f t="shared" si="128"/>
        <v>94350</v>
      </c>
      <c r="BG719" s="52">
        <f t="shared" si="128"/>
        <v>0</v>
      </c>
    </row>
    <row r="720" spans="1:97" x14ac:dyDescent="0.4">
      <c r="AH720" s="21">
        <f>+SUM(V719:AH719)</f>
        <v>71595900</v>
      </c>
      <c r="BG720" s="21">
        <f>+SUM(AI719:BG719)</f>
        <v>71595900</v>
      </c>
    </row>
  </sheetData>
  <autoFilter ref="A1:CK717" xr:uid="{B8F6AC8D-F00C-44E8-A305-6F8630A30285}"/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5873-6A74-49C9-8EDF-423EFC5EA547}">
  <sheetPr>
    <tabColor rgb="FFFFC000"/>
  </sheetPr>
  <dimension ref="A3:H29"/>
  <sheetViews>
    <sheetView zoomScale="70" zoomScaleNormal="70" workbookViewId="0">
      <selection activeCell="H29" sqref="H5:H29"/>
    </sheetView>
  </sheetViews>
  <sheetFormatPr defaultRowHeight="18.75" x14ac:dyDescent="0.4"/>
  <cols>
    <col min="1" max="1" width="17.25" customWidth="1"/>
    <col min="2" max="7" width="25.75" customWidth="1"/>
    <col min="8" max="9" width="11.75" bestFit="1" customWidth="1"/>
    <col min="10" max="10" width="33.125" bestFit="1" customWidth="1"/>
    <col min="11" max="12" width="9.5" bestFit="1" customWidth="1"/>
    <col min="13" max="14" width="18.875" bestFit="1" customWidth="1"/>
    <col min="15" max="20" width="17.625" bestFit="1" customWidth="1"/>
    <col min="21" max="23" width="18.875" bestFit="1" customWidth="1"/>
    <col min="24" max="26" width="17.625" bestFit="1" customWidth="1"/>
  </cols>
  <sheetData>
    <row r="3" spans="1:8" x14ac:dyDescent="0.4">
      <c r="B3" t="s">
        <v>2346</v>
      </c>
    </row>
    <row r="4" spans="1:8" x14ac:dyDescent="0.4">
      <c r="A4" t="s">
        <v>5273</v>
      </c>
      <c r="B4" t="s">
        <v>25</v>
      </c>
      <c r="C4" t="s">
        <v>44</v>
      </c>
      <c r="D4" t="s">
        <v>1944</v>
      </c>
      <c r="E4" t="s">
        <v>70</v>
      </c>
      <c r="F4" t="s">
        <v>50</v>
      </c>
      <c r="G4" t="s">
        <v>5133</v>
      </c>
      <c r="H4" t="s">
        <v>2233</v>
      </c>
    </row>
    <row r="5" spans="1:8" x14ac:dyDescent="0.4">
      <c r="A5" s="53" t="s">
        <v>2248</v>
      </c>
      <c r="B5" s="54"/>
      <c r="C5" s="54">
        <v>38100</v>
      </c>
      <c r="D5" s="54"/>
      <c r="E5" s="54"/>
      <c r="F5" s="54"/>
      <c r="G5" s="54"/>
      <c r="H5" s="54">
        <v>38100</v>
      </c>
    </row>
    <row r="6" spans="1:8" x14ac:dyDescent="0.4">
      <c r="A6" s="53" t="s">
        <v>2249</v>
      </c>
      <c r="B6" s="54">
        <v>1544400</v>
      </c>
      <c r="C6" s="54">
        <v>533400</v>
      </c>
      <c r="D6" s="54"/>
      <c r="E6" s="54">
        <v>178200</v>
      </c>
      <c r="F6" s="54"/>
      <c r="G6" s="54"/>
      <c r="H6" s="54">
        <v>2256000</v>
      </c>
    </row>
    <row r="7" spans="1:8" x14ac:dyDescent="0.4">
      <c r="A7" s="53" t="s">
        <v>2250</v>
      </c>
      <c r="B7" s="54">
        <v>2019600</v>
      </c>
      <c r="C7" s="54">
        <v>2990850</v>
      </c>
      <c r="D7" s="54">
        <v>56610</v>
      </c>
      <c r="E7" s="54">
        <v>198000</v>
      </c>
      <c r="F7" s="54">
        <v>76200</v>
      </c>
      <c r="G7" s="54"/>
      <c r="H7" s="54">
        <v>5341260</v>
      </c>
    </row>
    <row r="8" spans="1:8" x14ac:dyDescent="0.4">
      <c r="A8" s="53" t="s">
        <v>2251</v>
      </c>
      <c r="B8" s="54">
        <v>2059200</v>
      </c>
      <c r="C8" s="54">
        <v>3162300</v>
      </c>
      <c r="D8" s="54">
        <v>84915</v>
      </c>
      <c r="E8" s="54">
        <v>198000</v>
      </c>
      <c r="F8" s="54">
        <v>76200</v>
      </c>
      <c r="G8" s="54"/>
      <c r="H8" s="54">
        <v>5580615</v>
      </c>
    </row>
    <row r="9" spans="1:8" x14ac:dyDescent="0.4">
      <c r="A9" s="53" t="s">
        <v>2252</v>
      </c>
      <c r="B9" s="54">
        <v>514800</v>
      </c>
      <c r="C9" s="54">
        <v>9315450</v>
      </c>
      <c r="D9" s="54">
        <v>84915</v>
      </c>
      <c r="E9" s="54">
        <v>19800</v>
      </c>
      <c r="F9" s="54">
        <v>495300</v>
      </c>
      <c r="G9" s="54"/>
      <c r="H9" s="54">
        <v>10430265</v>
      </c>
    </row>
    <row r="10" spans="1:8" x14ac:dyDescent="0.4">
      <c r="A10" s="53" t="s">
        <v>2253</v>
      </c>
      <c r="B10" s="54">
        <v>39600</v>
      </c>
      <c r="C10" s="54">
        <v>9429750</v>
      </c>
      <c r="D10" s="54">
        <v>94350</v>
      </c>
      <c r="E10" s="54"/>
      <c r="F10" s="54">
        <v>495300</v>
      </c>
      <c r="G10" s="54"/>
      <c r="H10" s="54">
        <v>10059000</v>
      </c>
    </row>
    <row r="11" spans="1:8" x14ac:dyDescent="0.4">
      <c r="A11" s="53" t="s">
        <v>2254</v>
      </c>
      <c r="B11" s="54"/>
      <c r="C11" s="54">
        <v>9486900</v>
      </c>
      <c r="D11" s="54">
        <v>245310</v>
      </c>
      <c r="E11" s="54"/>
      <c r="F11" s="54">
        <v>495300</v>
      </c>
      <c r="G11" s="54">
        <v>28305</v>
      </c>
      <c r="H11" s="54">
        <v>10255815</v>
      </c>
    </row>
    <row r="12" spans="1:8" x14ac:dyDescent="0.4">
      <c r="A12" s="53" t="s">
        <v>2255</v>
      </c>
      <c r="B12" s="54"/>
      <c r="C12" s="54">
        <v>9010650</v>
      </c>
      <c r="D12" s="54">
        <v>245310</v>
      </c>
      <c r="E12" s="54"/>
      <c r="F12" s="54">
        <v>495300</v>
      </c>
      <c r="G12" s="54">
        <v>28305</v>
      </c>
      <c r="H12" s="54">
        <v>9779565</v>
      </c>
    </row>
    <row r="13" spans="1:8" x14ac:dyDescent="0.4">
      <c r="A13" s="53" t="s">
        <v>2256</v>
      </c>
      <c r="B13" s="54"/>
      <c r="C13" s="54">
        <v>6553200</v>
      </c>
      <c r="D13" s="54">
        <v>245310</v>
      </c>
      <c r="E13" s="54"/>
      <c r="F13" s="54">
        <v>419100</v>
      </c>
      <c r="G13" s="54">
        <v>28305</v>
      </c>
      <c r="H13" s="54">
        <v>7245915</v>
      </c>
    </row>
    <row r="14" spans="1:8" x14ac:dyDescent="0.4">
      <c r="A14" s="53" t="s">
        <v>2257</v>
      </c>
      <c r="B14" s="54"/>
      <c r="C14" s="54">
        <v>6381750</v>
      </c>
      <c r="D14" s="54">
        <v>254745</v>
      </c>
      <c r="E14" s="54"/>
      <c r="F14" s="54">
        <v>419100</v>
      </c>
      <c r="G14" s="54">
        <v>28305</v>
      </c>
      <c r="H14" s="54">
        <v>7083900</v>
      </c>
    </row>
    <row r="15" spans="1:8" x14ac:dyDescent="0.4">
      <c r="A15" s="53" t="s">
        <v>2258</v>
      </c>
      <c r="B15" s="54"/>
      <c r="C15" s="54">
        <v>228600</v>
      </c>
      <c r="D15" s="54">
        <v>254745</v>
      </c>
      <c r="E15" s="54"/>
      <c r="F15" s="54"/>
      <c r="G15" s="54">
        <v>28305</v>
      </c>
      <c r="H15" s="54">
        <v>511650</v>
      </c>
    </row>
    <row r="16" spans="1:8" x14ac:dyDescent="0.4">
      <c r="A16" s="53" t="s">
        <v>2259</v>
      </c>
      <c r="B16" s="54"/>
      <c r="C16" s="54">
        <v>114300</v>
      </c>
      <c r="D16" s="54">
        <v>254745</v>
      </c>
      <c r="E16" s="54"/>
      <c r="F16" s="54"/>
      <c r="G16" s="54">
        <v>28305</v>
      </c>
      <c r="H16" s="54">
        <v>397350</v>
      </c>
    </row>
    <row r="17" spans="1:8" x14ac:dyDescent="0.4">
      <c r="A17" s="53" t="s">
        <v>2302</v>
      </c>
      <c r="B17" s="54"/>
      <c r="C17" s="54">
        <v>19050</v>
      </c>
      <c r="D17" s="54">
        <v>349095</v>
      </c>
      <c r="E17" s="54"/>
      <c r="F17" s="54"/>
      <c r="G17" s="54">
        <v>28305</v>
      </c>
      <c r="H17" s="54">
        <v>396450</v>
      </c>
    </row>
    <row r="18" spans="1:8" x14ac:dyDescent="0.4">
      <c r="A18" s="53" t="s">
        <v>2303</v>
      </c>
      <c r="B18" s="54"/>
      <c r="C18" s="54"/>
      <c r="D18" s="54">
        <v>349095</v>
      </c>
      <c r="E18" s="54"/>
      <c r="F18" s="54"/>
      <c r="G18" s="54">
        <v>28305</v>
      </c>
      <c r="H18" s="54">
        <v>377400</v>
      </c>
    </row>
    <row r="19" spans="1:8" x14ac:dyDescent="0.4">
      <c r="A19" s="53" t="s">
        <v>2304</v>
      </c>
      <c r="B19" s="54"/>
      <c r="C19" s="54"/>
      <c r="D19" s="54">
        <v>292485</v>
      </c>
      <c r="E19" s="54"/>
      <c r="F19" s="54"/>
      <c r="G19" s="54">
        <v>28305</v>
      </c>
      <c r="H19" s="54">
        <v>320790</v>
      </c>
    </row>
    <row r="20" spans="1:8" x14ac:dyDescent="0.4">
      <c r="A20" s="53" t="s">
        <v>2305</v>
      </c>
      <c r="B20" s="54"/>
      <c r="C20" s="54"/>
      <c r="D20" s="54">
        <v>264180</v>
      </c>
      <c r="E20" s="54"/>
      <c r="F20" s="54"/>
      <c r="G20" s="54">
        <v>28305</v>
      </c>
      <c r="H20" s="54">
        <v>292485</v>
      </c>
    </row>
    <row r="21" spans="1:8" x14ac:dyDescent="0.4">
      <c r="A21" s="53" t="s">
        <v>2306</v>
      </c>
      <c r="B21" s="54"/>
      <c r="C21" s="54"/>
      <c r="D21" s="54">
        <v>264180</v>
      </c>
      <c r="E21" s="54"/>
      <c r="F21" s="54"/>
      <c r="G21" s="54">
        <v>28305</v>
      </c>
      <c r="H21" s="54">
        <v>292485</v>
      </c>
    </row>
    <row r="22" spans="1:8" x14ac:dyDescent="0.4">
      <c r="A22" s="53" t="s">
        <v>2307</v>
      </c>
      <c r="B22" s="54"/>
      <c r="C22" s="54"/>
      <c r="D22" s="54">
        <v>254745</v>
      </c>
      <c r="E22" s="54"/>
      <c r="F22" s="54"/>
      <c r="G22" s="54">
        <v>28305</v>
      </c>
      <c r="H22" s="54">
        <v>283050</v>
      </c>
    </row>
    <row r="23" spans="1:8" x14ac:dyDescent="0.4">
      <c r="A23" s="53" t="s">
        <v>2308</v>
      </c>
      <c r="B23" s="54"/>
      <c r="C23" s="54"/>
      <c r="D23" s="54">
        <v>103785</v>
      </c>
      <c r="E23" s="54"/>
      <c r="F23" s="54"/>
      <c r="G23" s="54"/>
      <c r="H23" s="54">
        <v>103785</v>
      </c>
    </row>
    <row r="24" spans="1:8" x14ac:dyDescent="0.4">
      <c r="A24" s="53" t="s">
        <v>2309</v>
      </c>
      <c r="B24" s="54"/>
      <c r="C24" s="54"/>
      <c r="D24" s="54">
        <v>103785</v>
      </c>
      <c r="E24" s="54"/>
      <c r="F24" s="54"/>
      <c r="G24" s="54"/>
      <c r="H24" s="54">
        <v>103785</v>
      </c>
    </row>
    <row r="25" spans="1:8" x14ac:dyDescent="0.4">
      <c r="A25" s="53" t="s">
        <v>2310</v>
      </c>
      <c r="B25" s="54"/>
      <c r="C25" s="54"/>
      <c r="D25" s="54">
        <v>103785</v>
      </c>
      <c r="E25" s="54"/>
      <c r="F25" s="54"/>
      <c r="G25" s="54"/>
      <c r="H25" s="54">
        <v>103785</v>
      </c>
    </row>
    <row r="26" spans="1:8" x14ac:dyDescent="0.4">
      <c r="A26" s="53" t="s">
        <v>2311</v>
      </c>
      <c r="B26" s="54"/>
      <c r="C26" s="54"/>
      <c r="D26" s="54">
        <v>94350</v>
      </c>
      <c r="E26" s="54"/>
      <c r="F26" s="54"/>
      <c r="G26" s="54"/>
      <c r="H26" s="54">
        <v>94350</v>
      </c>
    </row>
    <row r="27" spans="1:8" x14ac:dyDescent="0.4">
      <c r="A27" s="53" t="s">
        <v>2312</v>
      </c>
      <c r="B27" s="54"/>
      <c r="C27" s="54"/>
      <c r="D27" s="54">
        <v>94350</v>
      </c>
      <c r="E27" s="54"/>
      <c r="F27" s="54"/>
      <c r="G27" s="54"/>
      <c r="H27" s="54">
        <v>94350</v>
      </c>
    </row>
    <row r="28" spans="1:8" x14ac:dyDescent="0.4">
      <c r="A28" s="53" t="s">
        <v>5274</v>
      </c>
      <c r="B28" s="54"/>
      <c r="C28" s="54"/>
      <c r="D28" s="54">
        <v>94350</v>
      </c>
      <c r="E28" s="54"/>
      <c r="F28" s="54"/>
      <c r="G28" s="54"/>
      <c r="H28" s="54">
        <v>94350</v>
      </c>
    </row>
    <row r="29" spans="1:8" x14ac:dyDescent="0.4">
      <c r="A29" s="53" t="s">
        <v>5275</v>
      </c>
      <c r="B29" s="54"/>
      <c r="C29" s="54"/>
      <c r="D29" s="54"/>
      <c r="E29" s="54"/>
      <c r="F29" s="54"/>
      <c r="G29" s="54"/>
      <c r="H29" s="54"/>
    </row>
  </sheetData>
  <phoneticPr fontId="2"/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27B8-A9A0-43BE-8F7A-41B568FE0EBD}">
  <dimension ref="A4:D30"/>
  <sheetViews>
    <sheetView topLeftCell="A13" workbookViewId="0">
      <selection activeCell="C36" sqref="C36"/>
    </sheetView>
  </sheetViews>
  <sheetFormatPr defaultRowHeight="18.75" x14ac:dyDescent="0.4"/>
  <cols>
    <col min="1" max="1" width="15.5" bestFit="1" customWidth="1"/>
    <col min="2" max="3" width="11.875" bestFit="1" customWidth="1"/>
    <col min="4" max="4" width="13.125" bestFit="1" customWidth="1"/>
    <col min="5" max="25" width="12.5" bestFit="1" customWidth="1"/>
    <col min="26" max="26" width="13.125" bestFit="1" customWidth="1"/>
  </cols>
  <sheetData>
    <row r="4" spans="1:4" x14ac:dyDescent="0.4">
      <c r="A4" s="7" t="s">
        <v>2365</v>
      </c>
      <c r="B4" s="7" t="s">
        <v>2346</v>
      </c>
    </row>
    <row r="5" spans="1:4" x14ac:dyDescent="0.4">
      <c r="A5" s="7" t="s">
        <v>2232</v>
      </c>
      <c r="B5" t="s">
        <v>2366</v>
      </c>
      <c r="C5" t="s">
        <v>2367</v>
      </c>
      <c r="D5" t="s">
        <v>2233</v>
      </c>
    </row>
    <row r="6" spans="1:4" x14ac:dyDescent="0.4">
      <c r="A6" s="8" t="s">
        <v>2347</v>
      </c>
      <c r="B6" s="21">
        <v>26055</v>
      </c>
      <c r="C6" s="21">
        <v>57900</v>
      </c>
      <c r="D6" s="21">
        <v>83955</v>
      </c>
    </row>
    <row r="7" spans="1:4" x14ac:dyDescent="0.4">
      <c r="A7" s="8" t="s">
        <v>2348</v>
      </c>
      <c r="B7" s="21">
        <v>1139940</v>
      </c>
      <c r="C7" s="21">
        <v>2533200</v>
      </c>
      <c r="D7" s="21">
        <v>3673140</v>
      </c>
    </row>
    <row r="8" spans="1:4" x14ac:dyDescent="0.4">
      <c r="A8" s="8" t="s">
        <v>2349</v>
      </c>
      <c r="B8" s="21">
        <v>2536879</v>
      </c>
      <c r="C8" s="21">
        <v>5637510</v>
      </c>
      <c r="D8" s="21">
        <v>8174389</v>
      </c>
    </row>
    <row r="9" spans="1:4" x14ac:dyDescent="0.4">
      <c r="A9" s="8" t="s">
        <v>2350</v>
      </c>
      <c r="B9" s="21">
        <v>2626768</v>
      </c>
      <c r="C9" s="21">
        <v>5837265</v>
      </c>
      <c r="D9" s="21">
        <v>8464033</v>
      </c>
    </row>
    <row r="10" spans="1:4" x14ac:dyDescent="0.4">
      <c r="A10" s="8" t="s">
        <v>2351</v>
      </c>
      <c r="B10" s="21">
        <v>4701853</v>
      </c>
      <c r="C10" s="21">
        <v>10448565</v>
      </c>
      <c r="D10" s="21">
        <v>15150418</v>
      </c>
    </row>
    <row r="11" spans="1:4" x14ac:dyDescent="0.4">
      <c r="A11" s="8" t="s">
        <v>2352</v>
      </c>
      <c r="B11" s="21">
        <v>4534784</v>
      </c>
      <c r="C11" s="21">
        <v>10077300</v>
      </c>
      <c r="D11" s="21">
        <v>14612084</v>
      </c>
    </row>
    <row r="12" spans="1:4" x14ac:dyDescent="0.4">
      <c r="A12" s="8" t="s">
        <v>2353</v>
      </c>
      <c r="B12" s="21">
        <v>4585234</v>
      </c>
      <c r="C12" s="21">
        <v>10189410</v>
      </c>
      <c r="D12" s="21">
        <v>14774644</v>
      </c>
    </row>
    <row r="13" spans="1:4" x14ac:dyDescent="0.4">
      <c r="A13" s="8" t="s">
        <v>2354</v>
      </c>
      <c r="B13" s="21">
        <v>4362349</v>
      </c>
      <c r="C13" s="21">
        <v>9694110</v>
      </c>
      <c r="D13" s="21">
        <v>14056459</v>
      </c>
    </row>
    <row r="14" spans="1:4" x14ac:dyDescent="0.4">
      <c r="A14" s="8" t="s">
        <v>2242</v>
      </c>
      <c r="B14" s="21">
        <v>3213634</v>
      </c>
      <c r="C14" s="21">
        <v>7141410</v>
      </c>
      <c r="D14" s="21">
        <v>10355044</v>
      </c>
    </row>
    <row r="15" spans="1:4" x14ac:dyDescent="0.4">
      <c r="A15" s="8" t="s">
        <v>2243</v>
      </c>
      <c r="B15" s="21">
        <v>3136481</v>
      </c>
      <c r="C15" s="21">
        <v>6969960</v>
      </c>
      <c r="D15" s="21">
        <v>10106441</v>
      </c>
    </row>
    <row r="16" spans="1:4" x14ac:dyDescent="0.4">
      <c r="A16" s="8" t="s">
        <v>2244</v>
      </c>
      <c r="B16" s="21">
        <v>174642</v>
      </c>
      <c r="C16" s="21">
        <v>388095</v>
      </c>
      <c r="D16" s="21">
        <v>562737</v>
      </c>
    </row>
    <row r="17" spans="1:4" x14ac:dyDescent="0.4">
      <c r="A17" s="8" t="s">
        <v>2355</v>
      </c>
      <c r="B17" s="21">
        <v>123207</v>
      </c>
      <c r="C17" s="21">
        <v>273795</v>
      </c>
      <c r="D17" s="21">
        <v>397002</v>
      </c>
    </row>
    <row r="18" spans="1:4" x14ac:dyDescent="0.4">
      <c r="A18" s="8" t="s">
        <v>2356</v>
      </c>
      <c r="B18" s="21">
        <v>157092</v>
      </c>
      <c r="C18" s="21">
        <v>349095</v>
      </c>
      <c r="D18" s="21">
        <v>506187</v>
      </c>
    </row>
    <row r="19" spans="1:4" x14ac:dyDescent="0.4">
      <c r="A19" s="8" t="s">
        <v>2357</v>
      </c>
      <c r="B19" s="21">
        <v>157092</v>
      </c>
      <c r="C19" s="21">
        <v>349095</v>
      </c>
      <c r="D19" s="21">
        <v>506187</v>
      </c>
    </row>
    <row r="20" spans="1:4" x14ac:dyDescent="0.4">
      <c r="A20" s="8" t="s">
        <v>2358</v>
      </c>
      <c r="B20" s="21">
        <v>131618</v>
      </c>
      <c r="C20" s="21">
        <v>292485</v>
      </c>
      <c r="D20" s="21">
        <v>424103</v>
      </c>
    </row>
    <row r="21" spans="1:4" x14ac:dyDescent="0.4">
      <c r="A21" s="8" t="s">
        <v>2359</v>
      </c>
      <c r="B21" s="21">
        <v>118881</v>
      </c>
      <c r="C21" s="21">
        <v>264180</v>
      </c>
      <c r="D21" s="21">
        <v>383061</v>
      </c>
    </row>
    <row r="22" spans="1:4" x14ac:dyDescent="0.4">
      <c r="A22" s="8" t="s">
        <v>2360</v>
      </c>
      <c r="B22" s="21">
        <v>118881</v>
      </c>
      <c r="C22" s="21">
        <v>264180</v>
      </c>
      <c r="D22" s="21">
        <v>383061</v>
      </c>
    </row>
    <row r="23" spans="1:4" x14ac:dyDescent="0.4">
      <c r="A23" s="8" t="s">
        <v>2361</v>
      </c>
      <c r="B23" s="21">
        <v>114635</v>
      </c>
      <c r="C23" s="21">
        <v>254745</v>
      </c>
      <c r="D23" s="21">
        <v>369380</v>
      </c>
    </row>
    <row r="24" spans="1:4" x14ac:dyDescent="0.4">
      <c r="A24" s="8" t="s">
        <v>2362</v>
      </c>
      <c r="B24" s="21">
        <v>46703</v>
      </c>
      <c r="C24" s="21">
        <v>103785</v>
      </c>
      <c r="D24" s="21">
        <v>150488</v>
      </c>
    </row>
    <row r="25" spans="1:4" x14ac:dyDescent="0.4">
      <c r="A25" s="8" t="s">
        <v>2363</v>
      </c>
      <c r="B25" s="21">
        <v>46703</v>
      </c>
      <c r="C25" s="21">
        <v>103785</v>
      </c>
      <c r="D25" s="21">
        <v>150488</v>
      </c>
    </row>
    <row r="26" spans="1:4" x14ac:dyDescent="0.4">
      <c r="A26" s="8" t="s">
        <v>2281</v>
      </c>
      <c r="B26" s="21">
        <v>46703</v>
      </c>
      <c r="C26" s="21">
        <v>103785</v>
      </c>
      <c r="D26" s="21">
        <v>150488</v>
      </c>
    </row>
    <row r="27" spans="1:4" x14ac:dyDescent="0.4">
      <c r="A27" s="8" t="s">
        <v>2282</v>
      </c>
      <c r="B27" s="21">
        <v>46703</v>
      </c>
      <c r="C27" s="21">
        <v>103785</v>
      </c>
      <c r="D27" s="21">
        <v>150488</v>
      </c>
    </row>
    <row r="28" spans="1:4" x14ac:dyDescent="0.4">
      <c r="A28" s="8" t="s">
        <v>2283</v>
      </c>
      <c r="B28" s="21">
        <v>42457</v>
      </c>
      <c r="C28" s="21">
        <v>94350</v>
      </c>
      <c r="D28" s="21">
        <v>136807</v>
      </c>
    </row>
    <row r="29" spans="1:4" x14ac:dyDescent="0.4">
      <c r="A29" s="8" t="s">
        <v>2364</v>
      </c>
      <c r="B29" s="21">
        <v>42457</v>
      </c>
      <c r="C29" s="21">
        <v>94350</v>
      </c>
      <c r="D29" s="21">
        <v>136807</v>
      </c>
    </row>
    <row r="30" spans="1:4" x14ac:dyDescent="0.4">
      <c r="A30" s="8" t="s">
        <v>2233</v>
      </c>
      <c r="B30" s="21">
        <v>32231751</v>
      </c>
      <c r="C30" s="21">
        <v>71626140</v>
      </c>
      <c r="D30" s="21">
        <v>103857891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922D-C18A-43AE-8C08-EA1C43232185}">
  <sheetPr>
    <tabColor rgb="FFFFC000"/>
  </sheetPr>
  <dimension ref="A1:E22"/>
  <sheetViews>
    <sheetView zoomScale="70" zoomScaleNormal="70" workbookViewId="0">
      <selection activeCell="C35" sqref="C35"/>
    </sheetView>
  </sheetViews>
  <sheetFormatPr defaultRowHeight="18.75" x14ac:dyDescent="0.4"/>
  <cols>
    <col min="1" max="1" width="12.5" bestFit="1" customWidth="1"/>
    <col min="2" max="2" width="11.875" customWidth="1"/>
    <col min="3" max="3" width="37" bestFit="1" customWidth="1"/>
    <col min="4" max="14" width="11.875" customWidth="1"/>
  </cols>
  <sheetData>
    <row r="1" spans="1:5" x14ac:dyDescent="0.4">
      <c r="A1" s="13" t="s">
        <v>2268</v>
      </c>
      <c r="B1" s="13" t="s">
        <v>2269</v>
      </c>
      <c r="C1" s="13" t="s">
        <v>2316</v>
      </c>
      <c r="D1" s="13" t="s">
        <v>2261</v>
      </c>
      <c r="E1" s="13" t="s">
        <v>2323</v>
      </c>
    </row>
    <row r="2" spans="1:5" x14ac:dyDescent="0.4">
      <c r="A2" s="13" t="s">
        <v>2324</v>
      </c>
      <c r="B2" s="13" t="s">
        <v>2325</v>
      </c>
      <c r="C2" s="10" t="s">
        <v>25</v>
      </c>
      <c r="D2" s="27" t="s">
        <v>2326</v>
      </c>
      <c r="E2" s="6">
        <v>59400</v>
      </c>
    </row>
    <row r="3" spans="1:5" x14ac:dyDescent="0.4">
      <c r="A3" s="13" t="s">
        <v>2324</v>
      </c>
      <c r="B3" s="13" t="s">
        <v>2325</v>
      </c>
      <c r="C3" s="10" t="s">
        <v>25</v>
      </c>
      <c r="D3" s="27" t="s">
        <v>2327</v>
      </c>
      <c r="E3" s="6">
        <v>5405400</v>
      </c>
    </row>
    <row r="4" spans="1:5" x14ac:dyDescent="0.4">
      <c r="A4" s="13" t="s">
        <v>2324</v>
      </c>
      <c r="B4" s="13" t="s">
        <v>2325</v>
      </c>
      <c r="C4" s="10" t="s">
        <v>25</v>
      </c>
      <c r="D4" s="27" t="s">
        <v>2328</v>
      </c>
      <c r="E4" s="6">
        <v>1425600</v>
      </c>
    </row>
    <row r="5" spans="1:5" x14ac:dyDescent="0.4">
      <c r="A5" s="13" t="s">
        <v>2324</v>
      </c>
      <c r="B5" s="13" t="s">
        <v>2325</v>
      </c>
      <c r="C5" s="10" t="s">
        <v>25</v>
      </c>
      <c r="D5" s="27" t="s">
        <v>2329</v>
      </c>
      <c r="E5" s="6">
        <v>59400</v>
      </c>
    </row>
    <row r="6" spans="1:5" x14ac:dyDescent="0.4">
      <c r="A6" s="13" t="s">
        <v>2324</v>
      </c>
      <c r="B6" s="13" t="s">
        <v>2325</v>
      </c>
      <c r="C6" s="10" t="s">
        <v>44</v>
      </c>
      <c r="D6" s="27" t="s">
        <v>2326</v>
      </c>
      <c r="E6" s="6">
        <v>228600</v>
      </c>
    </row>
    <row r="7" spans="1:5" x14ac:dyDescent="0.4">
      <c r="A7" s="13" t="s">
        <v>2324</v>
      </c>
      <c r="B7" s="13" t="s">
        <v>2325</v>
      </c>
      <c r="C7" s="10" t="s">
        <v>44</v>
      </c>
      <c r="D7" s="27" t="s">
        <v>2327</v>
      </c>
      <c r="E7" s="6">
        <v>2971800</v>
      </c>
    </row>
    <row r="8" spans="1:5" x14ac:dyDescent="0.4">
      <c r="A8" s="13" t="s">
        <v>2324</v>
      </c>
      <c r="B8" s="13" t="s">
        <v>2325</v>
      </c>
      <c r="C8" s="10" t="s">
        <v>44</v>
      </c>
      <c r="D8" s="27" t="s">
        <v>2328</v>
      </c>
      <c r="E8" s="6">
        <v>14859000</v>
      </c>
    </row>
    <row r="9" spans="1:5" x14ac:dyDescent="0.4">
      <c r="A9" s="13" t="s">
        <v>2324</v>
      </c>
      <c r="B9" s="13" t="s">
        <v>2325</v>
      </c>
      <c r="C9" s="10" t="s">
        <v>44</v>
      </c>
      <c r="D9" s="27" t="s">
        <v>2329</v>
      </c>
      <c r="E9" s="6">
        <v>1028700</v>
      </c>
    </row>
    <row r="10" spans="1:5" x14ac:dyDescent="0.4">
      <c r="A10" s="13" t="s">
        <v>2324</v>
      </c>
      <c r="B10" s="13" t="s">
        <v>2325</v>
      </c>
      <c r="C10" s="10" t="s">
        <v>44</v>
      </c>
      <c r="D10" s="27" t="s">
        <v>2330</v>
      </c>
      <c r="E10" s="6">
        <v>37033200</v>
      </c>
    </row>
    <row r="11" spans="1:5" x14ac:dyDescent="0.4">
      <c r="A11" s="13" t="s">
        <v>2324</v>
      </c>
      <c r="B11" s="13" t="s">
        <v>2325</v>
      </c>
      <c r="C11" s="10" t="s">
        <v>44</v>
      </c>
      <c r="D11" s="27" t="s">
        <v>2331</v>
      </c>
      <c r="E11" s="6">
        <v>685800</v>
      </c>
    </row>
    <row r="12" spans="1:5" x14ac:dyDescent="0.4">
      <c r="A12" s="13" t="s">
        <v>2324</v>
      </c>
      <c r="B12" s="13" t="s">
        <v>2325</v>
      </c>
      <c r="C12" s="10" t="s">
        <v>44</v>
      </c>
      <c r="D12" s="27" t="s">
        <v>2333</v>
      </c>
      <c r="E12" s="6">
        <v>114300</v>
      </c>
    </row>
    <row r="13" spans="1:5" x14ac:dyDescent="0.4">
      <c r="A13" s="13" t="s">
        <v>2324</v>
      </c>
      <c r="B13" s="13" t="s">
        <v>2325</v>
      </c>
      <c r="C13" s="10" t="s">
        <v>1944</v>
      </c>
      <c r="D13" s="27" t="s">
        <v>2328</v>
      </c>
      <c r="E13" s="6">
        <v>679320</v>
      </c>
    </row>
    <row r="14" spans="1:5" x14ac:dyDescent="0.4">
      <c r="A14" s="13" t="s">
        <v>2324</v>
      </c>
      <c r="B14" s="13" t="s">
        <v>2325</v>
      </c>
      <c r="C14" s="10" t="s">
        <v>1944</v>
      </c>
      <c r="D14" s="27" t="s">
        <v>2329</v>
      </c>
      <c r="E14" s="6">
        <v>339660</v>
      </c>
    </row>
    <row r="15" spans="1:5" x14ac:dyDescent="0.4">
      <c r="A15" s="13" t="s">
        <v>2324</v>
      </c>
      <c r="B15" s="13" t="s">
        <v>2325</v>
      </c>
      <c r="C15" s="10" t="s">
        <v>1944</v>
      </c>
      <c r="D15" s="27" t="s">
        <v>2331</v>
      </c>
      <c r="E15" s="6">
        <v>113220</v>
      </c>
    </row>
    <row r="16" spans="1:5" x14ac:dyDescent="0.4">
      <c r="A16" s="13" t="s">
        <v>2324</v>
      </c>
      <c r="B16" s="13" t="s">
        <v>2325</v>
      </c>
      <c r="C16" s="10" t="s">
        <v>1944</v>
      </c>
      <c r="D16" s="27" t="s">
        <v>2333</v>
      </c>
      <c r="E16" s="6">
        <v>1811520</v>
      </c>
    </row>
    <row r="17" spans="1:5" x14ac:dyDescent="0.4">
      <c r="A17" s="13" t="s">
        <v>2324</v>
      </c>
      <c r="B17" s="13" t="s">
        <v>2325</v>
      </c>
      <c r="C17" s="10" t="s">
        <v>1944</v>
      </c>
      <c r="D17" s="27" t="s">
        <v>2319</v>
      </c>
      <c r="E17" s="6">
        <v>113220</v>
      </c>
    </row>
    <row r="18" spans="1:5" x14ac:dyDescent="0.4">
      <c r="A18" s="13" t="s">
        <v>2324</v>
      </c>
      <c r="B18" s="13" t="s">
        <v>2325</v>
      </c>
      <c r="C18" s="10" t="s">
        <v>1944</v>
      </c>
      <c r="D18" s="27" t="s">
        <v>2335</v>
      </c>
      <c r="E18" s="6">
        <v>1132200</v>
      </c>
    </row>
    <row r="19" spans="1:5" x14ac:dyDescent="0.4">
      <c r="A19" s="13" t="s">
        <v>2324</v>
      </c>
      <c r="B19" s="13" t="s">
        <v>2325</v>
      </c>
      <c r="C19" s="10" t="s">
        <v>70</v>
      </c>
      <c r="D19" s="27" t="s">
        <v>2327</v>
      </c>
      <c r="E19" s="6">
        <v>534600</v>
      </c>
    </row>
    <row r="20" spans="1:5" x14ac:dyDescent="0.4">
      <c r="A20" s="13" t="s">
        <v>2324</v>
      </c>
      <c r="B20" s="13" t="s">
        <v>2325</v>
      </c>
      <c r="C20" s="10" t="s">
        <v>70</v>
      </c>
      <c r="D20" s="27" t="s">
        <v>2328</v>
      </c>
      <c r="E20" s="6">
        <v>59400</v>
      </c>
    </row>
    <row r="21" spans="1:5" x14ac:dyDescent="0.4">
      <c r="A21" s="13" t="s">
        <v>2324</v>
      </c>
      <c r="B21" s="13" t="s">
        <v>2325</v>
      </c>
      <c r="C21" s="10" t="s">
        <v>50</v>
      </c>
      <c r="D21" s="27" t="s">
        <v>2328</v>
      </c>
      <c r="E21" s="6">
        <v>457200</v>
      </c>
    </row>
    <row r="22" spans="1:5" x14ac:dyDescent="0.4">
      <c r="A22" s="13" t="s">
        <v>2324</v>
      </c>
      <c r="B22" s="13" t="s">
        <v>2325</v>
      </c>
      <c r="C22" s="10" t="s">
        <v>50</v>
      </c>
      <c r="D22" s="27" t="s">
        <v>2330</v>
      </c>
      <c r="E22" s="6">
        <v>2514600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B9D4-E5F4-4E32-B297-E5FB8A4AB13C}">
  <sheetPr>
    <tabColor rgb="FFFFC000"/>
  </sheetPr>
  <dimension ref="A1:E54"/>
  <sheetViews>
    <sheetView topLeftCell="A4" zoomScale="55" zoomScaleNormal="55" workbookViewId="0">
      <selection activeCell="D15" sqref="D15"/>
    </sheetView>
  </sheetViews>
  <sheetFormatPr defaultRowHeight="18.75" x14ac:dyDescent="0.4"/>
  <cols>
    <col min="1" max="1" width="11.5" bestFit="1" customWidth="1"/>
    <col min="2" max="2" width="9.5" bestFit="1" customWidth="1"/>
    <col min="3" max="3" width="39.25" bestFit="1" customWidth="1"/>
    <col min="4" max="4" width="13.75" bestFit="1" customWidth="1"/>
    <col min="5" max="5" width="9.5" bestFit="1" customWidth="1"/>
    <col min="6" max="6" width="29" bestFit="1" customWidth="1"/>
    <col min="7" max="7" width="11.875" bestFit="1" customWidth="1"/>
    <col min="10" max="10" width="12.5" bestFit="1" customWidth="1"/>
  </cols>
  <sheetData>
    <row r="1" spans="1:5" x14ac:dyDescent="0.4">
      <c r="A1" s="13" t="s">
        <v>2268</v>
      </c>
      <c r="B1" s="13" t="s">
        <v>2269</v>
      </c>
      <c r="C1" s="13" t="s">
        <v>2316</v>
      </c>
      <c r="D1" s="13" t="s">
        <v>2261</v>
      </c>
      <c r="E1" s="13" t="s">
        <v>2323</v>
      </c>
    </row>
    <row r="2" spans="1:5" x14ac:dyDescent="0.4">
      <c r="A2" s="13" t="s">
        <v>2324</v>
      </c>
      <c r="B2" s="13" t="s">
        <v>2325</v>
      </c>
      <c r="C2" s="10" t="s">
        <v>25</v>
      </c>
      <c r="D2" s="27" t="s">
        <v>2326</v>
      </c>
      <c r="E2" s="6">
        <v>19800</v>
      </c>
    </row>
    <row r="3" spans="1:5" x14ac:dyDescent="0.4">
      <c r="A3" s="13" t="s">
        <v>2324</v>
      </c>
      <c r="B3" s="13" t="s">
        <v>2325</v>
      </c>
      <c r="C3" s="10" t="s">
        <v>25</v>
      </c>
      <c r="D3" s="27" t="s">
        <v>2327</v>
      </c>
      <c r="E3" s="6">
        <v>1821600</v>
      </c>
    </row>
    <row r="4" spans="1:5" x14ac:dyDescent="0.4">
      <c r="A4" s="13" t="s">
        <v>2324</v>
      </c>
      <c r="B4" s="13" t="s">
        <v>2325</v>
      </c>
      <c r="C4" s="10" t="s">
        <v>25</v>
      </c>
      <c r="D4" s="27" t="s">
        <v>2328</v>
      </c>
      <c r="E4" s="6">
        <v>2296800</v>
      </c>
    </row>
    <row r="5" spans="1:5" x14ac:dyDescent="0.4">
      <c r="A5" s="13" t="s">
        <v>2324</v>
      </c>
      <c r="B5" s="13" t="s">
        <v>2325</v>
      </c>
      <c r="C5" s="10" t="s">
        <v>25</v>
      </c>
      <c r="D5" s="27" t="s">
        <v>2329</v>
      </c>
      <c r="E5" s="6">
        <v>2296800</v>
      </c>
    </row>
    <row r="6" spans="1:5" x14ac:dyDescent="0.4">
      <c r="A6" s="13" t="s">
        <v>2324</v>
      </c>
      <c r="B6" s="13" t="s">
        <v>2325</v>
      </c>
      <c r="C6" s="10" t="s">
        <v>25</v>
      </c>
      <c r="D6" s="27" t="s">
        <v>2330</v>
      </c>
      <c r="E6" s="6">
        <v>495000</v>
      </c>
    </row>
    <row r="7" spans="1:5" x14ac:dyDescent="0.4">
      <c r="A7" s="13" t="s">
        <v>2324</v>
      </c>
      <c r="B7" s="13" t="s">
        <v>2325</v>
      </c>
      <c r="C7" s="10" t="s">
        <v>25</v>
      </c>
      <c r="D7" s="27" t="s">
        <v>2331</v>
      </c>
      <c r="E7" s="6">
        <v>19800</v>
      </c>
    </row>
    <row r="8" spans="1:5" x14ac:dyDescent="0.4">
      <c r="A8" s="13" t="s">
        <v>2324</v>
      </c>
      <c r="B8" s="13" t="s">
        <v>2325</v>
      </c>
      <c r="C8" s="10" t="s">
        <v>44</v>
      </c>
      <c r="D8" s="27" t="s">
        <v>2326</v>
      </c>
      <c r="E8" s="6">
        <v>38100</v>
      </c>
    </row>
    <row r="9" spans="1:5" x14ac:dyDescent="0.4">
      <c r="A9" s="13" t="s">
        <v>2324</v>
      </c>
      <c r="B9" s="13" t="s">
        <v>2325</v>
      </c>
      <c r="C9" s="10" t="s">
        <v>44</v>
      </c>
      <c r="D9" s="27" t="s">
        <v>2327</v>
      </c>
      <c r="E9" s="6">
        <v>533400</v>
      </c>
    </row>
    <row r="10" spans="1:5" x14ac:dyDescent="0.4">
      <c r="A10" s="13" t="s">
        <v>2324</v>
      </c>
      <c r="B10" s="13" t="s">
        <v>2325</v>
      </c>
      <c r="C10" s="10" t="s">
        <v>44</v>
      </c>
      <c r="D10" s="27" t="s">
        <v>2328</v>
      </c>
      <c r="E10" s="6">
        <v>3009900</v>
      </c>
    </row>
    <row r="11" spans="1:5" x14ac:dyDescent="0.4">
      <c r="A11" s="13" t="s">
        <v>2324</v>
      </c>
      <c r="B11" s="13" t="s">
        <v>2325</v>
      </c>
      <c r="C11" s="10" t="s">
        <v>44</v>
      </c>
      <c r="D11" s="27" t="s">
        <v>2329</v>
      </c>
      <c r="E11" s="6">
        <v>3181350</v>
      </c>
    </row>
    <row r="12" spans="1:5" x14ac:dyDescent="0.4">
      <c r="A12" s="13" t="s">
        <v>2324</v>
      </c>
      <c r="B12" s="13" t="s">
        <v>2325</v>
      </c>
      <c r="C12" s="10" t="s">
        <v>44</v>
      </c>
      <c r="D12" s="27" t="s">
        <v>2330</v>
      </c>
      <c r="E12" s="6">
        <v>9353550</v>
      </c>
    </row>
    <row r="13" spans="1:5" x14ac:dyDescent="0.4">
      <c r="A13" s="13" t="s">
        <v>2324</v>
      </c>
      <c r="B13" s="13" t="s">
        <v>2325</v>
      </c>
      <c r="C13" s="10" t="s">
        <v>44</v>
      </c>
      <c r="D13" s="27" t="s">
        <v>2332</v>
      </c>
      <c r="E13" s="6">
        <v>9467850</v>
      </c>
    </row>
    <row r="14" spans="1:5" x14ac:dyDescent="0.4">
      <c r="A14" s="13" t="s">
        <v>2324</v>
      </c>
      <c r="B14" s="13" t="s">
        <v>2325</v>
      </c>
      <c r="C14" s="10" t="s">
        <v>44</v>
      </c>
      <c r="D14" s="27" t="s">
        <v>2333</v>
      </c>
      <c r="E14" s="6">
        <v>9448800</v>
      </c>
    </row>
    <row r="15" spans="1:5" x14ac:dyDescent="0.4">
      <c r="A15" s="13" t="s">
        <v>2324</v>
      </c>
      <c r="B15" s="13" t="s">
        <v>2325</v>
      </c>
      <c r="C15" s="10" t="s">
        <v>44</v>
      </c>
      <c r="D15" s="27" t="s">
        <v>2334</v>
      </c>
      <c r="E15" s="6">
        <v>8953500</v>
      </c>
    </row>
    <row r="16" spans="1:5" x14ac:dyDescent="0.4">
      <c r="A16" s="13" t="s">
        <v>2324</v>
      </c>
      <c r="B16" s="13" t="s">
        <v>2325</v>
      </c>
      <c r="C16" s="10" t="s">
        <v>44</v>
      </c>
      <c r="D16" s="27" t="s">
        <v>2317</v>
      </c>
      <c r="E16" s="6">
        <v>6477000</v>
      </c>
    </row>
    <row r="17" spans="1:5" x14ac:dyDescent="0.4">
      <c r="A17" s="13" t="s">
        <v>2324</v>
      </c>
      <c r="B17" s="13" t="s">
        <v>2325</v>
      </c>
      <c r="C17" s="10" t="s">
        <v>44</v>
      </c>
      <c r="D17" s="27" t="s">
        <v>2318</v>
      </c>
      <c r="E17" s="6">
        <v>6305550</v>
      </c>
    </row>
    <row r="18" spans="1:5" x14ac:dyDescent="0.4">
      <c r="A18" s="13" t="s">
        <v>2324</v>
      </c>
      <c r="B18" s="13" t="s">
        <v>2325</v>
      </c>
      <c r="C18" s="10" t="s">
        <v>44</v>
      </c>
      <c r="D18" s="27" t="s">
        <v>2319</v>
      </c>
      <c r="E18" s="6">
        <v>133350</v>
      </c>
    </row>
    <row r="19" spans="1:5" x14ac:dyDescent="0.4">
      <c r="A19" s="13" t="s">
        <v>2324</v>
      </c>
      <c r="B19" s="13" t="s">
        <v>2325</v>
      </c>
      <c r="C19" s="10" t="s">
        <v>44</v>
      </c>
      <c r="D19" s="27" t="s">
        <v>2336</v>
      </c>
      <c r="E19" s="6">
        <v>19050</v>
      </c>
    </row>
    <row r="20" spans="1:5" x14ac:dyDescent="0.4">
      <c r="A20" s="13" t="s">
        <v>2324</v>
      </c>
      <c r="B20" s="13" t="s">
        <v>2325</v>
      </c>
      <c r="C20" s="10" t="s">
        <v>1944</v>
      </c>
      <c r="D20" s="27" t="s">
        <v>2328</v>
      </c>
      <c r="E20" s="6">
        <v>56610</v>
      </c>
    </row>
    <row r="21" spans="1:5" x14ac:dyDescent="0.4">
      <c r="A21" s="13" t="s">
        <v>2324</v>
      </c>
      <c r="B21" s="13" t="s">
        <v>2325</v>
      </c>
      <c r="C21" s="10" t="s">
        <v>1944</v>
      </c>
      <c r="D21" s="27" t="s">
        <v>2329</v>
      </c>
      <c r="E21" s="6">
        <v>84915</v>
      </c>
    </row>
    <row r="22" spans="1:5" x14ac:dyDescent="0.4">
      <c r="A22" s="13" t="s">
        <v>2324</v>
      </c>
      <c r="B22" s="13" t="s">
        <v>2325</v>
      </c>
      <c r="C22" s="10" t="s">
        <v>1944</v>
      </c>
      <c r="D22" s="27" t="s">
        <v>2330</v>
      </c>
      <c r="E22" s="6">
        <v>84915</v>
      </c>
    </row>
    <row r="23" spans="1:5" x14ac:dyDescent="0.4">
      <c r="A23" s="13" t="s">
        <v>2324</v>
      </c>
      <c r="B23" s="13" t="s">
        <v>2325</v>
      </c>
      <c r="C23" s="10" t="s">
        <v>1944</v>
      </c>
      <c r="D23" s="27" t="s">
        <v>2332</v>
      </c>
      <c r="E23" s="6">
        <v>94350</v>
      </c>
    </row>
    <row r="24" spans="1:5" x14ac:dyDescent="0.4">
      <c r="A24" s="13" t="s">
        <v>2324</v>
      </c>
      <c r="B24" s="13" t="s">
        <v>2325</v>
      </c>
      <c r="C24" s="10" t="s">
        <v>1944</v>
      </c>
      <c r="D24" s="27" t="s">
        <v>2333</v>
      </c>
      <c r="E24" s="6">
        <v>245310</v>
      </c>
    </row>
    <row r="25" spans="1:5" x14ac:dyDescent="0.4">
      <c r="A25" s="13" t="s">
        <v>2324</v>
      </c>
      <c r="B25" s="13" t="s">
        <v>2325</v>
      </c>
      <c r="C25" s="10" t="s">
        <v>1944</v>
      </c>
      <c r="D25" s="27" t="s">
        <v>2334</v>
      </c>
      <c r="E25" s="6">
        <v>245310</v>
      </c>
    </row>
    <row r="26" spans="1:5" x14ac:dyDescent="0.4">
      <c r="A26" s="13" t="s">
        <v>2324</v>
      </c>
      <c r="B26" s="13" t="s">
        <v>2325</v>
      </c>
      <c r="C26" s="10" t="s">
        <v>1944</v>
      </c>
      <c r="D26" s="27" t="s">
        <v>2317</v>
      </c>
      <c r="E26" s="6">
        <v>245310</v>
      </c>
    </row>
    <row r="27" spans="1:5" x14ac:dyDescent="0.4">
      <c r="A27" s="13" t="s">
        <v>2324</v>
      </c>
      <c r="B27" s="13" t="s">
        <v>2325</v>
      </c>
      <c r="C27" s="10" t="s">
        <v>1944</v>
      </c>
      <c r="D27" s="27" t="s">
        <v>2318</v>
      </c>
      <c r="E27" s="6">
        <v>245310</v>
      </c>
    </row>
    <row r="28" spans="1:5" x14ac:dyDescent="0.4">
      <c r="A28" s="13" t="s">
        <v>2324</v>
      </c>
      <c r="B28" s="13" t="s">
        <v>2325</v>
      </c>
      <c r="C28" s="10" t="s">
        <v>1944</v>
      </c>
      <c r="D28" s="27" t="s">
        <v>2319</v>
      </c>
      <c r="E28" s="6">
        <v>254745</v>
      </c>
    </row>
    <row r="29" spans="1:5" x14ac:dyDescent="0.4">
      <c r="A29" s="13" t="s">
        <v>2324</v>
      </c>
      <c r="B29" s="13" t="s">
        <v>2325</v>
      </c>
      <c r="C29" s="10" t="s">
        <v>1944</v>
      </c>
      <c r="D29" s="27" t="s">
        <v>2336</v>
      </c>
      <c r="E29" s="6">
        <v>254745</v>
      </c>
    </row>
    <row r="30" spans="1:5" x14ac:dyDescent="0.4">
      <c r="A30" s="13" t="s">
        <v>2324</v>
      </c>
      <c r="B30" s="13" t="s">
        <v>2325</v>
      </c>
      <c r="C30" s="10" t="s">
        <v>1944</v>
      </c>
      <c r="D30" s="27" t="s">
        <v>2335</v>
      </c>
      <c r="E30" s="6">
        <v>349095</v>
      </c>
    </row>
    <row r="31" spans="1:5" x14ac:dyDescent="0.4">
      <c r="A31" s="13" t="s">
        <v>2324</v>
      </c>
      <c r="B31" s="13" t="s">
        <v>2325</v>
      </c>
      <c r="C31" s="10" t="s">
        <v>1944</v>
      </c>
      <c r="D31" s="27" t="s">
        <v>2337</v>
      </c>
      <c r="E31" s="6">
        <v>349095</v>
      </c>
    </row>
    <row r="32" spans="1:5" x14ac:dyDescent="0.4">
      <c r="A32" s="13" t="s">
        <v>2324</v>
      </c>
      <c r="B32" s="13" t="s">
        <v>2325</v>
      </c>
      <c r="C32" s="10" t="s">
        <v>1944</v>
      </c>
      <c r="D32" s="27" t="s">
        <v>2338</v>
      </c>
      <c r="E32" s="6">
        <v>292485</v>
      </c>
    </row>
    <row r="33" spans="1:5" x14ac:dyDescent="0.4">
      <c r="A33" s="13" t="s">
        <v>2324</v>
      </c>
      <c r="B33" s="13" t="s">
        <v>2325</v>
      </c>
      <c r="C33" s="10" t="s">
        <v>1944</v>
      </c>
      <c r="D33" s="27" t="s">
        <v>2339</v>
      </c>
      <c r="E33" s="6">
        <v>264180</v>
      </c>
    </row>
    <row r="34" spans="1:5" x14ac:dyDescent="0.4">
      <c r="A34" s="13" t="s">
        <v>2324</v>
      </c>
      <c r="B34" s="13" t="s">
        <v>2325</v>
      </c>
      <c r="C34" s="10" t="s">
        <v>1944</v>
      </c>
      <c r="D34" s="27" t="s">
        <v>2340</v>
      </c>
      <c r="E34" s="6">
        <v>264180</v>
      </c>
    </row>
    <row r="35" spans="1:5" x14ac:dyDescent="0.4">
      <c r="A35" s="13" t="s">
        <v>2324</v>
      </c>
      <c r="B35" s="13" t="s">
        <v>2325</v>
      </c>
      <c r="C35" s="10" t="s">
        <v>1944</v>
      </c>
      <c r="D35" s="27" t="s">
        <v>2341</v>
      </c>
      <c r="E35" s="6">
        <v>254745</v>
      </c>
    </row>
    <row r="36" spans="1:5" x14ac:dyDescent="0.4">
      <c r="A36" s="13" t="s">
        <v>2324</v>
      </c>
      <c r="B36" s="13" t="s">
        <v>2325</v>
      </c>
      <c r="C36" s="10" t="s">
        <v>1944</v>
      </c>
      <c r="D36" s="27" t="s">
        <v>2342</v>
      </c>
      <c r="E36" s="6">
        <v>103785</v>
      </c>
    </row>
    <row r="37" spans="1:5" x14ac:dyDescent="0.4">
      <c r="A37" s="13" t="s">
        <v>2324</v>
      </c>
      <c r="B37" s="13" t="s">
        <v>2325</v>
      </c>
      <c r="C37" s="10" t="s">
        <v>1944</v>
      </c>
      <c r="D37" s="27" t="s">
        <v>2343</v>
      </c>
      <c r="E37" s="6">
        <v>103785</v>
      </c>
    </row>
    <row r="38" spans="1:5" x14ac:dyDescent="0.4">
      <c r="A38" s="13" t="s">
        <v>2324</v>
      </c>
      <c r="B38" s="13" t="s">
        <v>2325</v>
      </c>
      <c r="C38" s="10" t="s">
        <v>1944</v>
      </c>
      <c r="D38" s="27" t="s">
        <v>2320</v>
      </c>
      <c r="E38" s="6">
        <v>103785</v>
      </c>
    </row>
    <row r="39" spans="1:5" x14ac:dyDescent="0.4">
      <c r="A39" s="13" t="s">
        <v>2324</v>
      </c>
      <c r="B39" s="13" t="s">
        <v>2325</v>
      </c>
      <c r="C39" s="10" t="s">
        <v>1944</v>
      </c>
      <c r="D39" s="27" t="s">
        <v>2321</v>
      </c>
      <c r="E39" s="6">
        <v>103785</v>
      </c>
    </row>
    <row r="40" spans="1:5" x14ac:dyDescent="0.4">
      <c r="A40" s="13" t="s">
        <v>2324</v>
      </c>
      <c r="B40" s="13" t="s">
        <v>2325</v>
      </c>
      <c r="C40" s="10" t="s">
        <v>1944</v>
      </c>
      <c r="D40" s="27" t="s">
        <v>2322</v>
      </c>
      <c r="E40" s="6">
        <v>94350</v>
      </c>
    </row>
    <row r="41" spans="1:5" x14ac:dyDescent="0.4">
      <c r="A41" s="13" t="s">
        <v>2324</v>
      </c>
      <c r="B41" s="13" t="s">
        <v>2325</v>
      </c>
      <c r="C41" s="10" t="s">
        <v>1944</v>
      </c>
      <c r="D41" s="27" t="s">
        <v>2344</v>
      </c>
      <c r="E41" s="6">
        <v>94350</v>
      </c>
    </row>
    <row r="42" spans="1:5" x14ac:dyDescent="0.4">
      <c r="A42" s="13" t="s">
        <v>2324</v>
      </c>
      <c r="B42" s="13" t="s">
        <v>2325</v>
      </c>
      <c r="C42" s="10" t="s">
        <v>70</v>
      </c>
      <c r="D42" s="27" t="s">
        <v>2326</v>
      </c>
      <c r="E42" s="6">
        <v>0</v>
      </c>
    </row>
    <row r="43" spans="1:5" x14ac:dyDescent="0.4">
      <c r="A43" s="13" t="s">
        <v>2324</v>
      </c>
      <c r="B43" s="13" t="s">
        <v>2325</v>
      </c>
      <c r="C43" s="10" t="s">
        <v>70</v>
      </c>
      <c r="D43" s="27" t="s">
        <v>2327</v>
      </c>
      <c r="E43" s="6">
        <v>178200</v>
      </c>
    </row>
    <row r="44" spans="1:5" x14ac:dyDescent="0.4">
      <c r="A44" s="13" t="s">
        <v>2324</v>
      </c>
      <c r="B44" s="13" t="s">
        <v>2325</v>
      </c>
      <c r="C44" s="10" t="s">
        <v>70</v>
      </c>
      <c r="D44" s="27" t="s">
        <v>2328</v>
      </c>
      <c r="E44" s="6">
        <v>198000</v>
      </c>
    </row>
    <row r="45" spans="1:5" x14ac:dyDescent="0.4">
      <c r="A45" s="13" t="s">
        <v>2324</v>
      </c>
      <c r="B45" s="13" t="s">
        <v>2325</v>
      </c>
      <c r="C45" s="10" t="s">
        <v>70</v>
      </c>
      <c r="D45" s="27" t="s">
        <v>2329</v>
      </c>
      <c r="E45" s="6">
        <v>198000</v>
      </c>
    </row>
    <row r="46" spans="1:5" x14ac:dyDescent="0.4">
      <c r="A46" s="13" t="s">
        <v>2324</v>
      </c>
      <c r="B46" s="13" t="s">
        <v>2325</v>
      </c>
      <c r="C46" s="10" t="s">
        <v>70</v>
      </c>
      <c r="D46" s="27" t="s">
        <v>2330</v>
      </c>
      <c r="E46" s="6">
        <v>19800</v>
      </c>
    </row>
    <row r="47" spans="1:5" x14ac:dyDescent="0.4">
      <c r="A47" s="13" t="s">
        <v>2324</v>
      </c>
      <c r="B47" s="13" t="s">
        <v>2325</v>
      </c>
      <c r="C47" s="10" t="s">
        <v>50</v>
      </c>
      <c r="D47" s="27" t="s">
        <v>2328</v>
      </c>
      <c r="E47" s="6">
        <v>76200</v>
      </c>
    </row>
    <row r="48" spans="1:5" x14ac:dyDescent="0.4">
      <c r="A48" s="13" t="s">
        <v>2324</v>
      </c>
      <c r="B48" s="13" t="s">
        <v>2325</v>
      </c>
      <c r="C48" s="10" t="s">
        <v>50</v>
      </c>
      <c r="D48" s="27" t="s">
        <v>2329</v>
      </c>
      <c r="E48" s="6">
        <v>76200</v>
      </c>
    </row>
    <row r="49" spans="1:5" x14ac:dyDescent="0.4">
      <c r="A49" s="13" t="s">
        <v>2324</v>
      </c>
      <c r="B49" s="13" t="s">
        <v>2325</v>
      </c>
      <c r="C49" s="10" t="s">
        <v>50</v>
      </c>
      <c r="D49" s="27" t="s">
        <v>2330</v>
      </c>
      <c r="E49" s="6">
        <v>495300</v>
      </c>
    </row>
    <row r="50" spans="1:5" x14ac:dyDescent="0.4">
      <c r="A50" s="13" t="s">
        <v>2324</v>
      </c>
      <c r="B50" s="13" t="s">
        <v>2325</v>
      </c>
      <c r="C50" s="10" t="s">
        <v>50</v>
      </c>
      <c r="D50" s="27" t="s">
        <v>2332</v>
      </c>
      <c r="E50" s="6">
        <v>495300</v>
      </c>
    </row>
    <row r="51" spans="1:5" x14ac:dyDescent="0.4">
      <c r="A51" s="13" t="s">
        <v>2324</v>
      </c>
      <c r="B51" s="13" t="s">
        <v>2325</v>
      </c>
      <c r="C51" s="10" t="s">
        <v>50</v>
      </c>
      <c r="D51" s="27" t="s">
        <v>2333</v>
      </c>
      <c r="E51" s="6">
        <v>495300</v>
      </c>
    </row>
    <row r="52" spans="1:5" x14ac:dyDescent="0.4">
      <c r="A52" s="13" t="s">
        <v>2324</v>
      </c>
      <c r="B52" s="13" t="s">
        <v>2325</v>
      </c>
      <c r="C52" s="10" t="s">
        <v>50</v>
      </c>
      <c r="D52" s="27" t="s">
        <v>2334</v>
      </c>
      <c r="E52" s="6">
        <v>495300</v>
      </c>
    </row>
    <row r="53" spans="1:5" x14ac:dyDescent="0.4">
      <c r="A53" s="13" t="s">
        <v>2324</v>
      </c>
      <c r="B53" s="13" t="s">
        <v>2325</v>
      </c>
      <c r="C53" s="10" t="s">
        <v>50</v>
      </c>
      <c r="D53" s="27" t="s">
        <v>2317</v>
      </c>
      <c r="E53" s="6">
        <v>419100</v>
      </c>
    </row>
    <row r="54" spans="1:5" x14ac:dyDescent="0.4">
      <c r="A54" s="13" t="s">
        <v>2324</v>
      </c>
      <c r="B54" s="13" t="s">
        <v>2325</v>
      </c>
      <c r="C54" s="10" t="s">
        <v>50</v>
      </c>
      <c r="D54" s="27" t="s">
        <v>2318</v>
      </c>
      <c r="E54" s="6">
        <v>419100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56D-D4E0-4350-B813-BEA4797BB80A}">
  <sheetPr>
    <tabColor rgb="FFFFC000"/>
  </sheetPr>
  <dimension ref="A1:T54"/>
  <sheetViews>
    <sheetView zoomScale="55" zoomScaleNormal="55" workbookViewId="0">
      <selection activeCell="F27" sqref="F27"/>
    </sheetView>
  </sheetViews>
  <sheetFormatPr defaultRowHeight="18.75" x14ac:dyDescent="0.4"/>
  <cols>
    <col min="1" max="1" width="11.5" bestFit="1" customWidth="1"/>
    <col min="2" max="2" width="9.5" bestFit="1" customWidth="1"/>
    <col min="3" max="3" width="39.25" bestFit="1" customWidth="1"/>
    <col min="4" max="4" width="13.75" bestFit="1" customWidth="1"/>
    <col min="5" max="5" width="9.5" bestFit="1" customWidth="1"/>
    <col min="6" max="6" width="29" bestFit="1" customWidth="1"/>
    <col min="7" max="7" width="11.875" bestFit="1" customWidth="1"/>
    <col min="10" max="10" width="12.5" bestFit="1" customWidth="1"/>
  </cols>
  <sheetData>
    <row r="1" spans="1:20" x14ac:dyDescent="0.4">
      <c r="A1" s="13" t="s">
        <v>2268</v>
      </c>
      <c r="B1" s="13" t="s">
        <v>2269</v>
      </c>
      <c r="C1" s="13" t="s">
        <v>2316</v>
      </c>
      <c r="D1" s="13" t="s">
        <v>2261</v>
      </c>
      <c r="E1" s="13" t="s">
        <v>2323</v>
      </c>
    </row>
    <row r="2" spans="1:20" x14ac:dyDescent="0.4">
      <c r="A2" s="13" t="s">
        <v>2324</v>
      </c>
      <c r="B2" s="13" t="s">
        <v>2345</v>
      </c>
      <c r="C2" s="10" t="s">
        <v>25</v>
      </c>
      <c r="D2" s="27" t="s">
        <v>2326</v>
      </c>
      <c r="E2" s="6">
        <v>8910</v>
      </c>
      <c r="F2" s="20"/>
    </row>
    <row r="3" spans="1:20" x14ac:dyDescent="0.4">
      <c r="A3" s="13" t="s">
        <v>2324</v>
      </c>
      <c r="B3" s="13" t="s">
        <v>2345</v>
      </c>
      <c r="C3" s="10" t="s">
        <v>25</v>
      </c>
      <c r="D3" s="27" t="s">
        <v>2327</v>
      </c>
      <c r="E3" s="6">
        <v>819720</v>
      </c>
      <c r="F3" s="20"/>
    </row>
    <row r="4" spans="1:20" x14ac:dyDescent="0.4">
      <c r="A4" s="13" t="s">
        <v>2324</v>
      </c>
      <c r="B4" s="13" t="s">
        <v>2345</v>
      </c>
      <c r="C4" s="10" t="s">
        <v>25</v>
      </c>
      <c r="D4" s="27" t="s">
        <v>2328</v>
      </c>
      <c r="E4" s="6">
        <v>1033560</v>
      </c>
      <c r="F4" s="20"/>
    </row>
    <row r="5" spans="1:20" x14ac:dyDescent="0.4">
      <c r="A5" s="13" t="s">
        <v>2324</v>
      </c>
      <c r="B5" s="13" t="s">
        <v>2345</v>
      </c>
      <c r="C5" s="10" t="s">
        <v>25</v>
      </c>
      <c r="D5" s="27" t="s">
        <v>2329</v>
      </c>
      <c r="E5" s="6">
        <v>1033560</v>
      </c>
      <c r="F5" s="20"/>
    </row>
    <row r="6" spans="1:20" x14ac:dyDescent="0.4">
      <c r="A6" s="13" t="s">
        <v>2324</v>
      </c>
      <c r="B6" s="13" t="s">
        <v>2345</v>
      </c>
      <c r="C6" s="10" t="s">
        <v>25</v>
      </c>
      <c r="D6" s="27" t="s">
        <v>2330</v>
      </c>
      <c r="E6" s="6">
        <v>222750</v>
      </c>
      <c r="F6" s="20"/>
      <c r="T6">
        <v>45</v>
      </c>
    </row>
    <row r="7" spans="1:20" x14ac:dyDescent="0.4">
      <c r="A7" s="13" t="s">
        <v>2324</v>
      </c>
      <c r="B7" s="13" t="s">
        <v>2345</v>
      </c>
      <c r="C7" s="10" t="s">
        <v>25</v>
      </c>
      <c r="D7" s="27" t="s">
        <v>2331</v>
      </c>
      <c r="E7" s="6">
        <v>8910</v>
      </c>
      <c r="F7" s="20"/>
    </row>
    <row r="8" spans="1:20" x14ac:dyDescent="0.4">
      <c r="A8" s="13" t="s">
        <v>2324</v>
      </c>
      <c r="B8" s="13" t="s">
        <v>2345</v>
      </c>
      <c r="C8" s="10" t="s">
        <v>44</v>
      </c>
      <c r="D8" s="27" t="s">
        <v>2326</v>
      </c>
      <c r="E8" s="6">
        <v>17145</v>
      </c>
      <c r="F8" s="20"/>
    </row>
    <row r="9" spans="1:20" x14ac:dyDescent="0.4">
      <c r="A9" s="13" t="s">
        <v>2324</v>
      </c>
      <c r="B9" s="13" t="s">
        <v>2345</v>
      </c>
      <c r="C9" s="10" t="s">
        <v>44</v>
      </c>
      <c r="D9" s="27" t="s">
        <v>2327</v>
      </c>
      <c r="E9" s="6">
        <v>240030</v>
      </c>
      <c r="F9" s="20"/>
    </row>
    <row r="10" spans="1:20" x14ac:dyDescent="0.4">
      <c r="A10" s="13" t="s">
        <v>2324</v>
      </c>
      <c r="B10" s="13" t="s">
        <v>2345</v>
      </c>
      <c r="C10" s="10" t="s">
        <v>44</v>
      </c>
      <c r="D10" s="27" t="s">
        <v>2328</v>
      </c>
      <c r="E10" s="6">
        <v>1354455</v>
      </c>
      <c r="F10" s="20"/>
    </row>
    <row r="11" spans="1:20" x14ac:dyDescent="0.4">
      <c r="A11" s="13" t="s">
        <v>2324</v>
      </c>
      <c r="B11" s="13" t="s">
        <v>2345</v>
      </c>
      <c r="C11" s="10" t="s">
        <v>44</v>
      </c>
      <c r="D11" s="27" t="s">
        <v>2329</v>
      </c>
      <c r="E11" s="6">
        <v>1431607</v>
      </c>
      <c r="F11" s="20"/>
    </row>
    <row r="12" spans="1:20" x14ac:dyDescent="0.4">
      <c r="A12" s="13" t="s">
        <v>2324</v>
      </c>
      <c r="B12" s="13" t="s">
        <v>2345</v>
      </c>
      <c r="C12" s="10" t="s">
        <v>44</v>
      </c>
      <c r="D12" s="27" t="s">
        <v>2330</v>
      </c>
      <c r="E12" s="6">
        <v>4209097</v>
      </c>
      <c r="F12" s="20"/>
    </row>
    <row r="13" spans="1:20" x14ac:dyDescent="0.4">
      <c r="A13" s="13" t="s">
        <v>2324</v>
      </c>
      <c r="B13" s="13" t="s">
        <v>2345</v>
      </c>
      <c r="C13" s="10" t="s">
        <v>44</v>
      </c>
      <c r="D13" s="27" t="s">
        <v>2332</v>
      </c>
      <c r="E13" s="6">
        <v>4260532</v>
      </c>
      <c r="F13" s="20"/>
    </row>
    <row r="14" spans="1:20" x14ac:dyDescent="0.4">
      <c r="A14" s="13" t="s">
        <v>2324</v>
      </c>
      <c r="B14" s="13" t="s">
        <v>2345</v>
      </c>
      <c r="C14" s="10" t="s">
        <v>44</v>
      </c>
      <c r="D14" s="27" t="s">
        <v>2333</v>
      </c>
      <c r="E14" s="6">
        <v>4251960</v>
      </c>
      <c r="F14" s="20"/>
    </row>
    <row r="15" spans="1:20" x14ac:dyDescent="0.4">
      <c r="A15" s="13" t="s">
        <v>2324</v>
      </c>
      <c r="B15" s="13" t="s">
        <v>2345</v>
      </c>
      <c r="C15" s="10" t="s">
        <v>44</v>
      </c>
      <c r="D15" s="27" t="s">
        <v>2334</v>
      </c>
      <c r="E15" s="6">
        <v>4029075</v>
      </c>
      <c r="F15" s="20"/>
    </row>
    <row r="16" spans="1:20" x14ac:dyDescent="0.4">
      <c r="A16" s="13" t="s">
        <v>2324</v>
      </c>
      <c r="B16" s="13" t="s">
        <v>2345</v>
      </c>
      <c r="C16" s="10" t="s">
        <v>44</v>
      </c>
      <c r="D16" s="27" t="s">
        <v>2317</v>
      </c>
      <c r="E16" s="6">
        <v>2914650</v>
      </c>
      <c r="F16" s="20"/>
    </row>
    <row r="17" spans="1:6" x14ac:dyDescent="0.4">
      <c r="A17" s="13" t="s">
        <v>2324</v>
      </c>
      <c r="B17" s="13" t="s">
        <v>2345</v>
      </c>
      <c r="C17" s="10" t="s">
        <v>44</v>
      </c>
      <c r="D17" s="27" t="s">
        <v>2318</v>
      </c>
      <c r="E17" s="6">
        <v>2837497</v>
      </c>
      <c r="F17" s="20"/>
    </row>
    <row r="18" spans="1:6" x14ac:dyDescent="0.4">
      <c r="A18" s="13" t="s">
        <v>2324</v>
      </c>
      <c r="B18" s="13" t="s">
        <v>2345</v>
      </c>
      <c r="C18" s="10" t="s">
        <v>44</v>
      </c>
      <c r="D18" s="27" t="s">
        <v>2319</v>
      </c>
      <c r="E18" s="6">
        <v>60007</v>
      </c>
      <c r="F18" s="20"/>
    </row>
    <row r="19" spans="1:6" x14ac:dyDescent="0.4">
      <c r="A19" s="13" t="s">
        <v>2324</v>
      </c>
      <c r="B19" s="13" t="s">
        <v>2345</v>
      </c>
      <c r="C19" s="10" t="s">
        <v>44</v>
      </c>
      <c r="D19" s="27" t="s">
        <v>2336</v>
      </c>
      <c r="E19" s="6">
        <v>8572</v>
      </c>
      <c r="F19" s="20"/>
    </row>
    <row r="20" spans="1:6" x14ac:dyDescent="0.4">
      <c r="A20" s="13" t="s">
        <v>2324</v>
      </c>
      <c r="B20" s="13" t="s">
        <v>2345</v>
      </c>
      <c r="C20" s="10" t="s">
        <v>1944</v>
      </c>
      <c r="D20" s="27" t="s">
        <v>2328</v>
      </c>
      <c r="E20" s="6">
        <v>25474</v>
      </c>
      <c r="F20" s="20"/>
    </row>
    <row r="21" spans="1:6" x14ac:dyDescent="0.4">
      <c r="A21" s="13" t="s">
        <v>2324</v>
      </c>
      <c r="B21" s="13" t="s">
        <v>2345</v>
      </c>
      <c r="C21" s="10" t="s">
        <v>1944</v>
      </c>
      <c r="D21" s="27" t="s">
        <v>2329</v>
      </c>
      <c r="E21" s="6">
        <v>38211</v>
      </c>
      <c r="F21" s="20"/>
    </row>
    <row r="22" spans="1:6" x14ac:dyDescent="0.4">
      <c r="A22" s="13" t="s">
        <v>2324</v>
      </c>
      <c r="B22" s="13" t="s">
        <v>2345</v>
      </c>
      <c r="C22" s="10" t="s">
        <v>1944</v>
      </c>
      <c r="D22" s="27" t="s">
        <v>2330</v>
      </c>
      <c r="E22" s="6">
        <v>38211</v>
      </c>
      <c r="F22" s="20"/>
    </row>
    <row r="23" spans="1:6" x14ac:dyDescent="0.4">
      <c r="A23" s="13" t="s">
        <v>2324</v>
      </c>
      <c r="B23" s="13" t="s">
        <v>2345</v>
      </c>
      <c r="C23" s="10" t="s">
        <v>1944</v>
      </c>
      <c r="D23" s="27" t="s">
        <v>2332</v>
      </c>
      <c r="E23" s="6">
        <v>42457</v>
      </c>
      <c r="F23" s="20"/>
    </row>
    <row r="24" spans="1:6" x14ac:dyDescent="0.4">
      <c r="A24" s="13" t="s">
        <v>2324</v>
      </c>
      <c r="B24" s="13" t="s">
        <v>2345</v>
      </c>
      <c r="C24" s="10" t="s">
        <v>1944</v>
      </c>
      <c r="D24" s="27" t="s">
        <v>2333</v>
      </c>
      <c r="E24" s="6">
        <v>110389</v>
      </c>
      <c r="F24" s="20"/>
    </row>
    <row r="25" spans="1:6" x14ac:dyDescent="0.4">
      <c r="A25" s="13" t="s">
        <v>2324</v>
      </c>
      <c r="B25" s="13" t="s">
        <v>2345</v>
      </c>
      <c r="C25" s="10" t="s">
        <v>1944</v>
      </c>
      <c r="D25" s="27" t="s">
        <v>2334</v>
      </c>
      <c r="E25" s="6">
        <v>110389</v>
      </c>
      <c r="F25" s="20"/>
    </row>
    <row r="26" spans="1:6" x14ac:dyDescent="0.4">
      <c r="A26" s="13" t="s">
        <v>2324</v>
      </c>
      <c r="B26" s="13" t="s">
        <v>2345</v>
      </c>
      <c r="C26" s="10" t="s">
        <v>1944</v>
      </c>
      <c r="D26" s="27" t="s">
        <v>2317</v>
      </c>
      <c r="E26" s="6">
        <v>110389</v>
      </c>
      <c r="F26" s="20"/>
    </row>
    <row r="27" spans="1:6" x14ac:dyDescent="0.4">
      <c r="A27" s="13" t="s">
        <v>2324</v>
      </c>
      <c r="B27" s="13" t="s">
        <v>2345</v>
      </c>
      <c r="C27" s="10" t="s">
        <v>1944</v>
      </c>
      <c r="D27" s="27" t="s">
        <v>2318</v>
      </c>
      <c r="E27" s="6">
        <v>110389</v>
      </c>
      <c r="F27" s="20"/>
    </row>
    <row r="28" spans="1:6" x14ac:dyDescent="0.4">
      <c r="A28" s="13" t="s">
        <v>2324</v>
      </c>
      <c r="B28" s="13" t="s">
        <v>2345</v>
      </c>
      <c r="C28" s="10" t="s">
        <v>1944</v>
      </c>
      <c r="D28" s="27" t="s">
        <v>2319</v>
      </c>
      <c r="E28" s="6">
        <v>114635</v>
      </c>
      <c r="F28" s="20"/>
    </row>
    <row r="29" spans="1:6" x14ac:dyDescent="0.4">
      <c r="A29" s="13" t="s">
        <v>2324</v>
      </c>
      <c r="B29" s="13" t="s">
        <v>2345</v>
      </c>
      <c r="C29" s="10" t="s">
        <v>1944</v>
      </c>
      <c r="D29" s="27" t="s">
        <v>2336</v>
      </c>
      <c r="E29" s="6">
        <v>114635</v>
      </c>
      <c r="F29" s="20"/>
    </row>
    <row r="30" spans="1:6" x14ac:dyDescent="0.4">
      <c r="A30" s="13" t="s">
        <v>2324</v>
      </c>
      <c r="B30" s="13" t="s">
        <v>2345</v>
      </c>
      <c r="C30" s="10" t="s">
        <v>1944</v>
      </c>
      <c r="D30" s="27" t="s">
        <v>2335</v>
      </c>
      <c r="E30" s="6">
        <v>157092</v>
      </c>
      <c r="F30" s="20"/>
    </row>
    <row r="31" spans="1:6" x14ac:dyDescent="0.4">
      <c r="A31" s="13" t="s">
        <v>2324</v>
      </c>
      <c r="B31" s="13" t="s">
        <v>2345</v>
      </c>
      <c r="C31" s="10" t="s">
        <v>1944</v>
      </c>
      <c r="D31" s="27" t="s">
        <v>2337</v>
      </c>
      <c r="E31" s="6">
        <v>157092</v>
      </c>
      <c r="F31" s="20"/>
    </row>
    <row r="32" spans="1:6" x14ac:dyDescent="0.4">
      <c r="A32" s="13" t="s">
        <v>2324</v>
      </c>
      <c r="B32" s="13" t="s">
        <v>2345</v>
      </c>
      <c r="C32" s="10" t="s">
        <v>1944</v>
      </c>
      <c r="D32" s="27" t="s">
        <v>2338</v>
      </c>
      <c r="E32" s="6">
        <v>131618</v>
      </c>
      <c r="F32" s="20"/>
    </row>
    <row r="33" spans="1:6" x14ac:dyDescent="0.4">
      <c r="A33" s="13" t="s">
        <v>2324</v>
      </c>
      <c r="B33" s="13" t="s">
        <v>2345</v>
      </c>
      <c r="C33" s="10" t="s">
        <v>1944</v>
      </c>
      <c r="D33" s="27" t="s">
        <v>2339</v>
      </c>
      <c r="E33" s="6">
        <v>118881</v>
      </c>
      <c r="F33" s="20"/>
    </row>
    <row r="34" spans="1:6" x14ac:dyDescent="0.4">
      <c r="A34" s="13" t="s">
        <v>2324</v>
      </c>
      <c r="B34" s="13" t="s">
        <v>2345</v>
      </c>
      <c r="C34" s="10" t="s">
        <v>1944</v>
      </c>
      <c r="D34" s="27" t="s">
        <v>2340</v>
      </c>
      <c r="E34" s="6">
        <v>118881</v>
      </c>
      <c r="F34" s="20"/>
    </row>
    <row r="35" spans="1:6" x14ac:dyDescent="0.4">
      <c r="A35" s="13" t="s">
        <v>2324</v>
      </c>
      <c r="B35" s="13" t="s">
        <v>2345</v>
      </c>
      <c r="C35" s="10" t="s">
        <v>1944</v>
      </c>
      <c r="D35" s="27" t="s">
        <v>2341</v>
      </c>
      <c r="E35" s="6">
        <v>114635</v>
      </c>
      <c r="F35" s="20"/>
    </row>
    <row r="36" spans="1:6" x14ac:dyDescent="0.4">
      <c r="A36" s="13" t="s">
        <v>2324</v>
      </c>
      <c r="B36" s="13" t="s">
        <v>2345</v>
      </c>
      <c r="C36" s="10" t="s">
        <v>1944</v>
      </c>
      <c r="D36" s="27" t="s">
        <v>2342</v>
      </c>
      <c r="E36" s="6">
        <v>46703</v>
      </c>
      <c r="F36" s="20"/>
    </row>
    <row r="37" spans="1:6" x14ac:dyDescent="0.4">
      <c r="A37" s="13" t="s">
        <v>2324</v>
      </c>
      <c r="B37" s="13" t="s">
        <v>2345</v>
      </c>
      <c r="C37" s="10" t="s">
        <v>1944</v>
      </c>
      <c r="D37" s="27" t="s">
        <v>2343</v>
      </c>
      <c r="E37" s="6">
        <v>46703</v>
      </c>
      <c r="F37" s="20"/>
    </row>
    <row r="38" spans="1:6" x14ac:dyDescent="0.4">
      <c r="A38" s="13" t="s">
        <v>2324</v>
      </c>
      <c r="B38" s="13" t="s">
        <v>2345</v>
      </c>
      <c r="C38" s="10" t="s">
        <v>1944</v>
      </c>
      <c r="D38" s="27" t="s">
        <v>2320</v>
      </c>
      <c r="E38" s="6">
        <v>46703</v>
      </c>
      <c r="F38" s="20"/>
    </row>
    <row r="39" spans="1:6" x14ac:dyDescent="0.4">
      <c r="A39" s="13" t="s">
        <v>2324</v>
      </c>
      <c r="B39" s="13" t="s">
        <v>2345</v>
      </c>
      <c r="C39" s="10" t="s">
        <v>1944</v>
      </c>
      <c r="D39" s="27" t="s">
        <v>2321</v>
      </c>
      <c r="E39" s="6">
        <v>46703</v>
      </c>
      <c r="F39" s="20"/>
    </row>
    <row r="40" spans="1:6" x14ac:dyDescent="0.4">
      <c r="A40" s="13" t="s">
        <v>2324</v>
      </c>
      <c r="B40" s="13" t="s">
        <v>2345</v>
      </c>
      <c r="C40" s="10" t="s">
        <v>1944</v>
      </c>
      <c r="D40" s="27" t="s">
        <v>2322</v>
      </c>
      <c r="E40" s="6">
        <v>42457</v>
      </c>
      <c r="F40" s="20"/>
    </row>
    <row r="41" spans="1:6" x14ac:dyDescent="0.4">
      <c r="A41" s="13" t="s">
        <v>2324</v>
      </c>
      <c r="B41" s="13" t="s">
        <v>2345</v>
      </c>
      <c r="C41" s="10" t="s">
        <v>1944</v>
      </c>
      <c r="D41" s="27" t="s">
        <v>2344</v>
      </c>
      <c r="E41" s="6">
        <v>42457</v>
      </c>
      <c r="F41" s="20"/>
    </row>
    <row r="42" spans="1:6" x14ac:dyDescent="0.4">
      <c r="A42" s="13" t="s">
        <v>2324</v>
      </c>
      <c r="B42" s="13" t="s">
        <v>2345</v>
      </c>
      <c r="C42" s="10" t="s">
        <v>70</v>
      </c>
      <c r="D42" s="27" t="s">
        <v>2326</v>
      </c>
      <c r="E42" s="6">
        <v>0</v>
      </c>
      <c r="F42" s="20"/>
    </row>
    <row r="43" spans="1:6" x14ac:dyDescent="0.4">
      <c r="A43" s="13" t="s">
        <v>2324</v>
      </c>
      <c r="B43" s="13" t="s">
        <v>2345</v>
      </c>
      <c r="C43" s="10" t="s">
        <v>70</v>
      </c>
      <c r="D43" s="27" t="s">
        <v>2327</v>
      </c>
      <c r="E43" s="6">
        <v>80190</v>
      </c>
      <c r="F43" s="20"/>
    </row>
    <row r="44" spans="1:6" x14ac:dyDescent="0.4">
      <c r="A44" s="13" t="s">
        <v>2324</v>
      </c>
      <c r="B44" s="13" t="s">
        <v>2345</v>
      </c>
      <c r="C44" s="10" t="s">
        <v>70</v>
      </c>
      <c r="D44" s="27" t="s">
        <v>2328</v>
      </c>
      <c r="E44" s="6">
        <v>89100</v>
      </c>
      <c r="F44" s="20"/>
    </row>
    <row r="45" spans="1:6" x14ac:dyDescent="0.4">
      <c r="A45" s="13" t="s">
        <v>2324</v>
      </c>
      <c r="B45" s="13" t="s">
        <v>2345</v>
      </c>
      <c r="C45" s="10" t="s">
        <v>70</v>
      </c>
      <c r="D45" s="27" t="s">
        <v>2329</v>
      </c>
      <c r="E45" s="6">
        <v>89100</v>
      </c>
      <c r="F45" s="20"/>
    </row>
    <row r="46" spans="1:6" x14ac:dyDescent="0.4">
      <c r="A46" s="13" t="s">
        <v>2324</v>
      </c>
      <c r="B46" s="13" t="s">
        <v>2345</v>
      </c>
      <c r="C46" s="10" t="s">
        <v>70</v>
      </c>
      <c r="D46" s="27" t="s">
        <v>2330</v>
      </c>
      <c r="E46" s="6">
        <v>8910</v>
      </c>
      <c r="F46" s="20"/>
    </row>
    <row r="47" spans="1:6" x14ac:dyDescent="0.4">
      <c r="A47" s="13" t="s">
        <v>2324</v>
      </c>
      <c r="B47" s="13" t="s">
        <v>2345</v>
      </c>
      <c r="C47" s="10" t="s">
        <v>50</v>
      </c>
      <c r="D47" s="27" t="s">
        <v>2328</v>
      </c>
      <c r="E47" s="6">
        <v>34290</v>
      </c>
      <c r="F47" s="20"/>
    </row>
    <row r="48" spans="1:6" x14ac:dyDescent="0.4">
      <c r="A48" s="13" t="s">
        <v>2324</v>
      </c>
      <c r="B48" s="13" t="s">
        <v>2345</v>
      </c>
      <c r="C48" s="10" t="s">
        <v>50</v>
      </c>
      <c r="D48" s="27" t="s">
        <v>2329</v>
      </c>
      <c r="E48" s="6">
        <v>34290</v>
      </c>
      <c r="F48" s="20"/>
    </row>
    <row r="49" spans="1:6" x14ac:dyDescent="0.4">
      <c r="A49" s="13" t="s">
        <v>2324</v>
      </c>
      <c r="B49" s="13" t="s">
        <v>2345</v>
      </c>
      <c r="C49" s="10" t="s">
        <v>50</v>
      </c>
      <c r="D49" s="27" t="s">
        <v>2330</v>
      </c>
      <c r="E49" s="6">
        <v>222885</v>
      </c>
      <c r="F49" s="20"/>
    </row>
    <row r="50" spans="1:6" x14ac:dyDescent="0.4">
      <c r="A50" s="13" t="s">
        <v>2324</v>
      </c>
      <c r="B50" s="13" t="s">
        <v>2345</v>
      </c>
      <c r="C50" s="10" t="s">
        <v>50</v>
      </c>
      <c r="D50" s="27" t="s">
        <v>2332</v>
      </c>
      <c r="E50" s="6">
        <v>222885</v>
      </c>
      <c r="F50" s="20"/>
    </row>
    <row r="51" spans="1:6" x14ac:dyDescent="0.4">
      <c r="A51" s="13" t="s">
        <v>2324</v>
      </c>
      <c r="B51" s="13" t="s">
        <v>2345</v>
      </c>
      <c r="C51" s="10" t="s">
        <v>50</v>
      </c>
      <c r="D51" s="27" t="s">
        <v>2333</v>
      </c>
      <c r="E51" s="6">
        <v>222885</v>
      </c>
      <c r="F51" s="20"/>
    </row>
    <row r="52" spans="1:6" x14ac:dyDescent="0.4">
      <c r="A52" s="13" t="s">
        <v>2324</v>
      </c>
      <c r="B52" s="13" t="s">
        <v>2345</v>
      </c>
      <c r="C52" s="10" t="s">
        <v>50</v>
      </c>
      <c r="D52" s="27" t="s">
        <v>2334</v>
      </c>
      <c r="E52" s="6">
        <v>222885</v>
      </c>
      <c r="F52" s="20"/>
    </row>
    <row r="53" spans="1:6" x14ac:dyDescent="0.4">
      <c r="A53" s="13" t="s">
        <v>2324</v>
      </c>
      <c r="B53" s="13" t="s">
        <v>2345</v>
      </c>
      <c r="C53" s="10" t="s">
        <v>50</v>
      </c>
      <c r="D53" s="27" t="s">
        <v>2317</v>
      </c>
      <c r="E53" s="6">
        <v>188595</v>
      </c>
      <c r="F53" s="20"/>
    </row>
    <row r="54" spans="1:6" x14ac:dyDescent="0.4">
      <c r="A54" s="13" t="s">
        <v>2324</v>
      </c>
      <c r="B54" s="13" t="s">
        <v>2345</v>
      </c>
      <c r="C54" s="10" t="s">
        <v>50</v>
      </c>
      <c r="D54" s="27" t="s">
        <v>2318</v>
      </c>
      <c r="E54" s="6">
        <v>188595</v>
      </c>
      <c r="F54" s="20"/>
    </row>
  </sheetData>
  <autoFilter ref="A1:E54" xr:uid="{6247B9D4-E5F4-4E32-B297-E5FB8A4AB13C}"/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197C-5D9D-40C0-A89A-E13DF35654A8}">
  <sheetPr>
    <tabColor rgb="FFFFC000"/>
  </sheetPr>
  <dimension ref="A1:Y78"/>
  <sheetViews>
    <sheetView topLeftCell="A28" zoomScale="70" zoomScaleNormal="70" workbookViewId="0">
      <selection activeCell="C60" sqref="C60"/>
    </sheetView>
  </sheetViews>
  <sheetFormatPr defaultRowHeight="18.75" x14ac:dyDescent="0.4"/>
  <cols>
    <col min="1" max="1" width="37" bestFit="1" customWidth="1"/>
    <col min="2" max="2" width="19.625" bestFit="1" customWidth="1"/>
    <col min="3" max="9" width="17.625" bestFit="1" customWidth="1"/>
    <col min="10" max="12" width="18.875" bestFit="1" customWidth="1"/>
    <col min="13" max="25" width="17.625" bestFit="1" customWidth="1"/>
  </cols>
  <sheetData>
    <row r="1" spans="1:25" x14ac:dyDescent="0.4">
      <c r="A1" s="7" t="s">
        <v>1</v>
      </c>
      <c r="B1" t="s">
        <v>2313</v>
      </c>
    </row>
    <row r="3" spans="1:25" x14ac:dyDescent="0.4">
      <c r="A3" s="7" t="s">
        <v>2232</v>
      </c>
      <c r="B3" t="s">
        <v>2289</v>
      </c>
      <c r="C3" t="s">
        <v>2290</v>
      </c>
      <c r="D3" t="s">
        <v>2291</v>
      </c>
      <c r="E3" t="s">
        <v>2292</v>
      </c>
      <c r="F3" t="s">
        <v>2293</v>
      </c>
      <c r="G3" t="s">
        <v>2294</v>
      </c>
      <c r="H3" t="s">
        <v>2295</v>
      </c>
      <c r="I3" t="s">
        <v>2296</v>
      </c>
      <c r="J3" t="s">
        <v>2297</v>
      </c>
      <c r="K3" t="s">
        <v>2298</v>
      </c>
      <c r="L3" t="s">
        <v>2299</v>
      </c>
      <c r="M3" t="s">
        <v>2300</v>
      </c>
      <c r="N3" t="s">
        <v>2301</v>
      </c>
      <c r="O3" t="s">
        <v>2302</v>
      </c>
      <c r="P3" t="s">
        <v>2303</v>
      </c>
      <c r="Q3" t="s">
        <v>2304</v>
      </c>
      <c r="R3" t="s">
        <v>2305</v>
      </c>
      <c r="S3" t="s">
        <v>2306</v>
      </c>
      <c r="T3" t="s">
        <v>2307</v>
      </c>
      <c r="U3" t="s">
        <v>2308</v>
      </c>
      <c r="V3" t="s">
        <v>2309</v>
      </c>
      <c r="W3" t="s">
        <v>2310</v>
      </c>
      <c r="X3" t="s">
        <v>2311</v>
      </c>
      <c r="Y3" t="s">
        <v>2312</v>
      </c>
    </row>
    <row r="4" spans="1:25" x14ac:dyDescent="0.4">
      <c r="A4" s="8" t="s">
        <v>25</v>
      </c>
      <c r="B4">
        <v>19800</v>
      </c>
      <c r="C4">
        <v>1821600</v>
      </c>
      <c r="D4">
        <v>2296800</v>
      </c>
      <c r="E4">
        <v>2296800</v>
      </c>
      <c r="F4">
        <v>495000</v>
      </c>
      <c r="G4">
        <v>19800</v>
      </c>
    </row>
    <row r="5" spans="1:25" x14ac:dyDescent="0.4">
      <c r="A5" s="8" t="s">
        <v>44</v>
      </c>
      <c r="B5">
        <v>38100</v>
      </c>
      <c r="C5">
        <v>533400</v>
      </c>
      <c r="D5">
        <v>3009900</v>
      </c>
      <c r="E5">
        <v>3181350</v>
      </c>
      <c r="F5">
        <v>9353550</v>
      </c>
      <c r="G5">
        <v>9467850</v>
      </c>
      <c r="H5">
        <v>9448800</v>
      </c>
      <c r="I5">
        <v>8953500</v>
      </c>
      <c r="J5">
        <v>6477000</v>
      </c>
      <c r="K5">
        <v>6305550</v>
      </c>
      <c r="L5">
        <v>133350</v>
      </c>
      <c r="M5">
        <v>19050</v>
      </c>
    </row>
    <row r="6" spans="1:25" x14ac:dyDescent="0.4">
      <c r="A6" s="8" t="s">
        <v>1944</v>
      </c>
      <c r="D6">
        <v>56610</v>
      </c>
      <c r="E6">
        <v>84915</v>
      </c>
      <c r="F6">
        <v>84915</v>
      </c>
      <c r="G6">
        <v>94350</v>
      </c>
      <c r="H6">
        <v>245310</v>
      </c>
      <c r="I6">
        <v>245310</v>
      </c>
      <c r="J6">
        <v>245310</v>
      </c>
      <c r="K6">
        <v>245310</v>
      </c>
      <c r="L6">
        <v>254745</v>
      </c>
      <c r="M6">
        <v>254745</v>
      </c>
      <c r="N6">
        <v>349095</v>
      </c>
      <c r="O6">
        <v>349095</v>
      </c>
      <c r="P6">
        <v>292485</v>
      </c>
      <c r="Q6">
        <v>264180</v>
      </c>
      <c r="R6">
        <v>264180</v>
      </c>
      <c r="S6">
        <v>254745</v>
      </c>
      <c r="T6">
        <v>103785</v>
      </c>
      <c r="U6">
        <v>103785</v>
      </c>
      <c r="V6">
        <v>103785</v>
      </c>
      <c r="W6">
        <v>103785</v>
      </c>
      <c r="X6">
        <v>94350</v>
      </c>
      <c r="Y6">
        <v>94350</v>
      </c>
    </row>
    <row r="7" spans="1:25" x14ac:dyDescent="0.4">
      <c r="A7" s="8" t="s">
        <v>70</v>
      </c>
      <c r="C7">
        <v>178200</v>
      </c>
      <c r="D7">
        <v>198000</v>
      </c>
      <c r="E7">
        <v>198000</v>
      </c>
      <c r="F7">
        <v>19800</v>
      </c>
    </row>
    <row r="8" spans="1:25" x14ac:dyDescent="0.4">
      <c r="A8" s="8" t="s">
        <v>50</v>
      </c>
      <c r="D8">
        <v>76200</v>
      </c>
      <c r="E8">
        <v>76200</v>
      </c>
      <c r="F8">
        <v>495300</v>
      </c>
      <c r="G8">
        <v>495300</v>
      </c>
      <c r="H8">
        <v>495300</v>
      </c>
      <c r="I8">
        <v>495300</v>
      </c>
      <c r="J8">
        <v>419100</v>
      </c>
      <c r="K8">
        <v>419100</v>
      </c>
    </row>
    <row r="9" spans="1:25" x14ac:dyDescent="0.4">
      <c r="A9" s="8" t="s">
        <v>2233</v>
      </c>
      <c r="B9">
        <v>57900</v>
      </c>
      <c r="C9">
        <v>2533200</v>
      </c>
      <c r="D9">
        <v>5637510</v>
      </c>
      <c r="E9">
        <v>5837265</v>
      </c>
      <c r="F9">
        <v>10448565</v>
      </c>
      <c r="G9">
        <v>10077300</v>
      </c>
      <c r="H9">
        <v>10189410</v>
      </c>
      <c r="I9">
        <v>9694110</v>
      </c>
      <c r="J9">
        <v>7141410</v>
      </c>
      <c r="K9">
        <v>6969960</v>
      </c>
      <c r="L9">
        <v>388095</v>
      </c>
      <c r="M9">
        <v>273795</v>
      </c>
      <c r="N9">
        <v>349095</v>
      </c>
      <c r="O9">
        <v>349095</v>
      </c>
      <c r="P9">
        <v>292485</v>
      </c>
      <c r="Q9">
        <v>264180</v>
      </c>
      <c r="R9">
        <v>264180</v>
      </c>
      <c r="S9">
        <v>254745</v>
      </c>
      <c r="T9">
        <v>103785</v>
      </c>
      <c r="U9">
        <v>103785</v>
      </c>
      <c r="V9">
        <v>103785</v>
      </c>
      <c r="W9">
        <v>103785</v>
      </c>
      <c r="X9">
        <v>94350</v>
      </c>
      <c r="Y9">
        <v>94350</v>
      </c>
    </row>
    <row r="18" spans="1:14" x14ac:dyDescent="0.4">
      <c r="A18" s="7" t="s">
        <v>1</v>
      </c>
      <c r="B18" t="s">
        <v>2313</v>
      </c>
    </row>
    <row r="20" spans="1:14" x14ac:dyDescent="0.4">
      <c r="A20" s="7" t="s">
        <v>2232</v>
      </c>
      <c r="B20" t="s">
        <v>2247</v>
      </c>
      <c r="C20" t="s">
        <v>2248</v>
      </c>
      <c r="D20" t="s">
        <v>2249</v>
      </c>
      <c r="E20" t="s">
        <v>2250</v>
      </c>
      <c r="F20" t="s">
        <v>2251</v>
      </c>
      <c r="G20" t="s">
        <v>2252</v>
      </c>
      <c r="H20" t="s">
        <v>2253</v>
      </c>
      <c r="I20" t="s">
        <v>2254</v>
      </c>
      <c r="J20" t="s">
        <v>2255</v>
      </c>
      <c r="K20" t="s">
        <v>2256</v>
      </c>
      <c r="L20" t="s">
        <v>2257</v>
      </c>
      <c r="M20" t="s">
        <v>2258</v>
      </c>
      <c r="N20" t="s">
        <v>2259</v>
      </c>
    </row>
    <row r="21" spans="1:14" x14ac:dyDescent="0.4">
      <c r="A21" s="8" t="s">
        <v>25</v>
      </c>
      <c r="B21">
        <v>59400</v>
      </c>
      <c r="C21">
        <v>5405400</v>
      </c>
      <c r="D21">
        <v>1425600</v>
      </c>
      <c r="E21">
        <v>59400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4">
      <c r="A22" s="8" t="s">
        <v>44</v>
      </c>
      <c r="B22">
        <v>228600</v>
      </c>
      <c r="C22">
        <v>2971800</v>
      </c>
      <c r="D22">
        <v>14859000</v>
      </c>
      <c r="E22">
        <v>1028700</v>
      </c>
      <c r="F22">
        <v>37033200</v>
      </c>
      <c r="G22">
        <v>685800</v>
      </c>
      <c r="H22">
        <v>114300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4">
      <c r="A23" s="8" t="s">
        <v>1944</v>
      </c>
      <c r="B23">
        <v>0</v>
      </c>
      <c r="C23">
        <v>0</v>
      </c>
      <c r="D23">
        <v>679320</v>
      </c>
      <c r="E23">
        <v>339660</v>
      </c>
      <c r="F23">
        <v>0</v>
      </c>
      <c r="G23">
        <v>113220</v>
      </c>
      <c r="H23">
        <v>1811520</v>
      </c>
      <c r="I23">
        <v>0</v>
      </c>
      <c r="J23">
        <v>0</v>
      </c>
      <c r="K23">
        <v>0</v>
      </c>
      <c r="L23">
        <v>113220</v>
      </c>
      <c r="M23">
        <v>0</v>
      </c>
      <c r="N23">
        <v>1132200</v>
      </c>
    </row>
    <row r="24" spans="1:14" x14ac:dyDescent="0.4">
      <c r="A24" s="8" t="s">
        <v>70</v>
      </c>
      <c r="B24">
        <v>0</v>
      </c>
      <c r="C24">
        <v>534600</v>
      </c>
      <c r="D24">
        <v>59400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4">
      <c r="A25" s="8" t="s">
        <v>50</v>
      </c>
      <c r="B25">
        <v>0</v>
      </c>
      <c r="C25">
        <v>0</v>
      </c>
      <c r="D25">
        <v>457200</v>
      </c>
      <c r="E25">
        <v>0</v>
      </c>
      <c r="F25">
        <v>2514600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4">
      <c r="A26" s="8" t="s">
        <v>2233</v>
      </c>
      <c r="B26">
        <v>288000</v>
      </c>
      <c r="C26">
        <v>8911800</v>
      </c>
      <c r="D26">
        <v>17480520</v>
      </c>
      <c r="E26">
        <v>1427760</v>
      </c>
      <c r="F26">
        <v>39547800</v>
      </c>
      <c r="G26">
        <v>799020</v>
      </c>
      <c r="H26">
        <v>1925820</v>
      </c>
      <c r="I26">
        <v>0</v>
      </c>
      <c r="J26">
        <v>0</v>
      </c>
      <c r="K26">
        <v>0</v>
      </c>
      <c r="L26">
        <v>113220</v>
      </c>
      <c r="M26">
        <v>0</v>
      </c>
      <c r="N26">
        <v>1132200</v>
      </c>
    </row>
    <row r="33" spans="1:7" x14ac:dyDescent="0.4">
      <c r="A33" t="s">
        <v>2315</v>
      </c>
    </row>
    <row r="34" spans="1:7" x14ac:dyDescent="0.4">
      <c r="A34" s="23" t="s">
        <v>2232</v>
      </c>
      <c r="B34" s="10" t="s">
        <v>25</v>
      </c>
      <c r="C34" s="10" t="s">
        <v>44</v>
      </c>
      <c r="D34" s="10" t="s">
        <v>1944</v>
      </c>
      <c r="E34" s="10" t="s">
        <v>70</v>
      </c>
      <c r="F34" s="10" t="s">
        <v>50</v>
      </c>
      <c r="G34" s="24" t="s">
        <v>2233</v>
      </c>
    </row>
    <row r="35" spans="1:7" x14ac:dyDescent="0.4">
      <c r="A35" s="26">
        <v>45689</v>
      </c>
      <c r="B35" s="6">
        <v>19800</v>
      </c>
      <c r="C35" s="6">
        <v>38100</v>
      </c>
      <c r="D35" s="6"/>
      <c r="E35" s="6"/>
      <c r="F35" s="6"/>
      <c r="G35" s="25">
        <v>57900</v>
      </c>
    </row>
    <row r="36" spans="1:7" x14ac:dyDescent="0.4">
      <c r="A36" s="26">
        <v>45717</v>
      </c>
      <c r="B36" s="6">
        <v>1821600</v>
      </c>
      <c r="C36" s="6">
        <v>533400</v>
      </c>
      <c r="D36" s="6"/>
      <c r="E36" s="6">
        <v>178200</v>
      </c>
      <c r="F36" s="6"/>
      <c r="G36" s="25">
        <v>2533200</v>
      </c>
    </row>
    <row r="37" spans="1:7" x14ac:dyDescent="0.4">
      <c r="A37" s="26">
        <v>45748</v>
      </c>
      <c r="B37" s="6">
        <v>2296800</v>
      </c>
      <c r="C37" s="6">
        <v>3009900</v>
      </c>
      <c r="D37" s="6">
        <v>56610</v>
      </c>
      <c r="E37" s="6">
        <v>198000</v>
      </c>
      <c r="F37" s="6">
        <v>76200</v>
      </c>
      <c r="G37" s="25">
        <v>5637510</v>
      </c>
    </row>
    <row r="38" spans="1:7" x14ac:dyDescent="0.4">
      <c r="A38" s="26">
        <v>45778</v>
      </c>
      <c r="B38" s="6">
        <v>2296800</v>
      </c>
      <c r="C38" s="6">
        <v>3181350</v>
      </c>
      <c r="D38" s="6">
        <v>84915</v>
      </c>
      <c r="E38" s="6">
        <v>198000</v>
      </c>
      <c r="F38" s="6">
        <v>76200</v>
      </c>
      <c r="G38" s="25">
        <v>5837265</v>
      </c>
    </row>
    <row r="39" spans="1:7" x14ac:dyDescent="0.4">
      <c r="A39" s="26">
        <v>45809</v>
      </c>
      <c r="B39" s="6">
        <v>495000</v>
      </c>
      <c r="C39" s="6">
        <v>9353550</v>
      </c>
      <c r="D39" s="6">
        <v>84915</v>
      </c>
      <c r="E39" s="6">
        <v>19800</v>
      </c>
      <c r="F39" s="6">
        <v>495300</v>
      </c>
      <c r="G39" s="25">
        <v>10448565</v>
      </c>
    </row>
    <row r="40" spans="1:7" x14ac:dyDescent="0.4">
      <c r="A40" s="26">
        <v>45839</v>
      </c>
      <c r="B40" s="6">
        <v>19800</v>
      </c>
      <c r="C40" s="6">
        <v>9467850</v>
      </c>
      <c r="D40" s="6">
        <v>94350</v>
      </c>
      <c r="E40" s="6"/>
      <c r="F40" s="6">
        <v>495300</v>
      </c>
      <c r="G40" s="25">
        <v>10077300</v>
      </c>
    </row>
    <row r="41" spans="1:7" x14ac:dyDescent="0.4">
      <c r="A41" s="26">
        <v>45870</v>
      </c>
      <c r="B41" s="6"/>
      <c r="C41" s="6">
        <v>9448800</v>
      </c>
      <c r="D41" s="6">
        <v>245310</v>
      </c>
      <c r="E41" s="6"/>
      <c r="F41" s="6">
        <v>495300</v>
      </c>
      <c r="G41" s="25">
        <v>10189410</v>
      </c>
    </row>
    <row r="42" spans="1:7" x14ac:dyDescent="0.4">
      <c r="A42" s="26">
        <v>45901</v>
      </c>
      <c r="B42" s="6"/>
      <c r="C42" s="6">
        <v>8953500</v>
      </c>
      <c r="D42" s="6">
        <v>245310</v>
      </c>
      <c r="E42" s="6"/>
      <c r="F42" s="6">
        <v>495300</v>
      </c>
      <c r="G42" s="25">
        <v>9694110</v>
      </c>
    </row>
    <row r="43" spans="1:7" x14ac:dyDescent="0.4">
      <c r="A43" s="26">
        <v>45931</v>
      </c>
      <c r="B43" s="6"/>
      <c r="C43" s="6">
        <v>6477000</v>
      </c>
      <c r="D43" s="6">
        <v>245310</v>
      </c>
      <c r="E43" s="6"/>
      <c r="F43" s="6">
        <v>419100</v>
      </c>
      <c r="G43" s="25">
        <v>7141410</v>
      </c>
    </row>
    <row r="44" spans="1:7" x14ac:dyDescent="0.4">
      <c r="A44" s="26">
        <v>45962</v>
      </c>
      <c r="B44" s="6"/>
      <c r="C44" s="6">
        <v>6305550</v>
      </c>
      <c r="D44" s="6">
        <v>245310</v>
      </c>
      <c r="E44" s="6"/>
      <c r="F44" s="6">
        <v>419100</v>
      </c>
      <c r="G44" s="25">
        <v>6969960</v>
      </c>
    </row>
    <row r="45" spans="1:7" x14ac:dyDescent="0.4">
      <c r="A45" s="26">
        <v>45992</v>
      </c>
      <c r="B45" s="6"/>
      <c r="C45" s="6">
        <v>133350</v>
      </c>
      <c r="D45" s="6">
        <v>254745</v>
      </c>
      <c r="E45" s="6"/>
      <c r="F45" s="6"/>
      <c r="G45" s="25">
        <v>388095</v>
      </c>
    </row>
    <row r="46" spans="1:7" x14ac:dyDescent="0.4">
      <c r="A46" s="26">
        <v>46023</v>
      </c>
      <c r="B46" s="6"/>
      <c r="C46" s="6">
        <v>19050</v>
      </c>
      <c r="D46" s="6">
        <v>254745</v>
      </c>
      <c r="E46" s="6"/>
      <c r="F46" s="6"/>
      <c r="G46" s="25">
        <v>273795</v>
      </c>
    </row>
    <row r="47" spans="1:7" x14ac:dyDescent="0.4">
      <c r="A47" s="26">
        <v>46054</v>
      </c>
      <c r="B47" s="6"/>
      <c r="C47" s="6"/>
      <c r="D47" s="6">
        <v>349095</v>
      </c>
      <c r="E47" s="6"/>
      <c r="F47" s="6"/>
      <c r="G47" s="25">
        <v>349095</v>
      </c>
    </row>
    <row r="48" spans="1:7" x14ac:dyDescent="0.4">
      <c r="A48" s="26">
        <v>46082</v>
      </c>
      <c r="B48" s="6"/>
      <c r="C48" s="6"/>
      <c r="D48" s="6">
        <v>349095</v>
      </c>
      <c r="E48" s="6"/>
      <c r="F48" s="6"/>
      <c r="G48" s="25">
        <v>349095</v>
      </c>
    </row>
    <row r="49" spans="1:7" x14ac:dyDescent="0.4">
      <c r="A49" s="26">
        <v>46113</v>
      </c>
      <c r="B49" s="6"/>
      <c r="C49" s="6"/>
      <c r="D49" s="6">
        <v>292485</v>
      </c>
      <c r="E49" s="6"/>
      <c r="F49" s="6"/>
      <c r="G49" s="25">
        <v>292485</v>
      </c>
    </row>
    <row r="50" spans="1:7" x14ac:dyDescent="0.4">
      <c r="A50" s="26">
        <v>46143</v>
      </c>
      <c r="B50" s="6"/>
      <c r="C50" s="6"/>
      <c r="D50" s="6">
        <v>264180</v>
      </c>
      <c r="E50" s="6"/>
      <c r="F50" s="6"/>
      <c r="G50" s="25">
        <v>264180</v>
      </c>
    </row>
    <row r="51" spans="1:7" x14ac:dyDescent="0.4">
      <c r="A51" s="26">
        <v>46174</v>
      </c>
      <c r="B51" s="6"/>
      <c r="C51" s="6"/>
      <c r="D51" s="6">
        <v>264180</v>
      </c>
      <c r="E51" s="6"/>
      <c r="F51" s="6"/>
      <c r="G51" s="25">
        <v>264180</v>
      </c>
    </row>
    <row r="52" spans="1:7" x14ac:dyDescent="0.4">
      <c r="A52" s="26">
        <v>46204</v>
      </c>
      <c r="B52" s="6"/>
      <c r="C52" s="6"/>
      <c r="D52" s="6">
        <v>254745</v>
      </c>
      <c r="E52" s="6"/>
      <c r="F52" s="6"/>
      <c r="G52" s="25">
        <v>254745</v>
      </c>
    </row>
    <row r="53" spans="1:7" x14ac:dyDescent="0.4">
      <c r="A53" s="26">
        <v>46235</v>
      </c>
      <c r="B53" s="6"/>
      <c r="C53" s="6"/>
      <c r="D53" s="6">
        <v>103785</v>
      </c>
      <c r="E53" s="6"/>
      <c r="F53" s="6"/>
      <c r="G53" s="25">
        <v>103785</v>
      </c>
    </row>
    <row r="54" spans="1:7" x14ac:dyDescent="0.4">
      <c r="A54" s="26">
        <v>46266</v>
      </c>
      <c r="B54" s="6"/>
      <c r="C54" s="6"/>
      <c r="D54" s="6">
        <v>103785</v>
      </c>
      <c r="E54" s="6"/>
      <c r="F54" s="6"/>
      <c r="G54" s="25">
        <v>103785</v>
      </c>
    </row>
    <row r="55" spans="1:7" x14ac:dyDescent="0.4">
      <c r="A55" s="26">
        <v>46296</v>
      </c>
      <c r="B55" s="6"/>
      <c r="C55" s="6"/>
      <c r="D55" s="6">
        <v>103785</v>
      </c>
      <c r="E55" s="6"/>
      <c r="F55" s="6"/>
      <c r="G55" s="25">
        <v>103785</v>
      </c>
    </row>
    <row r="56" spans="1:7" x14ac:dyDescent="0.4">
      <c r="A56" s="26">
        <v>46327</v>
      </c>
      <c r="B56" s="6"/>
      <c r="C56" s="6"/>
      <c r="D56" s="6">
        <v>103785</v>
      </c>
      <c r="E56" s="6"/>
      <c r="F56" s="6"/>
      <c r="G56" s="25">
        <v>103785</v>
      </c>
    </row>
    <row r="57" spans="1:7" x14ac:dyDescent="0.4">
      <c r="A57" s="26">
        <v>46357</v>
      </c>
      <c r="B57" s="6"/>
      <c r="C57" s="6"/>
      <c r="D57" s="6">
        <v>94350</v>
      </c>
      <c r="E57" s="6"/>
      <c r="F57" s="6"/>
      <c r="G57" s="25">
        <v>94350</v>
      </c>
    </row>
    <row r="58" spans="1:7" x14ac:dyDescent="0.4">
      <c r="A58" s="26">
        <v>46388</v>
      </c>
      <c r="B58" s="6"/>
      <c r="C58" s="6"/>
      <c r="D58" s="6">
        <v>94350</v>
      </c>
      <c r="E58" s="6"/>
      <c r="F58" s="6"/>
      <c r="G58" s="25">
        <v>94350</v>
      </c>
    </row>
    <row r="64" spans="1:7" x14ac:dyDescent="0.4">
      <c r="A64" t="s">
        <v>2314</v>
      </c>
    </row>
    <row r="65" spans="1:7" x14ac:dyDescent="0.4">
      <c r="A65" s="25" t="s">
        <v>2232</v>
      </c>
      <c r="B65" s="10" t="s">
        <v>25</v>
      </c>
      <c r="C65" s="10" t="s">
        <v>44</v>
      </c>
      <c r="D65" s="10" t="s">
        <v>1944</v>
      </c>
      <c r="E65" s="10" t="s">
        <v>70</v>
      </c>
      <c r="F65" s="10" t="s">
        <v>50</v>
      </c>
      <c r="G65" s="24" t="s">
        <v>2233</v>
      </c>
    </row>
    <row r="66" spans="1:7" x14ac:dyDescent="0.4">
      <c r="A66" s="26">
        <v>45689</v>
      </c>
      <c r="B66" s="6">
        <v>59400</v>
      </c>
      <c r="C66" s="6">
        <v>228600</v>
      </c>
      <c r="D66" s="6">
        <v>0</v>
      </c>
      <c r="E66" s="6">
        <v>0</v>
      </c>
      <c r="F66" s="6">
        <v>0</v>
      </c>
      <c r="G66" s="25">
        <v>288000</v>
      </c>
    </row>
    <row r="67" spans="1:7" x14ac:dyDescent="0.4">
      <c r="A67" s="26">
        <v>45717</v>
      </c>
      <c r="B67" s="6">
        <v>5405400</v>
      </c>
      <c r="C67" s="6">
        <v>2971800</v>
      </c>
      <c r="D67" s="6">
        <v>0</v>
      </c>
      <c r="E67" s="6">
        <v>534600</v>
      </c>
      <c r="F67" s="6">
        <v>0</v>
      </c>
      <c r="G67" s="25">
        <v>8911800</v>
      </c>
    </row>
    <row r="68" spans="1:7" x14ac:dyDescent="0.4">
      <c r="A68" s="26">
        <v>45748</v>
      </c>
      <c r="B68" s="6">
        <v>1425600</v>
      </c>
      <c r="C68" s="6">
        <v>14859000</v>
      </c>
      <c r="D68" s="6">
        <v>679320</v>
      </c>
      <c r="E68" s="6">
        <v>59400</v>
      </c>
      <c r="F68" s="6">
        <v>457200</v>
      </c>
      <c r="G68" s="25">
        <v>17480520</v>
      </c>
    </row>
    <row r="69" spans="1:7" x14ac:dyDescent="0.4">
      <c r="A69" s="26">
        <v>45778</v>
      </c>
      <c r="B69" s="6">
        <v>59400</v>
      </c>
      <c r="C69" s="6">
        <v>1028700</v>
      </c>
      <c r="D69" s="6">
        <v>339660</v>
      </c>
      <c r="E69" s="6">
        <v>0</v>
      </c>
      <c r="F69" s="6">
        <v>0</v>
      </c>
      <c r="G69" s="25">
        <v>1427760</v>
      </c>
    </row>
    <row r="70" spans="1:7" x14ac:dyDescent="0.4">
      <c r="A70" s="26">
        <v>45809</v>
      </c>
      <c r="B70" s="6">
        <v>0</v>
      </c>
      <c r="C70" s="6">
        <v>37033200</v>
      </c>
      <c r="D70" s="6">
        <v>0</v>
      </c>
      <c r="E70" s="6">
        <v>0</v>
      </c>
      <c r="F70" s="6">
        <v>2514600</v>
      </c>
      <c r="G70" s="25">
        <v>39547800</v>
      </c>
    </row>
    <row r="71" spans="1:7" x14ac:dyDescent="0.4">
      <c r="A71" s="26">
        <v>45839</v>
      </c>
      <c r="B71" s="6">
        <v>0</v>
      </c>
      <c r="C71" s="6">
        <v>685800</v>
      </c>
      <c r="D71" s="6">
        <v>113220</v>
      </c>
      <c r="E71" s="6">
        <v>0</v>
      </c>
      <c r="F71" s="6">
        <v>0</v>
      </c>
      <c r="G71" s="25">
        <v>799020</v>
      </c>
    </row>
    <row r="72" spans="1:7" x14ac:dyDescent="0.4">
      <c r="A72" s="26">
        <v>45870</v>
      </c>
      <c r="B72" s="6">
        <v>0</v>
      </c>
      <c r="C72" s="6">
        <v>114300</v>
      </c>
      <c r="D72" s="6">
        <v>1811520</v>
      </c>
      <c r="E72" s="6">
        <v>0</v>
      </c>
      <c r="F72" s="6">
        <v>0</v>
      </c>
      <c r="G72" s="25">
        <v>1925820</v>
      </c>
    </row>
    <row r="73" spans="1:7" x14ac:dyDescent="0.4">
      <c r="A73" s="26">
        <v>45901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25">
        <v>0</v>
      </c>
    </row>
    <row r="74" spans="1:7" x14ac:dyDescent="0.4">
      <c r="A74" s="26">
        <v>45931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25">
        <v>0</v>
      </c>
    </row>
    <row r="75" spans="1:7" x14ac:dyDescent="0.4">
      <c r="A75" s="26">
        <v>45962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25">
        <v>0</v>
      </c>
    </row>
    <row r="76" spans="1:7" x14ac:dyDescent="0.4">
      <c r="A76" s="26">
        <v>45992</v>
      </c>
      <c r="B76" s="6">
        <v>0</v>
      </c>
      <c r="C76" s="6">
        <v>0</v>
      </c>
      <c r="D76" s="6">
        <v>113220</v>
      </c>
      <c r="E76" s="6">
        <v>0</v>
      </c>
      <c r="F76" s="6">
        <v>0</v>
      </c>
      <c r="G76" s="25">
        <v>113220</v>
      </c>
    </row>
    <row r="77" spans="1:7" x14ac:dyDescent="0.4">
      <c r="A77" s="26">
        <v>46023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25">
        <v>0</v>
      </c>
    </row>
    <row r="78" spans="1:7" x14ac:dyDescent="0.4">
      <c r="A78" s="26">
        <v>46054</v>
      </c>
      <c r="B78" s="6">
        <v>0</v>
      </c>
      <c r="C78" s="6">
        <v>0</v>
      </c>
      <c r="D78" s="6">
        <v>1132200</v>
      </c>
      <c r="E78" s="6">
        <v>0</v>
      </c>
      <c r="F78" s="6">
        <v>0</v>
      </c>
      <c r="G78" s="25">
        <v>1132200</v>
      </c>
    </row>
  </sheetData>
  <phoneticPr fontId="2"/>
  <pageMargins left="0.7" right="0.7" top="0.75" bottom="0.75" header="0.3" footer="0.3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2EB3-E87D-41DA-A36D-BD1377DC7D26}">
  <sheetPr>
    <tabColor rgb="FFFFC000"/>
  </sheetPr>
  <dimension ref="A1:AZ693"/>
  <sheetViews>
    <sheetView topLeftCell="S1" zoomScale="55" zoomScaleNormal="55" workbookViewId="0">
      <selection activeCell="AY7" sqref="AY7"/>
    </sheetView>
  </sheetViews>
  <sheetFormatPr defaultRowHeight="18.75" x14ac:dyDescent="0.4"/>
  <cols>
    <col min="1" max="1" width="31.875" bestFit="1" customWidth="1"/>
    <col min="2" max="2" width="11.75" bestFit="1" customWidth="1"/>
    <col min="3" max="3" width="13" bestFit="1" customWidth="1"/>
    <col min="4" max="4" width="43.375" bestFit="1" customWidth="1"/>
    <col min="5" max="5" width="37" bestFit="1" customWidth="1"/>
    <col min="6" max="7" width="26.5" bestFit="1" customWidth="1"/>
    <col min="8" max="8" width="28.625" bestFit="1" customWidth="1"/>
    <col min="9" max="9" width="28.625" customWidth="1"/>
    <col min="10" max="10" width="28.625" bestFit="1" customWidth="1"/>
    <col min="11" max="23" width="12.375" customWidth="1"/>
    <col min="24" max="24" width="8.5" style="16" customWidth="1"/>
    <col min="25" max="25" width="9.125" style="20" bestFit="1" customWidth="1"/>
    <col min="26" max="28" width="9.5" style="20" bestFit="1" customWidth="1"/>
    <col min="29" max="31" width="10.5" style="20" bestFit="1" customWidth="1"/>
    <col min="32" max="34" width="9.5" style="20" bestFit="1" customWidth="1"/>
    <col min="35" max="47" width="9.125" style="20" bestFit="1" customWidth="1"/>
    <col min="48" max="48" width="10.5" style="20" bestFit="1" customWidth="1"/>
  </cols>
  <sheetData>
    <row r="1" spans="1:52" x14ac:dyDescent="0.4">
      <c r="A1" s="6" t="s">
        <v>2231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9" t="s">
        <v>2234</v>
      </c>
      <c r="L1" s="9" t="s">
        <v>2235</v>
      </c>
      <c r="M1" s="9" t="s">
        <v>2236</v>
      </c>
      <c r="N1" s="9" t="s">
        <v>2237</v>
      </c>
      <c r="O1" s="9" t="s">
        <v>2238</v>
      </c>
      <c r="P1" s="9" t="s">
        <v>2239</v>
      </c>
      <c r="Q1" s="9" t="s">
        <v>2240</v>
      </c>
      <c r="R1" s="9" t="s">
        <v>2241</v>
      </c>
      <c r="S1" s="9" t="s">
        <v>2242</v>
      </c>
      <c r="T1" s="9" t="s">
        <v>2243</v>
      </c>
      <c r="U1" s="9" t="s">
        <v>2244</v>
      </c>
      <c r="V1" s="9" t="s">
        <v>2245</v>
      </c>
      <c r="W1" s="9" t="s">
        <v>2246</v>
      </c>
      <c r="X1" s="17" t="s">
        <v>2273</v>
      </c>
      <c r="Y1" s="11" t="s">
        <v>2234</v>
      </c>
      <c r="Z1" s="11" t="s">
        <v>2235</v>
      </c>
      <c r="AA1" s="11" t="s">
        <v>2236</v>
      </c>
      <c r="AB1" s="11" t="s">
        <v>2237</v>
      </c>
      <c r="AC1" s="11" t="s">
        <v>2238</v>
      </c>
      <c r="AD1" s="11" t="s">
        <v>2239</v>
      </c>
      <c r="AE1" s="11" t="s">
        <v>2240</v>
      </c>
      <c r="AF1" s="11" t="s">
        <v>2241</v>
      </c>
      <c r="AG1" s="11" t="s">
        <v>2242</v>
      </c>
      <c r="AH1" s="11" t="s">
        <v>2243</v>
      </c>
      <c r="AI1" s="11" t="s">
        <v>2244</v>
      </c>
      <c r="AJ1" s="11" t="s">
        <v>2245</v>
      </c>
      <c r="AK1" s="11" t="s">
        <v>2246</v>
      </c>
      <c r="AL1" s="11" t="s">
        <v>2274</v>
      </c>
      <c r="AM1" s="11" t="s">
        <v>2275</v>
      </c>
      <c r="AN1" s="11" t="s">
        <v>2276</v>
      </c>
      <c r="AO1" s="11" t="s">
        <v>2277</v>
      </c>
      <c r="AP1" s="11" t="s">
        <v>2278</v>
      </c>
      <c r="AQ1" s="11" t="s">
        <v>2279</v>
      </c>
      <c r="AR1" s="11" t="s">
        <v>2280</v>
      </c>
      <c r="AS1" s="11" t="s">
        <v>2281</v>
      </c>
      <c r="AT1" s="11" t="s">
        <v>2282</v>
      </c>
      <c r="AU1" s="11" t="s">
        <v>2283</v>
      </c>
      <c r="AV1" s="11" t="s">
        <v>2284</v>
      </c>
      <c r="AW1" t="s">
        <v>2285</v>
      </c>
      <c r="AX1" s="19" t="s">
        <v>2286</v>
      </c>
      <c r="AY1" s="22" t="s">
        <v>2287</v>
      </c>
      <c r="AZ1" t="s">
        <v>2288</v>
      </c>
    </row>
    <row r="2" spans="1:52" x14ac:dyDescent="0.4">
      <c r="A2" s="6" t="s">
        <v>2230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4" t="s">
        <v>11</v>
      </c>
      <c r="H2" s="1" t="s">
        <v>27</v>
      </c>
      <c r="I2">
        <v>59400</v>
      </c>
      <c r="J2" s="1" t="s">
        <v>28</v>
      </c>
      <c r="K2">
        <v>0</v>
      </c>
      <c r="L2">
        <v>0</v>
      </c>
      <c r="M2">
        <v>59400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8">
        <v>3</v>
      </c>
      <c r="Y2" s="6"/>
      <c r="Z2" s="6"/>
      <c r="AA2" s="6">
        <v>19800</v>
      </c>
      <c r="AB2" s="6">
        <v>19800</v>
      </c>
      <c r="AC2" s="6">
        <v>19800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>
        <f>+COUNTA(Y2:AV2)</f>
        <v>3</v>
      </c>
      <c r="AX2" t="b">
        <f>+AW2=X2</f>
        <v>1</v>
      </c>
      <c r="AY2" s="21">
        <f>+SUM(Y2:AV2)</f>
        <v>59400</v>
      </c>
      <c r="AZ2" t="b">
        <f>+I2=AY2</f>
        <v>1</v>
      </c>
    </row>
    <row r="3" spans="1:52" x14ac:dyDescent="0.4">
      <c r="A3" s="6" t="s">
        <v>2230</v>
      </c>
      <c r="B3" s="1" t="s">
        <v>29</v>
      </c>
      <c r="C3" s="1" t="s">
        <v>30</v>
      </c>
      <c r="D3" s="1" t="s">
        <v>31</v>
      </c>
      <c r="E3" s="1" t="s">
        <v>25</v>
      </c>
      <c r="F3" s="1" t="s">
        <v>32</v>
      </c>
      <c r="G3" s="5" t="s">
        <v>10</v>
      </c>
      <c r="H3" s="1" t="s">
        <v>27</v>
      </c>
      <c r="I3">
        <v>59400</v>
      </c>
      <c r="J3" s="1" t="s">
        <v>33</v>
      </c>
      <c r="K3">
        <v>0</v>
      </c>
      <c r="L3">
        <v>59400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8">
        <v>3</v>
      </c>
      <c r="Y3" s="6"/>
      <c r="Z3" s="6">
        <v>19800</v>
      </c>
      <c r="AA3" s="6">
        <v>19800</v>
      </c>
      <c r="AB3" s="6">
        <v>19800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>
        <f t="shared" ref="AW3:AW15" si="0">+COUNTA(Y3:AV3)</f>
        <v>3</v>
      </c>
      <c r="AX3" t="b">
        <f t="shared" ref="AX3:AX15" si="1">+AW3=X3</f>
        <v>1</v>
      </c>
      <c r="AY3" s="21">
        <f t="shared" ref="AY3:AY6" si="2">+SUM(Y3:AV3)</f>
        <v>59400</v>
      </c>
      <c r="AZ3" t="b">
        <f t="shared" ref="AZ3:AZ6" si="3">+I3=AY3</f>
        <v>1</v>
      </c>
    </row>
    <row r="4" spans="1:52" x14ac:dyDescent="0.4">
      <c r="A4" s="6" t="s">
        <v>2230</v>
      </c>
      <c r="B4" s="1" t="s">
        <v>34</v>
      </c>
      <c r="C4" s="1" t="s">
        <v>35</v>
      </c>
      <c r="D4" s="1" t="s">
        <v>36</v>
      </c>
      <c r="E4" s="1" t="s">
        <v>25</v>
      </c>
      <c r="F4" s="1" t="s">
        <v>37</v>
      </c>
      <c r="G4" s="5" t="s">
        <v>10</v>
      </c>
      <c r="H4" s="1" t="s">
        <v>27</v>
      </c>
      <c r="I4">
        <v>59400</v>
      </c>
      <c r="J4" s="1" t="s">
        <v>33</v>
      </c>
      <c r="K4">
        <v>0</v>
      </c>
      <c r="L4">
        <v>59400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18">
        <v>3</v>
      </c>
      <c r="Y4" s="6"/>
      <c r="Z4" s="6">
        <v>19800</v>
      </c>
      <c r="AA4" s="6">
        <v>19800</v>
      </c>
      <c r="AB4" s="6">
        <v>19800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>
        <f t="shared" si="0"/>
        <v>3</v>
      </c>
      <c r="AX4" t="b">
        <f t="shared" si="1"/>
        <v>1</v>
      </c>
      <c r="AY4" s="21">
        <f t="shared" si="2"/>
        <v>59400</v>
      </c>
      <c r="AZ4" t="b">
        <f t="shared" si="3"/>
        <v>1</v>
      </c>
    </row>
    <row r="5" spans="1:52" x14ac:dyDescent="0.4">
      <c r="A5" s="6" t="s">
        <v>2230</v>
      </c>
      <c r="B5" s="1" t="s">
        <v>38</v>
      </c>
      <c r="C5" s="1" t="s">
        <v>39</v>
      </c>
      <c r="D5" s="1" t="s">
        <v>40</v>
      </c>
      <c r="E5" s="1" t="s">
        <v>25</v>
      </c>
      <c r="F5" s="1" t="s">
        <v>37</v>
      </c>
      <c r="G5" s="5" t="s">
        <v>10</v>
      </c>
      <c r="H5" s="1" t="s">
        <v>27</v>
      </c>
      <c r="I5">
        <v>59400</v>
      </c>
      <c r="J5" s="1" t="s">
        <v>33</v>
      </c>
      <c r="K5">
        <v>0</v>
      </c>
      <c r="L5">
        <v>59400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18">
        <v>3</v>
      </c>
      <c r="Y5" s="6"/>
      <c r="Z5" s="6">
        <v>19800</v>
      </c>
      <c r="AA5" s="6">
        <v>19800</v>
      </c>
      <c r="AB5" s="6">
        <v>19800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>
        <f t="shared" si="0"/>
        <v>3</v>
      </c>
      <c r="AX5" t="b">
        <f t="shared" si="1"/>
        <v>1</v>
      </c>
      <c r="AY5" s="21">
        <f t="shared" si="2"/>
        <v>59400</v>
      </c>
      <c r="AZ5" t="b">
        <f t="shared" si="3"/>
        <v>1</v>
      </c>
    </row>
    <row r="6" spans="1:52" x14ac:dyDescent="0.4">
      <c r="A6" s="6" t="s">
        <v>2230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5" t="s">
        <v>46</v>
      </c>
      <c r="H6" s="1" t="s">
        <v>27</v>
      </c>
      <c r="I6">
        <v>114300</v>
      </c>
      <c r="J6" s="1" t="s">
        <v>33</v>
      </c>
      <c r="K6">
        <v>0</v>
      </c>
      <c r="L6">
        <v>0</v>
      </c>
      <c r="M6">
        <v>0</v>
      </c>
      <c r="N6">
        <v>0</v>
      </c>
      <c r="O6">
        <v>114300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18">
        <v>6</v>
      </c>
      <c r="Y6" s="6"/>
      <c r="Z6" s="6"/>
      <c r="AA6" s="6"/>
      <c r="AB6" s="6"/>
      <c r="AC6" s="6">
        <v>19050</v>
      </c>
      <c r="AD6" s="6">
        <v>19050</v>
      </c>
      <c r="AE6" s="6">
        <v>19050</v>
      </c>
      <c r="AF6" s="6">
        <v>19050</v>
      </c>
      <c r="AG6" s="6">
        <v>19050</v>
      </c>
      <c r="AH6" s="6">
        <v>19050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>
        <f t="shared" si="0"/>
        <v>6</v>
      </c>
      <c r="AX6" t="b">
        <f t="shared" si="1"/>
        <v>1</v>
      </c>
      <c r="AY6" s="21">
        <f t="shared" si="2"/>
        <v>114300</v>
      </c>
      <c r="AZ6" t="b">
        <f t="shared" si="3"/>
        <v>1</v>
      </c>
    </row>
    <row r="7" spans="1:52" x14ac:dyDescent="0.4">
      <c r="A7" s="6" t="s">
        <v>2230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5" t="s">
        <v>46</v>
      </c>
      <c r="H7" s="1" t="s">
        <v>52</v>
      </c>
      <c r="I7">
        <v>114300</v>
      </c>
      <c r="J7" s="1" t="s">
        <v>28</v>
      </c>
      <c r="K7">
        <v>0</v>
      </c>
      <c r="L7">
        <v>0</v>
      </c>
      <c r="M7">
        <v>0</v>
      </c>
      <c r="N7">
        <v>0</v>
      </c>
      <c r="O7">
        <v>114300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18">
        <v>6</v>
      </c>
      <c r="Y7" s="6"/>
      <c r="Z7" s="6"/>
      <c r="AA7" s="6"/>
      <c r="AB7" s="6"/>
      <c r="AC7" s="6">
        <v>19050</v>
      </c>
      <c r="AD7" s="6">
        <v>19050</v>
      </c>
      <c r="AE7" s="6">
        <v>19050</v>
      </c>
      <c r="AF7" s="6">
        <v>19050</v>
      </c>
      <c r="AG7" s="6">
        <v>19050</v>
      </c>
      <c r="AH7" s="6">
        <v>19050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>
        <f t="shared" si="0"/>
        <v>6</v>
      </c>
      <c r="AX7" t="b">
        <f t="shared" si="1"/>
        <v>1</v>
      </c>
      <c r="AY7" s="21">
        <f t="shared" ref="AY7:AY70" si="4">+SUM(Y7:AV7)</f>
        <v>114300</v>
      </c>
      <c r="AZ7" t="b">
        <f t="shared" ref="AZ7:AZ70" si="5">+I7=AY7</f>
        <v>1</v>
      </c>
    </row>
    <row r="8" spans="1:52" x14ac:dyDescent="0.4">
      <c r="A8" s="6" t="s">
        <v>2230</v>
      </c>
      <c r="B8" s="1" t="s">
        <v>53</v>
      </c>
      <c r="C8" s="1" t="s">
        <v>54</v>
      </c>
      <c r="D8" s="1" t="s">
        <v>55</v>
      </c>
      <c r="E8" s="1" t="s">
        <v>44</v>
      </c>
      <c r="F8" s="1" t="s">
        <v>56</v>
      </c>
      <c r="G8" s="5" t="s">
        <v>46</v>
      </c>
      <c r="H8" s="1" t="s">
        <v>27</v>
      </c>
      <c r="I8">
        <v>114300</v>
      </c>
      <c r="J8" s="1" t="s">
        <v>33</v>
      </c>
      <c r="K8">
        <v>0</v>
      </c>
      <c r="L8">
        <v>0</v>
      </c>
      <c r="M8">
        <v>0</v>
      </c>
      <c r="N8">
        <v>0</v>
      </c>
      <c r="O8">
        <v>114300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18">
        <v>6</v>
      </c>
      <c r="Y8" s="6"/>
      <c r="Z8" s="6"/>
      <c r="AA8" s="6"/>
      <c r="AB8" s="6"/>
      <c r="AC8" s="6">
        <v>19050</v>
      </c>
      <c r="AD8" s="6">
        <v>19050</v>
      </c>
      <c r="AE8" s="6">
        <v>19050</v>
      </c>
      <c r="AF8" s="6">
        <v>19050</v>
      </c>
      <c r="AG8" s="6">
        <v>19050</v>
      </c>
      <c r="AH8" s="6">
        <v>19050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>
        <f t="shared" si="0"/>
        <v>6</v>
      </c>
      <c r="AX8" t="b">
        <f t="shared" si="1"/>
        <v>1</v>
      </c>
      <c r="AY8" s="21">
        <f t="shared" si="4"/>
        <v>114300</v>
      </c>
      <c r="AZ8" t="b">
        <f t="shared" si="5"/>
        <v>1</v>
      </c>
    </row>
    <row r="9" spans="1:52" x14ac:dyDescent="0.4">
      <c r="A9" s="6" t="s">
        <v>2230</v>
      </c>
      <c r="B9" s="1" t="s">
        <v>57</v>
      </c>
      <c r="C9" s="1" t="s">
        <v>58</v>
      </c>
      <c r="D9" s="1" t="s">
        <v>59</v>
      </c>
      <c r="E9" s="1" t="s">
        <v>44</v>
      </c>
      <c r="F9" s="1" t="s">
        <v>32</v>
      </c>
      <c r="G9" s="5" t="s">
        <v>46</v>
      </c>
      <c r="H9" s="1" t="s">
        <v>27</v>
      </c>
      <c r="I9">
        <v>114300</v>
      </c>
      <c r="J9" s="1" t="s">
        <v>33</v>
      </c>
      <c r="K9">
        <v>0</v>
      </c>
      <c r="L9">
        <v>0</v>
      </c>
      <c r="M9">
        <v>0</v>
      </c>
      <c r="N9">
        <v>0</v>
      </c>
      <c r="O9">
        <v>114300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18">
        <v>6</v>
      </c>
      <c r="Y9" s="6"/>
      <c r="Z9" s="6"/>
      <c r="AA9" s="6"/>
      <c r="AB9" s="6"/>
      <c r="AC9" s="6">
        <v>19050</v>
      </c>
      <c r="AD9" s="6">
        <v>19050</v>
      </c>
      <c r="AE9" s="6">
        <v>19050</v>
      </c>
      <c r="AF9" s="6">
        <v>19050</v>
      </c>
      <c r="AG9" s="6">
        <v>19050</v>
      </c>
      <c r="AH9" s="6">
        <v>19050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>
        <f t="shared" si="0"/>
        <v>6</v>
      </c>
      <c r="AX9" t="b">
        <f t="shared" si="1"/>
        <v>1</v>
      </c>
      <c r="AY9" s="21">
        <f t="shared" si="4"/>
        <v>114300</v>
      </c>
      <c r="AZ9" t="b">
        <f t="shared" si="5"/>
        <v>1</v>
      </c>
    </row>
    <row r="10" spans="1:52" x14ac:dyDescent="0.4">
      <c r="A10" s="6" t="s">
        <v>2230</v>
      </c>
      <c r="B10" s="1" t="s">
        <v>60</v>
      </c>
      <c r="C10" s="1" t="s">
        <v>61</v>
      </c>
      <c r="D10" s="1" t="s">
        <v>62</v>
      </c>
      <c r="E10" s="1" t="s">
        <v>44</v>
      </c>
      <c r="F10" s="1" t="s">
        <v>63</v>
      </c>
      <c r="G10" s="5" t="s">
        <v>46</v>
      </c>
      <c r="H10" s="1" t="s">
        <v>27</v>
      </c>
      <c r="I10">
        <v>114300</v>
      </c>
      <c r="J10" s="1" t="s">
        <v>33</v>
      </c>
      <c r="K10">
        <v>0</v>
      </c>
      <c r="L10">
        <v>0</v>
      </c>
      <c r="M10">
        <v>0</v>
      </c>
      <c r="N10">
        <v>0</v>
      </c>
      <c r="O10">
        <v>114300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18">
        <v>6</v>
      </c>
      <c r="Y10" s="6"/>
      <c r="Z10" s="6"/>
      <c r="AA10" s="6"/>
      <c r="AB10" s="6"/>
      <c r="AC10" s="6">
        <v>19050</v>
      </c>
      <c r="AD10" s="6">
        <v>19050</v>
      </c>
      <c r="AE10" s="6">
        <v>19050</v>
      </c>
      <c r="AF10" s="6">
        <v>19050</v>
      </c>
      <c r="AG10" s="6">
        <v>19050</v>
      </c>
      <c r="AH10" s="6">
        <v>19050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>
        <f t="shared" si="0"/>
        <v>6</v>
      </c>
      <c r="AX10" t="b">
        <f t="shared" si="1"/>
        <v>1</v>
      </c>
      <c r="AY10" s="21">
        <f t="shared" si="4"/>
        <v>114300</v>
      </c>
      <c r="AZ10" t="b">
        <f t="shared" si="5"/>
        <v>1</v>
      </c>
    </row>
    <row r="11" spans="1:52" x14ac:dyDescent="0.4">
      <c r="A11" s="6" t="s">
        <v>2230</v>
      </c>
      <c r="B11" s="1" t="s">
        <v>64</v>
      </c>
      <c r="C11" s="1" t="s">
        <v>65</v>
      </c>
      <c r="D11" s="1" t="s">
        <v>66</v>
      </c>
      <c r="E11" s="1" t="s">
        <v>44</v>
      </c>
      <c r="F11" s="1" t="s">
        <v>63</v>
      </c>
      <c r="G11" s="5" t="s">
        <v>46</v>
      </c>
      <c r="H11" s="1" t="s">
        <v>27</v>
      </c>
      <c r="I11">
        <v>114300</v>
      </c>
      <c r="J11" s="1" t="s">
        <v>33</v>
      </c>
      <c r="K11">
        <v>0</v>
      </c>
      <c r="L11">
        <v>0</v>
      </c>
      <c r="M11">
        <v>0</v>
      </c>
      <c r="N11">
        <v>0</v>
      </c>
      <c r="O11">
        <v>114300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18">
        <v>6</v>
      </c>
      <c r="Y11" s="6"/>
      <c r="Z11" s="6"/>
      <c r="AA11" s="6"/>
      <c r="AB11" s="6"/>
      <c r="AC11" s="6">
        <v>19050</v>
      </c>
      <c r="AD11" s="6">
        <v>19050</v>
      </c>
      <c r="AE11" s="6">
        <v>19050</v>
      </c>
      <c r="AF11" s="6">
        <v>19050</v>
      </c>
      <c r="AG11" s="6">
        <v>19050</v>
      </c>
      <c r="AH11" s="6">
        <v>19050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>
        <f t="shared" si="0"/>
        <v>6</v>
      </c>
      <c r="AX11" t="b">
        <f t="shared" si="1"/>
        <v>1</v>
      </c>
      <c r="AY11" s="21">
        <f t="shared" si="4"/>
        <v>114300</v>
      </c>
      <c r="AZ11" t="b">
        <f t="shared" si="5"/>
        <v>1</v>
      </c>
    </row>
    <row r="12" spans="1:52" x14ac:dyDescent="0.4">
      <c r="A12" s="6" t="s">
        <v>2230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37</v>
      </c>
      <c r="G12" s="5" t="s">
        <v>10</v>
      </c>
      <c r="H12" s="1" t="s">
        <v>52</v>
      </c>
      <c r="I12">
        <v>59400</v>
      </c>
      <c r="J12" s="1" t="s">
        <v>28</v>
      </c>
      <c r="K12">
        <v>0</v>
      </c>
      <c r="L12">
        <v>59400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18">
        <v>3</v>
      </c>
      <c r="Y12" s="6"/>
      <c r="Z12" s="6">
        <v>19800</v>
      </c>
      <c r="AA12" s="6">
        <v>19800</v>
      </c>
      <c r="AB12" s="6">
        <v>19800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>
        <f t="shared" si="0"/>
        <v>3</v>
      </c>
      <c r="AX12" t="b">
        <f t="shared" si="1"/>
        <v>1</v>
      </c>
      <c r="AY12" s="21">
        <f t="shared" si="4"/>
        <v>59400</v>
      </c>
      <c r="AZ12" t="b">
        <f t="shared" si="5"/>
        <v>1</v>
      </c>
    </row>
    <row r="13" spans="1:52" x14ac:dyDescent="0.4">
      <c r="A13" s="6" t="s">
        <v>2230</v>
      </c>
      <c r="B13" s="1" t="s">
        <v>71</v>
      </c>
      <c r="C13" s="1" t="s">
        <v>72</v>
      </c>
      <c r="D13" s="1" t="s">
        <v>73</v>
      </c>
      <c r="E13" s="1" t="s">
        <v>44</v>
      </c>
      <c r="F13" s="1" t="s">
        <v>74</v>
      </c>
      <c r="G13" s="5" t="s">
        <v>75</v>
      </c>
      <c r="H13" s="1" t="s">
        <v>27</v>
      </c>
      <c r="I13">
        <v>114300</v>
      </c>
      <c r="J13" s="1" t="s">
        <v>28</v>
      </c>
      <c r="K13">
        <v>0</v>
      </c>
      <c r="L13">
        <v>0</v>
      </c>
      <c r="M13">
        <v>0</v>
      </c>
      <c r="N13">
        <v>0</v>
      </c>
      <c r="O13">
        <v>0</v>
      </c>
      <c r="P13">
        <v>114300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18">
        <v>6</v>
      </c>
      <c r="Y13" s="6"/>
      <c r="Z13" s="6"/>
      <c r="AA13" s="6"/>
      <c r="AB13" s="6"/>
      <c r="AC13" s="6"/>
      <c r="AD13" s="6">
        <v>19050</v>
      </c>
      <c r="AE13" s="6">
        <v>19050</v>
      </c>
      <c r="AF13" s="6">
        <v>19050</v>
      </c>
      <c r="AG13" s="6">
        <v>19050</v>
      </c>
      <c r="AH13" s="6">
        <v>19050</v>
      </c>
      <c r="AI13" s="6">
        <v>19050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>
        <f t="shared" si="0"/>
        <v>6</v>
      </c>
      <c r="AX13" t="b">
        <f t="shared" si="1"/>
        <v>1</v>
      </c>
      <c r="AY13" s="21">
        <f t="shared" si="4"/>
        <v>114300</v>
      </c>
      <c r="AZ13" t="b">
        <f t="shared" si="5"/>
        <v>1</v>
      </c>
    </row>
    <row r="14" spans="1:52" x14ac:dyDescent="0.4">
      <c r="A14" s="6" t="s">
        <v>2230</v>
      </c>
      <c r="B14" s="1" t="s">
        <v>76</v>
      </c>
      <c r="C14" s="1" t="s">
        <v>77</v>
      </c>
      <c r="D14" s="1" t="s">
        <v>78</v>
      </c>
      <c r="E14" s="1" t="s">
        <v>25</v>
      </c>
      <c r="F14" s="1" t="s">
        <v>37</v>
      </c>
      <c r="G14" s="5" t="s">
        <v>10</v>
      </c>
      <c r="H14" s="1" t="s">
        <v>27</v>
      </c>
      <c r="I14">
        <v>59400</v>
      </c>
      <c r="J14" s="1" t="s">
        <v>33</v>
      </c>
      <c r="K14">
        <v>0</v>
      </c>
      <c r="L14">
        <v>59400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18">
        <v>3</v>
      </c>
      <c r="Y14" s="6"/>
      <c r="Z14" s="6">
        <v>19800</v>
      </c>
      <c r="AA14" s="6">
        <v>19800</v>
      </c>
      <c r="AB14" s="6">
        <v>19800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>
        <f t="shared" si="0"/>
        <v>3</v>
      </c>
      <c r="AX14" t="b">
        <f t="shared" si="1"/>
        <v>1</v>
      </c>
      <c r="AY14" s="21">
        <f t="shared" si="4"/>
        <v>59400</v>
      </c>
      <c r="AZ14" t="b">
        <f t="shared" si="5"/>
        <v>1</v>
      </c>
    </row>
    <row r="15" spans="1:52" x14ac:dyDescent="0.4">
      <c r="A15" s="6" t="s">
        <v>2230</v>
      </c>
      <c r="B15" s="1" t="s">
        <v>79</v>
      </c>
      <c r="C15" s="1" t="s">
        <v>80</v>
      </c>
      <c r="D15" s="1" t="s">
        <v>81</v>
      </c>
      <c r="E15" s="1" t="s">
        <v>44</v>
      </c>
      <c r="F15" s="1" t="s">
        <v>82</v>
      </c>
      <c r="G15" s="5" t="s">
        <v>46</v>
      </c>
      <c r="H15" s="1" t="s">
        <v>27</v>
      </c>
      <c r="I15">
        <v>114300</v>
      </c>
      <c r="J15" s="1" t="s">
        <v>33</v>
      </c>
      <c r="K15">
        <v>0</v>
      </c>
      <c r="L15">
        <v>0</v>
      </c>
      <c r="M15">
        <v>0</v>
      </c>
      <c r="N15">
        <v>0</v>
      </c>
      <c r="O15">
        <v>114300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18">
        <v>6</v>
      </c>
      <c r="Y15" s="6"/>
      <c r="Z15" s="6"/>
      <c r="AA15" s="6"/>
      <c r="AB15" s="6"/>
      <c r="AC15" s="6">
        <v>19050</v>
      </c>
      <c r="AD15" s="6">
        <v>19050</v>
      </c>
      <c r="AE15" s="6">
        <v>19050</v>
      </c>
      <c r="AF15" s="6">
        <v>19050</v>
      </c>
      <c r="AG15" s="6">
        <v>19050</v>
      </c>
      <c r="AH15" s="6">
        <v>19050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>
        <f t="shared" si="0"/>
        <v>6</v>
      </c>
      <c r="AX15" t="b">
        <f t="shared" si="1"/>
        <v>1</v>
      </c>
      <c r="AY15" s="21">
        <f t="shared" si="4"/>
        <v>114300</v>
      </c>
      <c r="AZ15" t="b">
        <f t="shared" si="5"/>
        <v>1</v>
      </c>
    </row>
    <row r="16" spans="1:52" x14ac:dyDescent="0.4">
      <c r="A16" s="6" t="s">
        <v>2230</v>
      </c>
      <c r="B16" s="1" t="s">
        <v>83</v>
      </c>
      <c r="C16" s="1" t="s">
        <v>84</v>
      </c>
      <c r="D16" s="1" t="s">
        <v>85</v>
      </c>
      <c r="E16" s="1" t="s">
        <v>44</v>
      </c>
      <c r="F16" s="1" t="s">
        <v>86</v>
      </c>
      <c r="G16" s="5" t="s">
        <v>46</v>
      </c>
      <c r="H16" s="1" t="s">
        <v>27</v>
      </c>
      <c r="I16">
        <v>114300</v>
      </c>
      <c r="J16" s="1" t="s">
        <v>33</v>
      </c>
      <c r="K16">
        <v>0</v>
      </c>
      <c r="L16">
        <v>0</v>
      </c>
      <c r="M16">
        <v>0</v>
      </c>
      <c r="N16">
        <v>0</v>
      </c>
      <c r="O16">
        <v>114300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18">
        <v>6</v>
      </c>
      <c r="Y16" s="6"/>
      <c r="Z16" s="6"/>
      <c r="AA16" s="6"/>
      <c r="AB16" s="6"/>
      <c r="AC16" s="6">
        <v>19050</v>
      </c>
      <c r="AD16" s="6">
        <v>19050</v>
      </c>
      <c r="AE16" s="6">
        <v>19050</v>
      </c>
      <c r="AF16" s="6">
        <v>19050</v>
      </c>
      <c r="AG16" s="6">
        <v>19050</v>
      </c>
      <c r="AH16" s="6">
        <v>19050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>
        <f t="shared" ref="AW16:AW79" si="6">+COUNTA(Y16:AV16)</f>
        <v>6</v>
      </c>
      <c r="AX16" t="b">
        <f t="shared" ref="AX16:AX79" si="7">+AW16=X16</f>
        <v>1</v>
      </c>
      <c r="AY16" s="21">
        <f t="shared" si="4"/>
        <v>114300</v>
      </c>
      <c r="AZ16" t="b">
        <f t="shared" si="5"/>
        <v>1</v>
      </c>
    </row>
    <row r="17" spans="1:52" x14ac:dyDescent="0.4">
      <c r="A17" s="6" t="s">
        <v>2230</v>
      </c>
      <c r="B17" s="1" t="s">
        <v>87</v>
      </c>
      <c r="C17" s="1" t="s">
        <v>88</v>
      </c>
      <c r="D17" s="1" t="s">
        <v>89</v>
      </c>
      <c r="E17" s="1" t="s">
        <v>44</v>
      </c>
      <c r="F17" s="1" t="s">
        <v>90</v>
      </c>
      <c r="G17" s="5" t="s">
        <v>46</v>
      </c>
      <c r="H17" s="1" t="s">
        <v>27</v>
      </c>
      <c r="I17">
        <v>114300</v>
      </c>
      <c r="J17" s="1" t="s">
        <v>33</v>
      </c>
      <c r="K17">
        <v>0</v>
      </c>
      <c r="L17">
        <v>0</v>
      </c>
      <c r="M17">
        <v>0</v>
      </c>
      <c r="N17">
        <v>0</v>
      </c>
      <c r="O17">
        <v>114300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18">
        <v>6</v>
      </c>
      <c r="Y17" s="6"/>
      <c r="Z17" s="6"/>
      <c r="AA17" s="6"/>
      <c r="AB17" s="6"/>
      <c r="AC17" s="6">
        <v>19050</v>
      </c>
      <c r="AD17" s="6">
        <v>19050</v>
      </c>
      <c r="AE17" s="6">
        <v>19050</v>
      </c>
      <c r="AF17" s="6">
        <v>19050</v>
      </c>
      <c r="AG17" s="6">
        <v>19050</v>
      </c>
      <c r="AH17" s="6">
        <v>19050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>
        <f t="shared" si="6"/>
        <v>6</v>
      </c>
      <c r="AX17" t="b">
        <f t="shared" si="7"/>
        <v>1</v>
      </c>
      <c r="AY17" s="21">
        <f t="shared" si="4"/>
        <v>114300</v>
      </c>
      <c r="AZ17" t="b">
        <f t="shared" si="5"/>
        <v>1</v>
      </c>
    </row>
    <row r="18" spans="1:52" x14ac:dyDescent="0.4">
      <c r="A18" s="6" t="s">
        <v>2230</v>
      </c>
      <c r="B18" s="1" t="s">
        <v>91</v>
      </c>
      <c r="C18" s="1" t="s">
        <v>92</v>
      </c>
      <c r="D18" s="1" t="s">
        <v>93</v>
      </c>
      <c r="E18" s="1" t="s">
        <v>25</v>
      </c>
      <c r="F18" s="1" t="s">
        <v>51</v>
      </c>
      <c r="G18" s="5" t="s">
        <v>10</v>
      </c>
      <c r="H18" s="1" t="s">
        <v>27</v>
      </c>
      <c r="I18">
        <v>59400</v>
      </c>
      <c r="J18" s="1" t="s">
        <v>33</v>
      </c>
      <c r="K18">
        <v>0</v>
      </c>
      <c r="L18">
        <v>59400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18">
        <v>3</v>
      </c>
      <c r="Y18" s="6"/>
      <c r="Z18" s="6">
        <v>19800</v>
      </c>
      <c r="AA18" s="6">
        <v>19800</v>
      </c>
      <c r="AB18" s="6">
        <v>19800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>
        <f t="shared" si="6"/>
        <v>3</v>
      </c>
      <c r="AX18" t="b">
        <f t="shared" si="7"/>
        <v>1</v>
      </c>
      <c r="AY18" s="21">
        <f t="shared" si="4"/>
        <v>59400</v>
      </c>
      <c r="AZ18" t="b">
        <f t="shared" si="5"/>
        <v>1</v>
      </c>
    </row>
    <row r="19" spans="1:52" x14ac:dyDescent="0.4">
      <c r="A19" s="6" t="s">
        <v>2230</v>
      </c>
      <c r="B19" s="1" t="s">
        <v>94</v>
      </c>
      <c r="C19" s="1" t="s">
        <v>95</v>
      </c>
      <c r="D19" s="1" t="s">
        <v>96</v>
      </c>
      <c r="E19" s="1" t="s">
        <v>50</v>
      </c>
      <c r="F19" s="1" t="s">
        <v>97</v>
      </c>
      <c r="G19" s="5" t="s">
        <v>46</v>
      </c>
      <c r="H19" s="1" t="s">
        <v>52</v>
      </c>
      <c r="I19">
        <v>114300</v>
      </c>
      <c r="J19" s="1" t="s">
        <v>28</v>
      </c>
      <c r="K19">
        <v>0</v>
      </c>
      <c r="L19">
        <v>0</v>
      </c>
      <c r="M19">
        <v>0</v>
      </c>
      <c r="N19">
        <v>0</v>
      </c>
      <c r="O19">
        <v>114300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8">
        <v>6</v>
      </c>
      <c r="Y19" s="6"/>
      <c r="Z19" s="6"/>
      <c r="AA19" s="6"/>
      <c r="AB19" s="6"/>
      <c r="AC19" s="6">
        <v>19050</v>
      </c>
      <c r="AD19" s="6">
        <v>19050</v>
      </c>
      <c r="AE19" s="6">
        <v>19050</v>
      </c>
      <c r="AF19" s="6">
        <v>19050</v>
      </c>
      <c r="AG19" s="6">
        <v>19050</v>
      </c>
      <c r="AH19" s="6">
        <v>19050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>
        <f t="shared" si="6"/>
        <v>6</v>
      </c>
      <c r="AX19" t="b">
        <f t="shared" si="7"/>
        <v>1</v>
      </c>
      <c r="AY19" s="21">
        <f t="shared" si="4"/>
        <v>114300</v>
      </c>
      <c r="AZ19" t="b">
        <f t="shared" si="5"/>
        <v>1</v>
      </c>
    </row>
    <row r="20" spans="1:52" x14ac:dyDescent="0.4">
      <c r="A20" s="6" t="s">
        <v>2230</v>
      </c>
      <c r="B20" s="1" t="s">
        <v>98</v>
      </c>
      <c r="C20" s="1" t="s">
        <v>99</v>
      </c>
      <c r="D20" s="1" t="s">
        <v>100</v>
      </c>
      <c r="E20" s="1" t="s">
        <v>70</v>
      </c>
      <c r="F20" s="1" t="s">
        <v>101</v>
      </c>
      <c r="G20" s="5" t="s">
        <v>10</v>
      </c>
      <c r="H20" s="1" t="s">
        <v>52</v>
      </c>
      <c r="I20">
        <v>59400</v>
      </c>
      <c r="J20" s="1" t="s">
        <v>28</v>
      </c>
      <c r="K20">
        <v>0</v>
      </c>
      <c r="L20">
        <v>59400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8">
        <v>3</v>
      </c>
      <c r="Y20" s="6"/>
      <c r="Z20" s="6">
        <v>19800</v>
      </c>
      <c r="AA20" s="6">
        <v>19800</v>
      </c>
      <c r="AB20" s="6">
        <v>19800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>
        <f t="shared" si="6"/>
        <v>3</v>
      </c>
      <c r="AX20" t="b">
        <f t="shared" si="7"/>
        <v>1</v>
      </c>
      <c r="AY20" s="21">
        <f t="shared" si="4"/>
        <v>59400</v>
      </c>
      <c r="AZ20" t="b">
        <f t="shared" si="5"/>
        <v>1</v>
      </c>
    </row>
    <row r="21" spans="1:52" x14ac:dyDescent="0.4">
      <c r="A21" s="6" t="s">
        <v>2230</v>
      </c>
      <c r="B21" s="1" t="s">
        <v>102</v>
      </c>
      <c r="C21" s="1" t="s">
        <v>103</v>
      </c>
      <c r="D21" s="1" t="s">
        <v>104</v>
      </c>
      <c r="E21" s="1" t="s">
        <v>25</v>
      </c>
      <c r="F21" s="1" t="s">
        <v>105</v>
      </c>
      <c r="G21" s="5" t="s">
        <v>10</v>
      </c>
      <c r="H21" s="1" t="s">
        <v>27</v>
      </c>
      <c r="I21">
        <v>59400</v>
      </c>
      <c r="J21" s="1" t="s">
        <v>33</v>
      </c>
      <c r="K21">
        <v>0</v>
      </c>
      <c r="L21">
        <v>59400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8">
        <v>3</v>
      </c>
      <c r="Y21" s="6"/>
      <c r="Z21" s="6">
        <v>19800</v>
      </c>
      <c r="AA21" s="6">
        <v>19800</v>
      </c>
      <c r="AB21" s="6">
        <v>19800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>
        <f t="shared" si="6"/>
        <v>3</v>
      </c>
      <c r="AX21" t="b">
        <f t="shared" si="7"/>
        <v>1</v>
      </c>
      <c r="AY21" s="21">
        <f t="shared" si="4"/>
        <v>59400</v>
      </c>
      <c r="AZ21" t="b">
        <f t="shared" si="5"/>
        <v>1</v>
      </c>
    </row>
    <row r="22" spans="1:52" x14ac:dyDescent="0.4">
      <c r="A22" s="6" t="s">
        <v>2230</v>
      </c>
      <c r="B22" s="1" t="s">
        <v>106</v>
      </c>
      <c r="C22" s="1" t="s">
        <v>107</v>
      </c>
      <c r="D22" s="1" t="s">
        <v>108</v>
      </c>
      <c r="E22" s="1" t="s">
        <v>44</v>
      </c>
      <c r="F22" s="1" t="s">
        <v>86</v>
      </c>
      <c r="G22" s="5" t="s">
        <v>46</v>
      </c>
      <c r="H22" s="1" t="s">
        <v>27</v>
      </c>
      <c r="I22">
        <v>114300</v>
      </c>
      <c r="J22" s="1" t="s">
        <v>33</v>
      </c>
      <c r="K22">
        <v>0</v>
      </c>
      <c r="L22">
        <v>0</v>
      </c>
      <c r="M22">
        <v>0</v>
      </c>
      <c r="N22">
        <v>0</v>
      </c>
      <c r="O22">
        <v>114300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8">
        <v>6</v>
      </c>
      <c r="Y22" s="6"/>
      <c r="Z22" s="6"/>
      <c r="AA22" s="6"/>
      <c r="AB22" s="6"/>
      <c r="AC22" s="6">
        <v>19050</v>
      </c>
      <c r="AD22" s="6">
        <v>19050</v>
      </c>
      <c r="AE22" s="6">
        <v>19050</v>
      </c>
      <c r="AF22" s="6">
        <v>19050</v>
      </c>
      <c r="AG22" s="6">
        <v>19050</v>
      </c>
      <c r="AH22" s="6">
        <v>19050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>
        <f t="shared" si="6"/>
        <v>6</v>
      </c>
      <c r="AX22" t="b">
        <f t="shared" si="7"/>
        <v>1</v>
      </c>
      <c r="AY22" s="21">
        <f t="shared" si="4"/>
        <v>114300</v>
      </c>
      <c r="AZ22" t="b">
        <f t="shared" si="5"/>
        <v>1</v>
      </c>
    </row>
    <row r="23" spans="1:52" x14ac:dyDescent="0.4">
      <c r="A23" s="6" t="s">
        <v>2230</v>
      </c>
      <c r="B23" s="1" t="s">
        <v>109</v>
      </c>
      <c r="C23" s="1" t="s">
        <v>110</v>
      </c>
      <c r="D23" s="1" t="s">
        <v>111</v>
      </c>
      <c r="E23" s="1" t="s">
        <v>44</v>
      </c>
      <c r="F23" s="1" t="s">
        <v>112</v>
      </c>
      <c r="G23" s="5" t="s">
        <v>46</v>
      </c>
      <c r="H23" s="1" t="s">
        <v>27</v>
      </c>
      <c r="I23">
        <v>114300</v>
      </c>
      <c r="J23" s="1" t="s">
        <v>33</v>
      </c>
      <c r="K23">
        <v>0</v>
      </c>
      <c r="L23">
        <v>0</v>
      </c>
      <c r="M23">
        <v>0</v>
      </c>
      <c r="N23">
        <v>0</v>
      </c>
      <c r="O23">
        <v>114300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8">
        <v>6</v>
      </c>
      <c r="Y23" s="6"/>
      <c r="Z23" s="6"/>
      <c r="AA23" s="6"/>
      <c r="AB23" s="6"/>
      <c r="AC23" s="6">
        <v>19050</v>
      </c>
      <c r="AD23" s="6">
        <v>19050</v>
      </c>
      <c r="AE23" s="6">
        <v>19050</v>
      </c>
      <c r="AF23" s="6">
        <v>19050</v>
      </c>
      <c r="AG23" s="6">
        <v>19050</v>
      </c>
      <c r="AH23" s="6">
        <v>19050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>
        <f t="shared" si="6"/>
        <v>6</v>
      </c>
      <c r="AX23" t="b">
        <f t="shared" si="7"/>
        <v>1</v>
      </c>
      <c r="AY23" s="21">
        <f t="shared" si="4"/>
        <v>114300</v>
      </c>
      <c r="AZ23" t="b">
        <f t="shared" si="5"/>
        <v>1</v>
      </c>
    </row>
    <row r="24" spans="1:52" x14ac:dyDescent="0.4">
      <c r="A24" s="6" t="s">
        <v>2230</v>
      </c>
      <c r="B24" s="1" t="s">
        <v>113</v>
      </c>
      <c r="C24" s="1" t="s">
        <v>114</v>
      </c>
      <c r="D24" s="1" t="s">
        <v>115</v>
      </c>
      <c r="E24" s="1" t="s">
        <v>25</v>
      </c>
      <c r="F24" s="1" t="s">
        <v>37</v>
      </c>
      <c r="G24" s="5" t="s">
        <v>10</v>
      </c>
      <c r="H24" s="1" t="s">
        <v>27</v>
      </c>
      <c r="I24">
        <v>59400</v>
      </c>
      <c r="J24" s="1" t="s">
        <v>33</v>
      </c>
      <c r="K24">
        <v>0</v>
      </c>
      <c r="L24">
        <v>59400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18">
        <v>3</v>
      </c>
      <c r="Y24" s="6"/>
      <c r="Z24" s="6">
        <v>19800</v>
      </c>
      <c r="AA24" s="6">
        <v>19800</v>
      </c>
      <c r="AB24" s="6">
        <v>19800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>
        <f t="shared" si="6"/>
        <v>3</v>
      </c>
      <c r="AX24" t="b">
        <f t="shared" si="7"/>
        <v>1</v>
      </c>
      <c r="AY24" s="21">
        <f t="shared" si="4"/>
        <v>59400</v>
      </c>
      <c r="AZ24" t="b">
        <f t="shared" si="5"/>
        <v>1</v>
      </c>
    </row>
    <row r="25" spans="1:52" x14ac:dyDescent="0.4">
      <c r="A25" s="6" t="s">
        <v>2230</v>
      </c>
      <c r="B25" s="1" t="s">
        <v>116</v>
      </c>
      <c r="C25" s="1" t="s">
        <v>117</v>
      </c>
      <c r="D25" s="1" t="s">
        <v>118</v>
      </c>
      <c r="E25" s="1" t="s">
        <v>44</v>
      </c>
      <c r="F25" s="1" t="s">
        <v>37</v>
      </c>
      <c r="G25" s="5" t="s">
        <v>46</v>
      </c>
      <c r="H25" s="1" t="s">
        <v>27</v>
      </c>
      <c r="I25">
        <v>114300</v>
      </c>
      <c r="J25" s="1" t="s">
        <v>33</v>
      </c>
      <c r="K25">
        <v>0</v>
      </c>
      <c r="L25">
        <v>0</v>
      </c>
      <c r="M25">
        <v>0</v>
      </c>
      <c r="N25">
        <v>0</v>
      </c>
      <c r="O25">
        <v>114300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8">
        <v>6</v>
      </c>
      <c r="Y25" s="6"/>
      <c r="Z25" s="6"/>
      <c r="AA25" s="6"/>
      <c r="AB25" s="6"/>
      <c r="AC25" s="6">
        <v>19050</v>
      </c>
      <c r="AD25" s="6">
        <v>19050</v>
      </c>
      <c r="AE25" s="6">
        <v>19050</v>
      </c>
      <c r="AF25" s="6">
        <v>19050</v>
      </c>
      <c r="AG25" s="6">
        <v>19050</v>
      </c>
      <c r="AH25" s="6">
        <v>19050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>
        <f t="shared" si="6"/>
        <v>6</v>
      </c>
      <c r="AX25" t="b">
        <f t="shared" si="7"/>
        <v>1</v>
      </c>
      <c r="AY25" s="21">
        <f t="shared" si="4"/>
        <v>114300</v>
      </c>
      <c r="AZ25" t="b">
        <f t="shared" si="5"/>
        <v>1</v>
      </c>
    </row>
    <row r="26" spans="1:52" x14ac:dyDescent="0.4">
      <c r="A26" s="6" t="s">
        <v>2230</v>
      </c>
      <c r="B26" s="1" t="s">
        <v>119</v>
      </c>
      <c r="C26" s="1" t="s">
        <v>120</v>
      </c>
      <c r="D26" s="1" t="s">
        <v>121</v>
      </c>
      <c r="E26" s="1" t="s">
        <v>50</v>
      </c>
      <c r="F26" s="1" t="s">
        <v>101</v>
      </c>
      <c r="G26" s="5" t="s">
        <v>46</v>
      </c>
      <c r="H26" s="1" t="s">
        <v>52</v>
      </c>
      <c r="I26">
        <v>114300</v>
      </c>
      <c r="J26" s="1" t="s">
        <v>28</v>
      </c>
      <c r="K26">
        <v>0</v>
      </c>
      <c r="L26">
        <v>0</v>
      </c>
      <c r="M26">
        <v>0</v>
      </c>
      <c r="N26">
        <v>0</v>
      </c>
      <c r="O26">
        <v>114300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18">
        <v>6</v>
      </c>
      <c r="Y26" s="6"/>
      <c r="Z26" s="6"/>
      <c r="AA26" s="6"/>
      <c r="AB26" s="6"/>
      <c r="AC26" s="6">
        <v>19050</v>
      </c>
      <c r="AD26" s="6">
        <v>19050</v>
      </c>
      <c r="AE26" s="6">
        <v>19050</v>
      </c>
      <c r="AF26" s="6">
        <v>19050</v>
      </c>
      <c r="AG26" s="6">
        <v>19050</v>
      </c>
      <c r="AH26" s="6">
        <v>19050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>
        <f t="shared" si="6"/>
        <v>6</v>
      </c>
      <c r="AX26" t="b">
        <f t="shared" si="7"/>
        <v>1</v>
      </c>
      <c r="AY26" s="21">
        <f t="shared" si="4"/>
        <v>114300</v>
      </c>
      <c r="AZ26" t="b">
        <f t="shared" si="5"/>
        <v>1</v>
      </c>
    </row>
    <row r="27" spans="1:52" x14ac:dyDescent="0.4">
      <c r="A27" s="6" t="s">
        <v>2230</v>
      </c>
      <c r="B27" s="1" t="s">
        <v>122</v>
      </c>
      <c r="C27" s="1" t="s">
        <v>123</v>
      </c>
      <c r="D27" s="1" t="s">
        <v>124</v>
      </c>
      <c r="E27" s="1" t="s">
        <v>44</v>
      </c>
      <c r="F27" s="1" t="s">
        <v>32</v>
      </c>
      <c r="G27" s="5" t="s">
        <v>46</v>
      </c>
      <c r="H27" s="1" t="s">
        <v>27</v>
      </c>
      <c r="I27">
        <v>114300</v>
      </c>
      <c r="J27" s="1" t="s">
        <v>33</v>
      </c>
      <c r="K27">
        <v>0</v>
      </c>
      <c r="L27">
        <v>0</v>
      </c>
      <c r="M27">
        <v>0</v>
      </c>
      <c r="N27">
        <v>0</v>
      </c>
      <c r="O27">
        <v>114300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18">
        <v>6</v>
      </c>
      <c r="Y27" s="6"/>
      <c r="Z27" s="6"/>
      <c r="AA27" s="6"/>
      <c r="AB27" s="6"/>
      <c r="AC27" s="6">
        <v>19050</v>
      </c>
      <c r="AD27" s="6">
        <v>19050</v>
      </c>
      <c r="AE27" s="6">
        <v>19050</v>
      </c>
      <c r="AF27" s="6">
        <v>19050</v>
      </c>
      <c r="AG27" s="6">
        <v>19050</v>
      </c>
      <c r="AH27" s="6">
        <v>19050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>
        <f t="shared" si="6"/>
        <v>6</v>
      </c>
      <c r="AX27" t="b">
        <f t="shared" si="7"/>
        <v>1</v>
      </c>
      <c r="AY27" s="21">
        <f t="shared" si="4"/>
        <v>114300</v>
      </c>
      <c r="AZ27" t="b">
        <f t="shared" si="5"/>
        <v>1</v>
      </c>
    </row>
    <row r="28" spans="1:52" x14ac:dyDescent="0.4">
      <c r="A28" s="6" t="s">
        <v>2230</v>
      </c>
      <c r="B28" s="1" t="s">
        <v>125</v>
      </c>
      <c r="C28" s="1" t="s">
        <v>126</v>
      </c>
      <c r="D28" s="1" t="s">
        <v>127</v>
      </c>
      <c r="E28" s="1" t="s">
        <v>44</v>
      </c>
      <c r="F28" s="1" t="s">
        <v>97</v>
      </c>
      <c r="G28" s="5" t="s">
        <v>46</v>
      </c>
      <c r="H28" s="1" t="s">
        <v>27</v>
      </c>
      <c r="I28">
        <v>114300</v>
      </c>
      <c r="J28" s="1" t="s">
        <v>33</v>
      </c>
      <c r="K28">
        <v>0</v>
      </c>
      <c r="L28">
        <v>0</v>
      </c>
      <c r="M28">
        <v>0</v>
      </c>
      <c r="N28">
        <v>0</v>
      </c>
      <c r="O28">
        <v>114300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18">
        <v>6</v>
      </c>
      <c r="Y28" s="6"/>
      <c r="Z28" s="6"/>
      <c r="AA28" s="6"/>
      <c r="AB28" s="6"/>
      <c r="AC28" s="6">
        <v>19050</v>
      </c>
      <c r="AD28" s="6">
        <v>19050</v>
      </c>
      <c r="AE28" s="6">
        <v>19050</v>
      </c>
      <c r="AF28" s="6">
        <v>19050</v>
      </c>
      <c r="AG28" s="6">
        <v>19050</v>
      </c>
      <c r="AH28" s="6">
        <v>19050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>
        <f t="shared" si="6"/>
        <v>6</v>
      </c>
      <c r="AX28" t="b">
        <f t="shared" si="7"/>
        <v>1</v>
      </c>
      <c r="AY28" s="21">
        <f t="shared" si="4"/>
        <v>114300</v>
      </c>
      <c r="AZ28" t="b">
        <f t="shared" si="5"/>
        <v>1</v>
      </c>
    </row>
    <row r="29" spans="1:52" x14ac:dyDescent="0.4">
      <c r="A29" s="6" t="s">
        <v>2230</v>
      </c>
      <c r="B29" s="1" t="s">
        <v>128</v>
      </c>
      <c r="C29" s="1" t="s">
        <v>129</v>
      </c>
      <c r="D29" s="1" t="s">
        <v>130</v>
      </c>
      <c r="E29" s="1" t="s">
        <v>44</v>
      </c>
      <c r="F29" s="1" t="s">
        <v>86</v>
      </c>
      <c r="G29" s="5" t="s">
        <v>46</v>
      </c>
      <c r="H29" s="1" t="s">
        <v>27</v>
      </c>
      <c r="I29">
        <v>114300</v>
      </c>
      <c r="J29" s="1" t="s">
        <v>33</v>
      </c>
      <c r="K29">
        <v>0</v>
      </c>
      <c r="L29">
        <v>0</v>
      </c>
      <c r="M29">
        <v>0</v>
      </c>
      <c r="N29">
        <v>0</v>
      </c>
      <c r="O29">
        <v>114300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18">
        <v>6</v>
      </c>
      <c r="Y29" s="6"/>
      <c r="Z29" s="6"/>
      <c r="AA29" s="6"/>
      <c r="AB29" s="6"/>
      <c r="AC29" s="6">
        <v>19050</v>
      </c>
      <c r="AD29" s="6">
        <v>19050</v>
      </c>
      <c r="AE29" s="6">
        <v>19050</v>
      </c>
      <c r="AF29" s="6">
        <v>19050</v>
      </c>
      <c r="AG29" s="6">
        <v>19050</v>
      </c>
      <c r="AH29" s="6">
        <v>19050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>
        <f t="shared" si="6"/>
        <v>6</v>
      </c>
      <c r="AX29" t="b">
        <f t="shared" si="7"/>
        <v>1</v>
      </c>
      <c r="AY29" s="21">
        <f t="shared" si="4"/>
        <v>114300</v>
      </c>
      <c r="AZ29" t="b">
        <f t="shared" si="5"/>
        <v>1</v>
      </c>
    </row>
    <row r="30" spans="1:52" x14ac:dyDescent="0.4">
      <c r="A30" s="6" t="s">
        <v>2230</v>
      </c>
      <c r="B30" s="1" t="s">
        <v>131</v>
      </c>
      <c r="C30" s="1" t="s">
        <v>132</v>
      </c>
      <c r="D30" s="1" t="s">
        <v>133</v>
      </c>
      <c r="E30" s="1" t="s">
        <v>44</v>
      </c>
      <c r="F30" s="1" t="s">
        <v>51</v>
      </c>
      <c r="G30" s="5" t="s">
        <v>46</v>
      </c>
      <c r="H30" s="1" t="s">
        <v>27</v>
      </c>
      <c r="I30">
        <v>114300</v>
      </c>
      <c r="J30" s="1" t="s">
        <v>33</v>
      </c>
      <c r="K30">
        <v>0</v>
      </c>
      <c r="L30">
        <v>0</v>
      </c>
      <c r="M30">
        <v>0</v>
      </c>
      <c r="N30">
        <v>0</v>
      </c>
      <c r="O30">
        <v>114300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18">
        <v>6</v>
      </c>
      <c r="Y30" s="6"/>
      <c r="Z30" s="6"/>
      <c r="AA30" s="6"/>
      <c r="AB30" s="6"/>
      <c r="AC30" s="6">
        <v>19050</v>
      </c>
      <c r="AD30" s="6">
        <v>19050</v>
      </c>
      <c r="AE30" s="6">
        <v>19050</v>
      </c>
      <c r="AF30" s="6">
        <v>19050</v>
      </c>
      <c r="AG30" s="6">
        <v>19050</v>
      </c>
      <c r="AH30" s="6">
        <v>19050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>
        <f t="shared" si="6"/>
        <v>6</v>
      </c>
      <c r="AX30" t="b">
        <f t="shared" si="7"/>
        <v>1</v>
      </c>
      <c r="AY30" s="21">
        <f t="shared" si="4"/>
        <v>114300</v>
      </c>
      <c r="AZ30" t="b">
        <f t="shared" si="5"/>
        <v>1</v>
      </c>
    </row>
    <row r="31" spans="1:52" x14ac:dyDescent="0.4">
      <c r="A31" s="6" t="s">
        <v>2230</v>
      </c>
      <c r="B31" s="1" t="s">
        <v>134</v>
      </c>
      <c r="C31" s="1" t="s">
        <v>135</v>
      </c>
      <c r="D31" s="1" t="s">
        <v>136</v>
      </c>
      <c r="E31" s="1" t="s">
        <v>44</v>
      </c>
      <c r="F31" s="1" t="s">
        <v>86</v>
      </c>
      <c r="G31" s="5" t="s">
        <v>46</v>
      </c>
      <c r="H31" s="1" t="s">
        <v>27</v>
      </c>
      <c r="I31">
        <v>114300</v>
      </c>
      <c r="J31" s="1" t="s">
        <v>33</v>
      </c>
      <c r="K31">
        <v>0</v>
      </c>
      <c r="L31">
        <v>0</v>
      </c>
      <c r="M31">
        <v>0</v>
      </c>
      <c r="N31">
        <v>0</v>
      </c>
      <c r="O31">
        <v>114300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18">
        <v>6</v>
      </c>
      <c r="Y31" s="6"/>
      <c r="Z31" s="6"/>
      <c r="AA31" s="6"/>
      <c r="AB31" s="6"/>
      <c r="AC31" s="6">
        <v>19050</v>
      </c>
      <c r="AD31" s="6">
        <v>19050</v>
      </c>
      <c r="AE31" s="6">
        <v>19050</v>
      </c>
      <c r="AF31" s="6">
        <v>19050</v>
      </c>
      <c r="AG31" s="6">
        <v>19050</v>
      </c>
      <c r="AH31" s="6">
        <v>19050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>
        <f t="shared" si="6"/>
        <v>6</v>
      </c>
      <c r="AX31" t="b">
        <f t="shared" si="7"/>
        <v>1</v>
      </c>
      <c r="AY31" s="21">
        <f t="shared" si="4"/>
        <v>114300</v>
      </c>
      <c r="AZ31" t="b">
        <f t="shared" si="5"/>
        <v>1</v>
      </c>
    </row>
    <row r="32" spans="1:52" x14ac:dyDescent="0.4">
      <c r="A32" s="6" t="s">
        <v>2230</v>
      </c>
      <c r="B32" s="1" t="s">
        <v>137</v>
      </c>
      <c r="C32" s="1" t="s">
        <v>138</v>
      </c>
      <c r="D32" s="1" t="s">
        <v>139</v>
      </c>
      <c r="E32" s="1" t="s">
        <v>44</v>
      </c>
      <c r="F32" s="1" t="s">
        <v>140</v>
      </c>
      <c r="G32" s="5" t="s">
        <v>46</v>
      </c>
      <c r="H32" s="1" t="s">
        <v>27</v>
      </c>
      <c r="I32">
        <v>114300</v>
      </c>
      <c r="J32" s="1" t="s">
        <v>33</v>
      </c>
      <c r="K32">
        <v>0</v>
      </c>
      <c r="L32">
        <v>0</v>
      </c>
      <c r="M32">
        <v>0</v>
      </c>
      <c r="N32">
        <v>0</v>
      </c>
      <c r="O32">
        <v>114300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18">
        <v>6</v>
      </c>
      <c r="Y32" s="6"/>
      <c r="Z32" s="6"/>
      <c r="AA32" s="6"/>
      <c r="AB32" s="6"/>
      <c r="AC32" s="6">
        <v>19050</v>
      </c>
      <c r="AD32" s="6">
        <v>19050</v>
      </c>
      <c r="AE32" s="6">
        <v>19050</v>
      </c>
      <c r="AF32" s="6">
        <v>19050</v>
      </c>
      <c r="AG32" s="6">
        <v>19050</v>
      </c>
      <c r="AH32" s="6">
        <v>19050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>
        <f t="shared" si="6"/>
        <v>6</v>
      </c>
      <c r="AX32" t="b">
        <f t="shared" si="7"/>
        <v>1</v>
      </c>
      <c r="AY32" s="21">
        <f t="shared" si="4"/>
        <v>114300</v>
      </c>
      <c r="AZ32" t="b">
        <f t="shared" si="5"/>
        <v>1</v>
      </c>
    </row>
    <row r="33" spans="1:52" x14ac:dyDescent="0.4">
      <c r="A33" s="6" t="s">
        <v>2230</v>
      </c>
      <c r="B33" s="1" t="s">
        <v>141</v>
      </c>
      <c r="C33" s="1" t="s">
        <v>142</v>
      </c>
      <c r="D33" s="1" t="s">
        <v>143</v>
      </c>
      <c r="E33" s="1" t="s">
        <v>44</v>
      </c>
      <c r="F33" s="1" t="s">
        <v>63</v>
      </c>
      <c r="G33" s="5" t="s">
        <v>46</v>
      </c>
      <c r="H33" s="1" t="s">
        <v>27</v>
      </c>
      <c r="I33">
        <v>114300</v>
      </c>
      <c r="J33" s="1" t="s">
        <v>33</v>
      </c>
      <c r="K33">
        <v>0</v>
      </c>
      <c r="L33">
        <v>0</v>
      </c>
      <c r="M33">
        <v>0</v>
      </c>
      <c r="N33">
        <v>0</v>
      </c>
      <c r="O33">
        <v>114300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18">
        <v>6</v>
      </c>
      <c r="Y33" s="6"/>
      <c r="Z33" s="6"/>
      <c r="AA33" s="6"/>
      <c r="AB33" s="6"/>
      <c r="AC33" s="6">
        <v>19050</v>
      </c>
      <c r="AD33" s="6">
        <v>19050</v>
      </c>
      <c r="AE33" s="6">
        <v>19050</v>
      </c>
      <c r="AF33" s="6">
        <v>19050</v>
      </c>
      <c r="AG33" s="6">
        <v>19050</v>
      </c>
      <c r="AH33" s="6">
        <v>19050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>
        <f t="shared" si="6"/>
        <v>6</v>
      </c>
      <c r="AX33" t="b">
        <f t="shared" si="7"/>
        <v>1</v>
      </c>
      <c r="AY33" s="21">
        <f t="shared" si="4"/>
        <v>114300</v>
      </c>
      <c r="AZ33" t="b">
        <f t="shared" si="5"/>
        <v>1</v>
      </c>
    </row>
    <row r="34" spans="1:52" x14ac:dyDescent="0.4">
      <c r="A34" s="6" t="s">
        <v>2230</v>
      </c>
      <c r="B34" s="1" t="s">
        <v>144</v>
      </c>
      <c r="C34" s="1" t="s">
        <v>145</v>
      </c>
      <c r="D34" s="1" t="s">
        <v>146</v>
      </c>
      <c r="E34" s="1" t="s">
        <v>44</v>
      </c>
      <c r="F34" s="1" t="s">
        <v>63</v>
      </c>
      <c r="G34" s="5" t="s">
        <v>46</v>
      </c>
      <c r="H34" s="1" t="s">
        <v>27</v>
      </c>
      <c r="I34">
        <v>114300</v>
      </c>
      <c r="J34" s="1" t="s">
        <v>33</v>
      </c>
      <c r="K34">
        <v>0</v>
      </c>
      <c r="L34">
        <v>0</v>
      </c>
      <c r="M34">
        <v>0</v>
      </c>
      <c r="N34">
        <v>0</v>
      </c>
      <c r="O34">
        <v>114300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18">
        <v>6</v>
      </c>
      <c r="Y34" s="6"/>
      <c r="Z34" s="6"/>
      <c r="AA34" s="6"/>
      <c r="AB34" s="6"/>
      <c r="AC34" s="6">
        <v>19050</v>
      </c>
      <c r="AD34" s="6">
        <v>19050</v>
      </c>
      <c r="AE34" s="6">
        <v>19050</v>
      </c>
      <c r="AF34" s="6">
        <v>19050</v>
      </c>
      <c r="AG34" s="6">
        <v>19050</v>
      </c>
      <c r="AH34" s="6">
        <v>19050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>
        <f t="shared" si="6"/>
        <v>6</v>
      </c>
      <c r="AX34" t="b">
        <f t="shared" si="7"/>
        <v>1</v>
      </c>
      <c r="AY34" s="21">
        <f t="shared" si="4"/>
        <v>114300</v>
      </c>
      <c r="AZ34" t="b">
        <f t="shared" si="5"/>
        <v>1</v>
      </c>
    </row>
    <row r="35" spans="1:52" x14ac:dyDescent="0.4">
      <c r="A35" s="6" t="s">
        <v>2230</v>
      </c>
      <c r="B35" s="1" t="s">
        <v>147</v>
      </c>
      <c r="C35" s="1" t="s">
        <v>148</v>
      </c>
      <c r="D35" s="1" t="s">
        <v>149</v>
      </c>
      <c r="E35" s="1" t="s">
        <v>44</v>
      </c>
      <c r="F35" s="1" t="s">
        <v>150</v>
      </c>
      <c r="G35" s="5" t="s">
        <v>46</v>
      </c>
      <c r="H35" s="1" t="s">
        <v>27</v>
      </c>
      <c r="I35">
        <v>114300</v>
      </c>
      <c r="J35" s="1" t="s">
        <v>33</v>
      </c>
      <c r="K35">
        <v>0</v>
      </c>
      <c r="L35">
        <v>0</v>
      </c>
      <c r="M35">
        <v>0</v>
      </c>
      <c r="N35">
        <v>0</v>
      </c>
      <c r="O35">
        <v>114300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18">
        <v>6</v>
      </c>
      <c r="Y35" s="6"/>
      <c r="Z35" s="6"/>
      <c r="AA35" s="6"/>
      <c r="AB35" s="6"/>
      <c r="AC35" s="6">
        <v>19050</v>
      </c>
      <c r="AD35" s="6">
        <v>19050</v>
      </c>
      <c r="AE35" s="6">
        <v>19050</v>
      </c>
      <c r="AF35" s="6">
        <v>19050</v>
      </c>
      <c r="AG35" s="6">
        <v>19050</v>
      </c>
      <c r="AH35" s="6">
        <v>19050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>
        <f t="shared" si="6"/>
        <v>6</v>
      </c>
      <c r="AX35" t="b">
        <f t="shared" si="7"/>
        <v>1</v>
      </c>
      <c r="AY35" s="21">
        <f t="shared" si="4"/>
        <v>114300</v>
      </c>
      <c r="AZ35" t="b">
        <f t="shared" si="5"/>
        <v>1</v>
      </c>
    </row>
    <row r="36" spans="1:52" x14ac:dyDescent="0.4">
      <c r="A36" s="6" t="s">
        <v>2230</v>
      </c>
      <c r="B36" s="1" t="s">
        <v>151</v>
      </c>
      <c r="C36" s="1" t="s">
        <v>152</v>
      </c>
      <c r="D36" s="1" t="s">
        <v>153</v>
      </c>
      <c r="E36" s="1" t="s">
        <v>44</v>
      </c>
      <c r="F36" s="1" t="s">
        <v>112</v>
      </c>
      <c r="G36" s="5" t="s">
        <v>46</v>
      </c>
      <c r="H36" s="1" t="s">
        <v>27</v>
      </c>
      <c r="I36">
        <v>114300</v>
      </c>
      <c r="J36" s="1" t="s">
        <v>33</v>
      </c>
      <c r="K36">
        <v>0</v>
      </c>
      <c r="L36">
        <v>0</v>
      </c>
      <c r="M36">
        <v>0</v>
      </c>
      <c r="N36">
        <v>0</v>
      </c>
      <c r="O36">
        <v>114300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18">
        <v>6</v>
      </c>
      <c r="Y36" s="6"/>
      <c r="Z36" s="6"/>
      <c r="AA36" s="6"/>
      <c r="AB36" s="6"/>
      <c r="AC36" s="6">
        <v>19050</v>
      </c>
      <c r="AD36" s="6">
        <v>19050</v>
      </c>
      <c r="AE36" s="6">
        <v>19050</v>
      </c>
      <c r="AF36" s="6">
        <v>19050</v>
      </c>
      <c r="AG36" s="6">
        <v>19050</v>
      </c>
      <c r="AH36" s="6">
        <v>19050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>
        <f t="shared" si="6"/>
        <v>6</v>
      </c>
      <c r="AX36" t="b">
        <f t="shared" si="7"/>
        <v>1</v>
      </c>
      <c r="AY36" s="21">
        <f t="shared" si="4"/>
        <v>114300</v>
      </c>
      <c r="AZ36" t="b">
        <f t="shared" si="5"/>
        <v>1</v>
      </c>
    </row>
    <row r="37" spans="1:52" x14ac:dyDescent="0.4">
      <c r="A37" s="6" t="s">
        <v>2230</v>
      </c>
      <c r="B37" s="1" t="s">
        <v>154</v>
      </c>
      <c r="C37" s="1" t="s">
        <v>155</v>
      </c>
      <c r="D37" s="1" t="s">
        <v>156</v>
      </c>
      <c r="E37" s="1" t="s">
        <v>44</v>
      </c>
      <c r="F37" s="1" t="s">
        <v>86</v>
      </c>
      <c r="G37" s="5" t="s">
        <v>46</v>
      </c>
      <c r="H37" s="1" t="s">
        <v>27</v>
      </c>
      <c r="I37">
        <v>114300</v>
      </c>
      <c r="J37" s="1" t="s">
        <v>33</v>
      </c>
      <c r="K37">
        <v>0</v>
      </c>
      <c r="L37">
        <v>0</v>
      </c>
      <c r="M37">
        <v>0</v>
      </c>
      <c r="N37">
        <v>0</v>
      </c>
      <c r="O37">
        <v>114300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18">
        <v>6</v>
      </c>
      <c r="Y37" s="6"/>
      <c r="Z37" s="6"/>
      <c r="AA37" s="6"/>
      <c r="AB37" s="6"/>
      <c r="AC37" s="6">
        <v>19050</v>
      </c>
      <c r="AD37" s="6">
        <v>19050</v>
      </c>
      <c r="AE37" s="6">
        <v>19050</v>
      </c>
      <c r="AF37" s="6">
        <v>19050</v>
      </c>
      <c r="AG37" s="6">
        <v>19050</v>
      </c>
      <c r="AH37" s="6">
        <v>19050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>
        <f t="shared" si="6"/>
        <v>6</v>
      </c>
      <c r="AX37" t="b">
        <f t="shared" si="7"/>
        <v>1</v>
      </c>
      <c r="AY37" s="21">
        <f t="shared" si="4"/>
        <v>114300</v>
      </c>
      <c r="AZ37" t="b">
        <f t="shared" si="5"/>
        <v>1</v>
      </c>
    </row>
    <row r="38" spans="1:52" x14ac:dyDescent="0.4">
      <c r="A38" s="6" t="s">
        <v>2230</v>
      </c>
      <c r="B38" s="1" t="s">
        <v>157</v>
      </c>
      <c r="C38" s="1" t="s">
        <v>158</v>
      </c>
      <c r="D38" s="1" t="s">
        <v>159</v>
      </c>
      <c r="E38" s="1" t="s">
        <v>44</v>
      </c>
      <c r="F38" s="1" t="s">
        <v>32</v>
      </c>
      <c r="G38" s="5" t="s">
        <v>46</v>
      </c>
      <c r="H38" s="1" t="s">
        <v>27</v>
      </c>
      <c r="I38">
        <v>114300</v>
      </c>
      <c r="J38" s="1" t="s">
        <v>33</v>
      </c>
      <c r="K38">
        <v>0</v>
      </c>
      <c r="L38">
        <v>0</v>
      </c>
      <c r="M38">
        <v>0</v>
      </c>
      <c r="N38">
        <v>0</v>
      </c>
      <c r="O38">
        <v>114300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18">
        <v>6</v>
      </c>
      <c r="Y38" s="6"/>
      <c r="Z38" s="6"/>
      <c r="AA38" s="6"/>
      <c r="AB38" s="6"/>
      <c r="AC38" s="6">
        <v>19050</v>
      </c>
      <c r="AD38" s="6">
        <v>19050</v>
      </c>
      <c r="AE38" s="6">
        <v>19050</v>
      </c>
      <c r="AF38" s="6">
        <v>19050</v>
      </c>
      <c r="AG38" s="6">
        <v>19050</v>
      </c>
      <c r="AH38" s="6">
        <v>19050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>
        <f t="shared" si="6"/>
        <v>6</v>
      </c>
      <c r="AX38" t="b">
        <f t="shared" si="7"/>
        <v>1</v>
      </c>
      <c r="AY38" s="21">
        <f t="shared" si="4"/>
        <v>114300</v>
      </c>
      <c r="AZ38" t="b">
        <f t="shared" si="5"/>
        <v>1</v>
      </c>
    </row>
    <row r="39" spans="1:52" x14ac:dyDescent="0.4">
      <c r="A39" s="6" t="s">
        <v>2230</v>
      </c>
      <c r="B39" s="1" t="s">
        <v>160</v>
      </c>
      <c r="C39" s="1" t="s">
        <v>161</v>
      </c>
      <c r="D39" s="1" t="s">
        <v>162</v>
      </c>
      <c r="E39" s="1" t="s">
        <v>44</v>
      </c>
      <c r="F39" s="1" t="s">
        <v>56</v>
      </c>
      <c r="G39" s="5" t="s">
        <v>46</v>
      </c>
      <c r="H39" s="1" t="s">
        <v>27</v>
      </c>
      <c r="I39">
        <v>114300</v>
      </c>
      <c r="J39" s="1" t="s">
        <v>33</v>
      </c>
      <c r="K39">
        <v>0</v>
      </c>
      <c r="L39">
        <v>0</v>
      </c>
      <c r="M39">
        <v>0</v>
      </c>
      <c r="N39">
        <v>0</v>
      </c>
      <c r="O39">
        <v>114300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18">
        <v>6</v>
      </c>
      <c r="Y39" s="6"/>
      <c r="Z39" s="6"/>
      <c r="AA39" s="6"/>
      <c r="AB39" s="6"/>
      <c r="AC39" s="6">
        <v>19050</v>
      </c>
      <c r="AD39" s="6">
        <v>19050</v>
      </c>
      <c r="AE39" s="6">
        <v>19050</v>
      </c>
      <c r="AF39" s="6">
        <v>19050</v>
      </c>
      <c r="AG39" s="6">
        <v>19050</v>
      </c>
      <c r="AH39" s="6">
        <v>19050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>
        <f t="shared" si="6"/>
        <v>6</v>
      </c>
      <c r="AX39" t="b">
        <f t="shared" si="7"/>
        <v>1</v>
      </c>
      <c r="AY39" s="21">
        <f t="shared" si="4"/>
        <v>114300</v>
      </c>
      <c r="AZ39" t="b">
        <f t="shared" si="5"/>
        <v>1</v>
      </c>
    </row>
    <row r="40" spans="1:52" x14ac:dyDescent="0.4">
      <c r="A40" s="6" t="s">
        <v>2230</v>
      </c>
      <c r="B40" s="1" t="s">
        <v>163</v>
      </c>
      <c r="C40" s="1" t="s">
        <v>164</v>
      </c>
      <c r="D40" s="1" t="s">
        <v>165</v>
      </c>
      <c r="E40" s="1" t="s">
        <v>44</v>
      </c>
      <c r="F40" s="1" t="s">
        <v>32</v>
      </c>
      <c r="G40" s="5" t="s">
        <v>46</v>
      </c>
      <c r="H40" s="1" t="s">
        <v>27</v>
      </c>
      <c r="I40">
        <v>114300</v>
      </c>
      <c r="J40" s="1" t="s">
        <v>33</v>
      </c>
      <c r="K40">
        <v>0</v>
      </c>
      <c r="L40">
        <v>0</v>
      </c>
      <c r="M40">
        <v>0</v>
      </c>
      <c r="N40">
        <v>0</v>
      </c>
      <c r="O40">
        <v>114300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18">
        <v>6</v>
      </c>
      <c r="Y40" s="6"/>
      <c r="Z40" s="6"/>
      <c r="AA40" s="6"/>
      <c r="AB40" s="6"/>
      <c r="AC40" s="6">
        <v>19050</v>
      </c>
      <c r="AD40" s="6">
        <v>19050</v>
      </c>
      <c r="AE40" s="6">
        <v>19050</v>
      </c>
      <c r="AF40" s="6">
        <v>19050</v>
      </c>
      <c r="AG40" s="6">
        <v>19050</v>
      </c>
      <c r="AH40" s="6">
        <v>19050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>
        <f t="shared" si="6"/>
        <v>6</v>
      </c>
      <c r="AX40" t="b">
        <f t="shared" si="7"/>
        <v>1</v>
      </c>
      <c r="AY40" s="21">
        <f t="shared" si="4"/>
        <v>114300</v>
      </c>
      <c r="AZ40" t="b">
        <f t="shared" si="5"/>
        <v>1</v>
      </c>
    </row>
    <row r="41" spans="1:52" x14ac:dyDescent="0.4">
      <c r="A41" s="6" t="s">
        <v>2230</v>
      </c>
      <c r="B41" s="1" t="s">
        <v>166</v>
      </c>
      <c r="C41" s="1" t="s">
        <v>167</v>
      </c>
      <c r="D41" s="1" t="s">
        <v>168</v>
      </c>
      <c r="E41" s="1" t="s">
        <v>44</v>
      </c>
      <c r="F41" s="1" t="s">
        <v>51</v>
      </c>
      <c r="G41" s="5" t="s">
        <v>46</v>
      </c>
      <c r="H41" s="1" t="s">
        <v>27</v>
      </c>
      <c r="I41">
        <v>114300</v>
      </c>
      <c r="J41" s="1" t="s">
        <v>33</v>
      </c>
      <c r="K41">
        <v>0</v>
      </c>
      <c r="L41">
        <v>0</v>
      </c>
      <c r="M41">
        <v>0</v>
      </c>
      <c r="N41">
        <v>0</v>
      </c>
      <c r="O41">
        <v>114300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18">
        <v>6</v>
      </c>
      <c r="Y41" s="6"/>
      <c r="Z41" s="6"/>
      <c r="AA41" s="6"/>
      <c r="AB41" s="6"/>
      <c r="AC41" s="6">
        <v>19050</v>
      </c>
      <c r="AD41" s="6">
        <v>19050</v>
      </c>
      <c r="AE41" s="6">
        <v>19050</v>
      </c>
      <c r="AF41" s="6">
        <v>19050</v>
      </c>
      <c r="AG41" s="6">
        <v>19050</v>
      </c>
      <c r="AH41" s="6">
        <v>19050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>
        <f t="shared" si="6"/>
        <v>6</v>
      </c>
      <c r="AX41" t="b">
        <f t="shared" si="7"/>
        <v>1</v>
      </c>
      <c r="AY41" s="21">
        <f t="shared" si="4"/>
        <v>114300</v>
      </c>
      <c r="AZ41" t="b">
        <f t="shared" si="5"/>
        <v>1</v>
      </c>
    </row>
    <row r="42" spans="1:52" x14ac:dyDescent="0.4">
      <c r="A42" s="6" t="s">
        <v>2230</v>
      </c>
      <c r="B42" s="1" t="s">
        <v>169</v>
      </c>
      <c r="C42" s="1" t="s">
        <v>170</v>
      </c>
      <c r="D42" s="1" t="s">
        <v>171</v>
      </c>
      <c r="E42" s="1" t="s">
        <v>44</v>
      </c>
      <c r="F42" s="1" t="s">
        <v>63</v>
      </c>
      <c r="G42" s="5" t="s">
        <v>46</v>
      </c>
      <c r="H42" s="1" t="s">
        <v>27</v>
      </c>
      <c r="I42">
        <v>114300</v>
      </c>
      <c r="J42" s="1" t="s">
        <v>33</v>
      </c>
      <c r="K42">
        <v>0</v>
      </c>
      <c r="L42">
        <v>0</v>
      </c>
      <c r="M42">
        <v>0</v>
      </c>
      <c r="N42">
        <v>0</v>
      </c>
      <c r="O42">
        <v>114300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18">
        <v>6</v>
      </c>
      <c r="Y42" s="6"/>
      <c r="Z42" s="6"/>
      <c r="AA42" s="6"/>
      <c r="AB42" s="6"/>
      <c r="AC42" s="6">
        <v>19050</v>
      </c>
      <c r="AD42" s="6">
        <v>19050</v>
      </c>
      <c r="AE42" s="6">
        <v>19050</v>
      </c>
      <c r="AF42" s="6">
        <v>19050</v>
      </c>
      <c r="AG42" s="6">
        <v>19050</v>
      </c>
      <c r="AH42" s="6">
        <v>19050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>
        <f t="shared" si="6"/>
        <v>6</v>
      </c>
      <c r="AX42" t="b">
        <f t="shared" si="7"/>
        <v>1</v>
      </c>
      <c r="AY42" s="21">
        <f t="shared" si="4"/>
        <v>114300</v>
      </c>
      <c r="AZ42" t="b">
        <f t="shared" si="5"/>
        <v>1</v>
      </c>
    </row>
    <row r="43" spans="1:52" x14ac:dyDescent="0.4">
      <c r="A43" s="6" t="s">
        <v>2230</v>
      </c>
      <c r="B43" s="1" t="s">
        <v>172</v>
      </c>
      <c r="C43" s="1" t="s">
        <v>173</v>
      </c>
      <c r="D43" s="1" t="s">
        <v>174</v>
      </c>
      <c r="E43" s="1" t="s">
        <v>25</v>
      </c>
      <c r="F43" s="1" t="s">
        <v>140</v>
      </c>
      <c r="G43" s="5" t="s">
        <v>10</v>
      </c>
      <c r="H43" s="1" t="s">
        <v>27</v>
      </c>
      <c r="I43">
        <v>59400</v>
      </c>
      <c r="J43" s="1" t="s">
        <v>33</v>
      </c>
      <c r="K43">
        <v>0</v>
      </c>
      <c r="L43">
        <v>59400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18">
        <v>3</v>
      </c>
      <c r="Y43" s="6"/>
      <c r="Z43" s="6">
        <v>19800</v>
      </c>
      <c r="AA43" s="6">
        <v>19800</v>
      </c>
      <c r="AB43" s="6">
        <v>19800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>
        <f t="shared" si="6"/>
        <v>3</v>
      </c>
      <c r="AX43" t="b">
        <f t="shared" si="7"/>
        <v>1</v>
      </c>
      <c r="AY43" s="21">
        <f t="shared" si="4"/>
        <v>59400</v>
      </c>
      <c r="AZ43" t="b">
        <f t="shared" si="5"/>
        <v>1</v>
      </c>
    </row>
    <row r="44" spans="1:52" x14ac:dyDescent="0.4">
      <c r="A44" s="6" t="s">
        <v>2230</v>
      </c>
      <c r="B44" s="1" t="s">
        <v>175</v>
      </c>
      <c r="C44" s="1" t="s">
        <v>176</v>
      </c>
      <c r="D44" s="1" t="s">
        <v>177</v>
      </c>
      <c r="E44" s="1" t="s">
        <v>44</v>
      </c>
      <c r="F44" s="1" t="s">
        <v>178</v>
      </c>
      <c r="G44" s="5" t="s">
        <v>46</v>
      </c>
      <c r="H44" s="1" t="s">
        <v>27</v>
      </c>
      <c r="I44">
        <v>114300</v>
      </c>
      <c r="J44" s="1" t="s">
        <v>33</v>
      </c>
      <c r="K44">
        <v>0</v>
      </c>
      <c r="L44">
        <v>0</v>
      </c>
      <c r="M44">
        <v>0</v>
      </c>
      <c r="N44">
        <v>0</v>
      </c>
      <c r="O44">
        <v>114300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18">
        <v>6</v>
      </c>
      <c r="Y44" s="6"/>
      <c r="Z44" s="6"/>
      <c r="AA44" s="6"/>
      <c r="AB44" s="6"/>
      <c r="AC44" s="6">
        <v>19050</v>
      </c>
      <c r="AD44" s="6">
        <v>19050</v>
      </c>
      <c r="AE44" s="6">
        <v>19050</v>
      </c>
      <c r="AF44" s="6">
        <v>19050</v>
      </c>
      <c r="AG44" s="6">
        <v>19050</v>
      </c>
      <c r="AH44" s="6">
        <v>19050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>
        <f t="shared" si="6"/>
        <v>6</v>
      </c>
      <c r="AX44" t="b">
        <f t="shared" si="7"/>
        <v>1</v>
      </c>
      <c r="AY44" s="21">
        <f t="shared" si="4"/>
        <v>114300</v>
      </c>
      <c r="AZ44" t="b">
        <f t="shared" si="5"/>
        <v>1</v>
      </c>
    </row>
    <row r="45" spans="1:52" x14ac:dyDescent="0.4">
      <c r="A45" s="6" t="s">
        <v>2230</v>
      </c>
      <c r="B45" s="1" t="s">
        <v>179</v>
      </c>
      <c r="C45" s="1" t="s">
        <v>180</v>
      </c>
      <c r="D45" s="1" t="s">
        <v>181</v>
      </c>
      <c r="E45" s="1" t="s">
        <v>44</v>
      </c>
      <c r="F45" s="1" t="s">
        <v>32</v>
      </c>
      <c r="G45" s="5" t="s">
        <v>46</v>
      </c>
      <c r="H45" s="1" t="s">
        <v>27</v>
      </c>
      <c r="I45">
        <v>114300</v>
      </c>
      <c r="J45" s="1" t="s">
        <v>33</v>
      </c>
      <c r="K45">
        <v>0</v>
      </c>
      <c r="L45">
        <v>0</v>
      </c>
      <c r="M45">
        <v>0</v>
      </c>
      <c r="N45">
        <v>0</v>
      </c>
      <c r="O45">
        <v>114300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18">
        <v>6</v>
      </c>
      <c r="Y45" s="6"/>
      <c r="Z45" s="6"/>
      <c r="AA45" s="6"/>
      <c r="AB45" s="6"/>
      <c r="AC45" s="6">
        <v>19050</v>
      </c>
      <c r="AD45" s="6">
        <v>19050</v>
      </c>
      <c r="AE45" s="6">
        <v>19050</v>
      </c>
      <c r="AF45" s="6">
        <v>19050</v>
      </c>
      <c r="AG45" s="6">
        <v>19050</v>
      </c>
      <c r="AH45" s="6">
        <v>19050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>
        <f t="shared" si="6"/>
        <v>6</v>
      </c>
      <c r="AX45" t="b">
        <f t="shared" si="7"/>
        <v>1</v>
      </c>
      <c r="AY45" s="21">
        <f t="shared" si="4"/>
        <v>114300</v>
      </c>
      <c r="AZ45" t="b">
        <f t="shared" si="5"/>
        <v>1</v>
      </c>
    </row>
    <row r="46" spans="1:52" x14ac:dyDescent="0.4">
      <c r="A46" s="6" t="s">
        <v>2230</v>
      </c>
      <c r="B46" s="1" t="s">
        <v>182</v>
      </c>
      <c r="C46" s="1" t="s">
        <v>183</v>
      </c>
      <c r="D46" s="1" t="s">
        <v>184</v>
      </c>
      <c r="E46" s="1" t="s">
        <v>44</v>
      </c>
      <c r="F46" s="1" t="s">
        <v>56</v>
      </c>
      <c r="G46" s="5" t="s">
        <v>46</v>
      </c>
      <c r="H46" s="1" t="s">
        <v>27</v>
      </c>
      <c r="I46">
        <v>114300</v>
      </c>
      <c r="J46" s="1" t="s">
        <v>33</v>
      </c>
      <c r="K46">
        <v>0</v>
      </c>
      <c r="L46">
        <v>0</v>
      </c>
      <c r="M46">
        <v>0</v>
      </c>
      <c r="N46">
        <v>0</v>
      </c>
      <c r="O46">
        <v>114300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18">
        <v>6</v>
      </c>
      <c r="Y46" s="6"/>
      <c r="Z46" s="6"/>
      <c r="AA46" s="6"/>
      <c r="AB46" s="6"/>
      <c r="AC46" s="6">
        <v>19050</v>
      </c>
      <c r="AD46" s="6">
        <v>19050</v>
      </c>
      <c r="AE46" s="6">
        <v>19050</v>
      </c>
      <c r="AF46" s="6">
        <v>19050</v>
      </c>
      <c r="AG46" s="6">
        <v>19050</v>
      </c>
      <c r="AH46" s="6">
        <v>19050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>
        <f t="shared" si="6"/>
        <v>6</v>
      </c>
      <c r="AX46" t="b">
        <f t="shared" si="7"/>
        <v>1</v>
      </c>
      <c r="AY46" s="21">
        <f t="shared" si="4"/>
        <v>114300</v>
      </c>
      <c r="AZ46" t="b">
        <f t="shared" si="5"/>
        <v>1</v>
      </c>
    </row>
    <row r="47" spans="1:52" x14ac:dyDescent="0.4">
      <c r="A47" s="6" t="s">
        <v>2230</v>
      </c>
      <c r="B47" s="1" t="s">
        <v>185</v>
      </c>
      <c r="C47" s="1" t="s">
        <v>186</v>
      </c>
      <c r="D47" s="1" t="s">
        <v>187</v>
      </c>
      <c r="E47" s="1" t="s">
        <v>44</v>
      </c>
      <c r="F47" s="1" t="s">
        <v>86</v>
      </c>
      <c r="G47" s="5" t="s">
        <v>46</v>
      </c>
      <c r="H47" s="1" t="s">
        <v>27</v>
      </c>
      <c r="I47">
        <v>114300</v>
      </c>
      <c r="J47" s="1" t="s">
        <v>33</v>
      </c>
      <c r="K47">
        <v>0</v>
      </c>
      <c r="L47">
        <v>0</v>
      </c>
      <c r="M47">
        <v>0</v>
      </c>
      <c r="N47">
        <v>0</v>
      </c>
      <c r="O47">
        <v>114300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18">
        <v>6</v>
      </c>
      <c r="Y47" s="6"/>
      <c r="Z47" s="6"/>
      <c r="AA47" s="6"/>
      <c r="AB47" s="6"/>
      <c r="AC47" s="6">
        <v>19050</v>
      </c>
      <c r="AD47" s="6">
        <v>19050</v>
      </c>
      <c r="AE47" s="6">
        <v>19050</v>
      </c>
      <c r="AF47" s="6">
        <v>19050</v>
      </c>
      <c r="AG47" s="6">
        <v>19050</v>
      </c>
      <c r="AH47" s="6">
        <v>19050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>
        <f t="shared" si="6"/>
        <v>6</v>
      </c>
      <c r="AX47" t="b">
        <f t="shared" si="7"/>
        <v>1</v>
      </c>
      <c r="AY47" s="21">
        <f t="shared" si="4"/>
        <v>114300</v>
      </c>
      <c r="AZ47" t="b">
        <f t="shared" si="5"/>
        <v>1</v>
      </c>
    </row>
    <row r="48" spans="1:52" x14ac:dyDescent="0.4">
      <c r="A48" s="6" t="s">
        <v>2230</v>
      </c>
      <c r="B48" s="1" t="s">
        <v>188</v>
      </c>
      <c r="C48" s="1" t="s">
        <v>189</v>
      </c>
      <c r="D48" s="1" t="s">
        <v>190</v>
      </c>
      <c r="E48" s="1" t="s">
        <v>44</v>
      </c>
      <c r="F48" s="1" t="s">
        <v>32</v>
      </c>
      <c r="G48" s="5" t="s">
        <v>46</v>
      </c>
      <c r="H48" s="1" t="s">
        <v>27</v>
      </c>
      <c r="I48">
        <v>114300</v>
      </c>
      <c r="J48" s="1" t="s">
        <v>33</v>
      </c>
      <c r="K48">
        <v>0</v>
      </c>
      <c r="L48">
        <v>0</v>
      </c>
      <c r="M48">
        <v>0</v>
      </c>
      <c r="N48">
        <v>0</v>
      </c>
      <c r="O48">
        <v>114300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18">
        <v>6</v>
      </c>
      <c r="Y48" s="6"/>
      <c r="Z48" s="6"/>
      <c r="AA48" s="6"/>
      <c r="AB48" s="6"/>
      <c r="AC48" s="6">
        <v>19050</v>
      </c>
      <c r="AD48" s="6">
        <v>19050</v>
      </c>
      <c r="AE48" s="6">
        <v>19050</v>
      </c>
      <c r="AF48" s="6">
        <v>19050</v>
      </c>
      <c r="AG48" s="6">
        <v>19050</v>
      </c>
      <c r="AH48" s="6">
        <v>19050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>
        <f t="shared" si="6"/>
        <v>6</v>
      </c>
      <c r="AX48" t="b">
        <f t="shared" si="7"/>
        <v>1</v>
      </c>
      <c r="AY48" s="21">
        <f t="shared" si="4"/>
        <v>114300</v>
      </c>
      <c r="AZ48" t="b">
        <f t="shared" si="5"/>
        <v>1</v>
      </c>
    </row>
    <row r="49" spans="1:52" x14ac:dyDescent="0.4">
      <c r="A49" s="6" t="s">
        <v>2230</v>
      </c>
      <c r="B49" s="1" t="s">
        <v>191</v>
      </c>
      <c r="C49" s="1" t="s">
        <v>192</v>
      </c>
      <c r="D49" s="1" t="s">
        <v>193</v>
      </c>
      <c r="E49" s="1" t="s">
        <v>25</v>
      </c>
      <c r="F49" s="1" t="s">
        <v>86</v>
      </c>
      <c r="G49" s="5" t="s">
        <v>10</v>
      </c>
      <c r="H49" s="1" t="s">
        <v>27</v>
      </c>
      <c r="I49">
        <v>59400</v>
      </c>
      <c r="J49" s="1" t="s">
        <v>33</v>
      </c>
      <c r="K49">
        <v>0</v>
      </c>
      <c r="L49">
        <v>59400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18">
        <v>3</v>
      </c>
      <c r="Y49" s="6"/>
      <c r="Z49" s="6">
        <v>19800</v>
      </c>
      <c r="AA49" s="6">
        <v>19800</v>
      </c>
      <c r="AB49" s="6">
        <v>19800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>
        <f t="shared" si="6"/>
        <v>3</v>
      </c>
      <c r="AX49" t="b">
        <f t="shared" si="7"/>
        <v>1</v>
      </c>
      <c r="AY49" s="21">
        <f t="shared" si="4"/>
        <v>59400</v>
      </c>
      <c r="AZ49" t="b">
        <f t="shared" si="5"/>
        <v>1</v>
      </c>
    </row>
    <row r="50" spans="1:52" x14ac:dyDescent="0.4">
      <c r="A50" s="6" t="s">
        <v>2230</v>
      </c>
      <c r="B50" s="1" t="s">
        <v>194</v>
      </c>
      <c r="C50" s="1" t="s">
        <v>195</v>
      </c>
      <c r="D50" s="1" t="s">
        <v>196</v>
      </c>
      <c r="E50" s="1" t="s">
        <v>25</v>
      </c>
      <c r="F50" s="1" t="s">
        <v>37</v>
      </c>
      <c r="G50" s="5" t="s">
        <v>10</v>
      </c>
      <c r="H50" s="1" t="s">
        <v>27</v>
      </c>
      <c r="I50">
        <v>59400</v>
      </c>
      <c r="J50" s="1" t="s">
        <v>33</v>
      </c>
      <c r="K50">
        <v>0</v>
      </c>
      <c r="L50">
        <v>59400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18">
        <v>3</v>
      </c>
      <c r="Y50" s="6"/>
      <c r="Z50" s="6">
        <v>19800</v>
      </c>
      <c r="AA50" s="6">
        <v>19800</v>
      </c>
      <c r="AB50" s="6">
        <v>19800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>
        <f t="shared" si="6"/>
        <v>3</v>
      </c>
      <c r="AX50" t="b">
        <f t="shared" si="7"/>
        <v>1</v>
      </c>
      <c r="AY50" s="21">
        <f t="shared" si="4"/>
        <v>59400</v>
      </c>
      <c r="AZ50" t="b">
        <f t="shared" si="5"/>
        <v>1</v>
      </c>
    </row>
    <row r="51" spans="1:52" x14ac:dyDescent="0.4">
      <c r="A51" s="6" t="s">
        <v>2230</v>
      </c>
      <c r="B51" s="1" t="s">
        <v>197</v>
      </c>
      <c r="C51" s="1" t="s">
        <v>198</v>
      </c>
      <c r="D51" s="1" t="s">
        <v>199</v>
      </c>
      <c r="E51" s="1" t="s">
        <v>44</v>
      </c>
      <c r="F51" s="1" t="s">
        <v>37</v>
      </c>
      <c r="G51" s="5" t="s">
        <v>46</v>
      </c>
      <c r="H51" s="1" t="s">
        <v>27</v>
      </c>
      <c r="I51">
        <v>114300</v>
      </c>
      <c r="J51" s="1" t="s">
        <v>33</v>
      </c>
      <c r="K51">
        <v>0</v>
      </c>
      <c r="L51">
        <v>0</v>
      </c>
      <c r="M51">
        <v>0</v>
      </c>
      <c r="N51">
        <v>0</v>
      </c>
      <c r="O51">
        <v>114300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18">
        <v>6</v>
      </c>
      <c r="Y51" s="6"/>
      <c r="Z51" s="6"/>
      <c r="AA51" s="6"/>
      <c r="AB51" s="6"/>
      <c r="AC51" s="6">
        <v>19050</v>
      </c>
      <c r="AD51" s="6">
        <v>19050</v>
      </c>
      <c r="AE51" s="6">
        <v>19050</v>
      </c>
      <c r="AF51" s="6">
        <v>19050</v>
      </c>
      <c r="AG51" s="6">
        <v>19050</v>
      </c>
      <c r="AH51" s="6">
        <v>19050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>
        <f t="shared" si="6"/>
        <v>6</v>
      </c>
      <c r="AX51" t="b">
        <f t="shared" si="7"/>
        <v>1</v>
      </c>
      <c r="AY51" s="21">
        <f t="shared" si="4"/>
        <v>114300</v>
      </c>
      <c r="AZ51" t="b">
        <f t="shared" si="5"/>
        <v>1</v>
      </c>
    </row>
    <row r="52" spans="1:52" x14ac:dyDescent="0.4">
      <c r="A52" s="6" t="s">
        <v>2230</v>
      </c>
      <c r="B52" s="1" t="s">
        <v>200</v>
      </c>
      <c r="C52" s="1" t="s">
        <v>201</v>
      </c>
      <c r="D52" s="1" t="s">
        <v>202</v>
      </c>
      <c r="E52" s="1" t="s">
        <v>44</v>
      </c>
      <c r="F52" s="1" t="s">
        <v>97</v>
      </c>
      <c r="G52" s="5" t="s">
        <v>46</v>
      </c>
      <c r="H52" s="1" t="s">
        <v>27</v>
      </c>
      <c r="I52">
        <v>114300</v>
      </c>
      <c r="J52" s="1" t="s">
        <v>33</v>
      </c>
      <c r="K52">
        <v>0</v>
      </c>
      <c r="L52">
        <v>0</v>
      </c>
      <c r="M52">
        <v>0</v>
      </c>
      <c r="N52">
        <v>0</v>
      </c>
      <c r="O52">
        <v>114300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18">
        <v>6</v>
      </c>
      <c r="Y52" s="6"/>
      <c r="Z52" s="6"/>
      <c r="AA52" s="6"/>
      <c r="AB52" s="6"/>
      <c r="AC52" s="6">
        <v>19050</v>
      </c>
      <c r="AD52" s="6">
        <v>19050</v>
      </c>
      <c r="AE52" s="6">
        <v>19050</v>
      </c>
      <c r="AF52" s="6">
        <v>19050</v>
      </c>
      <c r="AG52" s="6">
        <v>19050</v>
      </c>
      <c r="AH52" s="6">
        <v>19050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>
        <f t="shared" si="6"/>
        <v>6</v>
      </c>
      <c r="AX52" t="b">
        <f t="shared" si="7"/>
        <v>1</v>
      </c>
      <c r="AY52" s="21">
        <f t="shared" si="4"/>
        <v>114300</v>
      </c>
      <c r="AZ52" t="b">
        <f t="shared" si="5"/>
        <v>1</v>
      </c>
    </row>
    <row r="53" spans="1:52" x14ac:dyDescent="0.4">
      <c r="A53" s="6" t="s">
        <v>2230</v>
      </c>
      <c r="B53" s="1" t="s">
        <v>203</v>
      </c>
      <c r="C53" s="1" t="s">
        <v>204</v>
      </c>
      <c r="D53" s="1" t="s">
        <v>205</v>
      </c>
      <c r="E53" s="1" t="s">
        <v>44</v>
      </c>
      <c r="F53" s="1" t="s">
        <v>37</v>
      </c>
      <c r="G53" s="5" t="s">
        <v>46</v>
      </c>
      <c r="H53" s="1" t="s">
        <v>27</v>
      </c>
      <c r="I53">
        <v>114300</v>
      </c>
      <c r="J53" s="1" t="s">
        <v>33</v>
      </c>
      <c r="K53">
        <v>0</v>
      </c>
      <c r="L53">
        <v>0</v>
      </c>
      <c r="M53">
        <v>0</v>
      </c>
      <c r="N53">
        <v>0</v>
      </c>
      <c r="O53">
        <v>114300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18">
        <v>6</v>
      </c>
      <c r="Y53" s="6"/>
      <c r="Z53" s="6"/>
      <c r="AA53" s="6"/>
      <c r="AB53" s="6"/>
      <c r="AC53" s="6">
        <v>19050</v>
      </c>
      <c r="AD53" s="6">
        <v>19050</v>
      </c>
      <c r="AE53" s="6">
        <v>19050</v>
      </c>
      <c r="AF53" s="6">
        <v>19050</v>
      </c>
      <c r="AG53" s="6">
        <v>19050</v>
      </c>
      <c r="AH53" s="6">
        <v>19050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>
        <f t="shared" si="6"/>
        <v>6</v>
      </c>
      <c r="AX53" t="b">
        <f t="shared" si="7"/>
        <v>1</v>
      </c>
      <c r="AY53" s="21">
        <f t="shared" si="4"/>
        <v>114300</v>
      </c>
      <c r="AZ53" t="b">
        <f t="shared" si="5"/>
        <v>1</v>
      </c>
    </row>
    <row r="54" spans="1:52" x14ac:dyDescent="0.4">
      <c r="A54" s="6" t="s">
        <v>2230</v>
      </c>
      <c r="B54" s="1" t="s">
        <v>206</v>
      </c>
      <c r="C54" s="1" t="s">
        <v>207</v>
      </c>
      <c r="D54" s="1" t="s">
        <v>208</v>
      </c>
      <c r="E54" s="1" t="s">
        <v>44</v>
      </c>
      <c r="F54" s="1" t="s">
        <v>32</v>
      </c>
      <c r="G54" s="5" t="s">
        <v>46</v>
      </c>
      <c r="H54" s="1" t="s">
        <v>27</v>
      </c>
      <c r="I54">
        <v>114300</v>
      </c>
      <c r="J54" s="1" t="s">
        <v>33</v>
      </c>
      <c r="K54">
        <v>0</v>
      </c>
      <c r="L54">
        <v>0</v>
      </c>
      <c r="M54">
        <v>0</v>
      </c>
      <c r="N54">
        <v>0</v>
      </c>
      <c r="O54">
        <v>114300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18">
        <v>6</v>
      </c>
      <c r="Y54" s="6"/>
      <c r="Z54" s="6"/>
      <c r="AA54" s="6"/>
      <c r="AB54" s="6"/>
      <c r="AC54" s="6">
        <v>19050</v>
      </c>
      <c r="AD54" s="6">
        <v>19050</v>
      </c>
      <c r="AE54" s="6">
        <v>19050</v>
      </c>
      <c r="AF54" s="6">
        <v>19050</v>
      </c>
      <c r="AG54" s="6">
        <v>19050</v>
      </c>
      <c r="AH54" s="6">
        <v>19050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>
        <f t="shared" si="6"/>
        <v>6</v>
      </c>
      <c r="AX54" t="b">
        <f t="shared" si="7"/>
        <v>1</v>
      </c>
      <c r="AY54" s="21">
        <f t="shared" si="4"/>
        <v>114300</v>
      </c>
      <c r="AZ54" t="b">
        <f t="shared" si="5"/>
        <v>1</v>
      </c>
    </row>
    <row r="55" spans="1:52" x14ac:dyDescent="0.4">
      <c r="A55" s="6" t="s">
        <v>2230</v>
      </c>
      <c r="B55" s="1" t="s">
        <v>209</v>
      </c>
      <c r="C55" s="1" t="s">
        <v>210</v>
      </c>
      <c r="D55" s="1" t="s">
        <v>211</v>
      </c>
      <c r="E55" s="1" t="s">
        <v>44</v>
      </c>
      <c r="F55" s="1" t="s">
        <v>178</v>
      </c>
      <c r="G55" s="5" t="s">
        <v>46</v>
      </c>
      <c r="H55" s="1" t="s">
        <v>27</v>
      </c>
      <c r="I55">
        <v>114300</v>
      </c>
      <c r="J55" s="1" t="s">
        <v>33</v>
      </c>
      <c r="K55">
        <v>0</v>
      </c>
      <c r="L55">
        <v>0</v>
      </c>
      <c r="M55">
        <v>0</v>
      </c>
      <c r="N55">
        <v>0</v>
      </c>
      <c r="O55">
        <v>114300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18">
        <v>6</v>
      </c>
      <c r="Y55" s="6"/>
      <c r="Z55" s="6"/>
      <c r="AA55" s="6"/>
      <c r="AB55" s="6"/>
      <c r="AC55" s="6">
        <v>19050</v>
      </c>
      <c r="AD55" s="6">
        <v>19050</v>
      </c>
      <c r="AE55" s="6">
        <v>19050</v>
      </c>
      <c r="AF55" s="6">
        <v>19050</v>
      </c>
      <c r="AG55" s="6">
        <v>19050</v>
      </c>
      <c r="AH55" s="6">
        <v>19050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>
        <f t="shared" si="6"/>
        <v>6</v>
      </c>
      <c r="AX55" t="b">
        <f t="shared" si="7"/>
        <v>1</v>
      </c>
      <c r="AY55" s="21">
        <f t="shared" si="4"/>
        <v>114300</v>
      </c>
      <c r="AZ55" t="b">
        <f t="shared" si="5"/>
        <v>1</v>
      </c>
    </row>
    <row r="56" spans="1:52" x14ac:dyDescent="0.4">
      <c r="A56" s="6" t="s">
        <v>2230</v>
      </c>
      <c r="B56" s="1" t="s">
        <v>212</v>
      </c>
      <c r="C56" s="1" t="s">
        <v>213</v>
      </c>
      <c r="D56" s="1" t="s">
        <v>214</v>
      </c>
      <c r="E56" s="1" t="s">
        <v>25</v>
      </c>
      <c r="F56" s="1" t="s">
        <v>101</v>
      </c>
      <c r="G56" s="5" t="s">
        <v>10</v>
      </c>
      <c r="H56" s="1" t="s">
        <v>27</v>
      </c>
      <c r="I56">
        <v>59400</v>
      </c>
      <c r="J56" s="1" t="s">
        <v>33</v>
      </c>
      <c r="K56">
        <v>0</v>
      </c>
      <c r="L56">
        <v>59400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18">
        <v>3</v>
      </c>
      <c r="Y56" s="6"/>
      <c r="Z56" s="6">
        <v>19800</v>
      </c>
      <c r="AA56" s="6">
        <v>19800</v>
      </c>
      <c r="AB56" s="6">
        <v>19800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>
        <f t="shared" si="6"/>
        <v>3</v>
      </c>
      <c r="AX56" t="b">
        <f t="shared" si="7"/>
        <v>1</v>
      </c>
      <c r="AY56" s="21">
        <f t="shared" si="4"/>
        <v>59400</v>
      </c>
      <c r="AZ56" t="b">
        <f t="shared" si="5"/>
        <v>1</v>
      </c>
    </row>
    <row r="57" spans="1:52" x14ac:dyDescent="0.4">
      <c r="A57" s="6" t="s">
        <v>2230</v>
      </c>
      <c r="B57" s="1" t="s">
        <v>215</v>
      </c>
      <c r="C57" s="1" t="s">
        <v>216</v>
      </c>
      <c r="D57" s="1" t="s">
        <v>217</v>
      </c>
      <c r="E57" s="1" t="s">
        <v>25</v>
      </c>
      <c r="F57" s="1" t="s">
        <v>63</v>
      </c>
      <c r="G57" s="5" t="s">
        <v>10</v>
      </c>
      <c r="H57" s="1" t="s">
        <v>27</v>
      </c>
      <c r="I57">
        <v>59400</v>
      </c>
      <c r="J57" s="1" t="s">
        <v>33</v>
      </c>
      <c r="K57">
        <v>0</v>
      </c>
      <c r="L57">
        <v>59400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18">
        <v>3</v>
      </c>
      <c r="Y57" s="6"/>
      <c r="Z57" s="6">
        <v>19800</v>
      </c>
      <c r="AA57" s="6">
        <v>19800</v>
      </c>
      <c r="AB57" s="6">
        <v>19800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>
        <f t="shared" si="6"/>
        <v>3</v>
      </c>
      <c r="AX57" t="b">
        <f t="shared" si="7"/>
        <v>1</v>
      </c>
      <c r="AY57" s="21">
        <f t="shared" si="4"/>
        <v>59400</v>
      </c>
      <c r="AZ57" t="b">
        <f t="shared" si="5"/>
        <v>1</v>
      </c>
    </row>
    <row r="58" spans="1:52" x14ac:dyDescent="0.4">
      <c r="A58" s="6" t="s">
        <v>2230</v>
      </c>
      <c r="B58" s="1" t="s">
        <v>218</v>
      </c>
      <c r="C58" s="1" t="s">
        <v>219</v>
      </c>
      <c r="D58" s="1" t="s">
        <v>220</v>
      </c>
      <c r="E58" s="1" t="s">
        <v>44</v>
      </c>
      <c r="F58" s="1" t="s">
        <v>112</v>
      </c>
      <c r="G58" s="5" t="s">
        <v>46</v>
      </c>
      <c r="H58" s="1" t="s">
        <v>27</v>
      </c>
      <c r="I58">
        <v>114300</v>
      </c>
      <c r="J58" s="1" t="s">
        <v>33</v>
      </c>
      <c r="K58">
        <v>0</v>
      </c>
      <c r="L58">
        <v>0</v>
      </c>
      <c r="M58">
        <v>0</v>
      </c>
      <c r="N58">
        <v>0</v>
      </c>
      <c r="O58">
        <v>114300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8">
        <v>6</v>
      </c>
      <c r="Y58" s="6"/>
      <c r="Z58" s="6"/>
      <c r="AA58" s="6"/>
      <c r="AB58" s="6"/>
      <c r="AC58" s="6">
        <v>19050</v>
      </c>
      <c r="AD58" s="6">
        <v>19050</v>
      </c>
      <c r="AE58" s="6">
        <v>19050</v>
      </c>
      <c r="AF58" s="6">
        <v>19050</v>
      </c>
      <c r="AG58" s="6">
        <v>19050</v>
      </c>
      <c r="AH58" s="6">
        <v>19050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>
        <f t="shared" si="6"/>
        <v>6</v>
      </c>
      <c r="AX58" t="b">
        <f t="shared" si="7"/>
        <v>1</v>
      </c>
      <c r="AY58" s="21">
        <f t="shared" si="4"/>
        <v>114300</v>
      </c>
      <c r="AZ58" t="b">
        <f t="shared" si="5"/>
        <v>1</v>
      </c>
    </row>
    <row r="59" spans="1:52" x14ac:dyDescent="0.4">
      <c r="A59" s="6" t="s">
        <v>2230</v>
      </c>
      <c r="B59" s="1" t="s">
        <v>221</v>
      </c>
      <c r="C59" s="1" t="s">
        <v>222</v>
      </c>
      <c r="D59" s="1" t="s">
        <v>223</v>
      </c>
      <c r="E59" s="1" t="s">
        <v>44</v>
      </c>
      <c r="F59" s="1" t="s">
        <v>150</v>
      </c>
      <c r="G59" s="5" t="s">
        <v>46</v>
      </c>
      <c r="H59" s="1" t="s">
        <v>27</v>
      </c>
      <c r="I59">
        <v>114300</v>
      </c>
      <c r="J59" s="1" t="s">
        <v>33</v>
      </c>
      <c r="K59">
        <v>0</v>
      </c>
      <c r="L59">
        <v>0</v>
      </c>
      <c r="M59">
        <v>0</v>
      </c>
      <c r="N59">
        <v>0</v>
      </c>
      <c r="O59">
        <v>114300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18">
        <v>6</v>
      </c>
      <c r="Y59" s="6"/>
      <c r="Z59" s="6"/>
      <c r="AA59" s="6"/>
      <c r="AB59" s="6"/>
      <c r="AC59" s="6">
        <v>19050</v>
      </c>
      <c r="AD59" s="6">
        <v>19050</v>
      </c>
      <c r="AE59" s="6">
        <v>19050</v>
      </c>
      <c r="AF59" s="6">
        <v>19050</v>
      </c>
      <c r="AG59" s="6">
        <v>19050</v>
      </c>
      <c r="AH59" s="6">
        <v>19050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>
        <f t="shared" si="6"/>
        <v>6</v>
      </c>
      <c r="AX59" t="b">
        <f t="shared" si="7"/>
        <v>1</v>
      </c>
      <c r="AY59" s="21">
        <f t="shared" si="4"/>
        <v>114300</v>
      </c>
      <c r="AZ59" t="b">
        <f t="shared" si="5"/>
        <v>1</v>
      </c>
    </row>
    <row r="60" spans="1:52" x14ac:dyDescent="0.4">
      <c r="A60" s="6" t="s">
        <v>2230</v>
      </c>
      <c r="B60" s="1" t="s">
        <v>224</v>
      </c>
      <c r="C60" s="1" t="s">
        <v>225</v>
      </c>
      <c r="D60" s="1" t="s">
        <v>226</v>
      </c>
      <c r="E60" s="1" t="s">
        <v>44</v>
      </c>
      <c r="F60" s="1" t="s">
        <v>227</v>
      </c>
      <c r="G60" s="5" t="s">
        <v>46</v>
      </c>
      <c r="H60" s="1" t="s">
        <v>27</v>
      </c>
      <c r="I60">
        <v>114300</v>
      </c>
      <c r="J60" s="1" t="s">
        <v>33</v>
      </c>
      <c r="K60">
        <v>0</v>
      </c>
      <c r="L60">
        <v>0</v>
      </c>
      <c r="M60">
        <v>0</v>
      </c>
      <c r="N60">
        <v>0</v>
      </c>
      <c r="O60">
        <v>114300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18">
        <v>6</v>
      </c>
      <c r="Y60" s="6"/>
      <c r="Z60" s="6"/>
      <c r="AA60" s="6"/>
      <c r="AB60" s="6"/>
      <c r="AC60" s="6">
        <v>19050</v>
      </c>
      <c r="AD60" s="6">
        <v>19050</v>
      </c>
      <c r="AE60" s="6">
        <v>19050</v>
      </c>
      <c r="AF60" s="6">
        <v>19050</v>
      </c>
      <c r="AG60" s="6">
        <v>19050</v>
      </c>
      <c r="AH60" s="6">
        <v>19050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>
        <f t="shared" si="6"/>
        <v>6</v>
      </c>
      <c r="AX60" t="b">
        <f t="shared" si="7"/>
        <v>1</v>
      </c>
      <c r="AY60" s="21">
        <f t="shared" si="4"/>
        <v>114300</v>
      </c>
      <c r="AZ60" t="b">
        <f t="shared" si="5"/>
        <v>1</v>
      </c>
    </row>
    <row r="61" spans="1:52" x14ac:dyDescent="0.4">
      <c r="A61" s="6" t="s">
        <v>2230</v>
      </c>
      <c r="B61" s="1" t="s">
        <v>228</v>
      </c>
      <c r="C61" s="1" t="s">
        <v>229</v>
      </c>
      <c r="D61" s="1" t="s">
        <v>230</v>
      </c>
      <c r="E61" s="1" t="s">
        <v>25</v>
      </c>
      <c r="F61" s="1" t="s">
        <v>32</v>
      </c>
      <c r="G61" s="5" t="s">
        <v>10</v>
      </c>
      <c r="H61" s="1" t="s">
        <v>27</v>
      </c>
      <c r="I61">
        <v>59400</v>
      </c>
      <c r="J61" s="1" t="s">
        <v>33</v>
      </c>
      <c r="K61">
        <v>0</v>
      </c>
      <c r="L61">
        <v>59400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18">
        <v>3</v>
      </c>
      <c r="Y61" s="6"/>
      <c r="Z61" s="6">
        <v>19800</v>
      </c>
      <c r="AA61" s="6">
        <v>19800</v>
      </c>
      <c r="AB61" s="6">
        <v>19800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>
        <f t="shared" si="6"/>
        <v>3</v>
      </c>
      <c r="AX61" t="b">
        <f t="shared" si="7"/>
        <v>1</v>
      </c>
      <c r="AY61" s="21">
        <f t="shared" si="4"/>
        <v>59400</v>
      </c>
      <c r="AZ61" t="b">
        <f t="shared" si="5"/>
        <v>1</v>
      </c>
    </row>
    <row r="62" spans="1:52" x14ac:dyDescent="0.4">
      <c r="A62" s="6" t="s">
        <v>2230</v>
      </c>
      <c r="B62" s="1" t="s">
        <v>231</v>
      </c>
      <c r="C62" s="1" t="s">
        <v>232</v>
      </c>
      <c r="D62" s="1" t="s">
        <v>233</v>
      </c>
      <c r="E62" s="1" t="s">
        <v>25</v>
      </c>
      <c r="F62" s="1" t="s">
        <v>37</v>
      </c>
      <c r="G62" s="5" t="s">
        <v>10</v>
      </c>
      <c r="H62" s="1" t="s">
        <v>27</v>
      </c>
      <c r="I62">
        <v>59400</v>
      </c>
      <c r="J62" s="1" t="s">
        <v>33</v>
      </c>
      <c r="K62">
        <v>0</v>
      </c>
      <c r="L62">
        <v>59400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18">
        <v>3</v>
      </c>
      <c r="Y62" s="6"/>
      <c r="Z62" s="6">
        <v>19800</v>
      </c>
      <c r="AA62" s="6">
        <v>19800</v>
      </c>
      <c r="AB62" s="6">
        <v>19800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>
        <f t="shared" si="6"/>
        <v>3</v>
      </c>
      <c r="AX62" t="b">
        <f t="shared" si="7"/>
        <v>1</v>
      </c>
      <c r="AY62" s="21">
        <f t="shared" si="4"/>
        <v>59400</v>
      </c>
      <c r="AZ62" t="b">
        <f t="shared" si="5"/>
        <v>1</v>
      </c>
    </row>
    <row r="63" spans="1:52" x14ac:dyDescent="0.4">
      <c r="A63" s="6" t="s">
        <v>2230</v>
      </c>
      <c r="B63" s="1" t="s">
        <v>234</v>
      </c>
      <c r="C63" s="1" t="s">
        <v>235</v>
      </c>
      <c r="D63" s="1" t="s">
        <v>236</v>
      </c>
      <c r="E63" s="1" t="s">
        <v>25</v>
      </c>
      <c r="F63" s="1" t="s">
        <v>227</v>
      </c>
      <c r="G63" s="5" t="s">
        <v>10</v>
      </c>
      <c r="H63" s="1" t="s">
        <v>27</v>
      </c>
      <c r="I63">
        <v>59400</v>
      </c>
      <c r="J63" s="1" t="s">
        <v>33</v>
      </c>
      <c r="K63">
        <v>0</v>
      </c>
      <c r="L63">
        <v>59400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18">
        <v>3</v>
      </c>
      <c r="Y63" s="6"/>
      <c r="Z63" s="6">
        <v>19800</v>
      </c>
      <c r="AA63" s="6">
        <v>19800</v>
      </c>
      <c r="AB63" s="6">
        <v>19800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>
        <f t="shared" si="6"/>
        <v>3</v>
      </c>
      <c r="AX63" t="b">
        <f t="shared" si="7"/>
        <v>1</v>
      </c>
      <c r="AY63" s="21">
        <f t="shared" si="4"/>
        <v>59400</v>
      </c>
      <c r="AZ63" t="b">
        <f t="shared" si="5"/>
        <v>1</v>
      </c>
    </row>
    <row r="64" spans="1:52" x14ac:dyDescent="0.4">
      <c r="A64" s="6" t="s">
        <v>2230</v>
      </c>
      <c r="B64" s="1" t="s">
        <v>237</v>
      </c>
      <c r="C64" s="1" t="s">
        <v>238</v>
      </c>
      <c r="D64" s="1" t="s">
        <v>239</v>
      </c>
      <c r="E64" s="1" t="s">
        <v>25</v>
      </c>
      <c r="F64" s="1" t="s">
        <v>32</v>
      </c>
      <c r="G64" s="5" t="s">
        <v>10</v>
      </c>
      <c r="H64" s="1" t="s">
        <v>27</v>
      </c>
      <c r="I64">
        <v>59400</v>
      </c>
      <c r="J64" s="1" t="s">
        <v>33</v>
      </c>
      <c r="K64">
        <v>0</v>
      </c>
      <c r="L64">
        <v>59400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18">
        <v>3</v>
      </c>
      <c r="Y64" s="6"/>
      <c r="Z64" s="6">
        <v>19800</v>
      </c>
      <c r="AA64" s="6">
        <v>19800</v>
      </c>
      <c r="AB64" s="6">
        <v>19800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>
        <f t="shared" si="6"/>
        <v>3</v>
      </c>
      <c r="AX64" t="b">
        <f t="shared" si="7"/>
        <v>1</v>
      </c>
      <c r="AY64" s="21">
        <f t="shared" si="4"/>
        <v>59400</v>
      </c>
      <c r="AZ64" t="b">
        <f t="shared" si="5"/>
        <v>1</v>
      </c>
    </row>
    <row r="65" spans="1:52" x14ac:dyDescent="0.4">
      <c r="A65" s="6" t="s">
        <v>2230</v>
      </c>
      <c r="B65" s="1" t="s">
        <v>240</v>
      </c>
      <c r="C65" s="1" t="s">
        <v>241</v>
      </c>
      <c r="D65" s="1" t="s">
        <v>242</v>
      </c>
      <c r="E65" s="1" t="s">
        <v>44</v>
      </c>
      <c r="F65" s="1" t="s">
        <v>86</v>
      </c>
      <c r="G65" s="5" t="s">
        <v>46</v>
      </c>
      <c r="H65" s="1" t="s">
        <v>27</v>
      </c>
      <c r="I65">
        <v>114300</v>
      </c>
      <c r="J65" s="1" t="s">
        <v>33</v>
      </c>
      <c r="K65">
        <v>0</v>
      </c>
      <c r="L65">
        <v>0</v>
      </c>
      <c r="M65">
        <v>0</v>
      </c>
      <c r="N65">
        <v>0</v>
      </c>
      <c r="O65">
        <v>114300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18">
        <v>6</v>
      </c>
      <c r="Y65" s="6"/>
      <c r="Z65" s="6"/>
      <c r="AA65" s="6"/>
      <c r="AB65" s="6"/>
      <c r="AC65" s="6">
        <v>19050</v>
      </c>
      <c r="AD65" s="6">
        <v>19050</v>
      </c>
      <c r="AE65" s="6">
        <v>19050</v>
      </c>
      <c r="AF65" s="6">
        <v>19050</v>
      </c>
      <c r="AG65" s="6">
        <v>19050</v>
      </c>
      <c r="AH65" s="6">
        <v>19050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>
        <f t="shared" si="6"/>
        <v>6</v>
      </c>
      <c r="AX65" t="b">
        <f t="shared" si="7"/>
        <v>1</v>
      </c>
      <c r="AY65" s="21">
        <f t="shared" si="4"/>
        <v>114300</v>
      </c>
      <c r="AZ65" t="b">
        <f t="shared" si="5"/>
        <v>1</v>
      </c>
    </row>
    <row r="66" spans="1:52" x14ac:dyDescent="0.4">
      <c r="A66" s="6" t="s">
        <v>2230</v>
      </c>
      <c r="B66" s="1" t="s">
        <v>243</v>
      </c>
      <c r="C66" s="1" t="s">
        <v>244</v>
      </c>
      <c r="D66" s="1" t="s">
        <v>245</v>
      </c>
      <c r="E66" s="1" t="s">
        <v>44</v>
      </c>
      <c r="F66" s="1" t="s">
        <v>86</v>
      </c>
      <c r="G66" s="5" t="s">
        <v>46</v>
      </c>
      <c r="H66" s="1" t="s">
        <v>27</v>
      </c>
      <c r="I66">
        <v>114300</v>
      </c>
      <c r="J66" s="1" t="s">
        <v>33</v>
      </c>
      <c r="K66">
        <v>0</v>
      </c>
      <c r="L66">
        <v>0</v>
      </c>
      <c r="M66">
        <v>0</v>
      </c>
      <c r="N66">
        <v>0</v>
      </c>
      <c r="O66">
        <v>114300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18">
        <v>6</v>
      </c>
      <c r="Y66" s="6"/>
      <c r="Z66" s="6"/>
      <c r="AA66" s="6"/>
      <c r="AB66" s="6"/>
      <c r="AC66" s="6">
        <v>19050</v>
      </c>
      <c r="AD66" s="6">
        <v>19050</v>
      </c>
      <c r="AE66" s="6">
        <v>19050</v>
      </c>
      <c r="AF66" s="6">
        <v>19050</v>
      </c>
      <c r="AG66" s="6">
        <v>19050</v>
      </c>
      <c r="AH66" s="6">
        <v>19050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>
        <f t="shared" si="6"/>
        <v>6</v>
      </c>
      <c r="AX66" t="b">
        <f t="shared" si="7"/>
        <v>1</v>
      </c>
      <c r="AY66" s="21">
        <f t="shared" si="4"/>
        <v>114300</v>
      </c>
      <c r="AZ66" t="b">
        <f t="shared" si="5"/>
        <v>1</v>
      </c>
    </row>
    <row r="67" spans="1:52" x14ac:dyDescent="0.4">
      <c r="A67" s="6" t="s">
        <v>2230</v>
      </c>
      <c r="B67" s="1" t="s">
        <v>246</v>
      </c>
      <c r="C67" s="1" t="s">
        <v>247</v>
      </c>
      <c r="D67" s="1" t="s">
        <v>248</v>
      </c>
      <c r="E67" s="1" t="s">
        <v>44</v>
      </c>
      <c r="F67" s="1" t="s">
        <v>86</v>
      </c>
      <c r="G67" s="5" t="s">
        <v>46</v>
      </c>
      <c r="H67" s="1" t="s">
        <v>27</v>
      </c>
      <c r="I67">
        <v>114300</v>
      </c>
      <c r="J67" s="1" t="s">
        <v>33</v>
      </c>
      <c r="K67">
        <v>0</v>
      </c>
      <c r="L67">
        <v>0</v>
      </c>
      <c r="M67">
        <v>0</v>
      </c>
      <c r="N67">
        <v>0</v>
      </c>
      <c r="O67">
        <v>114300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18">
        <v>6</v>
      </c>
      <c r="Y67" s="6"/>
      <c r="Z67" s="6"/>
      <c r="AA67" s="6"/>
      <c r="AB67" s="6"/>
      <c r="AC67" s="6">
        <v>19050</v>
      </c>
      <c r="AD67" s="6">
        <v>19050</v>
      </c>
      <c r="AE67" s="6">
        <v>19050</v>
      </c>
      <c r="AF67" s="6">
        <v>19050</v>
      </c>
      <c r="AG67" s="6">
        <v>19050</v>
      </c>
      <c r="AH67" s="6">
        <v>19050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>
        <f t="shared" si="6"/>
        <v>6</v>
      </c>
      <c r="AX67" t="b">
        <f t="shared" si="7"/>
        <v>1</v>
      </c>
      <c r="AY67" s="21">
        <f t="shared" si="4"/>
        <v>114300</v>
      </c>
      <c r="AZ67" t="b">
        <f t="shared" si="5"/>
        <v>1</v>
      </c>
    </row>
    <row r="68" spans="1:52" x14ac:dyDescent="0.4">
      <c r="A68" s="6" t="s">
        <v>2230</v>
      </c>
      <c r="B68" s="1" t="s">
        <v>249</v>
      </c>
      <c r="C68" s="1" t="s">
        <v>250</v>
      </c>
      <c r="D68" s="1" t="s">
        <v>251</v>
      </c>
      <c r="E68" s="1" t="s">
        <v>44</v>
      </c>
      <c r="F68" s="1" t="s">
        <v>150</v>
      </c>
      <c r="G68" s="5" t="s">
        <v>46</v>
      </c>
      <c r="H68" s="1" t="s">
        <v>27</v>
      </c>
      <c r="I68">
        <v>114300</v>
      </c>
      <c r="J68" s="1" t="s">
        <v>33</v>
      </c>
      <c r="K68">
        <v>0</v>
      </c>
      <c r="L68">
        <v>0</v>
      </c>
      <c r="M68">
        <v>0</v>
      </c>
      <c r="N68">
        <v>0</v>
      </c>
      <c r="O68">
        <v>114300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18">
        <v>6</v>
      </c>
      <c r="Y68" s="6"/>
      <c r="Z68" s="6"/>
      <c r="AA68" s="6"/>
      <c r="AB68" s="6"/>
      <c r="AC68" s="6">
        <v>19050</v>
      </c>
      <c r="AD68" s="6">
        <v>19050</v>
      </c>
      <c r="AE68" s="6">
        <v>19050</v>
      </c>
      <c r="AF68" s="6">
        <v>19050</v>
      </c>
      <c r="AG68" s="6">
        <v>19050</v>
      </c>
      <c r="AH68" s="6">
        <v>19050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>
        <f t="shared" si="6"/>
        <v>6</v>
      </c>
      <c r="AX68" t="b">
        <f t="shared" si="7"/>
        <v>1</v>
      </c>
      <c r="AY68" s="21">
        <f t="shared" si="4"/>
        <v>114300</v>
      </c>
      <c r="AZ68" t="b">
        <f t="shared" si="5"/>
        <v>1</v>
      </c>
    </row>
    <row r="69" spans="1:52" x14ac:dyDescent="0.4">
      <c r="A69" s="6" t="s">
        <v>2230</v>
      </c>
      <c r="B69" s="1" t="s">
        <v>252</v>
      </c>
      <c r="C69" s="1" t="s">
        <v>253</v>
      </c>
      <c r="D69" s="1" t="s">
        <v>254</v>
      </c>
      <c r="E69" s="1" t="s">
        <v>44</v>
      </c>
      <c r="F69" s="1" t="s">
        <v>86</v>
      </c>
      <c r="G69" s="5" t="s">
        <v>46</v>
      </c>
      <c r="H69" s="1" t="s">
        <v>27</v>
      </c>
      <c r="I69">
        <v>114300</v>
      </c>
      <c r="J69" s="1" t="s">
        <v>33</v>
      </c>
      <c r="K69">
        <v>0</v>
      </c>
      <c r="L69">
        <v>0</v>
      </c>
      <c r="M69">
        <v>0</v>
      </c>
      <c r="N69">
        <v>0</v>
      </c>
      <c r="O69">
        <v>114300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18">
        <v>6</v>
      </c>
      <c r="Y69" s="6"/>
      <c r="Z69" s="6"/>
      <c r="AA69" s="6"/>
      <c r="AB69" s="6"/>
      <c r="AC69" s="6">
        <v>19050</v>
      </c>
      <c r="AD69" s="6">
        <v>19050</v>
      </c>
      <c r="AE69" s="6">
        <v>19050</v>
      </c>
      <c r="AF69" s="6">
        <v>19050</v>
      </c>
      <c r="AG69" s="6">
        <v>19050</v>
      </c>
      <c r="AH69" s="6">
        <v>19050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>
        <f t="shared" si="6"/>
        <v>6</v>
      </c>
      <c r="AX69" t="b">
        <f t="shared" si="7"/>
        <v>1</v>
      </c>
      <c r="AY69" s="21">
        <f t="shared" si="4"/>
        <v>114300</v>
      </c>
      <c r="AZ69" t="b">
        <f t="shared" si="5"/>
        <v>1</v>
      </c>
    </row>
    <row r="70" spans="1:52" x14ac:dyDescent="0.4">
      <c r="A70" s="6" t="s">
        <v>2230</v>
      </c>
      <c r="B70" s="1" t="s">
        <v>255</v>
      </c>
      <c r="C70" s="1" t="s">
        <v>256</v>
      </c>
      <c r="D70" s="1" t="s">
        <v>257</v>
      </c>
      <c r="E70" s="1" t="s">
        <v>44</v>
      </c>
      <c r="F70" s="1" t="s">
        <v>63</v>
      </c>
      <c r="G70" s="5" t="s">
        <v>46</v>
      </c>
      <c r="H70" s="1" t="s">
        <v>27</v>
      </c>
      <c r="I70">
        <v>114300</v>
      </c>
      <c r="J70" s="1" t="s">
        <v>33</v>
      </c>
      <c r="K70">
        <v>0</v>
      </c>
      <c r="L70">
        <v>0</v>
      </c>
      <c r="M70">
        <v>0</v>
      </c>
      <c r="N70">
        <v>0</v>
      </c>
      <c r="O70">
        <v>114300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18">
        <v>6</v>
      </c>
      <c r="Y70" s="6"/>
      <c r="Z70" s="6"/>
      <c r="AA70" s="6"/>
      <c r="AB70" s="6"/>
      <c r="AC70" s="6">
        <v>19050</v>
      </c>
      <c r="AD70" s="6">
        <v>19050</v>
      </c>
      <c r="AE70" s="6">
        <v>19050</v>
      </c>
      <c r="AF70" s="6">
        <v>19050</v>
      </c>
      <c r="AG70" s="6">
        <v>19050</v>
      </c>
      <c r="AH70" s="6">
        <v>19050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>
        <f t="shared" si="6"/>
        <v>6</v>
      </c>
      <c r="AX70" t="b">
        <f t="shared" si="7"/>
        <v>1</v>
      </c>
      <c r="AY70" s="21">
        <f t="shared" si="4"/>
        <v>114300</v>
      </c>
      <c r="AZ70" t="b">
        <f t="shared" si="5"/>
        <v>1</v>
      </c>
    </row>
    <row r="71" spans="1:52" x14ac:dyDescent="0.4">
      <c r="A71" s="6" t="s">
        <v>2230</v>
      </c>
      <c r="B71" s="1" t="s">
        <v>258</v>
      </c>
      <c r="C71" s="1" t="s">
        <v>259</v>
      </c>
      <c r="D71" s="1" t="s">
        <v>260</v>
      </c>
      <c r="E71" s="1" t="s">
        <v>44</v>
      </c>
      <c r="F71" s="1" t="s">
        <v>63</v>
      </c>
      <c r="G71" s="5" t="s">
        <v>46</v>
      </c>
      <c r="H71" s="1" t="s">
        <v>27</v>
      </c>
      <c r="I71">
        <v>114300</v>
      </c>
      <c r="J71" s="1" t="s">
        <v>33</v>
      </c>
      <c r="K71">
        <v>0</v>
      </c>
      <c r="L71">
        <v>0</v>
      </c>
      <c r="M71">
        <v>0</v>
      </c>
      <c r="N71">
        <v>0</v>
      </c>
      <c r="O71">
        <v>114300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18">
        <v>6</v>
      </c>
      <c r="Y71" s="6"/>
      <c r="Z71" s="6"/>
      <c r="AA71" s="6"/>
      <c r="AB71" s="6"/>
      <c r="AC71" s="6">
        <v>19050</v>
      </c>
      <c r="AD71" s="6">
        <v>19050</v>
      </c>
      <c r="AE71" s="6">
        <v>19050</v>
      </c>
      <c r="AF71" s="6">
        <v>19050</v>
      </c>
      <c r="AG71" s="6">
        <v>19050</v>
      </c>
      <c r="AH71" s="6">
        <v>19050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>
        <f t="shared" si="6"/>
        <v>6</v>
      </c>
      <c r="AX71" t="b">
        <f t="shared" si="7"/>
        <v>1</v>
      </c>
      <c r="AY71" s="21">
        <f t="shared" ref="AY71:AY134" si="8">+SUM(Y71:AV71)</f>
        <v>114300</v>
      </c>
      <c r="AZ71" t="b">
        <f t="shared" ref="AZ71:AZ134" si="9">+I71=AY71</f>
        <v>1</v>
      </c>
    </row>
    <row r="72" spans="1:52" x14ac:dyDescent="0.4">
      <c r="A72" s="6" t="s">
        <v>2230</v>
      </c>
      <c r="B72" s="1" t="s">
        <v>261</v>
      </c>
      <c r="C72" s="1" t="s">
        <v>262</v>
      </c>
      <c r="D72" s="1" t="s">
        <v>263</v>
      </c>
      <c r="E72" s="1" t="s">
        <v>50</v>
      </c>
      <c r="F72" s="1" t="s">
        <v>37</v>
      </c>
      <c r="G72" s="5" t="s">
        <v>46</v>
      </c>
      <c r="H72" s="1" t="s">
        <v>52</v>
      </c>
      <c r="I72">
        <v>114300</v>
      </c>
      <c r="J72" s="1" t="s">
        <v>28</v>
      </c>
      <c r="K72">
        <v>0</v>
      </c>
      <c r="L72">
        <v>0</v>
      </c>
      <c r="M72">
        <v>0</v>
      </c>
      <c r="N72">
        <v>0</v>
      </c>
      <c r="O72">
        <v>114300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18">
        <v>6</v>
      </c>
      <c r="Y72" s="6"/>
      <c r="Z72" s="6"/>
      <c r="AA72" s="6"/>
      <c r="AB72" s="6"/>
      <c r="AC72" s="6">
        <v>19050</v>
      </c>
      <c r="AD72" s="6">
        <v>19050</v>
      </c>
      <c r="AE72" s="6">
        <v>19050</v>
      </c>
      <c r="AF72" s="6">
        <v>19050</v>
      </c>
      <c r="AG72" s="6">
        <v>19050</v>
      </c>
      <c r="AH72" s="6">
        <v>19050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>
        <f t="shared" si="6"/>
        <v>6</v>
      </c>
      <c r="AX72" t="b">
        <f t="shared" si="7"/>
        <v>1</v>
      </c>
      <c r="AY72" s="21">
        <f t="shared" si="8"/>
        <v>114300</v>
      </c>
      <c r="AZ72" t="b">
        <f t="shared" si="9"/>
        <v>1</v>
      </c>
    </row>
    <row r="73" spans="1:52" x14ac:dyDescent="0.4">
      <c r="A73" s="6" t="s">
        <v>2230</v>
      </c>
      <c r="B73" s="1" t="s">
        <v>264</v>
      </c>
      <c r="C73" s="1" t="s">
        <v>265</v>
      </c>
      <c r="D73" s="1" t="s">
        <v>266</v>
      </c>
      <c r="E73" s="1" t="s">
        <v>50</v>
      </c>
      <c r="F73" s="1" t="s">
        <v>82</v>
      </c>
      <c r="G73" s="5" t="s">
        <v>46</v>
      </c>
      <c r="H73" s="1" t="s">
        <v>52</v>
      </c>
      <c r="I73">
        <v>114300</v>
      </c>
      <c r="J73" s="1" t="s">
        <v>28</v>
      </c>
      <c r="K73">
        <v>0</v>
      </c>
      <c r="L73">
        <v>0</v>
      </c>
      <c r="M73">
        <v>0</v>
      </c>
      <c r="N73">
        <v>0</v>
      </c>
      <c r="O73">
        <v>114300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18">
        <v>6</v>
      </c>
      <c r="Y73" s="6"/>
      <c r="Z73" s="6"/>
      <c r="AA73" s="6"/>
      <c r="AB73" s="6"/>
      <c r="AC73" s="6">
        <v>19050</v>
      </c>
      <c r="AD73" s="6">
        <v>19050</v>
      </c>
      <c r="AE73" s="6">
        <v>19050</v>
      </c>
      <c r="AF73" s="6">
        <v>19050</v>
      </c>
      <c r="AG73" s="6">
        <v>19050</v>
      </c>
      <c r="AH73" s="6">
        <v>19050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>
        <f t="shared" si="6"/>
        <v>6</v>
      </c>
      <c r="AX73" t="b">
        <f t="shared" si="7"/>
        <v>1</v>
      </c>
      <c r="AY73" s="21">
        <f t="shared" si="8"/>
        <v>114300</v>
      </c>
      <c r="AZ73" t="b">
        <f t="shared" si="9"/>
        <v>1</v>
      </c>
    </row>
    <row r="74" spans="1:52" x14ac:dyDescent="0.4">
      <c r="A74" s="6" t="s">
        <v>2230</v>
      </c>
      <c r="B74" s="1" t="s">
        <v>267</v>
      </c>
      <c r="C74" s="1" t="s">
        <v>268</v>
      </c>
      <c r="D74" s="1" t="s">
        <v>269</v>
      </c>
      <c r="E74" s="1" t="s">
        <v>44</v>
      </c>
      <c r="F74" s="1" t="s">
        <v>82</v>
      </c>
      <c r="G74" s="5" t="s">
        <v>46</v>
      </c>
      <c r="H74" s="1" t="s">
        <v>27</v>
      </c>
      <c r="I74">
        <v>114300</v>
      </c>
      <c r="J74" s="1" t="s">
        <v>33</v>
      </c>
      <c r="K74">
        <v>0</v>
      </c>
      <c r="L74">
        <v>0</v>
      </c>
      <c r="M74">
        <v>0</v>
      </c>
      <c r="N74">
        <v>0</v>
      </c>
      <c r="O74">
        <v>114300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18">
        <v>6</v>
      </c>
      <c r="Y74" s="6"/>
      <c r="Z74" s="6"/>
      <c r="AA74" s="6"/>
      <c r="AB74" s="6"/>
      <c r="AC74" s="6">
        <v>19050</v>
      </c>
      <c r="AD74" s="6">
        <v>19050</v>
      </c>
      <c r="AE74" s="6">
        <v>19050</v>
      </c>
      <c r="AF74" s="6">
        <v>19050</v>
      </c>
      <c r="AG74" s="6">
        <v>19050</v>
      </c>
      <c r="AH74" s="6">
        <v>19050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>
        <f t="shared" si="6"/>
        <v>6</v>
      </c>
      <c r="AX74" t="b">
        <f t="shared" si="7"/>
        <v>1</v>
      </c>
      <c r="AY74" s="21">
        <f t="shared" si="8"/>
        <v>114300</v>
      </c>
      <c r="AZ74" t="b">
        <f t="shared" si="9"/>
        <v>1</v>
      </c>
    </row>
    <row r="75" spans="1:52" x14ac:dyDescent="0.4">
      <c r="A75" s="6" t="s">
        <v>2230</v>
      </c>
      <c r="B75" s="1" t="s">
        <v>270</v>
      </c>
      <c r="C75" s="1" t="s">
        <v>271</v>
      </c>
      <c r="D75" s="1" t="s">
        <v>272</v>
      </c>
      <c r="E75" s="1" t="s">
        <v>25</v>
      </c>
      <c r="F75" s="1" t="s">
        <v>45</v>
      </c>
      <c r="G75" s="5" t="s">
        <v>10</v>
      </c>
      <c r="H75" s="1" t="s">
        <v>27</v>
      </c>
      <c r="I75">
        <v>59400</v>
      </c>
      <c r="J75" s="1" t="s">
        <v>33</v>
      </c>
      <c r="K75">
        <v>0</v>
      </c>
      <c r="L75">
        <v>59400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18">
        <v>3</v>
      </c>
      <c r="Y75" s="6"/>
      <c r="Z75" s="6">
        <v>19800</v>
      </c>
      <c r="AA75" s="6">
        <v>19800</v>
      </c>
      <c r="AB75" s="6">
        <v>19800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>
        <f t="shared" si="6"/>
        <v>3</v>
      </c>
      <c r="AX75" t="b">
        <f t="shared" si="7"/>
        <v>1</v>
      </c>
      <c r="AY75" s="21">
        <f t="shared" si="8"/>
        <v>59400</v>
      </c>
      <c r="AZ75" t="b">
        <f t="shared" si="9"/>
        <v>1</v>
      </c>
    </row>
    <row r="76" spans="1:52" x14ac:dyDescent="0.4">
      <c r="A76" s="6" t="s">
        <v>2230</v>
      </c>
      <c r="B76" s="1" t="s">
        <v>273</v>
      </c>
      <c r="C76" s="1" t="s">
        <v>274</v>
      </c>
      <c r="D76" s="1" t="s">
        <v>275</v>
      </c>
      <c r="E76" s="1" t="s">
        <v>44</v>
      </c>
      <c r="F76" s="1" t="s">
        <v>86</v>
      </c>
      <c r="G76" s="5" t="s">
        <v>46</v>
      </c>
      <c r="H76" s="1" t="s">
        <v>27</v>
      </c>
      <c r="I76">
        <v>114300</v>
      </c>
      <c r="J76" s="1" t="s">
        <v>33</v>
      </c>
      <c r="K76">
        <v>0</v>
      </c>
      <c r="L76">
        <v>0</v>
      </c>
      <c r="M76">
        <v>0</v>
      </c>
      <c r="N76">
        <v>0</v>
      </c>
      <c r="O76">
        <v>114300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18">
        <v>6</v>
      </c>
      <c r="Y76" s="6"/>
      <c r="Z76" s="6"/>
      <c r="AA76" s="6"/>
      <c r="AB76" s="6"/>
      <c r="AC76" s="6">
        <v>19050</v>
      </c>
      <c r="AD76" s="6">
        <v>19050</v>
      </c>
      <c r="AE76" s="6">
        <v>19050</v>
      </c>
      <c r="AF76" s="6">
        <v>19050</v>
      </c>
      <c r="AG76" s="6">
        <v>19050</v>
      </c>
      <c r="AH76" s="6">
        <v>19050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>
        <f t="shared" si="6"/>
        <v>6</v>
      </c>
      <c r="AX76" t="b">
        <f t="shared" si="7"/>
        <v>1</v>
      </c>
      <c r="AY76" s="21">
        <f t="shared" si="8"/>
        <v>114300</v>
      </c>
      <c r="AZ76" t="b">
        <f t="shared" si="9"/>
        <v>1</v>
      </c>
    </row>
    <row r="77" spans="1:52" x14ac:dyDescent="0.4">
      <c r="A77" s="6" t="s">
        <v>2230</v>
      </c>
      <c r="B77" s="1" t="s">
        <v>276</v>
      </c>
      <c r="C77" s="1" t="s">
        <v>277</v>
      </c>
      <c r="D77" s="1" t="s">
        <v>278</v>
      </c>
      <c r="E77" s="1" t="s">
        <v>44</v>
      </c>
      <c r="F77" s="1" t="s">
        <v>86</v>
      </c>
      <c r="G77" s="5" t="s">
        <v>46</v>
      </c>
      <c r="H77" s="1" t="s">
        <v>27</v>
      </c>
      <c r="I77">
        <v>114300</v>
      </c>
      <c r="J77" s="1" t="s">
        <v>33</v>
      </c>
      <c r="K77">
        <v>0</v>
      </c>
      <c r="L77">
        <v>0</v>
      </c>
      <c r="M77">
        <v>0</v>
      </c>
      <c r="N77">
        <v>0</v>
      </c>
      <c r="O77">
        <v>114300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18">
        <v>6</v>
      </c>
      <c r="Y77" s="6"/>
      <c r="Z77" s="6"/>
      <c r="AA77" s="6"/>
      <c r="AB77" s="6"/>
      <c r="AC77" s="6">
        <v>19050</v>
      </c>
      <c r="AD77" s="6">
        <v>19050</v>
      </c>
      <c r="AE77" s="6">
        <v>19050</v>
      </c>
      <c r="AF77" s="6">
        <v>19050</v>
      </c>
      <c r="AG77" s="6">
        <v>19050</v>
      </c>
      <c r="AH77" s="6">
        <v>19050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>
        <f t="shared" si="6"/>
        <v>6</v>
      </c>
      <c r="AX77" t="b">
        <f t="shared" si="7"/>
        <v>1</v>
      </c>
      <c r="AY77" s="21">
        <f t="shared" si="8"/>
        <v>114300</v>
      </c>
      <c r="AZ77" t="b">
        <f t="shared" si="9"/>
        <v>1</v>
      </c>
    </row>
    <row r="78" spans="1:52" x14ac:dyDescent="0.4">
      <c r="A78" s="6" t="s">
        <v>2230</v>
      </c>
      <c r="B78" s="1" t="s">
        <v>279</v>
      </c>
      <c r="C78" s="1" t="s">
        <v>280</v>
      </c>
      <c r="D78" s="1" t="s">
        <v>281</v>
      </c>
      <c r="E78" s="1" t="s">
        <v>44</v>
      </c>
      <c r="F78" s="1" t="s">
        <v>32</v>
      </c>
      <c r="G78" s="5" t="s">
        <v>46</v>
      </c>
      <c r="H78" s="1" t="s">
        <v>27</v>
      </c>
      <c r="I78">
        <v>114300</v>
      </c>
      <c r="J78" s="1" t="s">
        <v>33</v>
      </c>
      <c r="K78">
        <v>0</v>
      </c>
      <c r="L78">
        <v>0</v>
      </c>
      <c r="M78">
        <v>0</v>
      </c>
      <c r="N78">
        <v>0</v>
      </c>
      <c r="O78">
        <v>114300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18">
        <v>6</v>
      </c>
      <c r="Y78" s="6"/>
      <c r="Z78" s="6"/>
      <c r="AA78" s="6"/>
      <c r="AB78" s="6"/>
      <c r="AC78" s="6">
        <v>19050</v>
      </c>
      <c r="AD78" s="6">
        <v>19050</v>
      </c>
      <c r="AE78" s="6">
        <v>19050</v>
      </c>
      <c r="AF78" s="6">
        <v>19050</v>
      </c>
      <c r="AG78" s="6">
        <v>19050</v>
      </c>
      <c r="AH78" s="6">
        <v>19050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>
        <f t="shared" si="6"/>
        <v>6</v>
      </c>
      <c r="AX78" t="b">
        <f t="shared" si="7"/>
        <v>1</v>
      </c>
      <c r="AY78" s="21">
        <f t="shared" si="8"/>
        <v>114300</v>
      </c>
      <c r="AZ78" t="b">
        <f t="shared" si="9"/>
        <v>1</v>
      </c>
    </row>
    <row r="79" spans="1:52" x14ac:dyDescent="0.4">
      <c r="A79" s="6" t="s">
        <v>2230</v>
      </c>
      <c r="B79" s="1" t="s">
        <v>282</v>
      </c>
      <c r="C79" s="1" t="s">
        <v>283</v>
      </c>
      <c r="D79" s="1" t="s">
        <v>284</v>
      </c>
      <c r="E79" s="1" t="s">
        <v>44</v>
      </c>
      <c r="F79" s="1" t="s">
        <v>101</v>
      </c>
      <c r="G79" s="5" t="s">
        <v>46</v>
      </c>
      <c r="H79" s="1" t="s">
        <v>27</v>
      </c>
      <c r="I79">
        <v>114300</v>
      </c>
      <c r="J79" s="1" t="s">
        <v>33</v>
      </c>
      <c r="K79">
        <v>0</v>
      </c>
      <c r="L79">
        <v>0</v>
      </c>
      <c r="M79">
        <v>0</v>
      </c>
      <c r="N79">
        <v>0</v>
      </c>
      <c r="O79">
        <v>114300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18">
        <v>6</v>
      </c>
      <c r="Y79" s="6"/>
      <c r="Z79" s="6"/>
      <c r="AA79" s="6"/>
      <c r="AB79" s="6"/>
      <c r="AC79" s="6">
        <v>19050</v>
      </c>
      <c r="AD79" s="6">
        <v>19050</v>
      </c>
      <c r="AE79" s="6">
        <v>19050</v>
      </c>
      <c r="AF79" s="6">
        <v>19050</v>
      </c>
      <c r="AG79" s="6">
        <v>19050</v>
      </c>
      <c r="AH79" s="6">
        <v>19050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>
        <f t="shared" si="6"/>
        <v>6</v>
      </c>
      <c r="AX79" t="b">
        <f t="shared" si="7"/>
        <v>1</v>
      </c>
      <c r="AY79" s="21">
        <f t="shared" si="8"/>
        <v>114300</v>
      </c>
      <c r="AZ79" t="b">
        <f t="shared" si="9"/>
        <v>1</v>
      </c>
    </row>
    <row r="80" spans="1:52" x14ac:dyDescent="0.4">
      <c r="A80" s="6" t="s">
        <v>2230</v>
      </c>
      <c r="B80" s="1" t="s">
        <v>285</v>
      </c>
      <c r="C80" s="1" t="s">
        <v>286</v>
      </c>
      <c r="D80" s="1" t="s">
        <v>287</v>
      </c>
      <c r="E80" s="1" t="s">
        <v>44</v>
      </c>
      <c r="F80" s="1" t="s">
        <v>45</v>
      </c>
      <c r="G80" s="5" t="s">
        <v>46</v>
      </c>
      <c r="H80" s="1" t="s">
        <v>27</v>
      </c>
      <c r="I80">
        <v>114300</v>
      </c>
      <c r="J80" s="1" t="s">
        <v>33</v>
      </c>
      <c r="K80">
        <v>0</v>
      </c>
      <c r="L80">
        <v>0</v>
      </c>
      <c r="M80">
        <v>0</v>
      </c>
      <c r="N80">
        <v>0</v>
      </c>
      <c r="O80">
        <v>114300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18">
        <v>6</v>
      </c>
      <c r="Y80" s="6"/>
      <c r="Z80" s="6"/>
      <c r="AA80" s="6"/>
      <c r="AB80" s="6"/>
      <c r="AC80" s="6">
        <v>19050</v>
      </c>
      <c r="AD80" s="6">
        <v>19050</v>
      </c>
      <c r="AE80" s="6">
        <v>19050</v>
      </c>
      <c r="AF80" s="6">
        <v>19050</v>
      </c>
      <c r="AG80" s="6">
        <v>19050</v>
      </c>
      <c r="AH80" s="6">
        <v>19050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>
        <f t="shared" ref="AW80:AW143" si="10">+COUNTA(Y80:AV80)</f>
        <v>6</v>
      </c>
      <c r="AX80" t="b">
        <f t="shared" ref="AX80:AX143" si="11">+AW80=X80</f>
        <v>1</v>
      </c>
      <c r="AY80" s="21">
        <f t="shared" si="8"/>
        <v>114300</v>
      </c>
      <c r="AZ80" t="b">
        <f t="shared" si="9"/>
        <v>1</v>
      </c>
    </row>
    <row r="81" spans="1:52" x14ac:dyDescent="0.4">
      <c r="A81" s="6" t="s">
        <v>2230</v>
      </c>
      <c r="B81" s="1" t="s">
        <v>288</v>
      </c>
      <c r="C81" s="1" t="s">
        <v>289</v>
      </c>
      <c r="D81" s="1" t="s">
        <v>290</v>
      </c>
      <c r="E81" s="1" t="s">
        <v>44</v>
      </c>
      <c r="F81" s="1" t="s">
        <v>63</v>
      </c>
      <c r="G81" s="5" t="s">
        <v>46</v>
      </c>
      <c r="H81" s="1" t="s">
        <v>27</v>
      </c>
      <c r="I81">
        <v>114300</v>
      </c>
      <c r="J81" s="1" t="s">
        <v>33</v>
      </c>
      <c r="K81">
        <v>0</v>
      </c>
      <c r="L81">
        <v>0</v>
      </c>
      <c r="M81">
        <v>0</v>
      </c>
      <c r="N81">
        <v>0</v>
      </c>
      <c r="O81">
        <v>114300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8">
        <v>6</v>
      </c>
      <c r="Y81" s="6"/>
      <c r="Z81" s="6"/>
      <c r="AA81" s="6"/>
      <c r="AB81" s="6"/>
      <c r="AC81" s="6">
        <v>19050</v>
      </c>
      <c r="AD81" s="6">
        <v>19050</v>
      </c>
      <c r="AE81" s="6">
        <v>19050</v>
      </c>
      <c r="AF81" s="6">
        <v>19050</v>
      </c>
      <c r="AG81" s="6">
        <v>19050</v>
      </c>
      <c r="AH81" s="6">
        <v>19050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>
        <f t="shared" si="10"/>
        <v>6</v>
      </c>
      <c r="AX81" t="b">
        <f t="shared" si="11"/>
        <v>1</v>
      </c>
      <c r="AY81" s="21">
        <f t="shared" si="8"/>
        <v>114300</v>
      </c>
      <c r="AZ81" t="b">
        <f t="shared" si="9"/>
        <v>1</v>
      </c>
    </row>
    <row r="82" spans="1:52" x14ac:dyDescent="0.4">
      <c r="A82" s="6" t="s">
        <v>2230</v>
      </c>
      <c r="B82" s="1" t="s">
        <v>291</v>
      </c>
      <c r="C82" s="1" t="s">
        <v>292</v>
      </c>
      <c r="D82" s="1" t="s">
        <v>293</v>
      </c>
      <c r="E82" s="1" t="s">
        <v>50</v>
      </c>
      <c r="F82" s="1" t="s">
        <v>86</v>
      </c>
      <c r="G82" s="5" t="s">
        <v>46</v>
      </c>
      <c r="H82" s="1" t="s">
        <v>52</v>
      </c>
      <c r="I82">
        <v>114300</v>
      </c>
      <c r="J82" s="1" t="s">
        <v>28</v>
      </c>
      <c r="K82">
        <v>0</v>
      </c>
      <c r="L82">
        <v>0</v>
      </c>
      <c r="M82">
        <v>0</v>
      </c>
      <c r="N82">
        <v>0</v>
      </c>
      <c r="O82">
        <v>114300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18">
        <v>6</v>
      </c>
      <c r="Y82" s="6"/>
      <c r="Z82" s="6"/>
      <c r="AA82" s="6"/>
      <c r="AB82" s="6"/>
      <c r="AC82" s="6">
        <v>19050</v>
      </c>
      <c r="AD82" s="6">
        <v>19050</v>
      </c>
      <c r="AE82" s="6">
        <v>19050</v>
      </c>
      <c r="AF82" s="6">
        <v>19050</v>
      </c>
      <c r="AG82" s="6">
        <v>19050</v>
      </c>
      <c r="AH82" s="6">
        <v>19050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>
        <f t="shared" si="10"/>
        <v>6</v>
      </c>
      <c r="AX82" t="b">
        <f t="shared" si="11"/>
        <v>1</v>
      </c>
      <c r="AY82" s="21">
        <f t="shared" si="8"/>
        <v>114300</v>
      </c>
      <c r="AZ82" t="b">
        <f t="shared" si="9"/>
        <v>1</v>
      </c>
    </row>
    <row r="83" spans="1:52" x14ac:dyDescent="0.4">
      <c r="A83" s="6" t="s">
        <v>2230</v>
      </c>
      <c r="B83" s="1" t="s">
        <v>294</v>
      </c>
      <c r="C83" s="1" t="s">
        <v>295</v>
      </c>
      <c r="D83" s="1" t="s">
        <v>296</v>
      </c>
      <c r="E83" s="1" t="s">
        <v>44</v>
      </c>
      <c r="F83" s="1" t="s">
        <v>45</v>
      </c>
      <c r="G83" s="5" t="s">
        <v>46</v>
      </c>
      <c r="H83" s="1" t="s">
        <v>27</v>
      </c>
      <c r="I83">
        <v>114300</v>
      </c>
      <c r="J83" s="1" t="s">
        <v>33</v>
      </c>
      <c r="K83">
        <v>0</v>
      </c>
      <c r="L83">
        <v>0</v>
      </c>
      <c r="M83">
        <v>0</v>
      </c>
      <c r="N83">
        <v>0</v>
      </c>
      <c r="O83">
        <v>114300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18">
        <v>6</v>
      </c>
      <c r="Y83" s="6"/>
      <c r="Z83" s="6"/>
      <c r="AA83" s="6"/>
      <c r="AB83" s="6"/>
      <c r="AC83" s="6">
        <v>19050</v>
      </c>
      <c r="AD83" s="6">
        <v>19050</v>
      </c>
      <c r="AE83" s="6">
        <v>19050</v>
      </c>
      <c r="AF83" s="6">
        <v>19050</v>
      </c>
      <c r="AG83" s="6">
        <v>19050</v>
      </c>
      <c r="AH83" s="6">
        <v>19050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>
        <f t="shared" si="10"/>
        <v>6</v>
      </c>
      <c r="AX83" t="b">
        <f t="shared" si="11"/>
        <v>1</v>
      </c>
      <c r="AY83" s="21">
        <f t="shared" si="8"/>
        <v>114300</v>
      </c>
      <c r="AZ83" t="b">
        <f t="shared" si="9"/>
        <v>1</v>
      </c>
    </row>
    <row r="84" spans="1:52" x14ac:dyDescent="0.4">
      <c r="A84" s="6" t="s">
        <v>2230</v>
      </c>
      <c r="B84" s="1" t="s">
        <v>297</v>
      </c>
      <c r="C84" s="1" t="s">
        <v>298</v>
      </c>
      <c r="D84" s="1" t="s">
        <v>299</v>
      </c>
      <c r="E84" s="1" t="s">
        <v>44</v>
      </c>
      <c r="F84" s="1" t="s">
        <v>63</v>
      </c>
      <c r="G84" s="5" t="s">
        <v>46</v>
      </c>
      <c r="H84" s="1" t="s">
        <v>27</v>
      </c>
      <c r="I84">
        <v>114300</v>
      </c>
      <c r="J84" s="1" t="s">
        <v>33</v>
      </c>
      <c r="K84">
        <v>0</v>
      </c>
      <c r="L84">
        <v>0</v>
      </c>
      <c r="M84">
        <v>0</v>
      </c>
      <c r="N84">
        <v>0</v>
      </c>
      <c r="O84">
        <v>114300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18">
        <v>6</v>
      </c>
      <c r="Y84" s="6"/>
      <c r="Z84" s="6"/>
      <c r="AA84" s="6"/>
      <c r="AB84" s="6"/>
      <c r="AC84" s="6">
        <v>19050</v>
      </c>
      <c r="AD84" s="6">
        <v>19050</v>
      </c>
      <c r="AE84" s="6">
        <v>19050</v>
      </c>
      <c r="AF84" s="6">
        <v>19050</v>
      </c>
      <c r="AG84" s="6">
        <v>19050</v>
      </c>
      <c r="AH84" s="6">
        <v>19050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>
        <f t="shared" si="10"/>
        <v>6</v>
      </c>
      <c r="AX84" t="b">
        <f t="shared" si="11"/>
        <v>1</v>
      </c>
      <c r="AY84" s="21">
        <f t="shared" si="8"/>
        <v>114300</v>
      </c>
      <c r="AZ84" t="b">
        <f t="shared" si="9"/>
        <v>1</v>
      </c>
    </row>
    <row r="85" spans="1:52" x14ac:dyDescent="0.4">
      <c r="A85" s="6" t="s">
        <v>2230</v>
      </c>
      <c r="B85" s="1" t="s">
        <v>300</v>
      </c>
      <c r="C85" s="1" t="s">
        <v>301</v>
      </c>
      <c r="D85" s="1" t="s">
        <v>302</v>
      </c>
      <c r="E85" s="1" t="s">
        <v>44</v>
      </c>
      <c r="F85" s="1" t="s">
        <v>90</v>
      </c>
      <c r="G85" s="5" t="s">
        <v>46</v>
      </c>
      <c r="H85" s="1" t="s">
        <v>27</v>
      </c>
      <c r="I85">
        <v>114300</v>
      </c>
      <c r="J85" s="1" t="s">
        <v>33</v>
      </c>
      <c r="K85">
        <v>0</v>
      </c>
      <c r="L85">
        <v>0</v>
      </c>
      <c r="M85">
        <v>0</v>
      </c>
      <c r="N85">
        <v>0</v>
      </c>
      <c r="O85">
        <v>114300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18">
        <v>6</v>
      </c>
      <c r="Y85" s="6"/>
      <c r="Z85" s="6"/>
      <c r="AA85" s="6"/>
      <c r="AB85" s="6"/>
      <c r="AC85" s="6">
        <v>19050</v>
      </c>
      <c r="AD85" s="6">
        <v>19050</v>
      </c>
      <c r="AE85" s="6">
        <v>19050</v>
      </c>
      <c r="AF85" s="6">
        <v>19050</v>
      </c>
      <c r="AG85" s="6">
        <v>19050</v>
      </c>
      <c r="AH85" s="6">
        <v>19050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>
        <f t="shared" si="10"/>
        <v>6</v>
      </c>
      <c r="AX85" t="b">
        <f t="shared" si="11"/>
        <v>1</v>
      </c>
      <c r="AY85" s="21">
        <f t="shared" si="8"/>
        <v>114300</v>
      </c>
      <c r="AZ85" t="b">
        <f t="shared" si="9"/>
        <v>1</v>
      </c>
    </row>
    <row r="86" spans="1:52" x14ac:dyDescent="0.4">
      <c r="A86" s="6" t="s">
        <v>2230</v>
      </c>
      <c r="B86" s="1" t="s">
        <v>303</v>
      </c>
      <c r="C86" s="1" t="s">
        <v>304</v>
      </c>
      <c r="D86" s="1" t="s">
        <v>305</v>
      </c>
      <c r="E86" s="1" t="s">
        <v>44</v>
      </c>
      <c r="F86" s="1" t="s">
        <v>56</v>
      </c>
      <c r="G86" s="5" t="s">
        <v>46</v>
      </c>
      <c r="H86" s="1" t="s">
        <v>27</v>
      </c>
      <c r="I86">
        <v>114300</v>
      </c>
      <c r="J86" s="1" t="s">
        <v>33</v>
      </c>
      <c r="K86">
        <v>0</v>
      </c>
      <c r="L86">
        <v>0</v>
      </c>
      <c r="M86">
        <v>0</v>
      </c>
      <c r="N86">
        <v>0</v>
      </c>
      <c r="O86">
        <v>114300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18">
        <v>6</v>
      </c>
      <c r="Y86" s="6"/>
      <c r="Z86" s="6"/>
      <c r="AA86" s="6"/>
      <c r="AB86" s="6"/>
      <c r="AC86" s="6">
        <v>19050</v>
      </c>
      <c r="AD86" s="6">
        <v>19050</v>
      </c>
      <c r="AE86" s="6">
        <v>19050</v>
      </c>
      <c r="AF86" s="6">
        <v>19050</v>
      </c>
      <c r="AG86" s="6">
        <v>19050</v>
      </c>
      <c r="AH86" s="6">
        <v>19050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>
        <f t="shared" si="10"/>
        <v>6</v>
      </c>
      <c r="AX86" t="b">
        <f t="shared" si="11"/>
        <v>1</v>
      </c>
      <c r="AY86" s="21">
        <f t="shared" si="8"/>
        <v>114300</v>
      </c>
      <c r="AZ86" t="b">
        <f t="shared" si="9"/>
        <v>1</v>
      </c>
    </row>
    <row r="87" spans="1:52" x14ac:dyDescent="0.4">
      <c r="A87" s="6" t="s">
        <v>2230</v>
      </c>
      <c r="B87" s="1" t="s">
        <v>306</v>
      </c>
      <c r="C87" s="1" t="s">
        <v>307</v>
      </c>
      <c r="D87" s="1" t="s">
        <v>308</v>
      </c>
      <c r="E87" s="1" t="s">
        <v>44</v>
      </c>
      <c r="F87" s="1" t="s">
        <v>45</v>
      </c>
      <c r="G87" s="5" t="s">
        <v>46</v>
      </c>
      <c r="H87" s="1" t="s">
        <v>27</v>
      </c>
      <c r="I87">
        <v>114300</v>
      </c>
      <c r="J87" s="1" t="s">
        <v>33</v>
      </c>
      <c r="K87">
        <v>0</v>
      </c>
      <c r="L87">
        <v>0</v>
      </c>
      <c r="M87">
        <v>0</v>
      </c>
      <c r="N87">
        <v>0</v>
      </c>
      <c r="O87">
        <v>114300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18">
        <v>6</v>
      </c>
      <c r="Y87" s="6"/>
      <c r="Z87" s="6"/>
      <c r="AA87" s="6"/>
      <c r="AB87" s="6"/>
      <c r="AC87" s="6">
        <v>19050</v>
      </c>
      <c r="AD87" s="6">
        <v>19050</v>
      </c>
      <c r="AE87" s="6">
        <v>19050</v>
      </c>
      <c r="AF87" s="6">
        <v>19050</v>
      </c>
      <c r="AG87" s="6">
        <v>19050</v>
      </c>
      <c r="AH87" s="6">
        <v>19050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>
        <f t="shared" si="10"/>
        <v>6</v>
      </c>
      <c r="AX87" t="b">
        <f t="shared" si="11"/>
        <v>1</v>
      </c>
      <c r="AY87" s="21">
        <f t="shared" si="8"/>
        <v>114300</v>
      </c>
      <c r="AZ87" t="b">
        <f t="shared" si="9"/>
        <v>1</v>
      </c>
    </row>
    <row r="88" spans="1:52" x14ac:dyDescent="0.4">
      <c r="A88" s="6" t="s">
        <v>2230</v>
      </c>
      <c r="B88" s="1" t="s">
        <v>309</v>
      </c>
      <c r="C88" s="1" t="s">
        <v>310</v>
      </c>
      <c r="D88" s="1" t="s">
        <v>311</v>
      </c>
      <c r="E88" s="1" t="s">
        <v>44</v>
      </c>
      <c r="F88" s="1" t="s">
        <v>56</v>
      </c>
      <c r="G88" s="5" t="s">
        <v>46</v>
      </c>
      <c r="H88" s="1" t="s">
        <v>27</v>
      </c>
      <c r="I88">
        <v>114300</v>
      </c>
      <c r="J88" s="1" t="s">
        <v>33</v>
      </c>
      <c r="K88">
        <v>0</v>
      </c>
      <c r="L88">
        <v>0</v>
      </c>
      <c r="M88">
        <v>0</v>
      </c>
      <c r="N88">
        <v>0</v>
      </c>
      <c r="O88">
        <v>114300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18">
        <v>6</v>
      </c>
      <c r="Y88" s="6"/>
      <c r="Z88" s="6"/>
      <c r="AA88" s="6"/>
      <c r="AB88" s="6"/>
      <c r="AC88" s="6">
        <v>19050</v>
      </c>
      <c r="AD88" s="6">
        <v>19050</v>
      </c>
      <c r="AE88" s="6">
        <v>19050</v>
      </c>
      <c r="AF88" s="6">
        <v>19050</v>
      </c>
      <c r="AG88" s="6">
        <v>19050</v>
      </c>
      <c r="AH88" s="6">
        <v>19050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>
        <f t="shared" si="10"/>
        <v>6</v>
      </c>
      <c r="AX88" t="b">
        <f t="shared" si="11"/>
        <v>1</v>
      </c>
      <c r="AY88" s="21">
        <f t="shared" si="8"/>
        <v>114300</v>
      </c>
      <c r="AZ88" t="b">
        <f t="shared" si="9"/>
        <v>1</v>
      </c>
    </row>
    <row r="89" spans="1:52" x14ac:dyDescent="0.4">
      <c r="A89" s="6" t="s">
        <v>2230</v>
      </c>
      <c r="B89" s="1" t="s">
        <v>312</v>
      </c>
      <c r="C89" s="1" t="s">
        <v>313</v>
      </c>
      <c r="D89" s="1" t="s">
        <v>314</v>
      </c>
      <c r="E89" s="1" t="s">
        <v>44</v>
      </c>
      <c r="F89" s="1" t="s">
        <v>56</v>
      </c>
      <c r="G89" s="5" t="s">
        <v>46</v>
      </c>
      <c r="H89" s="1" t="s">
        <v>27</v>
      </c>
      <c r="I89">
        <v>114300</v>
      </c>
      <c r="J89" s="1" t="s">
        <v>33</v>
      </c>
      <c r="K89">
        <v>0</v>
      </c>
      <c r="L89">
        <v>0</v>
      </c>
      <c r="M89">
        <v>0</v>
      </c>
      <c r="N89">
        <v>0</v>
      </c>
      <c r="O89">
        <v>114300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18">
        <v>6</v>
      </c>
      <c r="Y89" s="6"/>
      <c r="Z89" s="6"/>
      <c r="AA89" s="6"/>
      <c r="AB89" s="6"/>
      <c r="AC89" s="6">
        <v>19050</v>
      </c>
      <c r="AD89" s="6">
        <v>19050</v>
      </c>
      <c r="AE89" s="6">
        <v>19050</v>
      </c>
      <c r="AF89" s="6">
        <v>19050</v>
      </c>
      <c r="AG89" s="6">
        <v>19050</v>
      </c>
      <c r="AH89" s="6">
        <v>19050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>
        <f t="shared" si="10"/>
        <v>6</v>
      </c>
      <c r="AX89" t="b">
        <f t="shared" si="11"/>
        <v>1</v>
      </c>
      <c r="AY89" s="21">
        <f t="shared" si="8"/>
        <v>114300</v>
      </c>
      <c r="AZ89" t="b">
        <f t="shared" si="9"/>
        <v>1</v>
      </c>
    </row>
    <row r="90" spans="1:52" x14ac:dyDescent="0.4">
      <c r="A90" s="6" t="s">
        <v>2230</v>
      </c>
      <c r="B90" s="1" t="s">
        <v>315</v>
      </c>
      <c r="C90" s="1" t="s">
        <v>316</v>
      </c>
      <c r="D90" s="1" t="s">
        <v>317</v>
      </c>
      <c r="E90" s="1" t="s">
        <v>44</v>
      </c>
      <c r="F90" s="1" t="s">
        <v>56</v>
      </c>
      <c r="G90" s="5" t="s">
        <v>46</v>
      </c>
      <c r="H90" s="1" t="s">
        <v>27</v>
      </c>
      <c r="I90">
        <v>114300</v>
      </c>
      <c r="J90" s="1" t="s">
        <v>33</v>
      </c>
      <c r="K90">
        <v>0</v>
      </c>
      <c r="L90">
        <v>0</v>
      </c>
      <c r="M90">
        <v>0</v>
      </c>
      <c r="N90">
        <v>0</v>
      </c>
      <c r="O90">
        <v>114300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18">
        <v>6</v>
      </c>
      <c r="Y90" s="6"/>
      <c r="Z90" s="6"/>
      <c r="AA90" s="6"/>
      <c r="AB90" s="6"/>
      <c r="AC90" s="6">
        <v>19050</v>
      </c>
      <c r="AD90" s="6">
        <v>19050</v>
      </c>
      <c r="AE90" s="6">
        <v>19050</v>
      </c>
      <c r="AF90" s="6">
        <v>19050</v>
      </c>
      <c r="AG90" s="6">
        <v>19050</v>
      </c>
      <c r="AH90" s="6">
        <v>19050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>
        <f t="shared" si="10"/>
        <v>6</v>
      </c>
      <c r="AX90" t="b">
        <f t="shared" si="11"/>
        <v>1</v>
      </c>
      <c r="AY90" s="21">
        <f t="shared" si="8"/>
        <v>114300</v>
      </c>
      <c r="AZ90" t="b">
        <f t="shared" si="9"/>
        <v>1</v>
      </c>
    </row>
    <row r="91" spans="1:52" x14ac:dyDescent="0.4">
      <c r="A91" s="6" t="s">
        <v>2230</v>
      </c>
      <c r="B91" s="1" t="s">
        <v>318</v>
      </c>
      <c r="C91" s="1" t="s">
        <v>319</v>
      </c>
      <c r="D91" s="1" t="s">
        <v>320</v>
      </c>
      <c r="E91" s="1" t="s">
        <v>44</v>
      </c>
      <c r="F91" s="1" t="s">
        <v>112</v>
      </c>
      <c r="G91" s="5" t="s">
        <v>46</v>
      </c>
      <c r="H91" s="1" t="s">
        <v>27</v>
      </c>
      <c r="I91">
        <v>114300</v>
      </c>
      <c r="J91" s="1" t="s">
        <v>33</v>
      </c>
      <c r="K91">
        <v>0</v>
      </c>
      <c r="L91">
        <v>0</v>
      </c>
      <c r="M91">
        <v>0</v>
      </c>
      <c r="N91">
        <v>0</v>
      </c>
      <c r="O91">
        <v>114300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18">
        <v>6</v>
      </c>
      <c r="Y91" s="6"/>
      <c r="Z91" s="6"/>
      <c r="AA91" s="6"/>
      <c r="AB91" s="6"/>
      <c r="AC91" s="6">
        <v>19050</v>
      </c>
      <c r="AD91" s="6">
        <v>19050</v>
      </c>
      <c r="AE91" s="6">
        <v>19050</v>
      </c>
      <c r="AF91" s="6">
        <v>19050</v>
      </c>
      <c r="AG91" s="6">
        <v>19050</v>
      </c>
      <c r="AH91" s="6">
        <v>19050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>
        <f t="shared" si="10"/>
        <v>6</v>
      </c>
      <c r="AX91" t="b">
        <f t="shared" si="11"/>
        <v>1</v>
      </c>
      <c r="AY91" s="21">
        <f t="shared" si="8"/>
        <v>114300</v>
      </c>
      <c r="AZ91" t="b">
        <f t="shared" si="9"/>
        <v>1</v>
      </c>
    </row>
    <row r="92" spans="1:52" x14ac:dyDescent="0.4">
      <c r="A92" s="6" t="s">
        <v>2230</v>
      </c>
      <c r="B92" s="1" t="s">
        <v>321</v>
      </c>
      <c r="C92" s="1" t="s">
        <v>322</v>
      </c>
      <c r="D92" s="1" t="s">
        <v>323</v>
      </c>
      <c r="E92" s="1" t="s">
        <v>44</v>
      </c>
      <c r="F92" s="1" t="s">
        <v>56</v>
      </c>
      <c r="G92" s="5" t="s">
        <v>46</v>
      </c>
      <c r="H92" s="1" t="s">
        <v>27</v>
      </c>
      <c r="I92">
        <v>114300</v>
      </c>
      <c r="J92" s="1" t="s">
        <v>33</v>
      </c>
      <c r="K92">
        <v>0</v>
      </c>
      <c r="L92">
        <v>0</v>
      </c>
      <c r="M92">
        <v>0</v>
      </c>
      <c r="N92">
        <v>0</v>
      </c>
      <c r="O92">
        <v>114300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18">
        <v>6</v>
      </c>
      <c r="Y92" s="6"/>
      <c r="Z92" s="6"/>
      <c r="AA92" s="6"/>
      <c r="AB92" s="6"/>
      <c r="AC92" s="6">
        <v>19050</v>
      </c>
      <c r="AD92" s="6">
        <v>19050</v>
      </c>
      <c r="AE92" s="6">
        <v>19050</v>
      </c>
      <c r="AF92" s="6">
        <v>19050</v>
      </c>
      <c r="AG92" s="6">
        <v>19050</v>
      </c>
      <c r="AH92" s="6">
        <v>19050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>
        <f t="shared" si="10"/>
        <v>6</v>
      </c>
      <c r="AX92" t="b">
        <f t="shared" si="11"/>
        <v>1</v>
      </c>
      <c r="AY92" s="21">
        <f t="shared" si="8"/>
        <v>114300</v>
      </c>
      <c r="AZ92" t="b">
        <f t="shared" si="9"/>
        <v>1</v>
      </c>
    </row>
    <row r="93" spans="1:52" x14ac:dyDescent="0.4">
      <c r="A93" s="6" t="s">
        <v>2230</v>
      </c>
      <c r="B93" s="1" t="s">
        <v>324</v>
      </c>
      <c r="C93" s="1" t="s">
        <v>325</v>
      </c>
      <c r="D93" s="1" t="s">
        <v>326</v>
      </c>
      <c r="E93" s="1" t="s">
        <v>50</v>
      </c>
      <c r="F93" s="1" t="s">
        <v>63</v>
      </c>
      <c r="G93" s="5" t="s">
        <v>46</v>
      </c>
      <c r="H93" s="1" t="s">
        <v>52</v>
      </c>
      <c r="I93">
        <v>114300</v>
      </c>
      <c r="J93" s="1" t="s">
        <v>28</v>
      </c>
      <c r="K93">
        <v>0</v>
      </c>
      <c r="L93">
        <v>0</v>
      </c>
      <c r="M93">
        <v>0</v>
      </c>
      <c r="N93">
        <v>0</v>
      </c>
      <c r="O93">
        <v>114300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18">
        <v>6</v>
      </c>
      <c r="Y93" s="6"/>
      <c r="Z93" s="6"/>
      <c r="AA93" s="6"/>
      <c r="AB93" s="6"/>
      <c r="AC93" s="6">
        <v>19050</v>
      </c>
      <c r="AD93" s="6">
        <v>19050</v>
      </c>
      <c r="AE93" s="6">
        <v>19050</v>
      </c>
      <c r="AF93" s="6">
        <v>19050</v>
      </c>
      <c r="AG93" s="6">
        <v>19050</v>
      </c>
      <c r="AH93" s="6">
        <v>19050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>
        <f t="shared" si="10"/>
        <v>6</v>
      </c>
      <c r="AX93" t="b">
        <f t="shared" si="11"/>
        <v>1</v>
      </c>
      <c r="AY93" s="21">
        <f t="shared" si="8"/>
        <v>114300</v>
      </c>
      <c r="AZ93" t="b">
        <f t="shared" si="9"/>
        <v>1</v>
      </c>
    </row>
    <row r="94" spans="1:52" x14ac:dyDescent="0.4">
      <c r="A94" s="6" t="s">
        <v>2230</v>
      </c>
      <c r="B94" s="1" t="s">
        <v>327</v>
      </c>
      <c r="C94" s="1" t="s">
        <v>328</v>
      </c>
      <c r="D94" s="1" t="s">
        <v>329</v>
      </c>
      <c r="E94" s="1" t="s">
        <v>44</v>
      </c>
      <c r="F94" s="1" t="s">
        <v>86</v>
      </c>
      <c r="G94" s="5" t="s">
        <v>46</v>
      </c>
      <c r="H94" s="1" t="s">
        <v>27</v>
      </c>
      <c r="I94">
        <v>114300</v>
      </c>
      <c r="J94" s="1" t="s">
        <v>33</v>
      </c>
      <c r="K94">
        <v>0</v>
      </c>
      <c r="L94">
        <v>0</v>
      </c>
      <c r="M94">
        <v>0</v>
      </c>
      <c r="N94">
        <v>0</v>
      </c>
      <c r="O94">
        <v>114300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s="18">
        <v>6</v>
      </c>
      <c r="Y94" s="6"/>
      <c r="Z94" s="6"/>
      <c r="AA94" s="6"/>
      <c r="AB94" s="6"/>
      <c r="AC94" s="6">
        <v>19050</v>
      </c>
      <c r="AD94" s="6">
        <v>19050</v>
      </c>
      <c r="AE94" s="6">
        <v>19050</v>
      </c>
      <c r="AF94" s="6">
        <v>19050</v>
      </c>
      <c r="AG94" s="6">
        <v>19050</v>
      </c>
      <c r="AH94" s="6">
        <v>19050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>
        <f t="shared" si="10"/>
        <v>6</v>
      </c>
      <c r="AX94" t="b">
        <f t="shared" si="11"/>
        <v>1</v>
      </c>
      <c r="AY94" s="21">
        <f t="shared" si="8"/>
        <v>114300</v>
      </c>
      <c r="AZ94" t="b">
        <f t="shared" si="9"/>
        <v>1</v>
      </c>
    </row>
    <row r="95" spans="1:52" x14ac:dyDescent="0.4">
      <c r="A95" s="6" t="s">
        <v>2230</v>
      </c>
      <c r="B95" s="1" t="s">
        <v>330</v>
      </c>
      <c r="C95" s="1" t="s">
        <v>331</v>
      </c>
      <c r="D95" s="1" t="s">
        <v>332</v>
      </c>
      <c r="E95" s="1" t="s">
        <v>44</v>
      </c>
      <c r="F95" s="1" t="s">
        <v>333</v>
      </c>
      <c r="G95" s="5" t="s">
        <v>46</v>
      </c>
      <c r="H95" s="1" t="s">
        <v>27</v>
      </c>
      <c r="I95">
        <v>114300</v>
      </c>
      <c r="J95" s="1" t="s">
        <v>33</v>
      </c>
      <c r="K95">
        <v>0</v>
      </c>
      <c r="L95">
        <v>0</v>
      </c>
      <c r="M95">
        <v>0</v>
      </c>
      <c r="N95">
        <v>0</v>
      </c>
      <c r="O95">
        <v>114300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18">
        <v>6</v>
      </c>
      <c r="Y95" s="6"/>
      <c r="Z95" s="6"/>
      <c r="AA95" s="6"/>
      <c r="AB95" s="6"/>
      <c r="AC95" s="6">
        <v>19050</v>
      </c>
      <c r="AD95" s="6">
        <v>19050</v>
      </c>
      <c r="AE95" s="6">
        <v>19050</v>
      </c>
      <c r="AF95" s="6">
        <v>19050</v>
      </c>
      <c r="AG95" s="6">
        <v>19050</v>
      </c>
      <c r="AH95" s="6">
        <v>19050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>
        <f t="shared" si="10"/>
        <v>6</v>
      </c>
      <c r="AX95" t="b">
        <f t="shared" si="11"/>
        <v>1</v>
      </c>
      <c r="AY95" s="21">
        <f t="shared" si="8"/>
        <v>114300</v>
      </c>
      <c r="AZ95" t="b">
        <f t="shared" si="9"/>
        <v>1</v>
      </c>
    </row>
    <row r="96" spans="1:52" x14ac:dyDescent="0.4">
      <c r="A96" s="6" t="s">
        <v>2230</v>
      </c>
      <c r="B96" s="1" t="s">
        <v>334</v>
      </c>
      <c r="C96" s="1" t="s">
        <v>335</v>
      </c>
      <c r="D96" s="1" t="s">
        <v>336</v>
      </c>
      <c r="E96" s="1" t="s">
        <v>44</v>
      </c>
      <c r="F96" s="1" t="s">
        <v>45</v>
      </c>
      <c r="G96" s="5" t="s">
        <v>46</v>
      </c>
      <c r="H96" s="1" t="s">
        <v>27</v>
      </c>
      <c r="I96">
        <v>114300</v>
      </c>
      <c r="J96" s="1" t="s">
        <v>33</v>
      </c>
      <c r="K96">
        <v>0</v>
      </c>
      <c r="L96">
        <v>0</v>
      </c>
      <c r="M96">
        <v>0</v>
      </c>
      <c r="N96">
        <v>0</v>
      </c>
      <c r="O96">
        <v>114300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s="18">
        <v>6</v>
      </c>
      <c r="Y96" s="6"/>
      <c r="Z96" s="6"/>
      <c r="AA96" s="6"/>
      <c r="AB96" s="6"/>
      <c r="AC96" s="6">
        <v>19050</v>
      </c>
      <c r="AD96" s="6">
        <v>19050</v>
      </c>
      <c r="AE96" s="6">
        <v>19050</v>
      </c>
      <c r="AF96" s="6">
        <v>19050</v>
      </c>
      <c r="AG96" s="6">
        <v>19050</v>
      </c>
      <c r="AH96" s="6">
        <v>19050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>
        <f t="shared" si="10"/>
        <v>6</v>
      </c>
      <c r="AX96" t="b">
        <f t="shared" si="11"/>
        <v>1</v>
      </c>
      <c r="AY96" s="21">
        <f t="shared" si="8"/>
        <v>114300</v>
      </c>
      <c r="AZ96" t="b">
        <f t="shared" si="9"/>
        <v>1</v>
      </c>
    </row>
    <row r="97" spans="1:52" x14ac:dyDescent="0.4">
      <c r="A97" s="6" t="s">
        <v>2230</v>
      </c>
      <c r="B97" s="1" t="s">
        <v>337</v>
      </c>
      <c r="C97" s="1" t="s">
        <v>338</v>
      </c>
      <c r="D97" s="1" t="s">
        <v>339</v>
      </c>
      <c r="E97" s="1" t="s">
        <v>44</v>
      </c>
      <c r="F97" s="1" t="s">
        <v>32</v>
      </c>
      <c r="G97" s="5" t="s">
        <v>46</v>
      </c>
      <c r="H97" s="1" t="s">
        <v>27</v>
      </c>
      <c r="I97">
        <v>114300</v>
      </c>
      <c r="J97" s="1" t="s">
        <v>33</v>
      </c>
      <c r="K97">
        <v>0</v>
      </c>
      <c r="L97">
        <v>0</v>
      </c>
      <c r="M97">
        <v>0</v>
      </c>
      <c r="N97">
        <v>0</v>
      </c>
      <c r="O97">
        <v>114300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18">
        <v>6</v>
      </c>
      <c r="Y97" s="6"/>
      <c r="Z97" s="6"/>
      <c r="AA97" s="6"/>
      <c r="AB97" s="6"/>
      <c r="AC97" s="6">
        <v>19050</v>
      </c>
      <c r="AD97" s="6">
        <v>19050</v>
      </c>
      <c r="AE97" s="6">
        <v>19050</v>
      </c>
      <c r="AF97" s="6">
        <v>19050</v>
      </c>
      <c r="AG97" s="6">
        <v>19050</v>
      </c>
      <c r="AH97" s="6">
        <v>19050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>
        <f t="shared" si="10"/>
        <v>6</v>
      </c>
      <c r="AX97" t="b">
        <f t="shared" si="11"/>
        <v>1</v>
      </c>
      <c r="AY97" s="21">
        <f t="shared" si="8"/>
        <v>114300</v>
      </c>
      <c r="AZ97" t="b">
        <f t="shared" si="9"/>
        <v>1</v>
      </c>
    </row>
    <row r="98" spans="1:52" x14ac:dyDescent="0.4">
      <c r="A98" s="6" t="s">
        <v>2230</v>
      </c>
      <c r="B98" s="1" t="s">
        <v>340</v>
      </c>
      <c r="C98" s="1" t="s">
        <v>341</v>
      </c>
      <c r="D98" s="1" t="s">
        <v>342</v>
      </c>
      <c r="E98" s="1" t="s">
        <v>44</v>
      </c>
      <c r="F98" s="1" t="s">
        <v>56</v>
      </c>
      <c r="G98" s="5" t="s">
        <v>46</v>
      </c>
      <c r="H98" s="1" t="s">
        <v>27</v>
      </c>
      <c r="I98">
        <v>114300</v>
      </c>
      <c r="J98" s="1" t="s">
        <v>33</v>
      </c>
      <c r="K98">
        <v>0</v>
      </c>
      <c r="L98">
        <v>0</v>
      </c>
      <c r="M98">
        <v>0</v>
      </c>
      <c r="N98">
        <v>0</v>
      </c>
      <c r="O98">
        <v>114300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18">
        <v>6</v>
      </c>
      <c r="Y98" s="6"/>
      <c r="Z98" s="6"/>
      <c r="AA98" s="6"/>
      <c r="AB98" s="6"/>
      <c r="AC98" s="6">
        <v>19050</v>
      </c>
      <c r="AD98" s="6">
        <v>19050</v>
      </c>
      <c r="AE98" s="6">
        <v>19050</v>
      </c>
      <c r="AF98" s="6">
        <v>19050</v>
      </c>
      <c r="AG98" s="6">
        <v>19050</v>
      </c>
      <c r="AH98" s="6">
        <v>19050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>
        <f t="shared" si="10"/>
        <v>6</v>
      </c>
      <c r="AX98" t="b">
        <f t="shared" si="11"/>
        <v>1</v>
      </c>
      <c r="AY98" s="21">
        <f t="shared" si="8"/>
        <v>114300</v>
      </c>
      <c r="AZ98" t="b">
        <f t="shared" si="9"/>
        <v>1</v>
      </c>
    </row>
    <row r="99" spans="1:52" x14ac:dyDescent="0.4">
      <c r="A99" s="6" t="s">
        <v>2230</v>
      </c>
      <c r="B99" s="1" t="s">
        <v>343</v>
      </c>
      <c r="C99" s="1" t="s">
        <v>344</v>
      </c>
      <c r="D99" s="1" t="s">
        <v>345</v>
      </c>
      <c r="E99" s="1" t="s">
        <v>44</v>
      </c>
      <c r="F99" s="1" t="s">
        <v>37</v>
      </c>
      <c r="G99" s="5" t="s">
        <v>46</v>
      </c>
      <c r="H99" s="1" t="s">
        <v>27</v>
      </c>
      <c r="I99">
        <v>114300</v>
      </c>
      <c r="J99" s="1" t="s">
        <v>33</v>
      </c>
      <c r="K99">
        <v>0</v>
      </c>
      <c r="L99">
        <v>0</v>
      </c>
      <c r="M99">
        <v>0</v>
      </c>
      <c r="N99">
        <v>0</v>
      </c>
      <c r="O99">
        <v>114300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18">
        <v>6</v>
      </c>
      <c r="Y99" s="6"/>
      <c r="Z99" s="6"/>
      <c r="AA99" s="6"/>
      <c r="AB99" s="6"/>
      <c r="AC99" s="6">
        <v>19050</v>
      </c>
      <c r="AD99" s="6">
        <v>19050</v>
      </c>
      <c r="AE99" s="6">
        <v>19050</v>
      </c>
      <c r="AF99" s="6">
        <v>19050</v>
      </c>
      <c r="AG99" s="6">
        <v>19050</v>
      </c>
      <c r="AH99" s="6">
        <v>19050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>
        <f t="shared" si="10"/>
        <v>6</v>
      </c>
      <c r="AX99" t="b">
        <f t="shared" si="11"/>
        <v>1</v>
      </c>
      <c r="AY99" s="21">
        <f t="shared" si="8"/>
        <v>114300</v>
      </c>
      <c r="AZ99" t="b">
        <f t="shared" si="9"/>
        <v>1</v>
      </c>
    </row>
    <row r="100" spans="1:52" x14ac:dyDescent="0.4">
      <c r="A100" s="6" t="s">
        <v>2230</v>
      </c>
      <c r="B100" s="1" t="s">
        <v>346</v>
      </c>
      <c r="C100" s="1" t="s">
        <v>347</v>
      </c>
      <c r="D100" s="1" t="s">
        <v>348</v>
      </c>
      <c r="E100" s="1" t="s">
        <v>44</v>
      </c>
      <c r="F100" s="1" t="s">
        <v>150</v>
      </c>
      <c r="G100" s="5" t="s">
        <v>46</v>
      </c>
      <c r="H100" s="1" t="s">
        <v>27</v>
      </c>
      <c r="I100">
        <v>114300</v>
      </c>
      <c r="J100" s="1" t="s">
        <v>33</v>
      </c>
      <c r="K100">
        <v>0</v>
      </c>
      <c r="L100">
        <v>0</v>
      </c>
      <c r="M100">
        <v>0</v>
      </c>
      <c r="N100">
        <v>0</v>
      </c>
      <c r="O100">
        <v>114300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18">
        <v>6</v>
      </c>
      <c r="Y100" s="6"/>
      <c r="Z100" s="6"/>
      <c r="AA100" s="6"/>
      <c r="AB100" s="6"/>
      <c r="AC100" s="6">
        <v>19050</v>
      </c>
      <c r="AD100" s="6">
        <v>19050</v>
      </c>
      <c r="AE100" s="6">
        <v>19050</v>
      </c>
      <c r="AF100" s="6">
        <v>19050</v>
      </c>
      <c r="AG100" s="6">
        <v>19050</v>
      </c>
      <c r="AH100" s="6">
        <v>19050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>
        <f t="shared" si="10"/>
        <v>6</v>
      </c>
      <c r="AX100" t="b">
        <f t="shared" si="11"/>
        <v>1</v>
      </c>
      <c r="AY100" s="21">
        <f t="shared" si="8"/>
        <v>114300</v>
      </c>
      <c r="AZ100" t="b">
        <f t="shared" si="9"/>
        <v>1</v>
      </c>
    </row>
    <row r="101" spans="1:52" x14ac:dyDescent="0.4">
      <c r="A101" s="6" t="s">
        <v>2230</v>
      </c>
      <c r="B101" s="1" t="s">
        <v>349</v>
      </c>
      <c r="C101" s="1" t="s">
        <v>350</v>
      </c>
      <c r="D101" s="1" t="s">
        <v>351</v>
      </c>
      <c r="E101" s="1" t="s">
        <v>44</v>
      </c>
      <c r="F101" s="1" t="s">
        <v>112</v>
      </c>
      <c r="G101" s="5" t="s">
        <v>46</v>
      </c>
      <c r="H101" s="1" t="s">
        <v>27</v>
      </c>
      <c r="I101">
        <v>114300</v>
      </c>
      <c r="J101" s="1" t="s">
        <v>33</v>
      </c>
      <c r="K101">
        <v>0</v>
      </c>
      <c r="L101">
        <v>0</v>
      </c>
      <c r="M101">
        <v>0</v>
      </c>
      <c r="N101">
        <v>0</v>
      </c>
      <c r="O101">
        <v>114300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18">
        <v>6</v>
      </c>
      <c r="Y101" s="6"/>
      <c r="Z101" s="6"/>
      <c r="AA101" s="6"/>
      <c r="AB101" s="6"/>
      <c r="AC101" s="6">
        <v>19050</v>
      </c>
      <c r="AD101" s="6">
        <v>19050</v>
      </c>
      <c r="AE101" s="6">
        <v>19050</v>
      </c>
      <c r="AF101" s="6">
        <v>19050</v>
      </c>
      <c r="AG101" s="6">
        <v>19050</v>
      </c>
      <c r="AH101" s="6">
        <v>19050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>
        <f t="shared" si="10"/>
        <v>6</v>
      </c>
      <c r="AX101" t="b">
        <f t="shared" si="11"/>
        <v>1</v>
      </c>
      <c r="AY101" s="21">
        <f t="shared" si="8"/>
        <v>114300</v>
      </c>
      <c r="AZ101" t="b">
        <f t="shared" si="9"/>
        <v>1</v>
      </c>
    </row>
    <row r="102" spans="1:52" x14ac:dyDescent="0.4">
      <c r="A102" s="6" t="s">
        <v>2230</v>
      </c>
      <c r="B102" s="1" t="s">
        <v>352</v>
      </c>
      <c r="C102" s="1" t="s">
        <v>353</v>
      </c>
      <c r="D102" s="1" t="s">
        <v>354</v>
      </c>
      <c r="E102" s="1" t="s">
        <v>44</v>
      </c>
      <c r="F102" s="1" t="s">
        <v>56</v>
      </c>
      <c r="G102" s="5" t="s">
        <v>46</v>
      </c>
      <c r="H102" s="1" t="s">
        <v>27</v>
      </c>
      <c r="I102">
        <v>114300</v>
      </c>
      <c r="J102" s="1" t="s">
        <v>33</v>
      </c>
      <c r="K102">
        <v>0</v>
      </c>
      <c r="L102">
        <v>0</v>
      </c>
      <c r="M102">
        <v>0</v>
      </c>
      <c r="N102">
        <v>0</v>
      </c>
      <c r="O102">
        <v>114300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18">
        <v>6</v>
      </c>
      <c r="Y102" s="6"/>
      <c r="Z102" s="6"/>
      <c r="AA102" s="6"/>
      <c r="AB102" s="6"/>
      <c r="AC102" s="6">
        <v>19050</v>
      </c>
      <c r="AD102" s="6">
        <v>19050</v>
      </c>
      <c r="AE102" s="6">
        <v>19050</v>
      </c>
      <c r="AF102" s="6">
        <v>19050</v>
      </c>
      <c r="AG102" s="6">
        <v>19050</v>
      </c>
      <c r="AH102" s="6">
        <v>19050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>
        <f t="shared" si="10"/>
        <v>6</v>
      </c>
      <c r="AX102" t="b">
        <f t="shared" si="11"/>
        <v>1</v>
      </c>
      <c r="AY102" s="21">
        <f t="shared" si="8"/>
        <v>114300</v>
      </c>
      <c r="AZ102" t="b">
        <f t="shared" si="9"/>
        <v>1</v>
      </c>
    </row>
    <row r="103" spans="1:52" x14ac:dyDescent="0.4">
      <c r="A103" s="6" t="s">
        <v>2230</v>
      </c>
      <c r="B103" s="1" t="s">
        <v>355</v>
      </c>
      <c r="C103" s="1" t="s">
        <v>356</v>
      </c>
      <c r="D103" s="1" t="s">
        <v>357</v>
      </c>
      <c r="E103" s="1" t="s">
        <v>44</v>
      </c>
      <c r="F103" s="1" t="s">
        <v>112</v>
      </c>
      <c r="G103" s="5" t="s">
        <v>46</v>
      </c>
      <c r="H103" s="1" t="s">
        <v>27</v>
      </c>
      <c r="I103">
        <v>114300</v>
      </c>
      <c r="J103" s="1" t="s">
        <v>33</v>
      </c>
      <c r="K103">
        <v>0</v>
      </c>
      <c r="L103">
        <v>0</v>
      </c>
      <c r="M103">
        <v>0</v>
      </c>
      <c r="N103">
        <v>0</v>
      </c>
      <c r="O103">
        <v>114300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18">
        <v>6</v>
      </c>
      <c r="Y103" s="6"/>
      <c r="Z103" s="6"/>
      <c r="AA103" s="6"/>
      <c r="AB103" s="6"/>
      <c r="AC103" s="6">
        <v>19050</v>
      </c>
      <c r="AD103" s="6">
        <v>19050</v>
      </c>
      <c r="AE103" s="6">
        <v>19050</v>
      </c>
      <c r="AF103" s="6">
        <v>19050</v>
      </c>
      <c r="AG103" s="6">
        <v>19050</v>
      </c>
      <c r="AH103" s="6">
        <v>19050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>
        <f t="shared" si="10"/>
        <v>6</v>
      </c>
      <c r="AX103" t="b">
        <f t="shared" si="11"/>
        <v>1</v>
      </c>
      <c r="AY103" s="21">
        <f t="shared" si="8"/>
        <v>114300</v>
      </c>
      <c r="AZ103" t="b">
        <f t="shared" si="9"/>
        <v>1</v>
      </c>
    </row>
    <row r="104" spans="1:52" x14ac:dyDescent="0.4">
      <c r="A104" s="6" t="s">
        <v>2230</v>
      </c>
      <c r="B104" s="1" t="s">
        <v>358</v>
      </c>
      <c r="C104" s="1" t="s">
        <v>359</v>
      </c>
      <c r="D104" s="1" t="s">
        <v>360</v>
      </c>
      <c r="E104" s="1" t="s">
        <v>44</v>
      </c>
      <c r="F104" s="1" t="s">
        <v>86</v>
      </c>
      <c r="G104" s="5" t="s">
        <v>46</v>
      </c>
      <c r="H104" s="1" t="s">
        <v>27</v>
      </c>
      <c r="I104">
        <v>114300</v>
      </c>
      <c r="J104" s="1" t="s">
        <v>33</v>
      </c>
      <c r="K104">
        <v>0</v>
      </c>
      <c r="L104">
        <v>0</v>
      </c>
      <c r="M104">
        <v>0</v>
      </c>
      <c r="N104">
        <v>0</v>
      </c>
      <c r="O104">
        <v>114300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18">
        <v>6</v>
      </c>
      <c r="Y104" s="6"/>
      <c r="Z104" s="6"/>
      <c r="AA104" s="6"/>
      <c r="AB104" s="6"/>
      <c r="AC104" s="6">
        <v>19050</v>
      </c>
      <c r="AD104" s="6">
        <v>19050</v>
      </c>
      <c r="AE104" s="6">
        <v>19050</v>
      </c>
      <c r="AF104" s="6">
        <v>19050</v>
      </c>
      <c r="AG104" s="6">
        <v>19050</v>
      </c>
      <c r="AH104" s="6">
        <v>19050</v>
      </c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>
        <f t="shared" si="10"/>
        <v>6</v>
      </c>
      <c r="AX104" t="b">
        <f t="shared" si="11"/>
        <v>1</v>
      </c>
      <c r="AY104" s="21">
        <f t="shared" si="8"/>
        <v>114300</v>
      </c>
      <c r="AZ104" t="b">
        <f t="shared" si="9"/>
        <v>1</v>
      </c>
    </row>
    <row r="105" spans="1:52" x14ac:dyDescent="0.4">
      <c r="A105" s="6" t="s">
        <v>2230</v>
      </c>
      <c r="B105" s="1" t="s">
        <v>361</v>
      </c>
      <c r="C105" s="1" t="s">
        <v>362</v>
      </c>
      <c r="D105" s="1" t="s">
        <v>363</v>
      </c>
      <c r="E105" s="1" t="s">
        <v>44</v>
      </c>
      <c r="F105" s="1" t="s">
        <v>45</v>
      </c>
      <c r="G105" s="5" t="s">
        <v>46</v>
      </c>
      <c r="H105" s="1" t="s">
        <v>27</v>
      </c>
      <c r="I105">
        <v>114300</v>
      </c>
      <c r="J105" s="1" t="s">
        <v>33</v>
      </c>
      <c r="K105">
        <v>0</v>
      </c>
      <c r="L105">
        <v>0</v>
      </c>
      <c r="M105">
        <v>0</v>
      </c>
      <c r="N105">
        <v>0</v>
      </c>
      <c r="O105">
        <v>114300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18">
        <v>6</v>
      </c>
      <c r="Y105" s="6"/>
      <c r="Z105" s="6"/>
      <c r="AA105" s="6"/>
      <c r="AB105" s="6"/>
      <c r="AC105" s="6">
        <v>19050</v>
      </c>
      <c r="AD105" s="6">
        <v>19050</v>
      </c>
      <c r="AE105" s="6">
        <v>19050</v>
      </c>
      <c r="AF105" s="6">
        <v>19050</v>
      </c>
      <c r="AG105" s="6">
        <v>19050</v>
      </c>
      <c r="AH105" s="6">
        <v>19050</v>
      </c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>
        <f t="shared" si="10"/>
        <v>6</v>
      </c>
      <c r="AX105" t="b">
        <f t="shared" si="11"/>
        <v>1</v>
      </c>
      <c r="AY105" s="21">
        <f t="shared" si="8"/>
        <v>114300</v>
      </c>
      <c r="AZ105" t="b">
        <f t="shared" si="9"/>
        <v>1</v>
      </c>
    </row>
    <row r="106" spans="1:52" x14ac:dyDescent="0.4">
      <c r="A106" s="6" t="s">
        <v>2230</v>
      </c>
      <c r="B106" s="1" t="s">
        <v>364</v>
      </c>
      <c r="C106" s="1" t="s">
        <v>365</v>
      </c>
      <c r="D106" s="1" t="s">
        <v>366</v>
      </c>
      <c r="E106" s="1" t="s">
        <v>44</v>
      </c>
      <c r="F106" s="1" t="s">
        <v>56</v>
      </c>
      <c r="G106" s="5" t="s">
        <v>46</v>
      </c>
      <c r="H106" s="1" t="s">
        <v>27</v>
      </c>
      <c r="I106">
        <v>114300</v>
      </c>
      <c r="J106" s="1" t="s">
        <v>33</v>
      </c>
      <c r="K106">
        <v>0</v>
      </c>
      <c r="L106">
        <v>0</v>
      </c>
      <c r="M106">
        <v>0</v>
      </c>
      <c r="N106">
        <v>0</v>
      </c>
      <c r="O106">
        <v>114300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18">
        <v>6</v>
      </c>
      <c r="Y106" s="6"/>
      <c r="Z106" s="6"/>
      <c r="AA106" s="6"/>
      <c r="AB106" s="6"/>
      <c r="AC106" s="6">
        <v>19050</v>
      </c>
      <c r="AD106" s="6">
        <v>19050</v>
      </c>
      <c r="AE106" s="6">
        <v>19050</v>
      </c>
      <c r="AF106" s="6">
        <v>19050</v>
      </c>
      <c r="AG106" s="6">
        <v>19050</v>
      </c>
      <c r="AH106" s="6">
        <v>19050</v>
      </c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>
        <f t="shared" si="10"/>
        <v>6</v>
      </c>
      <c r="AX106" t="b">
        <f t="shared" si="11"/>
        <v>1</v>
      </c>
      <c r="AY106" s="21">
        <f t="shared" si="8"/>
        <v>114300</v>
      </c>
      <c r="AZ106" t="b">
        <f t="shared" si="9"/>
        <v>1</v>
      </c>
    </row>
    <row r="107" spans="1:52" x14ac:dyDescent="0.4">
      <c r="A107" s="6" t="s">
        <v>2230</v>
      </c>
      <c r="B107" s="1" t="s">
        <v>367</v>
      </c>
      <c r="C107" s="1" t="s">
        <v>368</v>
      </c>
      <c r="D107" s="1" t="s">
        <v>369</v>
      </c>
      <c r="E107" s="1" t="s">
        <v>44</v>
      </c>
      <c r="F107" s="1" t="s">
        <v>227</v>
      </c>
      <c r="G107" s="5" t="s">
        <v>46</v>
      </c>
      <c r="H107" s="1" t="s">
        <v>27</v>
      </c>
      <c r="I107">
        <v>114300</v>
      </c>
      <c r="J107" s="1" t="s">
        <v>33</v>
      </c>
      <c r="K107">
        <v>0</v>
      </c>
      <c r="L107">
        <v>0</v>
      </c>
      <c r="M107">
        <v>0</v>
      </c>
      <c r="N107">
        <v>0</v>
      </c>
      <c r="O107">
        <v>114300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18">
        <v>6</v>
      </c>
      <c r="Y107" s="6"/>
      <c r="Z107" s="6"/>
      <c r="AA107" s="6"/>
      <c r="AB107" s="6"/>
      <c r="AC107" s="6">
        <v>19050</v>
      </c>
      <c r="AD107" s="6">
        <v>19050</v>
      </c>
      <c r="AE107" s="6">
        <v>19050</v>
      </c>
      <c r="AF107" s="6">
        <v>19050</v>
      </c>
      <c r="AG107" s="6">
        <v>19050</v>
      </c>
      <c r="AH107" s="6">
        <v>19050</v>
      </c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>
        <f t="shared" si="10"/>
        <v>6</v>
      </c>
      <c r="AX107" t="b">
        <f t="shared" si="11"/>
        <v>1</v>
      </c>
      <c r="AY107" s="21">
        <f t="shared" si="8"/>
        <v>114300</v>
      </c>
      <c r="AZ107" t="b">
        <f t="shared" si="9"/>
        <v>1</v>
      </c>
    </row>
    <row r="108" spans="1:52" x14ac:dyDescent="0.4">
      <c r="A108" s="6" t="s">
        <v>2230</v>
      </c>
      <c r="B108" s="1" t="s">
        <v>370</v>
      </c>
      <c r="C108" s="1" t="s">
        <v>371</v>
      </c>
      <c r="D108" s="1" t="s">
        <v>372</v>
      </c>
      <c r="E108" s="1" t="s">
        <v>44</v>
      </c>
      <c r="F108" s="1" t="s">
        <v>82</v>
      </c>
      <c r="G108" s="5" t="s">
        <v>46</v>
      </c>
      <c r="H108" s="1" t="s">
        <v>27</v>
      </c>
      <c r="I108">
        <v>114300</v>
      </c>
      <c r="J108" s="1" t="s">
        <v>33</v>
      </c>
      <c r="K108">
        <v>0</v>
      </c>
      <c r="L108">
        <v>0</v>
      </c>
      <c r="M108">
        <v>0</v>
      </c>
      <c r="N108">
        <v>0</v>
      </c>
      <c r="O108">
        <v>114300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18">
        <v>6</v>
      </c>
      <c r="Y108" s="6"/>
      <c r="Z108" s="6"/>
      <c r="AA108" s="6"/>
      <c r="AB108" s="6"/>
      <c r="AC108" s="6">
        <v>19050</v>
      </c>
      <c r="AD108" s="6">
        <v>19050</v>
      </c>
      <c r="AE108" s="6">
        <v>19050</v>
      </c>
      <c r="AF108" s="6">
        <v>19050</v>
      </c>
      <c r="AG108" s="6">
        <v>19050</v>
      </c>
      <c r="AH108" s="6">
        <v>19050</v>
      </c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>
        <f t="shared" si="10"/>
        <v>6</v>
      </c>
      <c r="AX108" t="b">
        <f t="shared" si="11"/>
        <v>1</v>
      </c>
      <c r="AY108" s="21">
        <f t="shared" si="8"/>
        <v>114300</v>
      </c>
      <c r="AZ108" t="b">
        <f t="shared" si="9"/>
        <v>1</v>
      </c>
    </row>
    <row r="109" spans="1:52" x14ac:dyDescent="0.4">
      <c r="A109" s="6" t="s">
        <v>2230</v>
      </c>
      <c r="B109" s="1" t="s">
        <v>373</v>
      </c>
      <c r="C109" s="1" t="s">
        <v>374</v>
      </c>
      <c r="D109" s="1" t="s">
        <v>375</v>
      </c>
      <c r="E109" s="1" t="s">
        <v>44</v>
      </c>
      <c r="F109" s="1" t="s">
        <v>376</v>
      </c>
      <c r="G109" s="5" t="s">
        <v>46</v>
      </c>
      <c r="H109" s="1" t="s">
        <v>27</v>
      </c>
      <c r="I109">
        <v>114300</v>
      </c>
      <c r="J109" s="1" t="s">
        <v>33</v>
      </c>
      <c r="K109">
        <v>0</v>
      </c>
      <c r="L109">
        <v>0</v>
      </c>
      <c r="M109">
        <v>0</v>
      </c>
      <c r="N109">
        <v>0</v>
      </c>
      <c r="O109">
        <v>114300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18">
        <v>6</v>
      </c>
      <c r="Y109" s="6"/>
      <c r="Z109" s="6"/>
      <c r="AA109" s="6"/>
      <c r="AB109" s="6"/>
      <c r="AC109" s="6">
        <v>19050</v>
      </c>
      <c r="AD109" s="6">
        <v>19050</v>
      </c>
      <c r="AE109" s="6">
        <v>19050</v>
      </c>
      <c r="AF109" s="6">
        <v>19050</v>
      </c>
      <c r="AG109" s="6">
        <v>19050</v>
      </c>
      <c r="AH109" s="6">
        <v>19050</v>
      </c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>
        <f t="shared" si="10"/>
        <v>6</v>
      </c>
      <c r="AX109" t="b">
        <f t="shared" si="11"/>
        <v>1</v>
      </c>
      <c r="AY109" s="21">
        <f t="shared" si="8"/>
        <v>114300</v>
      </c>
      <c r="AZ109" t="b">
        <f t="shared" si="9"/>
        <v>1</v>
      </c>
    </row>
    <row r="110" spans="1:52" x14ac:dyDescent="0.4">
      <c r="A110" s="6" t="s">
        <v>2230</v>
      </c>
      <c r="B110" s="1" t="s">
        <v>377</v>
      </c>
      <c r="C110" s="1" t="s">
        <v>378</v>
      </c>
      <c r="D110" s="1" t="s">
        <v>379</v>
      </c>
      <c r="E110" s="1" t="s">
        <v>44</v>
      </c>
      <c r="F110" s="1" t="s">
        <v>56</v>
      </c>
      <c r="G110" s="5" t="s">
        <v>46</v>
      </c>
      <c r="H110" s="1" t="s">
        <v>27</v>
      </c>
      <c r="I110">
        <v>114300</v>
      </c>
      <c r="J110" s="1" t="s">
        <v>33</v>
      </c>
      <c r="K110">
        <v>0</v>
      </c>
      <c r="L110">
        <v>0</v>
      </c>
      <c r="M110">
        <v>0</v>
      </c>
      <c r="N110">
        <v>0</v>
      </c>
      <c r="O110">
        <v>114300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18">
        <v>6</v>
      </c>
      <c r="Y110" s="6"/>
      <c r="Z110" s="6"/>
      <c r="AA110" s="6"/>
      <c r="AB110" s="6"/>
      <c r="AC110" s="6">
        <v>19050</v>
      </c>
      <c r="AD110" s="6">
        <v>19050</v>
      </c>
      <c r="AE110" s="6">
        <v>19050</v>
      </c>
      <c r="AF110" s="6">
        <v>19050</v>
      </c>
      <c r="AG110" s="6">
        <v>19050</v>
      </c>
      <c r="AH110" s="6">
        <v>19050</v>
      </c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>
        <f t="shared" si="10"/>
        <v>6</v>
      </c>
      <c r="AX110" t="b">
        <f t="shared" si="11"/>
        <v>1</v>
      </c>
      <c r="AY110" s="21">
        <f t="shared" si="8"/>
        <v>114300</v>
      </c>
      <c r="AZ110" t="b">
        <f t="shared" si="9"/>
        <v>1</v>
      </c>
    </row>
    <row r="111" spans="1:52" x14ac:dyDescent="0.4">
      <c r="A111" s="6" t="s">
        <v>2230</v>
      </c>
      <c r="B111" s="1" t="s">
        <v>380</v>
      </c>
      <c r="C111" s="1" t="s">
        <v>381</v>
      </c>
      <c r="D111" s="1" t="s">
        <v>382</v>
      </c>
      <c r="E111" s="1" t="s">
        <v>44</v>
      </c>
      <c r="F111" s="1" t="s">
        <v>86</v>
      </c>
      <c r="G111" s="5" t="s">
        <v>46</v>
      </c>
      <c r="H111" s="1" t="s">
        <v>27</v>
      </c>
      <c r="I111">
        <v>114300</v>
      </c>
      <c r="J111" s="1" t="s">
        <v>33</v>
      </c>
      <c r="K111">
        <v>0</v>
      </c>
      <c r="L111">
        <v>0</v>
      </c>
      <c r="M111">
        <v>0</v>
      </c>
      <c r="N111">
        <v>0</v>
      </c>
      <c r="O111">
        <v>114300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s="18">
        <v>6</v>
      </c>
      <c r="Y111" s="6"/>
      <c r="Z111" s="6"/>
      <c r="AA111" s="6"/>
      <c r="AB111" s="6"/>
      <c r="AC111" s="6">
        <v>19050</v>
      </c>
      <c r="AD111" s="6">
        <v>19050</v>
      </c>
      <c r="AE111" s="6">
        <v>19050</v>
      </c>
      <c r="AF111" s="6">
        <v>19050</v>
      </c>
      <c r="AG111" s="6">
        <v>19050</v>
      </c>
      <c r="AH111" s="6">
        <v>19050</v>
      </c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>
        <f t="shared" si="10"/>
        <v>6</v>
      </c>
      <c r="AX111" t="b">
        <f t="shared" si="11"/>
        <v>1</v>
      </c>
      <c r="AY111" s="21">
        <f t="shared" si="8"/>
        <v>114300</v>
      </c>
      <c r="AZ111" t="b">
        <f t="shared" si="9"/>
        <v>1</v>
      </c>
    </row>
    <row r="112" spans="1:52" x14ac:dyDescent="0.4">
      <c r="A112" s="6" t="s">
        <v>2230</v>
      </c>
      <c r="B112" s="1" t="s">
        <v>383</v>
      </c>
      <c r="C112" s="1" t="s">
        <v>384</v>
      </c>
      <c r="D112" s="1" t="s">
        <v>385</v>
      </c>
      <c r="E112" s="1" t="s">
        <v>25</v>
      </c>
      <c r="F112" s="1" t="s">
        <v>227</v>
      </c>
      <c r="G112" s="5" t="s">
        <v>10</v>
      </c>
      <c r="H112" s="1" t="s">
        <v>27</v>
      </c>
      <c r="I112">
        <v>59400</v>
      </c>
      <c r="J112" s="1" t="s">
        <v>33</v>
      </c>
      <c r="K112">
        <v>0</v>
      </c>
      <c r="L112">
        <v>59400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18">
        <v>3</v>
      </c>
      <c r="Y112" s="6"/>
      <c r="Z112" s="6">
        <v>19800</v>
      </c>
      <c r="AA112" s="6">
        <v>19800</v>
      </c>
      <c r="AB112" s="6">
        <v>19800</v>
      </c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>
        <f t="shared" si="10"/>
        <v>3</v>
      </c>
      <c r="AX112" t="b">
        <f t="shared" si="11"/>
        <v>1</v>
      </c>
      <c r="AY112" s="21">
        <f t="shared" si="8"/>
        <v>59400</v>
      </c>
      <c r="AZ112" t="b">
        <f t="shared" si="9"/>
        <v>1</v>
      </c>
    </row>
    <row r="113" spans="1:52" x14ac:dyDescent="0.4">
      <c r="A113" s="6" t="s">
        <v>2230</v>
      </c>
      <c r="B113" s="1" t="s">
        <v>386</v>
      </c>
      <c r="C113" s="1" t="s">
        <v>387</v>
      </c>
      <c r="D113" s="1" t="s">
        <v>388</v>
      </c>
      <c r="E113" s="1" t="s">
        <v>44</v>
      </c>
      <c r="F113" s="1" t="s">
        <v>86</v>
      </c>
      <c r="G113" s="5" t="s">
        <v>46</v>
      </c>
      <c r="H113" s="1" t="s">
        <v>27</v>
      </c>
      <c r="I113">
        <v>114300</v>
      </c>
      <c r="J113" s="1" t="s">
        <v>33</v>
      </c>
      <c r="K113">
        <v>0</v>
      </c>
      <c r="L113">
        <v>0</v>
      </c>
      <c r="M113">
        <v>0</v>
      </c>
      <c r="N113">
        <v>0</v>
      </c>
      <c r="O113">
        <v>114300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18">
        <v>6</v>
      </c>
      <c r="Y113" s="6"/>
      <c r="Z113" s="6"/>
      <c r="AA113" s="6"/>
      <c r="AB113" s="6"/>
      <c r="AC113" s="6">
        <v>19050</v>
      </c>
      <c r="AD113" s="6">
        <v>19050</v>
      </c>
      <c r="AE113" s="6">
        <v>19050</v>
      </c>
      <c r="AF113" s="6">
        <v>19050</v>
      </c>
      <c r="AG113" s="6">
        <v>19050</v>
      </c>
      <c r="AH113" s="6">
        <v>19050</v>
      </c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>
        <f t="shared" si="10"/>
        <v>6</v>
      </c>
      <c r="AX113" t="b">
        <f t="shared" si="11"/>
        <v>1</v>
      </c>
      <c r="AY113" s="21">
        <f t="shared" si="8"/>
        <v>114300</v>
      </c>
      <c r="AZ113" t="b">
        <f t="shared" si="9"/>
        <v>1</v>
      </c>
    </row>
    <row r="114" spans="1:52" x14ac:dyDescent="0.4">
      <c r="A114" s="6" t="s">
        <v>2230</v>
      </c>
      <c r="B114" s="1" t="s">
        <v>389</v>
      </c>
      <c r="C114" s="1" t="s">
        <v>390</v>
      </c>
      <c r="D114" s="1" t="s">
        <v>391</v>
      </c>
      <c r="E114" s="1" t="s">
        <v>44</v>
      </c>
      <c r="F114" s="1" t="s">
        <v>32</v>
      </c>
      <c r="G114" s="5" t="s">
        <v>46</v>
      </c>
      <c r="H114" s="1" t="s">
        <v>27</v>
      </c>
      <c r="I114">
        <v>114300</v>
      </c>
      <c r="J114" s="1" t="s">
        <v>33</v>
      </c>
      <c r="K114">
        <v>0</v>
      </c>
      <c r="L114">
        <v>0</v>
      </c>
      <c r="M114">
        <v>0</v>
      </c>
      <c r="N114">
        <v>0</v>
      </c>
      <c r="O114">
        <v>114300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18">
        <v>6</v>
      </c>
      <c r="Y114" s="6"/>
      <c r="Z114" s="6"/>
      <c r="AA114" s="6"/>
      <c r="AB114" s="6"/>
      <c r="AC114" s="6">
        <v>19050</v>
      </c>
      <c r="AD114" s="6">
        <v>19050</v>
      </c>
      <c r="AE114" s="6">
        <v>19050</v>
      </c>
      <c r="AF114" s="6">
        <v>19050</v>
      </c>
      <c r="AG114" s="6">
        <v>19050</v>
      </c>
      <c r="AH114" s="6">
        <v>19050</v>
      </c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>
        <f t="shared" si="10"/>
        <v>6</v>
      </c>
      <c r="AX114" t="b">
        <f t="shared" si="11"/>
        <v>1</v>
      </c>
      <c r="AY114" s="21">
        <f t="shared" si="8"/>
        <v>114300</v>
      </c>
      <c r="AZ114" t="b">
        <f t="shared" si="9"/>
        <v>1</v>
      </c>
    </row>
    <row r="115" spans="1:52" x14ac:dyDescent="0.4">
      <c r="A115" s="6" t="s">
        <v>2230</v>
      </c>
      <c r="B115" s="1" t="s">
        <v>392</v>
      </c>
      <c r="C115" s="1" t="s">
        <v>393</v>
      </c>
      <c r="D115" s="1" t="s">
        <v>394</v>
      </c>
      <c r="E115" s="1" t="s">
        <v>44</v>
      </c>
      <c r="F115" s="1" t="s">
        <v>90</v>
      </c>
      <c r="G115" s="5" t="s">
        <v>46</v>
      </c>
      <c r="H115" s="1" t="s">
        <v>27</v>
      </c>
      <c r="I115">
        <v>114300</v>
      </c>
      <c r="J115" s="1" t="s">
        <v>33</v>
      </c>
      <c r="K115">
        <v>0</v>
      </c>
      <c r="L115">
        <v>0</v>
      </c>
      <c r="M115">
        <v>0</v>
      </c>
      <c r="N115">
        <v>0</v>
      </c>
      <c r="O115">
        <v>114300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18">
        <v>6</v>
      </c>
      <c r="Y115" s="6"/>
      <c r="Z115" s="6"/>
      <c r="AA115" s="6"/>
      <c r="AB115" s="6"/>
      <c r="AC115" s="6">
        <v>19050</v>
      </c>
      <c r="AD115" s="6">
        <v>19050</v>
      </c>
      <c r="AE115" s="6">
        <v>19050</v>
      </c>
      <c r="AF115" s="6">
        <v>19050</v>
      </c>
      <c r="AG115" s="6">
        <v>19050</v>
      </c>
      <c r="AH115" s="6">
        <v>19050</v>
      </c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>
        <f t="shared" si="10"/>
        <v>6</v>
      </c>
      <c r="AX115" t="b">
        <f t="shared" si="11"/>
        <v>1</v>
      </c>
      <c r="AY115" s="21">
        <f t="shared" si="8"/>
        <v>114300</v>
      </c>
      <c r="AZ115" t="b">
        <f t="shared" si="9"/>
        <v>1</v>
      </c>
    </row>
    <row r="116" spans="1:52" x14ac:dyDescent="0.4">
      <c r="A116" s="6" t="s">
        <v>2230</v>
      </c>
      <c r="B116" s="1" t="s">
        <v>395</v>
      </c>
      <c r="C116" s="1" t="s">
        <v>396</v>
      </c>
      <c r="D116" s="1" t="s">
        <v>397</v>
      </c>
      <c r="E116" s="1" t="s">
        <v>25</v>
      </c>
      <c r="F116" s="1" t="s">
        <v>45</v>
      </c>
      <c r="G116" s="5" t="s">
        <v>10</v>
      </c>
      <c r="H116" s="1" t="s">
        <v>27</v>
      </c>
      <c r="I116">
        <v>59400</v>
      </c>
      <c r="J116" s="1" t="s">
        <v>33</v>
      </c>
      <c r="K116">
        <v>0</v>
      </c>
      <c r="L116">
        <v>59400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18">
        <v>3</v>
      </c>
      <c r="Y116" s="6"/>
      <c r="Z116" s="6">
        <v>19800</v>
      </c>
      <c r="AA116" s="6">
        <v>19800</v>
      </c>
      <c r="AB116" s="6">
        <v>19800</v>
      </c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>
        <f t="shared" si="10"/>
        <v>3</v>
      </c>
      <c r="AX116" t="b">
        <f t="shared" si="11"/>
        <v>1</v>
      </c>
      <c r="AY116" s="21">
        <f t="shared" si="8"/>
        <v>59400</v>
      </c>
      <c r="AZ116" t="b">
        <f t="shared" si="9"/>
        <v>1</v>
      </c>
    </row>
    <row r="117" spans="1:52" x14ac:dyDescent="0.4">
      <c r="A117" s="6" t="s">
        <v>2230</v>
      </c>
      <c r="B117" s="1" t="s">
        <v>398</v>
      </c>
      <c r="C117" s="1" t="s">
        <v>399</v>
      </c>
      <c r="D117" s="1" t="s">
        <v>400</v>
      </c>
      <c r="E117" s="1" t="s">
        <v>44</v>
      </c>
      <c r="F117" s="1" t="s">
        <v>86</v>
      </c>
      <c r="G117" s="5" t="s">
        <v>46</v>
      </c>
      <c r="H117" s="1" t="s">
        <v>27</v>
      </c>
      <c r="I117">
        <v>114300</v>
      </c>
      <c r="J117" s="1" t="s">
        <v>33</v>
      </c>
      <c r="K117">
        <v>0</v>
      </c>
      <c r="L117">
        <v>0</v>
      </c>
      <c r="M117">
        <v>0</v>
      </c>
      <c r="N117">
        <v>0</v>
      </c>
      <c r="O117">
        <v>114300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18">
        <v>6</v>
      </c>
      <c r="Y117" s="6"/>
      <c r="Z117" s="6"/>
      <c r="AA117" s="6"/>
      <c r="AB117" s="6"/>
      <c r="AC117" s="6">
        <v>19050</v>
      </c>
      <c r="AD117" s="6">
        <v>19050</v>
      </c>
      <c r="AE117" s="6">
        <v>19050</v>
      </c>
      <c r="AF117" s="6">
        <v>19050</v>
      </c>
      <c r="AG117" s="6">
        <v>19050</v>
      </c>
      <c r="AH117" s="6">
        <v>19050</v>
      </c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>
        <f t="shared" si="10"/>
        <v>6</v>
      </c>
      <c r="AX117" t="b">
        <f t="shared" si="11"/>
        <v>1</v>
      </c>
      <c r="AY117" s="21">
        <f t="shared" si="8"/>
        <v>114300</v>
      </c>
      <c r="AZ117" t="b">
        <f t="shared" si="9"/>
        <v>1</v>
      </c>
    </row>
    <row r="118" spans="1:52" x14ac:dyDescent="0.4">
      <c r="A118" s="6" t="s">
        <v>2230</v>
      </c>
      <c r="B118" s="1" t="s">
        <v>401</v>
      </c>
      <c r="C118" s="1" t="s">
        <v>402</v>
      </c>
      <c r="D118" s="1" t="s">
        <v>403</v>
      </c>
      <c r="E118" s="1" t="s">
        <v>44</v>
      </c>
      <c r="F118" s="1" t="s">
        <v>90</v>
      </c>
      <c r="G118" s="5" t="s">
        <v>46</v>
      </c>
      <c r="H118" s="1" t="s">
        <v>27</v>
      </c>
      <c r="I118">
        <v>114300</v>
      </c>
      <c r="J118" s="1" t="s">
        <v>33</v>
      </c>
      <c r="K118">
        <v>0</v>
      </c>
      <c r="L118">
        <v>0</v>
      </c>
      <c r="M118">
        <v>0</v>
      </c>
      <c r="N118">
        <v>0</v>
      </c>
      <c r="O118">
        <v>114300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18">
        <v>6</v>
      </c>
      <c r="Y118" s="6"/>
      <c r="Z118" s="6"/>
      <c r="AA118" s="6"/>
      <c r="AB118" s="6"/>
      <c r="AC118" s="6">
        <v>19050</v>
      </c>
      <c r="AD118" s="6">
        <v>19050</v>
      </c>
      <c r="AE118" s="6">
        <v>19050</v>
      </c>
      <c r="AF118" s="6">
        <v>19050</v>
      </c>
      <c r="AG118" s="6">
        <v>19050</v>
      </c>
      <c r="AH118" s="6">
        <v>19050</v>
      </c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>
        <f t="shared" si="10"/>
        <v>6</v>
      </c>
      <c r="AX118" t="b">
        <f t="shared" si="11"/>
        <v>1</v>
      </c>
      <c r="AY118" s="21">
        <f t="shared" si="8"/>
        <v>114300</v>
      </c>
      <c r="AZ118" t="b">
        <f t="shared" si="9"/>
        <v>1</v>
      </c>
    </row>
    <row r="119" spans="1:52" x14ac:dyDescent="0.4">
      <c r="A119" s="6" t="s">
        <v>2230</v>
      </c>
      <c r="B119" s="1" t="s">
        <v>404</v>
      </c>
      <c r="C119" s="1" t="s">
        <v>405</v>
      </c>
      <c r="D119" s="1" t="s">
        <v>406</v>
      </c>
      <c r="E119" s="1" t="s">
        <v>44</v>
      </c>
      <c r="F119" s="1" t="s">
        <v>112</v>
      </c>
      <c r="G119" s="5" t="s">
        <v>46</v>
      </c>
      <c r="H119" s="1" t="s">
        <v>27</v>
      </c>
      <c r="I119">
        <v>114300</v>
      </c>
      <c r="J119" s="1" t="s">
        <v>33</v>
      </c>
      <c r="K119">
        <v>0</v>
      </c>
      <c r="L119">
        <v>0</v>
      </c>
      <c r="M119">
        <v>0</v>
      </c>
      <c r="N119">
        <v>0</v>
      </c>
      <c r="O119">
        <v>114300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18">
        <v>6</v>
      </c>
      <c r="Y119" s="6"/>
      <c r="Z119" s="6"/>
      <c r="AA119" s="6"/>
      <c r="AB119" s="6"/>
      <c r="AC119" s="6">
        <v>19050</v>
      </c>
      <c r="AD119" s="6">
        <v>19050</v>
      </c>
      <c r="AE119" s="6">
        <v>19050</v>
      </c>
      <c r="AF119" s="6">
        <v>19050</v>
      </c>
      <c r="AG119" s="6">
        <v>19050</v>
      </c>
      <c r="AH119" s="6">
        <v>19050</v>
      </c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>
        <f t="shared" si="10"/>
        <v>6</v>
      </c>
      <c r="AX119" t="b">
        <f t="shared" si="11"/>
        <v>1</v>
      </c>
      <c r="AY119" s="21">
        <f t="shared" si="8"/>
        <v>114300</v>
      </c>
      <c r="AZ119" t="b">
        <f t="shared" si="9"/>
        <v>1</v>
      </c>
    </row>
    <row r="120" spans="1:52" x14ac:dyDescent="0.4">
      <c r="A120" s="6" t="s">
        <v>2230</v>
      </c>
      <c r="B120" s="1" t="s">
        <v>407</v>
      </c>
      <c r="C120" s="1" t="s">
        <v>408</v>
      </c>
      <c r="D120" s="1" t="s">
        <v>409</v>
      </c>
      <c r="E120" s="1" t="s">
        <v>50</v>
      </c>
      <c r="F120" s="1" t="s">
        <v>86</v>
      </c>
      <c r="G120" s="5" t="s">
        <v>46</v>
      </c>
      <c r="H120" s="1" t="s">
        <v>52</v>
      </c>
      <c r="I120">
        <v>114300</v>
      </c>
      <c r="J120" s="1" t="s">
        <v>28</v>
      </c>
      <c r="K120">
        <v>0</v>
      </c>
      <c r="L120">
        <v>0</v>
      </c>
      <c r="M120">
        <v>0</v>
      </c>
      <c r="N120">
        <v>0</v>
      </c>
      <c r="O120">
        <v>114300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18">
        <v>6</v>
      </c>
      <c r="Y120" s="6"/>
      <c r="Z120" s="6"/>
      <c r="AA120" s="6"/>
      <c r="AB120" s="6"/>
      <c r="AC120" s="6">
        <v>19050</v>
      </c>
      <c r="AD120" s="6">
        <v>19050</v>
      </c>
      <c r="AE120" s="6">
        <v>19050</v>
      </c>
      <c r="AF120" s="6">
        <v>19050</v>
      </c>
      <c r="AG120" s="6">
        <v>19050</v>
      </c>
      <c r="AH120" s="6">
        <v>19050</v>
      </c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>
        <f t="shared" si="10"/>
        <v>6</v>
      </c>
      <c r="AX120" t="b">
        <f t="shared" si="11"/>
        <v>1</v>
      </c>
      <c r="AY120" s="21">
        <f t="shared" si="8"/>
        <v>114300</v>
      </c>
      <c r="AZ120" t="b">
        <f t="shared" si="9"/>
        <v>1</v>
      </c>
    </row>
    <row r="121" spans="1:52" x14ac:dyDescent="0.4">
      <c r="A121" s="6" t="s">
        <v>2230</v>
      </c>
      <c r="B121" s="1" t="s">
        <v>410</v>
      </c>
      <c r="C121" s="1" t="s">
        <v>411</v>
      </c>
      <c r="D121" s="1" t="s">
        <v>412</v>
      </c>
      <c r="E121" s="1" t="s">
        <v>44</v>
      </c>
      <c r="F121" s="1" t="s">
        <v>86</v>
      </c>
      <c r="G121" s="5" t="s">
        <v>46</v>
      </c>
      <c r="H121" s="1" t="s">
        <v>27</v>
      </c>
      <c r="I121">
        <v>114300</v>
      </c>
      <c r="J121" s="1" t="s">
        <v>33</v>
      </c>
      <c r="K121">
        <v>0</v>
      </c>
      <c r="L121">
        <v>0</v>
      </c>
      <c r="M121">
        <v>0</v>
      </c>
      <c r="N121">
        <v>0</v>
      </c>
      <c r="O121">
        <v>114300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s="18">
        <v>6</v>
      </c>
      <c r="Y121" s="6"/>
      <c r="Z121" s="6"/>
      <c r="AA121" s="6"/>
      <c r="AB121" s="6"/>
      <c r="AC121" s="6">
        <v>19050</v>
      </c>
      <c r="AD121" s="6">
        <v>19050</v>
      </c>
      <c r="AE121" s="6">
        <v>19050</v>
      </c>
      <c r="AF121" s="6">
        <v>19050</v>
      </c>
      <c r="AG121" s="6">
        <v>19050</v>
      </c>
      <c r="AH121" s="6">
        <v>19050</v>
      </c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>
        <f t="shared" si="10"/>
        <v>6</v>
      </c>
      <c r="AX121" t="b">
        <f t="shared" si="11"/>
        <v>1</v>
      </c>
      <c r="AY121" s="21">
        <f t="shared" si="8"/>
        <v>114300</v>
      </c>
      <c r="AZ121" t="b">
        <f t="shared" si="9"/>
        <v>1</v>
      </c>
    </row>
    <row r="122" spans="1:52" x14ac:dyDescent="0.4">
      <c r="A122" s="6" t="s">
        <v>2230</v>
      </c>
      <c r="B122" s="1" t="s">
        <v>413</v>
      </c>
      <c r="C122" s="1" t="s">
        <v>414</v>
      </c>
      <c r="D122" s="1" t="s">
        <v>415</v>
      </c>
      <c r="E122" s="1" t="s">
        <v>44</v>
      </c>
      <c r="F122" s="1" t="s">
        <v>86</v>
      </c>
      <c r="G122" s="5" t="s">
        <v>46</v>
      </c>
      <c r="H122" s="1" t="s">
        <v>27</v>
      </c>
      <c r="I122">
        <v>114300</v>
      </c>
      <c r="J122" s="1" t="s">
        <v>33</v>
      </c>
      <c r="K122">
        <v>0</v>
      </c>
      <c r="L122">
        <v>0</v>
      </c>
      <c r="M122">
        <v>0</v>
      </c>
      <c r="N122">
        <v>0</v>
      </c>
      <c r="O122">
        <v>114300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18">
        <v>6</v>
      </c>
      <c r="Y122" s="6"/>
      <c r="Z122" s="6"/>
      <c r="AA122" s="6"/>
      <c r="AB122" s="6"/>
      <c r="AC122" s="6">
        <v>19050</v>
      </c>
      <c r="AD122" s="6">
        <v>19050</v>
      </c>
      <c r="AE122" s="6">
        <v>19050</v>
      </c>
      <c r="AF122" s="6">
        <v>19050</v>
      </c>
      <c r="AG122" s="6">
        <v>19050</v>
      </c>
      <c r="AH122" s="6">
        <v>19050</v>
      </c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>
        <f t="shared" si="10"/>
        <v>6</v>
      </c>
      <c r="AX122" t="b">
        <f t="shared" si="11"/>
        <v>1</v>
      </c>
      <c r="AY122" s="21">
        <f t="shared" si="8"/>
        <v>114300</v>
      </c>
      <c r="AZ122" t="b">
        <f t="shared" si="9"/>
        <v>1</v>
      </c>
    </row>
    <row r="123" spans="1:52" x14ac:dyDescent="0.4">
      <c r="A123" s="6" t="s">
        <v>2230</v>
      </c>
      <c r="B123" s="1" t="s">
        <v>416</v>
      </c>
      <c r="C123" s="1" t="s">
        <v>417</v>
      </c>
      <c r="D123" s="1" t="s">
        <v>418</v>
      </c>
      <c r="E123" s="1" t="s">
        <v>44</v>
      </c>
      <c r="F123" s="1" t="s">
        <v>86</v>
      </c>
      <c r="G123" s="5" t="s">
        <v>46</v>
      </c>
      <c r="H123" s="1" t="s">
        <v>27</v>
      </c>
      <c r="I123">
        <v>114300</v>
      </c>
      <c r="J123" s="1" t="s">
        <v>33</v>
      </c>
      <c r="K123">
        <v>0</v>
      </c>
      <c r="L123">
        <v>0</v>
      </c>
      <c r="M123">
        <v>0</v>
      </c>
      <c r="N123">
        <v>0</v>
      </c>
      <c r="O123">
        <v>114300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18">
        <v>6</v>
      </c>
      <c r="Y123" s="6"/>
      <c r="Z123" s="6"/>
      <c r="AA123" s="6"/>
      <c r="AB123" s="6"/>
      <c r="AC123" s="6">
        <v>19050</v>
      </c>
      <c r="AD123" s="6">
        <v>19050</v>
      </c>
      <c r="AE123" s="6">
        <v>19050</v>
      </c>
      <c r="AF123" s="6">
        <v>19050</v>
      </c>
      <c r="AG123" s="6">
        <v>19050</v>
      </c>
      <c r="AH123" s="6">
        <v>19050</v>
      </c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>
        <f t="shared" si="10"/>
        <v>6</v>
      </c>
      <c r="AX123" t="b">
        <f t="shared" si="11"/>
        <v>1</v>
      </c>
      <c r="AY123" s="21">
        <f t="shared" si="8"/>
        <v>114300</v>
      </c>
      <c r="AZ123" t="b">
        <f t="shared" si="9"/>
        <v>1</v>
      </c>
    </row>
    <row r="124" spans="1:52" x14ac:dyDescent="0.4">
      <c r="A124" s="6" t="s">
        <v>2230</v>
      </c>
      <c r="B124" s="1" t="s">
        <v>419</v>
      </c>
      <c r="C124" s="1" t="s">
        <v>420</v>
      </c>
      <c r="D124" s="1" t="s">
        <v>421</v>
      </c>
      <c r="E124" s="1" t="s">
        <v>44</v>
      </c>
      <c r="F124" s="1" t="s">
        <v>150</v>
      </c>
      <c r="G124" s="5" t="s">
        <v>46</v>
      </c>
      <c r="H124" s="1" t="s">
        <v>27</v>
      </c>
      <c r="I124">
        <v>114300</v>
      </c>
      <c r="J124" s="1" t="s">
        <v>33</v>
      </c>
      <c r="K124">
        <v>0</v>
      </c>
      <c r="L124">
        <v>0</v>
      </c>
      <c r="M124">
        <v>0</v>
      </c>
      <c r="N124">
        <v>0</v>
      </c>
      <c r="O124">
        <v>114300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18">
        <v>6</v>
      </c>
      <c r="Y124" s="6"/>
      <c r="Z124" s="6"/>
      <c r="AA124" s="6"/>
      <c r="AB124" s="6"/>
      <c r="AC124" s="6">
        <v>19050</v>
      </c>
      <c r="AD124" s="6">
        <v>19050</v>
      </c>
      <c r="AE124" s="6">
        <v>19050</v>
      </c>
      <c r="AF124" s="6">
        <v>19050</v>
      </c>
      <c r="AG124" s="6">
        <v>19050</v>
      </c>
      <c r="AH124" s="6">
        <v>19050</v>
      </c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>
        <f t="shared" si="10"/>
        <v>6</v>
      </c>
      <c r="AX124" t="b">
        <f t="shared" si="11"/>
        <v>1</v>
      </c>
      <c r="AY124" s="21">
        <f t="shared" si="8"/>
        <v>114300</v>
      </c>
      <c r="AZ124" t="b">
        <f t="shared" si="9"/>
        <v>1</v>
      </c>
    </row>
    <row r="125" spans="1:52" x14ac:dyDescent="0.4">
      <c r="A125" s="6" t="s">
        <v>2230</v>
      </c>
      <c r="B125" s="1" t="s">
        <v>422</v>
      </c>
      <c r="C125" s="1" t="s">
        <v>423</v>
      </c>
      <c r="D125" s="1" t="s">
        <v>424</v>
      </c>
      <c r="E125" s="1" t="s">
        <v>44</v>
      </c>
      <c r="F125" s="1" t="s">
        <v>86</v>
      </c>
      <c r="G125" s="5" t="s">
        <v>46</v>
      </c>
      <c r="H125" s="1" t="s">
        <v>27</v>
      </c>
      <c r="I125">
        <v>114300</v>
      </c>
      <c r="J125" s="1" t="s">
        <v>33</v>
      </c>
      <c r="K125">
        <v>0</v>
      </c>
      <c r="L125">
        <v>0</v>
      </c>
      <c r="M125">
        <v>0</v>
      </c>
      <c r="N125">
        <v>0</v>
      </c>
      <c r="O125">
        <v>114300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18">
        <v>6</v>
      </c>
      <c r="Y125" s="6"/>
      <c r="Z125" s="6"/>
      <c r="AA125" s="6"/>
      <c r="AB125" s="6"/>
      <c r="AC125" s="6">
        <v>19050</v>
      </c>
      <c r="AD125" s="6">
        <v>19050</v>
      </c>
      <c r="AE125" s="6">
        <v>19050</v>
      </c>
      <c r="AF125" s="6">
        <v>19050</v>
      </c>
      <c r="AG125" s="6">
        <v>19050</v>
      </c>
      <c r="AH125" s="6">
        <v>19050</v>
      </c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>
        <f t="shared" si="10"/>
        <v>6</v>
      </c>
      <c r="AX125" t="b">
        <f t="shared" si="11"/>
        <v>1</v>
      </c>
      <c r="AY125" s="21">
        <f t="shared" si="8"/>
        <v>114300</v>
      </c>
      <c r="AZ125" t="b">
        <f t="shared" si="9"/>
        <v>1</v>
      </c>
    </row>
    <row r="126" spans="1:52" x14ac:dyDescent="0.4">
      <c r="A126" s="6" t="s">
        <v>2230</v>
      </c>
      <c r="B126" s="1" t="s">
        <v>425</v>
      </c>
      <c r="C126" s="1" t="s">
        <v>426</v>
      </c>
      <c r="D126" s="1" t="s">
        <v>427</v>
      </c>
      <c r="E126" s="1" t="s">
        <v>44</v>
      </c>
      <c r="F126" s="1" t="s">
        <v>227</v>
      </c>
      <c r="G126" s="5" t="s">
        <v>46</v>
      </c>
      <c r="H126" s="1" t="s">
        <v>27</v>
      </c>
      <c r="I126">
        <v>114300</v>
      </c>
      <c r="J126" s="1" t="s">
        <v>33</v>
      </c>
      <c r="K126">
        <v>0</v>
      </c>
      <c r="L126">
        <v>0</v>
      </c>
      <c r="M126">
        <v>0</v>
      </c>
      <c r="N126">
        <v>0</v>
      </c>
      <c r="O126">
        <v>114300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18">
        <v>6</v>
      </c>
      <c r="Y126" s="6"/>
      <c r="Z126" s="6"/>
      <c r="AA126" s="6"/>
      <c r="AB126" s="6"/>
      <c r="AC126" s="6">
        <v>19050</v>
      </c>
      <c r="AD126" s="6">
        <v>19050</v>
      </c>
      <c r="AE126" s="6">
        <v>19050</v>
      </c>
      <c r="AF126" s="6">
        <v>19050</v>
      </c>
      <c r="AG126" s="6">
        <v>19050</v>
      </c>
      <c r="AH126" s="6">
        <v>19050</v>
      </c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>
        <f t="shared" si="10"/>
        <v>6</v>
      </c>
      <c r="AX126" t="b">
        <f t="shared" si="11"/>
        <v>1</v>
      </c>
      <c r="AY126" s="21">
        <f t="shared" si="8"/>
        <v>114300</v>
      </c>
      <c r="AZ126" t="b">
        <f t="shared" si="9"/>
        <v>1</v>
      </c>
    </row>
    <row r="127" spans="1:52" x14ac:dyDescent="0.4">
      <c r="A127" s="6" t="s">
        <v>2230</v>
      </c>
      <c r="B127" s="1" t="s">
        <v>428</v>
      </c>
      <c r="C127" s="1" t="s">
        <v>429</v>
      </c>
      <c r="D127" s="1" t="s">
        <v>430</v>
      </c>
      <c r="E127" s="1" t="s">
        <v>44</v>
      </c>
      <c r="F127" s="1" t="s">
        <v>45</v>
      </c>
      <c r="G127" s="5" t="s">
        <v>46</v>
      </c>
      <c r="H127" s="1" t="s">
        <v>27</v>
      </c>
      <c r="I127">
        <v>114300</v>
      </c>
      <c r="J127" s="1" t="s">
        <v>33</v>
      </c>
      <c r="K127">
        <v>0</v>
      </c>
      <c r="L127">
        <v>0</v>
      </c>
      <c r="M127">
        <v>0</v>
      </c>
      <c r="N127">
        <v>0</v>
      </c>
      <c r="O127">
        <v>114300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18">
        <v>6</v>
      </c>
      <c r="Y127" s="6"/>
      <c r="Z127" s="6"/>
      <c r="AA127" s="6"/>
      <c r="AB127" s="6"/>
      <c r="AC127" s="6">
        <v>19050</v>
      </c>
      <c r="AD127" s="6">
        <v>19050</v>
      </c>
      <c r="AE127" s="6">
        <v>19050</v>
      </c>
      <c r="AF127" s="6">
        <v>19050</v>
      </c>
      <c r="AG127" s="6">
        <v>19050</v>
      </c>
      <c r="AH127" s="6">
        <v>19050</v>
      </c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>
        <f t="shared" si="10"/>
        <v>6</v>
      </c>
      <c r="AX127" t="b">
        <f t="shared" si="11"/>
        <v>1</v>
      </c>
      <c r="AY127" s="21">
        <f t="shared" si="8"/>
        <v>114300</v>
      </c>
      <c r="AZ127" t="b">
        <f t="shared" si="9"/>
        <v>1</v>
      </c>
    </row>
    <row r="128" spans="1:52" x14ac:dyDescent="0.4">
      <c r="A128" s="6" t="s">
        <v>2230</v>
      </c>
      <c r="B128" s="1" t="s">
        <v>431</v>
      </c>
      <c r="C128" s="1" t="s">
        <v>432</v>
      </c>
      <c r="D128" s="1" t="s">
        <v>433</v>
      </c>
      <c r="E128" s="1" t="s">
        <v>44</v>
      </c>
      <c r="F128" s="1" t="s">
        <v>97</v>
      </c>
      <c r="G128" s="5" t="s">
        <v>46</v>
      </c>
      <c r="H128" s="1" t="s">
        <v>27</v>
      </c>
      <c r="I128">
        <v>114300</v>
      </c>
      <c r="J128" s="1" t="s">
        <v>33</v>
      </c>
      <c r="K128">
        <v>0</v>
      </c>
      <c r="L128">
        <v>0</v>
      </c>
      <c r="M128">
        <v>0</v>
      </c>
      <c r="N128">
        <v>0</v>
      </c>
      <c r="O128">
        <v>114300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18">
        <v>6</v>
      </c>
      <c r="Y128" s="6"/>
      <c r="Z128" s="6"/>
      <c r="AA128" s="6"/>
      <c r="AB128" s="6"/>
      <c r="AC128" s="6">
        <v>19050</v>
      </c>
      <c r="AD128" s="6">
        <v>19050</v>
      </c>
      <c r="AE128" s="6">
        <v>19050</v>
      </c>
      <c r="AF128" s="6">
        <v>19050</v>
      </c>
      <c r="AG128" s="6">
        <v>19050</v>
      </c>
      <c r="AH128" s="6">
        <v>19050</v>
      </c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>
        <f t="shared" si="10"/>
        <v>6</v>
      </c>
      <c r="AX128" t="b">
        <f t="shared" si="11"/>
        <v>1</v>
      </c>
      <c r="AY128" s="21">
        <f t="shared" si="8"/>
        <v>114300</v>
      </c>
      <c r="AZ128" t="b">
        <f t="shared" si="9"/>
        <v>1</v>
      </c>
    </row>
    <row r="129" spans="1:52" x14ac:dyDescent="0.4">
      <c r="A129" s="6" t="s">
        <v>2230</v>
      </c>
      <c r="B129" s="1" t="s">
        <v>434</v>
      </c>
      <c r="C129" s="1" t="s">
        <v>435</v>
      </c>
      <c r="D129" s="1" t="s">
        <v>436</v>
      </c>
      <c r="E129" s="1" t="s">
        <v>50</v>
      </c>
      <c r="F129" s="1" t="s">
        <v>178</v>
      </c>
      <c r="G129" s="5" t="s">
        <v>46</v>
      </c>
      <c r="H129" s="1" t="s">
        <v>52</v>
      </c>
      <c r="I129">
        <v>114300</v>
      </c>
      <c r="J129" s="1" t="s">
        <v>28</v>
      </c>
      <c r="K129">
        <v>0</v>
      </c>
      <c r="L129">
        <v>0</v>
      </c>
      <c r="M129">
        <v>0</v>
      </c>
      <c r="N129">
        <v>0</v>
      </c>
      <c r="O129">
        <v>114300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18">
        <v>6</v>
      </c>
      <c r="Y129" s="6"/>
      <c r="Z129" s="6"/>
      <c r="AA129" s="6"/>
      <c r="AB129" s="6"/>
      <c r="AC129" s="6">
        <v>19050</v>
      </c>
      <c r="AD129" s="6">
        <v>19050</v>
      </c>
      <c r="AE129" s="6">
        <v>19050</v>
      </c>
      <c r="AF129" s="6">
        <v>19050</v>
      </c>
      <c r="AG129" s="6">
        <v>19050</v>
      </c>
      <c r="AH129" s="6">
        <v>19050</v>
      </c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>
        <f t="shared" si="10"/>
        <v>6</v>
      </c>
      <c r="AX129" t="b">
        <f t="shared" si="11"/>
        <v>1</v>
      </c>
      <c r="AY129" s="21">
        <f t="shared" si="8"/>
        <v>114300</v>
      </c>
      <c r="AZ129" t="b">
        <f t="shared" si="9"/>
        <v>1</v>
      </c>
    </row>
    <row r="130" spans="1:52" x14ac:dyDescent="0.4">
      <c r="A130" s="6" t="s">
        <v>2230</v>
      </c>
      <c r="B130" s="1" t="s">
        <v>437</v>
      </c>
      <c r="C130" s="1" t="s">
        <v>438</v>
      </c>
      <c r="D130" s="1" t="s">
        <v>439</v>
      </c>
      <c r="E130" s="1" t="s">
        <v>44</v>
      </c>
      <c r="F130" s="1" t="s">
        <v>86</v>
      </c>
      <c r="G130" s="5" t="s">
        <v>46</v>
      </c>
      <c r="H130" s="1" t="s">
        <v>27</v>
      </c>
      <c r="I130">
        <v>114300</v>
      </c>
      <c r="J130" s="1" t="s">
        <v>33</v>
      </c>
      <c r="K130">
        <v>0</v>
      </c>
      <c r="L130">
        <v>0</v>
      </c>
      <c r="M130">
        <v>0</v>
      </c>
      <c r="N130">
        <v>0</v>
      </c>
      <c r="O130">
        <v>114300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18">
        <v>6</v>
      </c>
      <c r="Y130" s="6"/>
      <c r="Z130" s="6"/>
      <c r="AA130" s="6"/>
      <c r="AB130" s="6"/>
      <c r="AC130" s="6">
        <v>19050</v>
      </c>
      <c r="AD130" s="6">
        <v>19050</v>
      </c>
      <c r="AE130" s="6">
        <v>19050</v>
      </c>
      <c r="AF130" s="6">
        <v>19050</v>
      </c>
      <c r="AG130" s="6">
        <v>19050</v>
      </c>
      <c r="AH130" s="6">
        <v>19050</v>
      </c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>
        <f t="shared" si="10"/>
        <v>6</v>
      </c>
      <c r="AX130" t="b">
        <f t="shared" si="11"/>
        <v>1</v>
      </c>
      <c r="AY130" s="21">
        <f t="shared" si="8"/>
        <v>114300</v>
      </c>
      <c r="AZ130" t="b">
        <f t="shared" si="9"/>
        <v>1</v>
      </c>
    </row>
    <row r="131" spans="1:52" x14ac:dyDescent="0.4">
      <c r="A131" s="6" t="s">
        <v>2230</v>
      </c>
      <c r="B131" s="1" t="s">
        <v>440</v>
      </c>
      <c r="C131" s="1" t="s">
        <v>441</v>
      </c>
      <c r="D131" s="1" t="s">
        <v>442</v>
      </c>
      <c r="E131" s="1" t="s">
        <v>44</v>
      </c>
      <c r="F131" s="1" t="s">
        <v>86</v>
      </c>
      <c r="G131" s="5" t="s">
        <v>46</v>
      </c>
      <c r="H131" s="1" t="s">
        <v>27</v>
      </c>
      <c r="I131">
        <v>114300</v>
      </c>
      <c r="J131" s="1" t="s">
        <v>33</v>
      </c>
      <c r="K131">
        <v>0</v>
      </c>
      <c r="L131">
        <v>0</v>
      </c>
      <c r="M131">
        <v>0</v>
      </c>
      <c r="N131">
        <v>0</v>
      </c>
      <c r="O131">
        <v>114300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18">
        <v>6</v>
      </c>
      <c r="Y131" s="6"/>
      <c r="Z131" s="6"/>
      <c r="AA131" s="6"/>
      <c r="AB131" s="6"/>
      <c r="AC131" s="6">
        <v>19050</v>
      </c>
      <c r="AD131" s="6">
        <v>19050</v>
      </c>
      <c r="AE131" s="6">
        <v>19050</v>
      </c>
      <c r="AF131" s="6">
        <v>19050</v>
      </c>
      <c r="AG131" s="6">
        <v>19050</v>
      </c>
      <c r="AH131" s="6">
        <v>19050</v>
      </c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>
        <f t="shared" si="10"/>
        <v>6</v>
      </c>
      <c r="AX131" t="b">
        <f t="shared" si="11"/>
        <v>1</v>
      </c>
      <c r="AY131" s="21">
        <f t="shared" si="8"/>
        <v>114300</v>
      </c>
      <c r="AZ131" t="b">
        <f t="shared" si="9"/>
        <v>1</v>
      </c>
    </row>
    <row r="132" spans="1:52" x14ac:dyDescent="0.4">
      <c r="A132" s="6" t="s">
        <v>2230</v>
      </c>
      <c r="B132" s="1" t="s">
        <v>443</v>
      </c>
      <c r="C132" s="1" t="s">
        <v>444</v>
      </c>
      <c r="D132" s="1" t="s">
        <v>445</v>
      </c>
      <c r="E132" s="1" t="s">
        <v>25</v>
      </c>
      <c r="F132" s="1" t="s">
        <v>45</v>
      </c>
      <c r="G132" s="5" t="s">
        <v>10</v>
      </c>
      <c r="H132" s="1" t="s">
        <v>27</v>
      </c>
      <c r="I132">
        <v>59400</v>
      </c>
      <c r="J132" s="1" t="s">
        <v>33</v>
      </c>
      <c r="K132">
        <v>0</v>
      </c>
      <c r="L132">
        <v>59400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18">
        <v>3</v>
      </c>
      <c r="Y132" s="6"/>
      <c r="Z132" s="6">
        <v>19800</v>
      </c>
      <c r="AA132" s="6">
        <v>19800</v>
      </c>
      <c r="AB132" s="6">
        <v>19800</v>
      </c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>
        <f t="shared" si="10"/>
        <v>3</v>
      </c>
      <c r="AX132" t="b">
        <f t="shared" si="11"/>
        <v>1</v>
      </c>
      <c r="AY132" s="21">
        <f t="shared" si="8"/>
        <v>59400</v>
      </c>
      <c r="AZ132" t="b">
        <f t="shared" si="9"/>
        <v>1</v>
      </c>
    </row>
    <row r="133" spans="1:52" x14ac:dyDescent="0.4">
      <c r="A133" s="6" t="s">
        <v>2230</v>
      </c>
      <c r="B133" s="1" t="s">
        <v>446</v>
      </c>
      <c r="C133" s="1" t="s">
        <v>447</v>
      </c>
      <c r="D133" s="1" t="s">
        <v>448</v>
      </c>
      <c r="E133" s="1" t="s">
        <v>44</v>
      </c>
      <c r="F133" s="1" t="s">
        <v>56</v>
      </c>
      <c r="G133" s="5" t="s">
        <v>46</v>
      </c>
      <c r="H133" s="1" t="s">
        <v>27</v>
      </c>
      <c r="I133">
        <v>114300</v>
      </c>
      <c r="J133" s="1" t="s">
        <v>33</v>
      </c>
      <c r="K133">
        <v>0</v>
      </c>
      <c r="L133">
        <v>0</v>
      </c>
      <c r="M133">
        <v>0</v>
      </c>
      <c r="N133">
        <v>0</v>
      </c>
      <c r="O133">
        <v>114300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18">
        <v>6</v>
      </c>
      <c r="Y133" s="6"/>
      <c r="Z133" s="6"/>
      <c r="AA133" s="6"/>
      <c r="AB133" s="6"/>
      <c r="AC133" s="6">
        <v>19050</v>
      </c>
      <c r="AD133" s="6">
        <v>19050</v>
      </c>
      <c r="AE133" s="6">
        <v>19050</v>
      </c>
      <c r="AF133" s="6">
        <v>19050</v>
      </c>
      <c r="AG133" s="6">
        <v>19050</v>
      </c>
      <c r="AH133" s="6">
        <v>19050</v>
      </c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>
        <f t="shared" si="10"/>
        <v>6</v>
      </c>
      <c r="AX133" t="b">
        <f t="shared" si="11"/>
        <v>1</v>
      </c>
      <c r="AY133" s="21">
        <f t="shared" si="8"/>
        <v>114300</v>
      </c>
      <c r="AZ133" t="b">
        <f t="shared" si="9"/>
        <v>1</v>
      </c>
    </row>
    <row r="134" spans="1:52" x14ac:dyDescent="0.4">
      <c r="A134" s="6" t="s">
        <v>2230</v>
      </c>
      <c r="B134" s="1" t="s">
        <v>449</v>
      </c>
      <c r="C134" s="1" t="s">
        <v>450</v>
      </c>
      <c r="D134" s="1" t="s">
        <v>451</v>
      </c>
      <c r="E134" s="1" t="s">
        <v>44</v>
      </c>
      <c r="F134" s="1" t="s">
        <v>56</v>
      </c>
      <c r="G134" s="5" t="s">
        <v>46</v>
      </c>
      <c r="H134" s="1" t="s">
        <v>27</v>
      </c>
      <c r="I134">
        <v>114300</v>
      </c>
      <c r="J134" s="1" t="s">
        <v>33</v>
      </c>
      <c r="K134">
        <v>0</v>
      </c>
      <c r="L134">
        <v>0</v>
      </c>
      <c r="M134">
        <v>0</v>
      </c>
      <c r="N134">
        <v>0</v>
      </c>
      <c r="O134">
        <v>114300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18">
        <v>6</v>
      </c>
      <c r="Y134" s="6"/>
      <c r="Z134" s="6"/>
      <c r="AA134" s="6"/>
      <c r="AB134" s="6"/>
      <c r="AC134" s="6">
        <v>19050</v>
      </c>
      <c r="AD134" s="6">
        <v>19050</v>
      </c>
      <c r="AE134" s="6">
        <v>19050</v>
      </c>
      <c r="AF134" s="6">
        <v>19050</v>
      </c>
      <c r="AG134" s="6">
        <v>19050</v>
      </c>
      <c r="AH134" s="6">
        <v>19050</v>
      </c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>
        <f t="shared" si="10"/>
        <v>6</v>
      </c>
      <c r="AX134" t="b">
        <f t="shared" si="11"/>
        <v>1</v>
      </c>
      <c r="AY134" s="21">
        <f t="shared" si="8"/>
        <v>114300</v>
      </c>
      <c r="AZ134" t="b">
        <f t="shared" si="9"/>
        <v>1</v>
      </c>
    </row>
    <row r="135" spans="1:52" x14ac:dyDescent="0.4">
      <c r="A135" s="6" t="s">
        <v>2230</v>
      </c>
      <c r="B135" s="1" t="s">
        <v>452</v>
      </c>
      <c r="C135" s="1" t="s">
        <v>453</v>
      </c>
      <c r="D135" s="1" t="s">
        <v>454</v>
      </c>
      <c r="E135" s="1" t="s">
        <v>50</v>
      </c>
      <c r="F135" s="1" t="s">
        <v>56</v>
      </c>
      <c r="G135" s="5" t="s">
        <v>46</v>
      </c>
      <c r="H135" s="1" t="s">
        <v>52</v>
      </c>
      <c r="I135">
        <v>114300</v>
      </c>
      <c r="J135" s="1" t="s">
        <v>28</v>
      </c>
      <c r="K135">
        <v>0</v>
      </c>
      <c r="L135">
        <v>0</v>
      </c>
      <c r="M135">
        <v>0</v>
      </c>
      <c r="N135">
        <v>0</v>
      </c>
      <c r="O135">
        <v>114300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18">
        <v>6</v>
      </c>
      <c r="Y135" s="6"/>
      <c r="Z135" s="6"/>
      <c r="AA135" s="6"/>
      <c r="AB135" s="6"/>
      <c r="AC135" s="6">
        <v>19050</v>
      </c>
      <c r="AD135" s="6">
        <v>19050</v>
      </c>
      <c r="AE135" s="6">
        <v>19050</v>
      </c>
      <c r="AF135" s="6">
        <v>19050</v>
      </c>
      <c r="AG135" s="6">
        <v>19050</v>
      </c>
      <c r="AH135" s="6">
        <v>19050</v>
      </c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>
        <f t="shared" si="10"/>
        <v>6</v>
      </c>
      <c r="AX135" t="b">
        <f t="shared" si="11"/>
        <v>1</v>
      </c>
      <c r="AY135" s="21">
        <f t="shared" ref="AY135:AY198" si="12">+SUM(Y135:AV135)</f>
        <v>114300</v>
      </c>
      <c r="AZ135" t="b">
        <f t="shared" ref="AZ135:AZ198" si="13">+I135=AY135</f>
        <v>1</v>
      </c>
    </row>
    <row r="136" spans="1:52" x14ac:dyDescent="0.4">
      <c r="A136" s="6" t="s">
        <v>2230</v>
      </c>
      <c r="B136" s="1" t="s">
        <v>455</v>
      </c>
      <c r="C136" s="1" t="s">
        <v>456</v>
      </c>
      <c r="D136" s="1" t="s">
        <v>457</v>
      </c>
      <c r="E136" s="1" t="s">
        <v>44</v>
      </c>
      <c r="F136" s="1" t="s">
        <v>112</v>
      </c>
      <c r="G136" s="5" t="s">
        <v>46</v>
      </c>
      <c r="H136" s="1" t="s">
        <v>27</v>
      </c>
      <c r="I136">
        <v>114300</v>
      </c>
      <c r="J136" s="1" t="s">
        <v>33</v>
      </c>
      <c r="K136">
        <v>0</v>
      </c>
      <c r="L136">
        <v>0</v>
      </c>
      <c r="M136">
        <v>0</v>
      </c>
      <c r="N136">
        <v>0</v>
      </c>
      <c r="O136">
        <v>114300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18">
        <v>6</v>
      </c>
      <c r="Y136" s="6"/>
      <c r="Z136" s="6"/>
      <c r="AA136" s="6"/>
      <c r="AB136" s="6"/>
      <c r="AC136" s="6">
        <v>19050</v>
      </c>
      <c r="AD136" s="6">
        <v>19050</v>
      </c>
      <c r="AE136" s="6">
        <v>19050</v>
      </c>
      <c r="AF136" s="6">
        <v>19050</v>
      </c>
      <c r="AG136" s="6">
        <v>19050</v>
      </c>
      <c r="AH136" s="6">
        <v>19050</v>
      </c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>
        <f t="shared" si="10"/>
        <v>6</v>
      </c>
      <c r="AX136" t="b">
        <f t="shared" si="11"/>
        <v>1</v>
      </c>
      <c r="AY136" s="21">
        <f t="shared" si="12"/>
        <v>114300</v>
      </c>
      <c r="AZ136" t="b">
        <f t="shared" si="13"/>
        <v>1</v>
      </c>
    </row>
    <row r="137" spans="1:52" x14ac:dyDescent="0.4">
      <c r="A137" s="6" t="s">
        <v>2230</v>
      </c>
      <c r="B137" s="1" t="s">
        <v>458</v>
      </c>
      <c r="C137" s="1" t="s">
        <v>459</v>
      </c>
      <c r="D137" s="1" t="s">
        <v>460</v>
      </c>
      <c r="E137" s="1" t="s">
        <v>25</v>
      </c>
      <c r="F137" s="1" t="s">
        <v>37</v>
      </c>
      <c r="G137" s="5" t="s">
        <v>10</v>
      </c>
      <c r="H137" s="1" t="s">
        <v>27</v>
      </c>
      <c r="I137">
        <v>59400</v>
      </c>
      <c r="J137" s="1" t="s">
        <v>33</v>
      </c>
      <c r="K137">
        <v>0</v>
      </c>
      <c r="L137">
        <v>59400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8">
        <v>3</v>
      </c>
      <c r="Y137" s="6"/>
      <c r="Z137" s="6">
        <v>19800</v>
      </c>
      <c r="AA137" s="6">
        <v>19800</v>
      </c>
      <c r="AB137" s="6">
        <v>19800</v>
      </c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>
        <f t="shared" si="10"/>
        <v>3</v>
      </c>
      <c r="AX137" t="b">
        <f t="shared" si="11"/>
        <v>1</v>
      </c>
      <c r="AY137" s="21">
        <f t="shared" si="12"/>
        <v>59400</v>
      </c>
      <c r="AZ137" t="b">
        <f t="shared" si="13"/>
        <v>1</v>
      </c>
    </row>
    <row r="138" spans="1:52" x14ac:dyDescent="0.4">
      <c r="A138" s="6" t="s">
        <v>2230</v>
      </c>
      <c r="B138" s="1" t="s">
        <v>461</v>
      </c>
      <c r="C138" s="1" t="s">
        <v>462</v>
      </c>
      <c r="D138" s="1" t="s">
        <v>463</v>
      </c>
      <c r="E138" s="1" t="s">
        <v>44</v>
      </c>
      <c r="F138" s="1" t="s">
        <v>32</v>
      </c>
      <c r="G138" s="5" t="s">
        <v>46</v>
      </c>
      <c r="H138" s="1" t="s">
        <v>27</v>
      </c>
      <c r="I138">
        <v>114300</v>
      </c>
      <c r="J138" s="1" t="s">
        <v>33</v>
      </c>
      <c r="K138">
        <v>0</v>
      </c>
      <c r="L138">
        <v>0</v>
      </c>
      <c r="M138">
        <v>0</v>
      </c>
      <c r="N138">
        <v>0</v>
      </c>
      <c r="O138">
        <v>114300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18">
        <v>6</v>
      </c>
      <c r="Y138" s="6"/>
      <c r="Z138" s="6"/>
      <c r="AA138" s="6"/>
      <c r="AB138" s="6"/>
      <c r="AC138" s="6">
        <v>19050</v>
      </c>
      <c r="AD138" s="6">
        <v>19050</v>
      </c>
      <c r="AE138" s="6">
        <v>19050</v>
      </c>
      <c r="AF138" s="6">
        <v>19050</v>
      </c>
      <c r="AG138" s="6">
        <v>19050</v>
      </c>
      <c r="AH138" s="6">
        <v>19050</v>
      </c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>
        <f t="shared" si="10"/>
        <v>6</v>
      </c>
      <c r="AX138" t="b">
        <f t="shared" si="11"/>
        <v>1</v>
      </c>
      <c r="AY138" s="21">
        <f t="shared" si="12"/>
        <v>114300</v>
      </c>
      <c r="AZ138" t="b">
        <f t="shared" si="13"/>
        <v>1</v>
      </c>
    </row>
    <row r="139" spans="1:52" x14ac:dyDescent="0.4">
      <c r="A139" s="6" t="s">
        <v>2230</v>
      </c>
      <c r="B139" s="1" t="s">
        <v>464</v>
      </c>
      <c r="C139" s="1" t="s">
        <v>465</v>
      </c>
      <c r="D139" s="1" t="s">
        <v>466</v>
      </c>
      <c r="E139" s="1" t="s">
        <v>44</v>
      </c>
      <c r="F139" s="1" t="s">
        <v>37</v>
      </c>
      <c r="G139" s="5" t="s">
        <v>46</v>
      </c>
      <c r="H139" s="1" t="s">
        <v>27</v>
      </c>
      <c r="I139">
        <v>114300</v>
      </c>
      <c r="J139" s="1" t="s">
        <v>33</v>
      </c>
      <c r="K139">
        <v>0</v>
      </c>
      <c r="L139">
        <v>0</v>
      </c>
      <c r="M139">
        <v>0</v>
      </c>
      <c r="N139">
        <v>0</v>
      </c>
      <c r="O139">
        <v>114300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18">
        <v>6</v>
      </c>
      <c r="Y139" s="6"/>
      <c r="Z139" s="6"/>
      <c r="AA139" s="6"/>
      <c r="AB139" s="6"/>
      <c r="AC139" s="6">
        <v>19050</v>
      </c>
      <c r="AD139" s="6">
        <v>19050</v>
      </c>
      <c r="AE139" s="6">
        <v>19050</v>
      </c>
      <c r="AF139" s="6">
        <v>19050</v>
      </c>
      <c r="AG139" s="6">
        <v>19050</v>
      </c>
      <c r="AH139" s="6">
        <v>19050</v>
      </c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>
        <f t="shared" si="10"/>
        <v>6</v>
      </c>
      <c r="AX139" t="b">
        <f t="shared" si="11"/>
        <v>1</v>
      </c>
      <c r="AY139" s="21">
        <f t="shared" si="12"/>
        <v>114300</v>
      </c>
      <c r="AZ139" t="b">
        <f t="shared" si="13"/>
        <v>1</v>
      </c>
    </row>
    <row r="140" spans="1:52" x14ac:dyDescent="0.4">
      <c r="A140" s="6" t="s">
        <v>2230</v>
      </c>
      <c r="B140" s="1" t="s">
        <v>467</v>
      </c>
      <c r="C140" s="1" t="s">
        <v>468</v>
      </c>
      <c r="D140" s="1" t="s">
        <v>469</v>
      </c>
      <c r="E140" s="1" t="s">
        <v>44</v>
      </c>
      <c r="F140" s="1" t="s">
        <v>45</v>
      </c>
      <c r="G140" s="5" t="s">
        <v>46</v>
      </c>
      <c r="H140" s="1" t="s">
        <v>27</v>
      </c>
      <c r="I140">
        <v>114300</v>
      </c>
      <c r="J140" s="1" t="s">
        <v>33</v>
      </c>
      <c r="K140">
        <v>0</v>
      </c>
      <c r="L140">
        <v>0</v>
      </c>
      <c r="M140">
        <v>0</v>
      </c>
      <c r="N140">
        <v>0</v>
      </c>
      <c r="O140">
        <v>114300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18">
        <v>6</v>
      </c>
      <c r="Y140" s="6"/>
      <c r="Z140" s="6"/>
      <c r="AA140" s="6"/>
      <c r="AB140" s="6"/>
      <c r="AC140" s="6">
        <v>19050</v>
      </c>
      <c r="AD140" s="6">
        <v>19050</v>
      </c>
      <c r="AE140" s="6">
        <v>19050</v>
      </c>
      <c r="AF140" s="6">
        <v>19050</v>
      </c>
      <c r="AG140" s="6">
        <v>19050</v>
      </c>
      <c r="AH140" s="6">
        <v>19050</v>
      </c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>
        <f t="shared" si="10"/>
        <v>6</v>
      </c>
      <c r="AX140" t="b">
        <f t="shared" si="11"/>
        <v>1</v>
      </c>
      <c r="AY140" s="21">
        <f t="shared" si="12"/>
        <v>114300</v>
      </c>
      <c r="AZ140" t="b">
        <f t="shared" si="13"/>
        <v>1</v>
      </c>
    </row>
    <row r="141" spans="1:52" x14ac:dyDescent="0.4">
      <c r="A141" s="6" t="s">
        <v>2230</v>
      </c>
      <c r="B141" s="1" t="s">
        <v>470</v>
      </c>
      <c r="C141" s="1" t="s">
        <v>471</v>
      </c>
      <c r="D141" s="1" t="s">
        <v>472</v>
      </c>
      <c r="E141" s="1" t="s">
        <v>25</v>
      </c>
      <c r="F141" s="1" t="s">
        <v>333</v>
      </c>
      <c r="G141" s="5" t="s">
        <v>10</v>
      </c>
      <c r="H141" s="1" t="s">
        <v>27</v>
      </c>
      <c r="I141">
        <v>59400</v>
      </c>
      <c r="J141" s="1" t="s">
        <v>33</v>
      </c>
      <c r="K141">
        <v>0</v>
      </c>
      <c r="L141">
        <v>59400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8">
        <v>3</v>
      </c>
      <c r="Y141" s="6"/>
      <c r="Z141" s="6">
        <v>19800</v>
      </c>
      <c r="AA141" s="6">
        <v>19800</v>
      </c>
      <c r="AB141" s="6">
        <v>19800</v>
      </c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>
        <f t="shared" si="10"/>
        <v>3</v>
      </c>
      <c r="AX141" t="b">
        <f t="shared" si="11"/>
        <v>1</v>
      </c>
      <c r="AY141" s="21">
        <f t="shared" si="12"/>
        <v>59400</v>
      </c>
      <c r="AZ141" t="b">
        <f t="shared" si="13"/>
        <v>1</v>
      </c>
    </row>
    <row r="142" spans="1:52" x14ac:dyDescent="0.4">
      <c r="A142" s="6" t="s">
        <v>2230</v>
      </c>
      <c r="B142" s="1" t="s">
        <v>473</v>
      </c>
      <c r="C142" s="1" t="s">
        <v>474</v>
      </c>
      <c r="D142" s="1" t="s">
        <v>475</v>
      </c>
      <c r="E142" s="1" t="s">
        <v>44</v>
      </c>
      <c r="F142" s="1" t="s">
        <v>86</v>
      </c>
      <c r="G142" s="5" t="s">
        <v>46</v>
      </c>
      <c r="H142" s="1" t="s">
        <v>27</v>
      </c>
      <c r="I142">
        <v>114300</v>
      </c>
      <c r="J142" s="1" t="s">
        <v>33</v>
      </c>
      <c r="K142">
        <v>0</v>
      </c>
      <c r="L142">
        <v>0</v>
      </c>
      <c r="M142">
        <v>0</v>
      </c>
      <c r="N142">
        <v>0</v>
      </c>
      <c r="O142">
        <v>114300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18">
        <v>6</v>
      </c>
      <c r="Y142" s="6"/>
      <c r="Z142" s="6"/>
      <c r="AA142" s="6"/>
      <c r="AB142" s="6"/>
      <c r="AC142" s="6">
        <v>19050</v>
      </c>
      <c r="AD142" s="6">
        <v>19050</v>
      </c>
      <c r="AE142" s="6">
        <v>19050</v>
      </c>
      <c r="AF142" s="6">
        <v>19050</v>
      </c>
      <c r="AG142" s="6">
        <v>19050</v>
      </c>
      <c r="AH142" s="6">
        <v>19050</v>
      </c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>
        <f t="shared" si="10"/>
        <v>6</v>
      </c>
      <c r="AX142" t="b">
        <f t="shared" si="11"/>
        <v>1</v>
      </c>
      <c r="AY142" s="21">
        <f t="shared" si="12"/>
        <v>114300</v>
      </c>
      <c r="AZ142" t="b">
        <f t="shared" si="13"/>
        <v>1</v>
      </c>
    </row>
    <row r="143" spans="1:52" x14ac:dyDescent="0.4">
      <c r="A143" s="6" t="s">
        <v>2230</v>
      </c>
      <c r="B143" s="1" t="s">
        <v>476</v>
      </c>
      <c r="C143" s="1" t="s">
        <v>477</v>
      </c>
      <c r="D143" s="1" t="s">
        <v>478</v>
      </c>
      <c r="E143" s="1" t="s">
        <v>25</v>
      </c>
      <c r="F143" s="1" t="s">
        <v>26</v>
      </c>
      <c r="G143" s="5" t="s">
        <v>479</v>
      </c>
      <c r="H143" s="1" t="s">
        <v>27</v>
      </c>
      <c r="I143">
        <v>59400</v>
      </c>
      <c r="J143" s="1" t="s">
        <v>28</v>
      </c>
      <c r="K143">
        <v>0</v>
      </c>
      <c r="L143">
        <v>0</v>
      </c>
      <c r="M143">
        <v>59400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18">
        <v>3</v>
      </c>
      <c r="Y143" s="6"/>
      <c r="Z143" s="6"/>
      <c r="AA143" s="6">
        <v>19800</v>
      </c>
      <c r="AB143" s="6">
        <v>19800</v>
      </c>
      <c r="AC143" s="6">
        <v>19800</v>
      </c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>
        <f t="shared" si="10"/>
        <v>3</v>
      </c>
      <c r="AX143" t="b">
        <f t="shared" si="11"/>
        <v>1</v>
      </c>
      <c r="AY143" s="21">
        <f t="shared" si="12"/>
        <v>59400</v>
      </c>
      <c r="AZ143" t="b">
        <f t="shared" si="13"/>
        <v>1</v>
      </c>
    </row>
    <row r="144" spans="1:52" x14ac:dyDescent="0.4">
      <c r="A144" s="6" t="s">
        <v>2230</v>
      </c>
      <c r="B144" s="1" t="s">
        <v>480</v>
      </c>
      <c r="C144" s="1" t="s">
        <v>481</v>
      </c>
      <c r="D144" s="1" t="s">
        <v>482</v>
      </c>
      <c r="E144" s="1" t="s">
        <v>25</v>
      </c>
      <c r="F144" s="1" t="s">
        <v>45</v>
      </c>
      <c r="G144" s="5" t="s">
        <v>10</v>
      </c>
      <c r="H144" s="1" t="s">
        <v>27</v>
      </c>
      <c r="I144">
        <v>59400</v>
      </c>
      <c r="J144" s="1" t="s">
        <v>33</v>
      </c>
      <c r="K144">
        <v>0</v>
      </c>
      <c r="L144">
        <v>59400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18">
        <v>3</v>
      </c>
      <c r="Y144" s="6"/>
      <c r="Z144" s="6">
        <v>19800</v>
      </c>
      <c r="AA144" s="6">
        <v>19800</v>
      </c>
      <c r="AB144" s="6">
        <v>19800</v>
      </c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>
        <f t="shared" ref="AW144:AW207" si="14">+COUNTA(Y144:AV144)</f>
        <v>3</v>
      </c>
      <c r="AX144" t="b">
        <f t="shared" ref="AX144:AX207" si="15">+AW144=X144</f>
        <v>1</v>
      </c>
      <c r="AY144" s="21">
        <f t="shared" si="12"/>
        <v>59400</v>
      </c>
      <c r="AZ144" t="b">
        <f t="shared" si="13"/>
        <v>1</v>
      </c>
    </row>
    <row r="145" spans="1:52" x14ac:dyDescent="0.4">
      <c r="A145" s="6" t="s">
        <v>2230</v>
      </c>
      <c r="B145" s="1" t="s">
        <v>483</v>
      </c>
      <c r="C145" s="1" t="s">
        <v>484</v>
      </c>
      <c r="D145" s="1" t="s">
        <v>485</v>
      </c>
      <c r="E145" s="1" t="s">
        <v>44</v>
      </c>
      <c r="F145" s="1" t="s">
        <v>90</v>
      </c>
      <c r="G145" s="5" t="s">
        <v>46</v>
      </c>
      <c r="H145" s="1" t="s">
        <v>27</v>
      </c>
      <c r="I145">
        <v>114300</v>
      </c>
      <c r="J145" s="1" t="s">
        <v>33</v>
      </c>
      <c r="K145">
        <v>0</v>
      </c>
      <c r="L145">
        <v>0</v>
      </c>
      <c r="M145">
        <v>0</v>
      </c>
      <c r="N145">
        <v>0</v>
      </c>
      <c r="O145">
        <v>114300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18">
        <v>6</v>
      </c>
      <c r="Y145" s="6"/>
      <c r="Z145" s="6"/>
      <c r="AA145" s="6"/>
      <c r="AB145" s="6"/>
      <c r="AC145" s="6">
        <v>19050</v>
      </c>
      <c r="AD145" s="6">
        <v>19050</v>
      </c>
      <c r="AE145" s="6">
        <v>19050</v>
      </c>
      <c r="AF145" s="6">
        <v>19050</v>
      </c>
      <c r="AG145" s="6">
        <v>19050</v>
      </c>
      <c r="AH145" s="6">
        <v>19050</v>
      </c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>
        <f t="shared" si="14"/>
        <v>6</v>
      </c>
      <c r="AX145" t="b">
        <f t="shared" si="15"/>
        <v>1</v>
      </c>
      <c r="AY145" s="21">
        <f t="shared" si="12"/>
        <v>114300</v>
      </c>
      <c r="AZ145" t="b">
        <f t="shared" si="13"/>
        <v>1</v>
      </c>
    </row>
    <row r="146" spans="1:52" x14ac:dyDescent="0.4">
      <c r="A146" s="6" t="s">
        <v>2230</v>
      </c>
      <c r="B146" s="1" t="s">
        <v>486</v>
      </c>
      <c r="C146" s="1" t="s">
        <v>487</v>
      </c>
      <c r="D146" s="1" t="s">
        <v>488</v>
      </c>
      <c r="E146" s="1" t="s">
        <v>70</v>
      </c>
      <c r="F146" s="1" t="s">
        <v>37</v>
      </c>
      <c r="G146" s="5" t="s">
        <v>479</v>
      </c>
      <c r="H146" s="1" t="s">
        <v>52</v>
      </c>
      <c r="I146">
        <v>59400</v>
      </c>
      <c r="J146" s="1" t="s">
        <v>28</v>
      </c>
      <c r="K146">
        <v>0</v>
      </c>
      <c r="L146">
        <v>0</v>
      </c>
      <c r="M146">
        <v>59400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18">
        <v>3</v>
      </c>
      <c r="Y146" s="6"/>
      <c r="Z146" s="6"/>
      <c r="AA146" s="6">
        <v>19800</v>
      </c>
      <c r="AB146" s="6">
        <v>19800</v>
      </c>
      <c r="AC146" s="6">
        <v>19800</v>
      </c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>
        <f t="shared" si="14"/>
        <v>3</v>
      </c>
      <c r="AX146" t="b">
        <f t="shared" si="15"/>
        <v>1</v>
      </c>
      <c r="AY146" s="21">
        <f t="shared" si="12"/>
        <v>59400</v>
      </c>
      <c r="AZ146" t="b">
        <f t="shared" si="13"/>
        <v>1</v>
      </c>
    </row>
    <row r="147" spans="1:52" x14ac:dyDescent="0.4">
      <c r="A147" s="6" t="s">
        <v>2230</v>
      </c>
      <c r="B147" s="1" t="s">
        <v>489</v>
      </c>
      <c r="C147" s="1" t="s">
        <v>490</v>
      </c>
      <c r="D147" s="1" t="s">
        <v>491</v>
      </c>
      <c r="E147" s="1" t="s">
        <v>44</v>
      </c>
      <c r="F147" s="1" t="s">
        <v>140</v>
      </c>
      <c r="G147" s="5" t="s">
        <v>46</v>
      </c>
      <c r="H147" s="1" t="s">
        <v>27</v>
      </c>
      <c r="I147">
        <v>114300</v>
      </c>
      <c r="J147" s="1" t="s">
        <v>33</v>
      </c>
      <c r="K147">
        <v>0</v>
      </c>
      <c r="L147">
        <v>0</v>
      </c>
      <c r="M147">
        <v>0</v>
      </c>
      <c r="N147">
        <v>0</v>
      </c>
      <c r="O147">
        <v>114300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18">
        <v>6</v>
      </c>
      <c r="Y147" s="6"/>
      <c r="Z147" s="6"/>
      <c r="AA147" s="6"/>
      <c r="AB147" s="6"/>
      <c r="AC147" s="6">
        <v>19050</v>
      </c>
      <c r="AD147" s="6">
        <v>19050</v>
      </c>
      <c r="AE147" s="6">
        <v>19050</v>
      </c>
      <c r="AF147" s="6">
        <v>19050</v>
      </c>
      <c r="AG147" s="6">
        <v>19050</v>
      </c>
      <c r="AH147" s="6">
        <v>19050</v>
      </c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>
        <f t="shared" si="14"/>
        <v>6</v>
      </c>
      <c r="AX147" t="b">
        <f t="shared" si="15"/>
        <v>1</v>
      </c>
      <c r="AY147" s="21">
        <f t="shared" si="12"/>
        <v>114300</v>
      </c>
      <c r="AZ147" t="b">
        <f t="shared" si="13"/>
        <v>1</v>
      </c>
    </row>
    <row r="148" spans="1:52" x14ac:dyDescent="0.4">
      <c r="A148" s="6" t="s">
        <v>2230</v>
      </c>
      <c r="B148" s="1" t="s">
        <v>492</v>
      </c>
      <c r="C148" s="1" t="s">
        <v>493</v>
      </c>
      <c r="D148" s="1" t="s">
        <v>494</v>
      </c>
      <c r="E148" s="1" t="s">
        <v>44</v>
      </c>
      <c r="F148" s="1" t="s">
        <v>32</v>
      </c>
      <c r="G148" s="5" t="s">
        <v>46</v>
      </c>
      <c r="H148" s="1" t="s">
        <v>27</v>
      </c>
      <c r="I148">
        <v>114300</v>
      </c>
      <c r="J148" s="1" t="s">
        <v>33</v>
      </c>
      <c r="K148">
        <v>0</v>
      </c>
      <c r="L148">
        <v>0</v>
      </c>
      <c r="M148">
        <v>0</v>
      </c>
      <c r="N148">
        <v>0</v>
      </c>
      <c r="O148">
        <v>114300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18">
        <v>6</v>
      </c>
      <c r="Y148" s="6"/>
      <c r="Z148" s="6"/>
      <c r="AA148" s="6"/>
      <c r="AB148" s="6"/>
      <c r="AC148" s="6">
        <v>19050</v>
      </c>
      <c r="AD148" s="6">
        <v>19050</v>
      </c>
      <c r="AE148" s="6">
        <v>19050</v>
      </c>
      <c r="AF148" s="6">
        <v>19050</v>
      </c>
      <c r="AG148" s="6">
        <v>19050</v>
      </c>
      <c r="AH148" s="6">
        <v>19050</v>
      </c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>
        <f t="shared" si="14"/>
        <v>6</v>
      </c>
      <c r="AX148" t="b">
        <f t="shared" si="15"/>
        <v>1</v>
      </c>
      <c r="AY148" s="21">
        <f t="shared" si="12"/>
        <v>114300</v>
      </c>
      <c r="AZ148" t="b">
        <f t="shared" si="13"/>
        <v>1</v>
      </c>
    </row>
    <row r="149" spans="1:52" x14ac:dyDescent="0.4">
      <c r="A149" s="6" t="s">
        <v>2230</v>
      </c>
      <c r="B149" s="1" t="s">
        <v>495</v>
      </c>
      <c r="C149" s="1" t="s">
        <v>496</v>
      </c>
      <c r="D149" s="1" t="s">
        <v>497</v>
      </c>
      <c r="E149" s="1" t="s">
        <v>25</v>
      </c>
      <c r="F149" s="1" t="s">
        <v>37</v>
      </c>
      <c r="G149" s="5" t="s">
        <v>10</v>
      </c>
      <c r="H149" s="1" t="s">
        <v>27</v>
      </c>
      <c r="I149">
        <v>59400</v>
      </c>
      <c r="J149" s="1" t="s">
        <v>33</v>
      </c>
      <c r="K149">
        <v>0</v>
      </c>
      <c r="L149">
        <v>59400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18">
        <v>3</v>
      </c>
      <c r="Y149" s="6"/>
      <c r="Z149" s="6">
        <v>19800</v>
      </c>
      <c r="AA149" s="6">
        <v>19800</v>
      </c>
      <c r="AB149" s="6">
        <v>19800</v>
      </c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>
        <f t="shared" si="14"/>
        <v>3</v>
      </c>
      <c r="AX149" t="b">
        <f t="shared" si="15"/>
        <v>1</v>
      </c>
      <c r="AY149" s="21">
        <f t="shared" si="12"/>
        <v>59400</v>
      </c>
      <c r="AZ149" t="b">
        <f t="shared" si="13"/>
        <v>1</v>
      </c>
    </row>
    <row r="150" spans="1:52" x14ac:dyDescent="0.4">
      <c r="A150" s="6" t="s">
        <v>2230</v>
      </c>
      <c r="B150" s="1" t="s">
        <v>498</v>
      </c>
      <c r="C150" s="1" t="s">
        <v>499</v>
      </c>
      <c r="D150" s="1" t="s">
        <v>500</v>
      </c>
      <c r="E150" s="1" t="s">
        <v>44</v>
      </c>
      <c r="F150" s="1" t="s">
        <v>37</v>
      </c>
      <c r="G150" s="5" t="s">
        <v>46</v>
      </c>
      <c r="H150" s="1" t="s">
        <v>27</v>
      </c>
      <c r="I150">
        <v>114300</v>
      </c>
      <c r="J150" s="1" t="s">
        <v>33</v>
      </c>
      <c r="K150">
        <v>0</v>
      </c>
      <c r="L150">
        <v>0</v>
      </c>
      <c r="M150">
        <v>0</v>
      </c>
      <c r="N150">
        <v>0</v>
      </c>
      <c r="O150">
        <v>114300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18">
        <v>6</v>
      </c>
      <c r="Y150" s="6"/>
      <c r="Z150" s="6"/>
      <c r="AA150" s="6"/>
      <c r="AB150" s="6"/>
      <c r="AC150" s="6">
        <v>19050</v>
      </c>
      <c r="AD150" s="6">
        <v>19050</v>
      </c>
      <c r="AE150" s="6">
        <v>19050</v>
      </c>
      <c r="AF150" s="6">
        <v>19050</v>
      </c>
      <c r="AG150" s="6">
        <v>19050</v>
      </c>
      <c r="AH150" s="6">
        <v>19050</v>
      </c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>
        <f t="shared" si="14"/>
        <v>6</v>
      </c>
      <c r="AX150" t="b">
        <f t="shared" si="15"/>
        <v>1</v>
      </c>
      <c r="AY150" s="21">
        <f t="shared" si="12"/>
        <v>114300</v>
      </c>
      <c r="AZ150" t="b">
        <f t="shared" si="13"/>
        <v>1</v>
      </c>
    </row>
    <row r="151" spans="1:52" x14ac:dyDescent="0.4">
      <c r="A151" s="6" t="s">
        <v>2230</v>
      </c>
      <c r="B151" s="1" t="s">
        <v>501</v>
      </c>
      <c r="C151" s="1" t="s">
        <v>502</v>
      </c>
      <c r="D151" s="1" t="s">
        <v>503</v>
      </c>
      <c r="E151" s="1" t="s">
        <v>44</v>
      </c>
      <c r="F151" s="1" t="s">
        <v>37</v>
      </c>
      <c r="G151" s="5" t="s">
        <v>46</v>
      </c>
      <c r="H151" s="1" t="s">
        <v>27</v>
      </c>
      <c r="I151">
        <v>114300</v>
      </c>
      <c r="J151" s="1" t="s">
        <v>33</v>
      </c>
      <c r="K151">
        <v>0</v>
      </c>
      <c r="L151">
        <v>0</v>
      </c>
      <c r="M151">
        <v>0</v>
      </c>
      <c r="N151">
        <v>0</v>
      </c>
      <c r="O151">
        <v>114300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18">
        <v>6</v>
      </c>
      <c r="Y151" s="6"/>
      <c r="Z151" s="6"/>
      <c r="AA151" s="6"/>
      <c r="AB151" s="6"/>
      <c r="AC151" s="6">
        <v>19050</v>
      </c>
      <c r="AD151" s="6">
        <v>19050</v>
      </c>
      <c r="AE151" s="6">
        <v>19050</v>
      </c>
      <c r="AF151" s="6">
        <v>19050</v>
      </c>
      <c r="AG151" s="6">
        <v>19050</v>
      </c>
      <c r="AH151" s="6">
        <v>19050</v>
      </c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>
        <f t="shared" si="14"/>
        <v>6</v>
      </c>
      <c r="AX151" t="b">
        <f t="shared" si="15"/>
        <v>1</v>
      </c>
      <c r="AY151" s="21">
        <f t="shared" si="12"/>
        <v>114300</v>
      </c>
      <c r="AZ151" t="b">
        <f t="shared" si="13"/>
        <v>1</v>
      </c>
    </row>
    <row r="152" spans="1:52" x14ac:dyDescent="0.4">
      <c r="A152" s="6" t="s">
        <v>2230</v>
      </c>
      <c r="B152" s="1" t="s">
        <v>504</v>
      </c>
      <c r="C152" s="1" t="s">
        <v>505</v>
      </c>
      <c r="D152" s="1" t="s">
        <v>506</v>
      </c>
      <c r="E152" s="1" t="s">
        <v>44</v>
      </c>
      <c r="F152" s="1" t="s">
        <v>333</v>
      </c>
      <c r="G152" s="5" t="s">
        <v>46</v>
      </c>
      <c r="H152" s="1" t="s">
        <v>27</v>
      </c>
      <c r="I152">
        <v>114300</v>
      </c>
      <c r="J152" s="1" t="s">
        <v>33</v>
      </c>
      <c r="K152">
        <v>0</v>
      </c>
      <c r="L152">
        <v>0</v>
      </c>
      <c r="M152">
        <v>0</v>
      </c>
      <c r="N152">
        <v>0</v>
      </c>
      <c r="O152">
        <v>114300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18">
        <v>6</v>
      </c>
      <c r="Y152" s="6"/>
      <c r="Z152" s="6"/>
      <c r="AA152" s="6"/>
      <c r="AB152" s="6"/>
      <c r="AC152" s="6">
        <v>19050</v>
      </c>
      <c r="AD152" s="6">
        <v>19050</v>
      </c>
      <c r="AE152" s="6">
        <v>19050</v>
      </c>
      <c r="AF152" s="6">
        <v>19050</v>
      </c>
      <c r="AG152" s="6">
        <v>19050</v>
      </c>
      <c r="AH152" s="6">
        <v>19050</v>
      </c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>
        <f t="shared" si="14"/>
        <v>6</v>
      </c>
      <c r="AX152" t="b">
        <f t="shared" si="15"/>
        <v>1</v>
      </c>
      <c r="AY152" s="21">
        <f t="shared" si="12"/>
        <v>114300</v>
      </c>
      <c r="AZ152" t="b">
        <f t="shared" si="13"/>
        <v>1</v>
      </c>
    </row>
    <row r="153" spans="1:52" x14ac:dyDescent="0.4">
      <c r="A153" s="6" t="s">
        <v>2230</v>
      </c>
      <c r="B153" s="1" t="s">
        <v>507</v>
      </c>
      <c r="C153" s="1" t="s">
        <v>508</v>
      </c>
      <c r="D153" s="1" t="s">
        <v>509</v>
      </c>
      <c r="E153" s="1" t="s">
        <v>25</v>
      </c>
      <c r="F153" s="1" t="s">
        <v>45</v>
      </c>
      <c r="G153" s="5" t="s">
        <v>10</v>
      </c>
      <c r="H153" s="1" t="s">
        <v>27</v>
      </c>
      <c r="I153">
        <v>59400</v>
      </c>
      <c r="J153" s="1" t="s">
        <v>33</v>
      </c>
      <c r="K153">
        <v>0</v>
      </c>
      <c r="L153">
        <v>59400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18">
        <v>3</v>
      </c>
      <c r="Y153" s="6"/>
      <c r="Z153" s="6">
        <v>19800</v>
      </c>
      <c r="AA153" s="6">
        <v>19800</v>
      </c>
      <c r="AB153" s="6">
        <v>19800</v>
      </c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>
        <f t="shared" si="14"/>
        <v>3</v>
      </c>
      <c r="AX153" t="b">
        <f t="shared" si="15"/>
        <v>1</v>
      </c>
      <c r="AY153" s="21">
        <f t="shared" si="12"/>
        <v>59400</v>
      </c>
      <c r="AZ153" t="b">
        <f t="shared" si="13"/>
        <v>1</v>
      </c>
    </row>
    <row r="154" spans="1:52" x14ac:dyDescent="0.4">
      <c r="A154" s="6" t="s">
        <v>2230</v>
      </c>
      <c r="B154" s="1" t="s">
        <v>510</v>
      </c>
      <c r="C154" s="1" t="s">
        <v>511</v>
      </c>
      <c r="D154" s="1" t="s">
        <v>512</v>
      </c>
      <c r="E154" s="1" t="s">
        <v>25</v>
      </c>
      <c r="F154" s="1" t="s">
        <v>32</v>
      </c>
      <c r="G154" s="5" t="s">
        <v>10</v>
      </c>
      <c r="H154" s="1" t="s">
        <v>27</v>
      </c>
      <c r="I154">
        <v>59400</v>
      </c>
      <c r="J154" s="1" t="s">
        <v>33</v>
      </c>
      <c r="K154">
        <v>0</v>
      </c>
      <c r="L154">
        <v>59400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18">
        <v>3</v>
      </c>
      <c r="Y154" s="6"/>
      <c r="Z154" s="6">
        <v>19800</v>
      </c>
      <c r="AA154" s="6">
        <v>19800</v>
      </c>
      <c r="AB154" s="6">
        <v>19800</v>
      </c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>
        <f t="shared" si="14"/>
        <v>3</v>
      </c>
      <c r="AX154" t="b">
        <f t="shared" si="15"/>
        <v>1</v>
      </c>
      <c r="AY154" s="21">
        <f t="shared" si="12"/>
        <v>59400</v>
      </c>
      <c r="AZ154" t="b">
        <f t="shared" si="13"/>
        <v>1</v>
      </c>
    </row>
    <row r="155" spans="1:52" x14ac:dyDescent="0.4">
      <c r="A155" s="6" t="s">
        <v>2230</v>
      </c>
      <c r="B155" s="1" t="s">
        <v>513</v>
      </c>
      <c r="C155" s="1" t="s">
        <v>514</v>
      </c>
      <c r="D155" s="1" t="s">
        <v>515</v>
      </c>
      <c r="E155" s="1" t="s">
        <v>44</v>
      </c>
      <c r="F155" s="1" t="s">
        <v>86</v>
      </c>
      <c r="G155" s="5" t="s">
        <v>46</v>
      </c>
      <c r="H155" s="1" t="s">
        <v>27</v>
      </c>
      <c r="I155">
        <v>114300</v>
      </c>
      <c r="J155" s="1" t="s">
        <v>33</v>
      </c>
      <c r="K155">
        <v>0</v>
      </c>
      <c r="L155">
        <v>0</v>
      </c>
      <c r="M155">
        <v>0</v>
      </c>
      <c r="N155">
        <v>0</v>
      </c>
      <c r="O155">
        <v>114300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18">
        <v>6</v>
      </c>
      <c r="Y155" s="6"/>
      <c r="Z155" s="6"/>
      <c r="AA155" s="6"/>
      <c r="AB155" s="6"/>
      <c r="AC155" s="6">
        <v>19050</v>
      </c>
      <c r="AD155" s="6">
        <v>19050</v>
      </c>
      <c r="AE155" s="6">
        <v>19050</v>
      </c>
      <c r="AF155" s="6">
        <v>19050</v>
      </c>
      <c r="AG155" s="6">
        <v>19050</v>
      </c>
      <c r="AH155" s="6">
        <v>19050</v>
      </c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>
        <f t="shared" si="14"/>
        <v>6</v>
      </c>
      <c r="AX155" t="b">
        <f t="shared" si="15"/>
        <v>1</v>
      </c>
      <c r="AY155" s="21">
        <f t="shared" si="12"/>
        <v>114300</v>
      </c>
      <c r="AZ155" t="b">
        <f t="shared" si="13"/>
        <v>1</v>
      </c>
    </row>
    <row r="156" spans="1:52" x14ac:dyDescent="0.4">
      <c r="A156" s="6" t="s">
        <v>2230</v>
      </c>
      <c r="B156" s="1" t="s">
        <v>516</v>
      </c>
      <c r="C156" s="1" t="s">
        <v>517</v>
      </c>
      <c r="D156" s="1" t="s">
        <v>518</v>
      </c>
      <c r="E156" s="1" t="s">
        <v>44</v>
      </c>
      <c r="F156" s="1" t="s">
        <v>37</v>
      </c>
      <c r="G156" s="5" t="s">
        <v>46</v>
      </c>
      <c r="H156" s="1" t="s">
        <v>27</v>
      </c>
      <c r="I156">
        <v>114300</v>
      </c>
      <c r="J156" s="1" t="s">
        <v>33</v>
      </c>
      <c r="K156">
        <v>0</v>
      </c>
      <c r="L156">
        <v>0</v>
      </c>
      <c r="M156">
        <v>0</v>
      </c>
      <c r="N156">
        <v>0</v>
      </c>
      <c r="O156">
        <v>114300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18">
        <v>6</v>
      </c>
      <c r="Y156" s="6"/>
      <c r="Z156" s="6"/>
      <c r="AA156" s="6"/>
      <c r="AB156" s="6"/>
      <c r="AC156" s="6">
        <v>19050</v>
      </c>
      <c r="AD156" s="6">
        <v>19050</v>
      </c>
      <c r="AE156" s="6">
        <v>19050</v>
      </c>
      <c r="AF156" s="6">
        <v>19050</v>
      </c>
      <c r="AG156" s="6">
        <v>19050</v>
      </c>
      <c r="AH156" s="6">
        <v>19050</v>
      </c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>
        <f t="shared" si="14"/>
        <v>6</v>
      </c>
      <c r="AX156" t="b">
        <f t="shared" si="15"/>
        <v>1</v>
      </c>
      <c r="AY156" s="21">
        <f t="shared" si="12"/>
        <v>114300</v>
      </c>
      <c r="AZ156" t="b">
        <f t="shared" si="13"/>
        <v>1</v>
      </c>
    </row>
    <row r="157" spans="1:52" x14ac:dyDescent="0.4">
      <c r="A157" s="6" t="s">
        <v>2230</v>
      </c>
      <c r="B157" s="1" t="s">
        <v>519</v>
      </c>
      <c r="C157" s="1" t="s">
        <v>520</v>
      </c>
      <c r="D157" s="1" t="s">
        <v>521</v>
      </c>
      <c r="E157" s="1" t="s">
        <v>25</v>
      </c>
      <c r="F157" s="1" t="s">
        <v>37</v>
      </c>
      <c r="G157" s="5" t="s">
        <v>10</v>
      </c>
      <c r="H157" s="1" t="s">
        <v>27</v>
      </c>
      <c r="I157">
        <v>59400</v>
      </c>
      <c r="J157" s="1" t="s">
        <v>33</v>
      </c>
      <c r="K157">
        <v>0</v>
      </c>
      <c r="L157">
        <v>59400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18">
        <v>3</v>
      </c>
      <c r="Y157" s="6"/>
      <c r="Z157" s="6">
        <v>19800</v>
      </c>
      <c r="AA157" s="6">
        <v>19800</v>
      </c>
      <c r="AB157" s="6">
        <v>19800</v>
      </c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>
        <f t="shared" si="14"/>
        <v>3</v>
      </c>
      <c r="AX157" t="b">
        <f t="shared" si="15"/>
        <v>1</v>
      </c>
      <c r="AY157" s="21">
        <f t="shared" si="12"/>
        <v>59400</v>
      </c>
      <c r="AZ157" t="b">
        <f t="shared" si="13"/>
        <v>1</v>
      </c>
    </row>
    <row r="158" spans="1:52" x14ac:dyDescent="0.4">
      <c r="A158" s="6" t="s">
        <v>2230</v>
      </c>
      <c r="B158" s="1" t="s">
        <v>522</v>
      </c>
      <c r="C158" s="1" t="s">
        <v>523</v>
      </c>
      <c r="D158" s="1" t="s">
        <v>524</v>
      </c>
      <c r="E158" s="1" t="s">
        <v>44</v>
      </c>
      <c r="F158" s="1" t="s">
        <v>37</v>
      </c>
      <c r="G158" s="5" t="s">
        <v>46</v>
      </c>
      <c r="H158" s="1" t="s">
        <v>27</v>
      </c>
      <c r="I158">
        <v>114300</v>
      </c>
      <c r="J158" s="1" t="s">
        <v>33</v>
      </c>
      <c r="K158">
        <v>0</v>
      </c>
      <c r="L158">
        <v>0</v>
      </c>
      <c r="M158">
        <v>0</v>
      </c>
      <c r="N158">
        <v>0</v>
      </c>
      <c r="O158">
        <v>114300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18">
        <v>6</v>
      </c>
      <c r="Y158" s="6"/>
      <c r="Z158" s="6"/>
      <c r="AA158" s="6"/>
      <c r="AB158" s="6"/>
      <c r="AC158" s="6">
        <v>19050</v>
      </c>
      <c r="AD158" s="6">
        <v>19050</v>
      </c>
      <c r="AE158" s="6">
        <v>19050</v>
      </c>
      <c r="AF158" s="6">
        <v>19050</v>
      </c>
      <c r="AG158" s="6">
        <v>19050</v>
      </c>
      <c r="AH158" s="6">
        <v>19050</v>
      </c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>
        <f t="shared" si="14"/>
        <v>6</v>
      </c>
      <c r="AX158" t="b">
        <f t="shared" si="15"/>
        <v>1</v>
      </c>
      <c r="AY158" s="21">
        <f t="shared" si="12"/>
        <v>114300</v>
      </c>
      <c r="AZ158" t="b">
        <f t="shared" si="13"/>
        <v>1</v>
      </c>
    </row>
    <row r="159" spans="1:52" x14ac:dyDescent="0.4">
      <c r="A159" s="6" t="s">
        <v>2230</v>
      </c>
      <c r="B159" s="1" t="s">
        <v>525</v>
      </c>
      <c r="C159" s="1" t="s">
        <v>526</v>
      </c>
      <c r="D159" s="1" t="s">
        <v>527</v>
      </c>
      <c r="E159" s="1" t="s">
        <v>44</v>
      </c>
      <c r="F159" s="1" t="s">
        <v>376</v>
      </c>
      <c r="G159" s="5" t="s">
        <v>46</v>
      </c>
      <c r="H159" s="1" t="s">
        <v>27</v>
      </c>
      <c r="I159">
        <v>114300</v>
      </c>
      <c r="J159" s="1" t="s">
        <v>33</v>
      </c>
      <c r="K159">
        <v>0</v>
      </c>
      <c r="L159">
        <v>0</v>
      </c>
      <c r="M159">
        <v>0</v>
      </c>
      <c r="N159">
        <v>0</v>
      </c>
      <c r="O159">
        <v>114300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18">
        <v>6</v>
      </c>
      <c r="Y159" s="6"/>
      <c r="Z159" s="6"/>
      <c r="AA159" s="6"/>
      <c r="AB159" s="6"/>
      <c r="AC159" s="6">
        <v>19050</v>
      </c>
      <c r="AD159" s="6">
        <v>19050</v>
      </c>
      <c r="AE159" s="6">
        <v>19050</v>
      </c>
      <c r="AF159" s="6">
        <v>19050</v>
      </c>
      <c r="AG159" s="6">
        <v>19050</v>
      </c>
      <c r="AH159" s="6">
        <v>19050</v>
      </c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>
        <f t="shared" si="14"/>
        <v>6</v>
      </c>
      <c r="AX159" t="b">
        <f t="shared" si="15"/>
        <v>1</v>
      </c>
      <c r="AY159" s="21">
        <f t="shared" si="12"/>
        <v>114300</v>
      </c>
      <c r="AZ159" t="b">
        <f t="shared" si="13"/>
        <v>1</v>
      </c>
    </row>
    <row r="160" spans="1:52" x14ac:dyDescent="0.4">
      <c r="A160" s="6" t="s">
        <v>2230</v>
      </c>
      <c r="B160" s="1" t="s">
        <v>528</v>
      </c>
      <c r="C160" s="1" t="s">
        <v>529</v>
      </c>
      <c r="D160" s="1" t="s">
        <v>530</v>
      </c>
      <c r="E160" s="1" t="s">
        <v>44</v>
      </c>
      <c r="F160" s="1" t="s">
        <v>56</v>
      </c>
      <c r="G160" s="5" t="s">
        <v>46</v>
      </c>
      <c r="H160" s="1" t="s">
        <v>27</v>
      </c>
      <c r="I160">
        <v>114300</v>
      </c>
      <c r="J160" s="1" t="s">
        <v>33</v>
      </c>
      <c r="K160">
        <v>0</v>
      </c>
      <c r="L160">
        <v>0</v>
      </c>
      <c r="M160">
        <v>0</v>
      </c>
      <c r="N160">
        <v>0</v>
      </c>
      <c r="O160">
        <v>114300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18">
        <v>6</v>
      </c>
      <c r="Y160" s="6"/>
      <c r="Z160" s="6"/>
      <c r="AA160" s="6"/>
      <c r="AB160" s="6"/>
      <c r="AC160" s="6">
        <v>19050</v>
      </c>
      <c r="AD160" s="6">
        <v>19050</v>
      </c>
      <c r="AE160" s="6">
        <v>19050</v>
      </c>
      <c r="AF160" s="6">
        <v>19050</v>
      </c>
      <c r="AG160" s="6">
        <v>19050</v>
      </c>
      <c r="AH160" s="6">
        <v>19050</v>
      </c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>
        <f t="shared" si="14"/>
        <v>6</v>
      </c>
      <c r="AX160" t="b">
        <f t="shared" si="15"/>
        <v>1</v>
      </c>
      <c r="AY160" s="21">
        <f t="shared" si="12"/>
        <v>114300</v>
      </c>
      <c r="AZ160" t="b">
        <f t="shared" si="13"/>
        <v>1</v>
      </c>
    </row>
    <row r="161" spans="1:52" x14ac:dyDescent="0.4">
      <c r="A161" s="6" t="s">
        <v>2230</v>
      </c>
      <c r="B161" s="1" t="s">
        <v>531</v>
      </c>
      <c r="C161" s="1" t="s">
        <v>532</v>
      </c>
      <c r="D161" s="1" t="s">
        <v>533</v>
      </c>
      <c r="E161" s="1" t="s">
        <v>25</v>
      </c>
      <c r="F161" s="1" t="s">
        <v>37</v>
      </c>
      <c r="G161" s="5" t="s">
        <v>10</v>
      </c>
      <c r="H161" s="1" t="s">
        <v>27</v>
      </c>
      <c r="I161">
        <v>59400</v>
      </c>
      <c r="J161" s="1" t="s">
        <v>33</v>
      </c>
      <c r="K161">
        <v>0</v>
      </c>
      <c r="L161">
        <v>59400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18">
        <v>3</v>
      </c>
      <c r="Y161" s="6"/>
      <c r="Z161" s="6">
        <v>19800</v>
      </c>
      <c r="AA161" s="6">
        <v>19800</v>
      </c>
      <c r="AB161" s="6">
        <v>19800</v>
      </c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>
        <f t="shared" si="14"/>
        <v>3</v>
      </c>
      <c r="AX161" t="b">
        <f t="shared" si="15"/>
        <v>1</v>
      </c>
      <c r="AY161" s="21">
        <f t="shared" si="12"/>
        <v>59400</v>
      </c>
      <c r="AZ161" t="b">
        <f t="shared" si="13"/>
        <v>1</v>
      </c>
    </row>
    <row r="162" spans="1:52" x14ac:dyDescent="0.4">
      <c r="A162" s="6" t="s">
        <v>2230</v>
      </c>
      <c r="B162" s="1" t="s">
        <v>534</v>
      </c>
      <c r="C162" s="1" t="s">
        <v>535</v>
      </c>
      <c r="D162" s="1" t="s">
        <v>536</v>
      </c>
      <c r="E162" s="1" t="s">
        <v>25</v>
      </c>
      <c r="F162" s="1" t="s">
        <v>45</v>
      </c>
      <c r="G162" s="5" t="s">
        <v>10</v>
      </c>
      <c r="H162" s="1" t="s">
        <v>27</v>
      </c>
      <c r="I162">
        <v>59400</v>
      </c>
      <c r="J162" s="1" t="s">
        <v>33</v>
      </c>
      <c r="K162">
        <v>0</v>
      </c>
      <c r="L162">
        <v>59400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18">
        <v>3</v>
      </c>
      <c r="Y162" s="6"/>
      <c r="Z162" s="6">
        <v>19800</v>
      </c>
      <c r="AA162" s="6">
        <v>19800</v>
      </c>
      <c r="AB162" s="6">
        <v>19800</v>
      </c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>
        <f t="shared" si="14"/>
        <v>3</v>
      </c>
      <c r="AX162" t="b">
        <f t="shared" si="15"/>
        <v>1</v>
      </c>
      <c r="AY162" s="21">
        <f t="shared" si="12"/>
        <v>59400</v>
      </c>
      <c r="AZ162" t="b">
        <f t="shared" si="13"/>
        <v>1</v>
      </c>
    </row>
    <row r="163" spans="1:52" x14ac:dyDescent="0.4">
      <c r="A163" s="6" t="s">
        <v>2230</v>
      </c>
      <c r="B163" s="1" t="s">
        <v>537</v>
      </c>
      <c r="C163" s="1" t="s">
        <v>538</v>
      </c>
      <c r="D163" s="1" t="s">
        <v>539</v>
      </c>
      <c r="E163" s="1" t="s">
        <v>44</v>
      </c>
      <c r="F163" s="1" t="s">
        <v>37</v>
      </c>
      <c r="G163" s="5" t="s">
        <v>46</v>
      </c>
      <c r="H163" s="1" t="s">
        <v>27</v>
      </c>
      <c r="I163">
        <v>114300</v>
      </c>
      <c r="J163" s="1" t="s">
        <v>33</v>
      </c>
      <c r="K163">
        <v>0</v>
      </c>
      <c r="L163">
        <v>0</v>
      </c>
      <c r="M163">
        <v>0</v>
      </c>
      <c r="N163">
        <v>0</v>
      </c>
      <c r="O163">
        <v>114300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18">
        <v>6</v>
      </c>
      <c r="Y163" s="6"/>
      <c r="Z163" s="6"/>
      <c r="AA163" s="6"/>
      <c r="AB163" s="6"/>
      <c r="AC163" s="6">
        <v>19050</v>
      </c>
      <c r="AD163" s="6">
        <v>19050</v>
      </c>
      <c r="AE163" s="6">
        <v>19050</v>
      </c>
      <c r="AF163" s="6">
        <v>19050</v>
      </c>
      <c r="AG163" s="6">
        <v>19050</v>
      </c>
      <c r="AH163" s="6">
        <v>19050</v>
      </c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>
        <f t="shared" si="14"/>
        <v>6</v>
      </c>
      <c r="AX163" t="b">
        <f t="shared" si="15"/>
        <v>1</v>
      </c>
      <c r="AY163" s="21">
        <f t="shared" si="12"/>
        <v>114300</v>
      </c>
      <c r="AZ163" t="b">
        <f t="shared" si="13"/>
        <v>1</v>
      </c>
    </row>
    <row r="164" spans="1:52" x14ac:dyDescent="0.4">
      <c r="A164" s="6" t="s">
        <v>2230</v>
      </c>
      <c r="B164" s="1" t="s">
        <v>540</v>
      </c>
      <c r="C164" s="1" t="s">
        <v>541</v>
      </c>
      <c r="D164" s="1" t="s">
        <v>542</v>
      </c>
      <c r="E164" s="1" t="s">
        <v>25</v>
      </c>
      <c r="F164" s="1" t="s">
        <v>101</v>
      </c>
      <c r="G164" s="5" t="s">
        <v>10</v>
      </c>
      <c r="H164" s="1" t="s">
        <v>27</v>
      </c>
      <c r="I164">
        <v>59400</v>
      </c>
      <c r="J164" s="1" t="s">
        <v>33</v>
      </c>
      <c r="K164">
        <v>0</v>
      </c>
      <c r="L164">
        <v>59400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18">
        <v>3</v>
      </c>
      <c r="Y164" s="6"/>
      <c r="Z164" s="6">
        <v>19800</v>
      </c>
      <c r="AA164" s="6">
        <v>19800</v>
      </c>
      <c r="AB164" s="6">
        <v>19800</v>
      </c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>
        <f t="shared" si="14"/>
        <v>3</v>
      </c>
      <c r="AX164" t="b">
        <f t="shared" si="15"/>
        <v>1</v>
      </c>
      <c r="AY164" s="21">
        <f t="shared" si="12"/>
        <v>59400</v>
      </c>
      <c r="AZ164" t="b">
        <f t="shared" si="13"/>
        <v>1</v>
      </c>
    </row>
    <row r="165" spans="1:52" x14ac:dyDescent="0.4">
      <c r="A165" s="6" t="s">
        <v>2230</v>
      </c>
      <c r="B165" s="1" t="s">
        <v>543</v>
      </c>
      <c r="C165" s="1" t="s">
        <v>544</v>
      </c>
      <c r="D165" s="1" t="s">
        <v>545</v>
      </c>
      <c r="E165" s="1" t="s">
        <v>44</v>
      </c>
      <c r="F165" s="1" t="s">
        <v>86</v>
      </c>
      <c r="G165" s="5" t="s">
        <v>46</v>
      </c>
      <c r="H165" s="1" t="s">
        <v>27</v>
      </c>
      <c r="I165">
        <v>114300</v>
      </c>
      <c r="J165" s="1" t="s">
        <v>33</v>
      </c>
      <c r="K165">
        <v>0</v>
      </c>
      <c r="L165">
        <v>0</v>
      </c>
      <c r="M165">
        <v>0</v>
      </c>
      <c r="N165">
        <v>0</v>
      </c>
      <c r="O165">
        <v>114300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18">
        <v>6</v>
      </c>
      <c r="Y165" s="6"/>
      <c r="Z165" s="6"/>
      <c r="AA165" s="6"/>
      <c r="AB165" s="6"/>
      <c r="AC165" s="6">
        <v>19050</v>
      </c>
      <c r="AD165" s="6">
        <v>19050</v>
      </c>
      <c r="AE165" s="6">
        <v>19050</v>
      </c>
      <c r="AF165" s="6">
        <v>19050</v>
      </c>
      <c r="AG165" s="6">
        <v>19050</v>
      </c>
      <c r="AH165" s="6">
        <v>19050</v>
      </c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>
        <f t="shared" si="14"/>
        <v>6</v>
      </c>
      <c r="AX165" t="b">
        <f t="shared" si="15"/>
        <v>1</v>
      </c>
      <c r="AY165" s="21">
        <f t="shared" si="12"/>
        <v>114300</v>
      </c>
      <c r="AZ165" t="b">
        <f t="shared" si="13"/>
        <v>1</v>
      </c>
    </row>
    <row r="166" spans="1:52" x14ac:dyDescent="0.4">
      <c r="A166" s="6" t="s">
        <v>2230</v>
      </c>
      <c r="B166" s="1" t="s">
        <v>546</v>
      </c>
      <c r="C166" s="1" t="s">
        <v>547</v>
      </c>
      <c r="D166" s="1" t="s">
        <v>548</v>
      </c>
      <c r="E166" s="1" t="s">
        <v>44</v>
      </c>
      <c r="F166" s="1" t="s">
        <v>97</v>
      </c>
      <c r="G166" s="5" t="s">
        <v>46</v>
      </c>
      <c r="H166" s="1" t="s">
        <v>27</v>
      </c>
      <c r="I166">
        <v>114300</v>
      </c>
      <c r="J166" s="1" t="s">
        <v>33</v>
      </c>
      <c r="K166">
        <v>0</v>
      </c>
      <c r="L166">
        <v>0</v>
      </c>
      <c r="M166">
        <v>0</v>
      </c>
      <c r="N166">
        <v>0</v>
      </c>
      <c r="O166">
        <v>114300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18">
        <v>6</v>
      </c>
      <c r="Y166" s="6"/>
      <c r="Z166" s="6"/>
      <c r="AA166" s="6"/>
      <c r="AB166" s="6"/>
      <c r="AC166" s="6">
        <v>19050</v>
      </c>
      <c r="AD166" s="6">
        <v>19050</v>
      </c>
      <c r="AE166" s="6">
        <v>19050</v>
      </c>
      <c r="AF166" s="6">
        <v>19050</v>
      </c>
      <c r="AG166" s="6">
        <v>19050</v>
      </c>
      <c r="AH166" s="6">
        <v>19050</v>
      </c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>
        <f t="shared" si="14"/>
        <v>6</v>
      </c>
      <c r="AX166" t="b">
        <f t="shared" si="15"/>
        <v>1</v>
      </c>
      <c r="AY166" s="21">
        <f t="shared" si="12"/>
        <v>114300</v>
      </c>
      <c r="AZ166" t="b">
        <f t="shared" si="13"/>
        <v>1</v>
      </c>
    </row>
    <row r="167" spans="1:52" x14ac:dyDescent="0.4">
      <c r="A167" s="6" t="s">
        <v>2230</v>
      </c>
      <c r="B167" s="1" t="s">
        <v>549</v>
      </c>
      <c r="C167" s="1" t="s">
        <v>550</v>
      </c>
      <c r="D167" s="1" t="s">
        <v>551</v>
      </c>
      <c r="E167" s="1" t="s">
        <v>70</v>
      </c>
      <c r="F167" s="1" t="s">
        <v>45</v>
      </c>
      <c r="G167" s="5" t="s">
        <v>10</v>
      </c>
      <c r="H167" s="1" t="s">
        <v>52</v>
      </c>
      <c r="I167">
        <v>59400</v>
      </c>
      <c r="J167" s="1" t="s">
        <v>28</v>
      </c>
      <c r="K167">
        <v>0</v>
      </c>
      <c r="L167">
        <v>59400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18">
        <v>3</v>
      </c>
      <c r="Y167" s="6"/>
      <c r="Z167" s="6">
        <v>19800</v>
      </c>
      <c r="AA167" s="6">
        <v>19800</v>
      </c>
      <c r="AB167" s="6">
        <v>19800</v>
      </c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>
        <f t="shared" si="14"/>
        <v>3</v>
      </c>
      <c r="AX167" t="b">
        <f t="shared" si="15"/>
        <v>1</v>
      </c>
      <c r="AY167" s="21">
        <f t="shared" si="12"/>
        <v>59400</v>
      </c>
      <c r="AZ167" t="b">
        <f t="shared" si="13"/>
        <v>1</v>
      </c>
    </row>
    <row r="168" spans="1:52" x14ac:dyDescent="0.4">
      <c r="A168" s="6" t="s">
        <v>2230</v>
      </c>
      <c r="B168" s="1" t="s">
        <v>552</v>
      </c>
      <c r="C168" s="1" t="s">
        <v>553</v>
      </c>
      <c r="D168" s="1" t="s">
        <v>554</v>
      </c>
      <c r="E168" s="1" t="s">
        <v>44</v>
      </c>
      <c r="F168" s="1" t="s">
        <v>178</v>
      </c>
      <c r="G168" s="5" t="s">
        <v>46</v>
      </c>
      <c r="H168" s="1" t="s">
        <v>27</v>
      </c>
      <c r="I168">
        <v>114300</v>
      </c>
      <c r="J168" s="1" t="s">
        <v>33</v>
      </c>
      <c r="K168">
        <v>0</v>
      </c>
      <c r="L168">
        <v>0</v>
      </c>
      <c r="M168">
        <v>0</v>
      </c>
      <c r="N168">
        <v>0</v>
      </c>
      <c r="O168">
        <v>114300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18">
        <v>6</v>
      </c>
      <c r="Y168" s="6"/>
      <c r="Z168" s="6"/>
      <c r="AA168" s="6"/>
      <c r="AB168" s="6"/>
      <c r="AC168" s="6">
        <v>19050</v>
      </c>
      <c r="AD168" s="6">
        <v>19050</v>
      </c>
      <c r="AE168" s="6">
        <v>19050</v>
      </c>
      <c r="AF168" s="6">
        <v>19050</v>
      </c>
      <c r="AG168" s="6">
        <v>19050</v>
      </c>
      <c r="AH168" s="6">
        <v>19050</v>
      </c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>
        <f t="shared" si="14"/>
        <v>6</v>
      </c>
      <c r="AX168" t="b">
        <f t="shared" si="15"/>
        <v>1</v>
      </c>
      <c r="AY168" s="21">
        <f t="shared" si="12"/>
        <v>114300</v>
      </c>
      <c r="AZ168" t="b">
        <f t="shared" si="13"/>
        <v>1</v>
      </c>
    </row>
    <row r="169" spans="1:52" x14ac:dyDescent="0.4">
      <c r="A169" s="6" t="s">
        <v>2230</v>
      </c>
      <c r="B169" s="1" t="s">
        <v>555</v>
      </c>
      <c r="C169" s="1" t="s">
        <v>556</v>
      </c>
      <c r="D169" s="1" t="s">
        <v>557</v>
      </c>
      <c r="E169" s="1" t="s">
        <v>25</v>
      </c>
      <c r="F169" s="1" t="s">
        <v>37</v>
      </c>
      <c r="G169" s="5" t="s">
        <v>10</v>
      </c>
      <c r="H169" s="1" t="s">
        <v>27</v>
      </c>
      <c r="I169">
        <v>59400</v>
      </c>
      <c r="J169" s="1" t="s">
        <v>33</v>
      </c>
      <c r="K169">
        <v>0</v>
      </c>
      <c r="L169">
        <v>59400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18">
        <v>3</v>
      </c>
      <c r="Y169" s="6"/>
      <c r="Z169" s="6">
        <v>19800</v>
      </c>
      <c r="AA169" s="6">
        <v>19800</v>
      </c>
      <c r="AB169" s="6">
        <v>19800</v>
      </c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>
        <f t="shared" si="14"/>
        <v>3</v>
      </c>
      <c r="AX169" t="b">
        <f t="shared" si="15"/>
        <v>1</v>
      </c>
      <c r="AY169" s="21">
        <f t="shared" si="12"/>
        <v>59400</v>
      </c>
      <c r="AZ169" t="b">
        <f t="shared" si="13"/>
        <v>1</v>
      </c>
    </row>
    <row r="170" spans="1:52" x14ac:dyDescent="0.4">
      <c r="A170" s="6" t="s">
        <v>2230</v>
      </c>
      <c r="B170" s="1" t="s">
        <v>558</v>
      </c>
      <c r="C170" s="1" t="s">
        <v>559</v>
      </c>
      <c r="D170" s="1" t="s">
        <v>560</v>
      </c>
      <c r="E170" s="1" t="s">
        <v>25</v>
      </c>
      <c r="F170" s="1" t="s">
        <v>561</v>
      </c>
      <c r="G170" s="5" t="s">
        <v>479</v>
      </c>
      <c r="H170" s="1" t="s">
        <v>27</v>
      </c>
      <c r="I170">
        <v>59400</v>
      </c>
      <c r="J170" s="1" t="s">
        <v>28</v>
      </c>
      <c r="K170">
        <v>0</v>
      </c>
      <c r="L170">
        <v>0</v>
      </c>
      <c r="M170">
        <v>59400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s="18">
        <v>3</v>
      </c>
      <c r="Y170" s="6"/>
      <c r="Z170" s="6"/>
      <c r="AA170" s="6">
        <v>19800</v>
      </c>
      <c r="AB170" s="6">
        <v>19800</v>
      </c>
      <c r="AC170" s="6">
        <v>19800</v>
      </c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>
        <f t="shared" si="14"/>
        <v>3</v>
      </c>
      <c r="AX170" t="b">
        <f t="shared" si="15"/>
        <v>1</v>
      </c>
      <c r="AY170" s="21">
        <f t="shared" si="12"/>
        <v>59400</v>
      </c>
      <c r="AZ170" t="b">
        <f t="shared" si="13"/>
        <v>1</v>
      </c>
    </row>
    <row r="171" spans="1:52" x14ac:dyDescent="0.4">
      <c r="A171" s="6" t="s">
        <v>2230</v>
      </c>
      <c r="B171" s="1" t="s">
        <v>562</v>
      </c>
      <c r="C171" s="1" t="s">
        <v>563</v>
      </c>
      <c r="D171" s="1" t="s">
        <v>564</v>
      </c>
      <c r="E171" s="1" t="s">
        <v>25</v>
      </c>
      <c r="F171" s="1" t="s">
        <v>90</v>
      </c>
      <c r="G171" s="5" t="s">
        <v>10</v>
      </c>
      <c r="H171" s="1" t="s">
        <v>27</v>
      </c>
      <c r="I171">
        <v>59400</v>
      </c>
      <c r="J171" s="1" t="s">
        <v>33</v>
      </c>
      <c r="K171">
        <v>0</v>
      </c>
      <c r="L171">
        <v>59400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18">
        <v>3</v>
      </c>
      <c r="Y171" s="6"/>
      <c r="Z171" s="6">
        <v>19800</v>
      </c>
      <c r="AA171" s="6">
        <v>19800</v>
      </c>
      <c r="AB171" s="6">
        <v>19800</v>
      </c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>
        <f t="shared" si="14"/>
        <v>3</v>
      </c>
      <c r="AX171" t="b">
        <f t="shared" si="15"/>
        <v>1</v>
      </c>
      <c r="AY171" s="21">
        <f t="shared" si="12"/>
        <v>59400</v>
      </c>
      <c r="AZ171" t="b">
        <f t="shared" si="13"/>
        <v>1</v>
      </c>
    </row>
    <row r="172" spans="1:52" x14ac:dyDescent="0.4">
      <c r="A172" s="6" t="s">
        <v>2230</v>
      </c>
      <c r="B172" s="1" t="s">
        <v>565</v>
      </c>
      <c r="C172" s="1" t="s">
        <v>566</v>
      </c>
      <c r="D172" s="1" t="s">
        <v>567</v>
      </c>
      <c r="E172" s="1" t="s">
        <v>44</v>
      </c>
      <c r="F172" s="1" t="s">
        <v>51</v>
      </c>
      <c r="G172" s="5" t="s">
        <v>46</v>
      </c>
      <c r="H172" s="1" t="s">
        <v>27</v>
      </c>
      <c r="I172">
        <v>114300</v>
      </c>
      <c r="J172" s="1" t="s">
        <v>33</v>
      </c>
      <c r="K172">
        <v>0</v>
      </c>
      <c r="L172">
        <v>0</v>
      </c>
      <c r="M172">
        <v>0</v>
      </c>
      <c r="N172">
        <v>0</v>
      </c>
      <c r="O172">
        <v>114300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18">
        <v>6</v>
      </c>
      <c r="Y172" s="6"/>
      <c r="Z172" s="6"/>
      <c r="AA172" s="6"/>
      <c r="AB172" s="6"/>
      <c r="AC172" s="6">
        <v>19050</v>
      </c>
      <c r="AD172" s="6">
        <v>19050</v>
      </c>
      <c r="AE172" s="6">
        <v>19050</v>
      </c>
      <c r="AF172" s="6">
        <v>19050</v>
      </c>
      <c r="AG172" s="6">
        <v>19050</v>
      </c>
      <c r="AH172" s="6">
        <v>19050</v>
      </c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>
        <f t="shared" si="14"/>
        <v>6</v>
      </c>
      <c r="AX172" t="b">
        <f t="shared" si="15"/>
        <v>1</v>
      </c>
      <c r="AY172" s="21">
        <f t="shared" si="12"/>
        <v>114300</v>
      </c>
      <c r="AZ172" t="b">
        <f t="shared" si="13"/>
        <v>1</v>
      </c>
    </row>
    <row r="173" spans="1:52" x14ac:dyDescent="0.4">
      <c r="A173" s="6" t="s">
        <v>2230</v>
      </c>
      <c r="B173" s="1" t="s">
        <v>568</v>
      </c>
      <c r="C173" s="1" t="s">
        <v>569</v>
      </c>
      <c r="D173" s="1" t="s">
        <v>570</v>
      </c>
      <c r="E173" s="1" t="s">
        <v>25</v>
      </c>
      <c r="F173" s="1" t="s">
        <v>140</v>
      </c>
      <c r="G173" s="5" t="s">
        <v>10</v>
      </c>
      <c r="H173" s="1" t="s">
        <v>27</v>
      </c>
      <c r="I173">
        <v>59400</v>
      </c>
      <c r="J173" s="1" t="s">
        <v>33</v>
      </c>
      <c r="K173">
        <v>0</v>
      </c>
      <c r="L173">
        <v>59400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18">
        <v>3</v>
      </c>
      <c r="Y173" s="6"/>
      <c r="Z173" s="6">
        <v>19800</v>
      </c>
      <c r="AA173" s="6">
        <v>19800</v>
      </c>
      <c r="AB173" s="6">
        <v>19800</v>
      </c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>
        <f t="shared" si="14"/>
        <v>3</v>
      </c>
      <c r="AX173" t="b">
        <f t="shared" si="15"/>
        <v>1</v>
      </c>
      <c r="AY173" s="21">
        <f t="shared" si="12"/>
        <v>59400</v>
      </c>
      <c r="AZ173" t="b">
        <f t="shared" si="13"/>
        <v>1</v>
      </c>
    </row>
    <row r="174" spans="1:52" x14ac:dyDescent="0.4">
      <c r="A174" s="6" t="s">
        <v>2230</v>
      </c>
      <c r="B174" s="1" t="s">
        <v>571</v>
      </c>
      <c r="C174" s="1" t="s">
        <v>572</v>
      </c>
      <c r="D174" s="1" t="s">
        <v>573</v>
      </c>
      <c r="E174" s="1" t="s">
        <v>25</v>
      </c>
      <c r="F174" s="1" t="s">
        <v>112</v>
      </c>
      <c r="G174" s="5" t="s">
        <v>10</v>
      </c>
      <c r="H174" s="1" t="s">
        <v>27</v>
      </c>
      <c r="I174">
        <v>59400</v>
      </c>
      <c r="J174" s="1" t="s">
        <v>33</v>
      </c>
      <c r="K174">
        <v>0</v>
      </c>
      <c r="L174">
        <v>59400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8">
        <v>3</v>
      </c>
      <c r="Y174" s="6"/>
      <c r="Z174" s="6">
        <v>19800</v>
      </c>
      <c r="AA174" s="6">
        <v>19800</v>
      </c>
      <c r="AB174" s="6">
        <v>19800</v>
      </c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>
        <f t="shared" si="14"/>
        <v>3</v>
      </c>
      <c r="AX174" t="b">
        <f t="shared" si="15"/>
        <v>1</v>
      </c>
      <c r="AY174" s="21">
        <f t="shared" si="12"/>
        <v>59400</v>
      </c>
      <c r="AZ174" t="b">
        <f t="shared" si="13"/>
        <v>1</v>
      </c>
    </row>
    <row r="175" spans="1:52" x14ac:dyDescent="0.4">
      <c r="A175" s="6" t="s">
        <v>2230</v>
      </c>
      <c r="B175" s="1" t="s">
        <v>574</v>
      </c>
      <c r="C175" s="1" t="s">
        <v>575</v>
      </c>
      <c r="D175" s="1" t="s">
        <v>576</v>
      </c>
      <c r="E175" s="1" t="s">
        <v>44</v>
      </c>
      <c r="F175" s="1" t="s">
        <v>97</v>
      </c>
      <c r="G175" s="5" t="s">
        <v>46</v>
      </c>
      <c r="H175" s="1" t="s">
        <v>27</v>
      </c>
      <c r="I175">
        <v>114300</v>
      </c>
      <c r="J175" s="1" t="s">
        <v>33</v>
      </c>
      <c r="K175">
        <v>0</v>
      </c>
      <c r="L175">
        <v>0</v>
      </c>
      <c r="M175">
        <v>0</v>
      </c>
      <c r="N175">
        <v>0</v>
      </c>
      <c r="O175">
        <v>114300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18">
        <v>6</v>
      </c>
      <c r="Y175" s="6"/>
      <c r="Z175" s="6"/>
      <c r="AA175" s="6"/>
      <c r="AB175" s="6"/>
      <c r="AC175" s="6">
        <v>19050</v>
      </c>
      <c r="AD175" s="6">
        <v>19050</v>
      </c>
      <c r="AE175" s="6">
        <v>19050</v>
      </c>
      <c r="AF175" s="6">
        <v>19050</v>
      </c>
      <c r="AG175" s="6">
        <v>19050</v>
      </c>
      <c r="AH175" s="6">
        <v>19050</v>
      </c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>
        <f t="shared" si="14"/>
        <v>6</v>
      </c>
      <c r="AX175" t="b">
        <f t="shared" si="15"/>
        <v>1</v>
      </c>
      <c r="AY175" s="21">
        <f t="shared" si="12"/>
        <v>114300</v>
      </c>
      <c r="AZ175" t="b">
        <f t="shared" si="13"/>
        <v>1</v>
      </c>
    </row>
    <row r="176" spans="1:52" x14ac:dyDescent="0.4">
      <c r="A176" s="6" t="s">
        <v>2230</v>
      </c>
      <c r="B176" s="1" t="s">
        <v>577</v>
      </c>
      <c r="C176" s="1" t="s">
        <v>578</v>
      </c>
      <c r="D176" s="1" t="s">
        <v>579</v>
      </c>
      <c r="E176" s="1" t="s">
        <v>50</v>
      </c>
      <c r="F176" s="1" t="s">
        <v>227</v>
      </c>
      <c r="G176" s="5" t="s">
        <v>46</v>
      </c>
      <c r="H176" s="1" t="s">
        <v>52</v>
      </c>
      <c r="I176">
        <v>114300</v>
      </c>
      <c r="J176" s="1" t="s">
        <v>28</v>
      </c>
      <c r="K176">
        <v>0</v>
      </c>
      <c r="L176">
        <v>0</v>
      </c>
      <c r="M176">
        <v>0</v>
      </c>
      <c r="N176">
        <v>0</v>
      </c>
      <c r="O176">
        <v>114300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18">
        <v>6</v>
      </c>
      <c r="Y176" s="6"/>
      <c r="Z176" s="6"/>
      <c r="AA176" s="6"/>
      <c r="AB176" s="6"/>
      <c r="AC176" s="6">
        <v>19050</v>
      </c>
      <c r="AD176" s="6">
        <v>19050</v>
      </c>
      <c r="AE176" s="6">
        <v>19050</v>
      </c>
      <c r="AF176" s="6">
        <v>19050</v>
      </c>
      <c r="AG176" s="6">
        <v>19050</v>
      </c>
      <c r="AH176" s="6">
        <v>19050</v>
      </c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>
        <f t="shared" si="14"/>
        <v>6</v>
      </c>
      <c r="AX176" t="b">
        <f t="shared" si="15"/>
        <v>1</v>
      </c>
      <c r="AY176" s="21">
        <f t="shared" si="12"/>
        <v>114300</v>
      </c>
      <c r="AZ176" t="b">
        <f t="shared" si="13"/>
        <v>1</v>
      </c>
    </row>
    <row r="177" spans="1:52" x14ac:dyDescent="0.4">
      <c r="A177" s="6" t="s">
        <v>2230</v>
      </c>
      <c r="B177" s="1" t="s">
        <v>580</v>
      </c>
      <c r="C177" s="1" t="s">
        <v>581</v>
      </c>
      <c r="D177" s="1" t="s">
        <v>582</v>
      </c>
      <c r="E177" s="1" t="s">
        <v>44</v>
      </c>
      <c r="F177" s="1" t="s">
        <v>97</v>
      </c>
      <c r="G177" s="5" t="s">
        <v>46</v>
      </c>
      <c r="H177" s="1" t="s">
        <v>27</v>
      </c>
      <c r="I177">
        <v>114300</v>
      </c>
      <c r="J177" s="1" t="s">
        <v>33</v>
      </c>
      <c r="K177">
        <v>0</v>
      </c>
      <c r="L177">
        <v>0</v>
      </c>
      <c r="M177">
        <v>0</v>
      </c>
      <c r="N177">
        <v>0</v>
      </c>
      <c r="O177">
        <v>114300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18">
        <v>6</v>
      </c>
      <c r="Y177" s="6"/>
      <c r="Z177" s="6"/>
      <c r="AA177" s="6"/>
      <c r="AB177" s="6"/>
      <c r="AC177" s="6">
        <v>19050</v>
      </c>
      <c r="AD177" s="6">
        <v>19050</v>
      </c>
      <c r="AE177" s="6">
        <v>19050</v>
      </c>
      <c r="AF177" s="6">
        <v>19050</v>
      </c>
      <c r="AG177" s="6">
        <v>19050</v>
      </c>
      <c r="AH177" s="6">
        <v>19050</v>
      </c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>
        <f t="shared" si="14"/>
        <v>6</v>
      </c>
      <c r="AX177" t="b">
        <f t="shared" si="15"/>
        <v>1</v>
      </c>
      <c r="AY177" s="21">
        <f t="shared" si="12"/>
        <v>114300</v>
      </c>
      <c r="AZ177" t="b">
        <f t="shared" si="13"/>
        <v>1</v>
      </c>
    </row>
    <row r="178" spans="1:52" x14ac:dyDescent="0.4">
      <c r="A178" s="6" t="s">
        <v>2230</v>
      </c>
      <c r="B178" s="1" t="s">
        <v>583</v>
      </c>
      <c r="C178" s="1" t="s">
        <v>584</v>
      </c>
      <c r="D178" s="1" t="s">
        <v>585</v>
      </c>
      <c r="E178" s="1" t="s">
        <v>44</v>
      </c>
      <c r="F178" s="1" t="s">
        <v>51</v>
      </c>
      <c r="G178" s="5" t="s">
        <v>46</v>
      </c>
      <c r="H178" s="1" t="s">
        <v>27</v>
      </c>
      <c r="I178">
        <v>114300</v>
      </c>
      <c r="J178" s="1" t="s">
        <v>33</v>
      </c>
      <c r="K178">
        <v>0</v>
      </c>
      <c r="L178">
        <v>0</v>
      </c>
      <c r="M178">
        <v>0</v>
      </c>
      <c r="N178">
        <v>0</v>
      </c>
      <c r="O178">
        <v>114300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18">
        <v>6</v>
      </c>
      <c r="Y178" s="6"/>
      <c r="Z178" s="6"/>
      <c r="AA178" s="6"/>
      <c r="AB178" s="6"/>
      <c r="AC178" s="6">
        <v>19050</v>
      </c>
      <c r="AD178" s="6">
        <v>19050</v>
      </c>
      <c r="AE178" s="6">
        <v>19050</v>
      </c>
      <c r="AF178" s="6">
        <v>19050</v>
      </c>
      <c r="AG178" s="6">
        <v>19050</v>
      </c>
      <c r="AH178" s="6">
        <v>19050</v>
      </c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>
        <f t="shared" si="14"/>
        <v>6</v>
      </c>
      <c r="AX178" t="b">
        <f t="shared" si="15"/>
        <v>1</v>
      </c>
      <c r="AY178" s="21">
        <f t="shared" si="12"/>
        <v>114300</v>
      </c>
      <c r="AZ178" t="b">
        <f t="shared" si="13"/>
        <v>1</v>
      </c>
    </row>
    <row r="179" spans="1:52" x14ac:dyDescent="0.4">
      <c r="A179" s="6" t="s">
        <v>2230</v>
      </c>
      <c r="B179" s="1" t="s">
        <v>586</v>
      </c>
      <c r="C179" s="1" t="s">
        <v>587</v>
      </c>
      <c r="D179" s="1" t="s">
        <v>588</v>
      </c>
      <c r="E179" s="1" t="s">
        <v>44</v>
      </c>
      <c r="F179" s="1" t="s">
        <v>86</v>
      </c>
      <c r="G179" s="5" t="s">
        <v>46</v>
      </c>
      <c r="H179" s="1" t="s">
        <v>27</v>
      </c>
      <c r="I179">
        <v>114300</v>
      </c>
      <c r="J179" s="1" t="s">
        <v>33</v>
      </c>
      <c r="K179">
        <v>0</v>
      </c>
      <c r="L179">
        <v>0</v>
      </c>
      <c r="M179">
        <v>0</v>
      </c>
      <c r="N179">
        <v>0</v>
      </c>
      <c r="O179">
        <v>114300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18">
        <v>6</v>
      </c>
      <c r="Y179" s="6"/>
      <c r="Z179" s="6"/>
      <c r="AA179" s="6"/>
      <c r="AB179" s="6"/>
      <c r="AC179" s="6">
        <v>19050</v>
      </c>
      <c r="AD179" s="6">
        <v>19050</v>
      </c>
      <c r="AE179" s="6">
        <v>19050</v>
      </c>
      <c r="AF179" s="6">
        <v>19050</v>
      </c>
      <c r="AG179" s="6">
        <v>19050</v>
      </c>
      <c r="AH179" s="6">
        <v>19050</v>
      </c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>
        <f t="shared" si="14"/>
        <v>6</v>
      </c>
      <c r="AX179" t="b">
        <f t="shared" si="15"/>
        <v>1</v>
      </c>
      <c r="AY179" s="21">
        <f t="shared" si="12"/>
        <v>114300</v>
      </c>
      <c r="AZ179" t="b">
        <f t="shared" si="13"/>
        <v>1</v>
      </c>
    </row>
    <row r="180" spans="1:52" x14ac:dyDescent="0.4">
      <c r="A180" s="6" t="s">
        <v>2230</v>
      </c>
      <c r="B180" s="1" t="s">
        <v>589</v>
      </c>
      <c r="C180" s="1" t="s">
        <v>590</v>
      </c>
      <c r="D180" s="1" t="s">
        <v>591</v>
      </c>
      <c r="E180" s="1" t="s">
        <v>44</v>
      </c>
      <c r="F180" s="1" t="s">
        <v>150</v>
      </c>
      <c r="G180" s="5" t="s">
        <v>46</v>
      </c>
      <c r="H180" s="1" t="s">
        <v>27</v>
      </c>
      <c r="I180">
        <v>114300</v>
      </c>
      <c r="J180" s="1" t="s">
        <v>33</v>
      </c>
      <c r="K180">
        <v>0</v>
      </c>
      <c r="L180">
        <v>0</v>
      </c>
      <c r="M180">
        <v>0</v>
      </c>
      <c r="N180">
        <v>0</v>
      </c>
      <c r="O180">
        <v>114300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18">
        <v>6</v>
      </c>
      <c r="Y180" s="6"/>
      <c r="Z180" s="6"/>
      <c r="AA180" s="6"/>
      <c r="AB180" s="6"/>
      <c r="AC180" s="6">
        <v>19050</v>
      </c>
      <c r="AD180" s="6">
        <v>19050</v>
      </c>
      <c r="AE180" s="6">
        <v>19050</v>
      </c>
      <c r="AF180" s="6">
        <v>19050</v>
      </c>
      <c r="AG180" s="6">
        <v>19050</v>
      </c>
      <c r="AH180" s="6">
        <v>19050</v>
      </c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>
        <f t="shared" si="14"/>
        <v>6</v>
      </c>
      <c r="AX180" t="b">
        <f t="shared" si="15"/>
        <v>1</v>
      </c>
      <c r="AY180" s="21">
        <f t="shared" si="12"/>
        <v>114300</v>
      </c>
      <c r="AZ180" t="b">
        <f t="shared" si="13"/>
        <v>1</v>
      </c>
    </row>
    <row r="181" spans="1:52" x14ac:dyDescent="0.4">
      <c r="A181" s="6" t="s">
        <v>2230</v>
      </c>
      <c r="B181" s="1" t="s">
        <v>592</v>
      </c>
      <c r="C181" s="1" t="s">
        <v>593</v>
      </c>
      <c r="D181" s="1" t="s">
        <v>594</v>
      </c>
      <c r="E181" s="1" t="s">
        <v>70</v>
      </c>
      <c r="F181" s="1" t="s">
        <v>101</v>
      </c>
      <c r="G181" s="5" t="s">
        <v>10</v>
      </c>
      <c r="H181" s="1" t="s">
        <v>52</v>
      </c>
      <c r="I181">
        <v>59400</v>
      </c>
      <c r="J181" s="1" t="s">
        <v>28</v>
      </c>
      <c r="K181">
        <v>0</v>
      </c>
      <c r="L181">
        <v>59400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s="18">
        <v>3</v>
      </c>
      <c r="Y181" s="6"/>
      <c r="Z181" s="6">
        <v>19800</v>
      </c>
      <c r="AA181" s="6">
        <v>19800</v>
      </c>
      <c r="AB181" s="6">
        <v>19800</v>
      </c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>
        <f t="shared" si="14"/>
        <v>3</v>
      </c>
      <c r="AX181" t="b">
        <f t="shared" si="15"/>
        <v>1</v>
      </c>
      <c r="AY181" s="21">
        <f t="shared" si="12"/>
        <v>59400</v>
      </c>
      <c r="AZ181" t="b">
        <f t="shared" si="13"/>
        <v>1</v>
      </c>
    </row>
    <row r="182" spans="1:52" x14ac:dyDescent="0.4">
      <c r="A182" s="6" t="s">
        <v>2230</v>
      </c>
      <c r="B182" s="1" t="s">
        <v>595</v>
      </c>
      <c r="C182" s="1" t="s">
        <v>596</v>
      </c>
      <c r="D182" s="1" t="s">
        <v>597</v>
      </c>
      <c r="E182" s="1" t="s">
        <v>44</v>
      </c>
      <c r="F182" s="1" t="s">
        <v>45</v>
      </c>
      <c r="G182" s="5" t="s">
        <v>46</v>
      </c>
      <c r="H182" s="1" t="s">
        <v>27</v>
      </c>
      <c r="I182">
        <v>114300</v>
      </c>
      <c r="J182" s="1" t="s">
        <v>33</v>
      </c>
      <c r="K182">
        <v>0</v>
      </c>
      <c r="L182">
        <v>0</v>
      </c>
      <c r="M182">
        <v>0</v>
      </c>
      <c r="N182">
        <v>0</v>
      </c>
      <c r="O182">
        <v>114300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18">
        <v>6</v>
      </c>
      <c r="Y182" s="6"/>
      <c r="Z182" s="6"/>
      <c r="AA182" s="6"/>
      <c r="AB182" s="6"/>
      <c r="AC182" s="6">
        <v>19050</v>
      </c>
      <c r="AD182" s="6">
        <v>19050</v>
      </c>
      <c r="AE182" s="6">
        <v>19050</v>
      </c>
      <c r="AF182" s="6">
        <v>19050</v>
      </c>
      <c r="AG182" s="6">
        <v>19050</v>
      </c>
      <c r="AH182" s="6">
        <v>19050</v>
      </c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>
        <f t="shared" si="14"/>
        <v>6</v>
      </c>
      <c r="AX182" t="b">
        <f t="shared" si="15"/>
        <v>1</v>
      </c>
      <c r="AY182" s="21">
        <f t="shared" si="12"/>
        <v>114300</v>
      </c>
      <c r="AZ182" t="b">
        <f t="shared" si="13"/>
        <v>1</v>
      </c>
    </row>
    <row r="183" spans="1:52" x14ac:dyDescent="0.4">
      <c r="A183" s="6" t="s">
        <v>2230</v>
      </c>
      <c r="B183" s="1" t="s">
        <v>598</v>
      </c>
      <c r="C183" s="1" t="s">
        <v>599</v>
      </c>
      <c r="D183" s="1" t="s">
        <v>600</v>
      </c>
      <c r="E183" s="1" t="s">
        <v>44</v>
      </c>
      <c r="F183" s="1" t="s">
        <v>86</v>
      </c>
      <c r="G183" s="5" t="s">
        <v>46</v>
      </c>
      <c r="H183" s="1" t="s">
        <v>27</v>
      </c>
      <c r="I183">
        <v>114300</v>
      </c>
      <c r="J183" s="1" t="s">
        <v>33</v>
      </c>
      <c r="K183">
        <v>0</v>
      </c>
      <c r="L183">
        <v>0</v>
      </c>
      <c r="M183">
        <v>0</v>
      </c>
      <c r="N183">
        <v>0</v>
      </c>
      <c r="O183">
        <v>114300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8">
        <v>6</v>
      </c>
      <c r="Y183" s="6"/>
      <c r="Z183" s="6"/>
      <c r="AA183" s="6"/>
      <c r="AB183" s="6"/>
      <c r="AC183" s="6">
        <v>19050</v>
      </c>
      <c r="AD183" s="6">
        <v>19050</v>
      </c>
      <c r="AE183" s="6">
        <v>19050</v>
      </c>
      <c r="AF183" s="6">
        <v>19050</v>
      </c>
      <c r="AG183" s="6">
        <v>19050</v>
      </c>
      <c r="AH183" s="6">
        <v>19050</v>
      </c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>
        <f t="shared" si="14"/>
        <v>6</v>
      </c>
      <c r="AX183" t="b">
        <f t="shared" si="15"/>
        <v>1</v>
      </c>
      <c r="AY183" s="21">
        <f t="shared" si="12"/>
        <v>114300</v>
      </c>
      <c r="AZ183" t="b">
        <f t="shared" si="13"/>
        <v>1</v>
      </c>
    </row>
    <row r="184" spans="1:52" x14ac:dyDescent="0.4">
      <c r="A184" s="6" t="s">
        <v>2230</v>
      </c>
      <c r="B184" s="1" t="s">
        <v>601</v>
      </c>
      <c r="C184" s="1" t="s">
        <v>602</v>
      </c>
      <c r="D184" s="1" t="s">
        <v>603</v>
      </c>
      <c r="E184" s="1" t="s">
        <v>44</v>
      </c>
      <c r="F184" s="1" t="s">
        <v>86</v>
      </c>
      <c r="G184" s="5" t="s">
        <v>46</v>
      </c>
      <c r="H184" s="1" t="s">
        <v>27</v>
      </c>
      <c r="I184">
        <v>114300</v>
      </c>
      <c r="J184" s="1" t="s">
        <v>33</v>
      </c>
      <c r="K184">
        <v>0</v>
      </c>
      <c r="L184">
        <v>0</v>
      </c>
      <c r="M184">
        <v>0</v>
      </c>
      <c r="N184">
        <v>0</v>
      </c>
      <c r="O184">
        <v>114300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8">
        <v>6</v>
      </c>
      <c r="Y184" s="6"/>
      <c r="Z184" s="6"/>
      <c r="AA184" s="6"/>
      <c r="AB184" s="6"/>
      <c r="AC184" s="6">
        <v>19050</v>
      </c>
      <c r="AD184" s="6">
        <v>19050</v>
      </c>
      <c r="AE184" s="6">
        <v>19050</v>
      </c>
      <c r="AF184" s="6">
        <v>19050</v>
      </c>
      <c r="AG184" s="6">
        <v>19050</v>
      </c>
      <c r="AH184" s="6">
        <v>19050</v>
      </c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>
        <f t="shared" si="14"/>
        <v>6</v>
      </c>
      <c r="AX184" t="b">
        <f t="shared" si="15"/>
        <v>1</v>
      </c>
      <c r="AY184" s="21">
        <f t="shared" si="12"/>
        <v>114300</v>
      </c>
      <c r="AZ184" t="b">
        <f t="shared" si="13"/>
        <v>1</v>
      </c>
    </row>
    <row r="185" spans="1:52" x14ac:dyDescent="0.4">
      <c r="A185" s="6" t="s">
        <v>2230</v>
      </c>
      <c r="B185" s="1" t="s">
        <v>604</v>
      </c>
      <c r="C185" s="1" t="s">
        <v>605</v>
      </c>
      <c r="D185" s="1" t="s">
        <v>606</v>
      </c>
      <c r="E185" s="1" t="s">
        <v>44</v>
      </c>
      <c r="F185" s="1" t="s">
        <v>63</v>
      </c>
      <c r="G185" s="5" t="s">
        <v>46</v>
      </c>
      <c r="H185" s="1" t="s">
        <v>27</v>
      </c>
      <c r="I185">
        <v>114300</v>
      </c>
      <c r="J185" s="1" t="s">
        <v>33</v>
      </c>
      <c r="K185">
        <v>0</v>
      </c>
      <c r="L185">
        <v>0</v>
      </c>
      <c r="M185">
        <v>0</v>
      </c>
      <c r="N185">
        <v>0</v>
      </c>
      <c r="O185">
        <v>114300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18">
        <v>6</v>
      </c>
      <c r="Y185" s="6"/>
      <c r="Z185" s="6"/>
      <c r="AA185" s="6"/>
      <c r="AB185" s="6"/>
      <c r="AC185" s="6">
        <v>19050</v>
      </c>
      <c r="AD185" s="6">
        <v>19050</v>
      </c>
      <c r="AE185" s="6">
        <v>19050</v>
      </c>
      <c r="AF185" s="6">
        <v>19050</v>
      </c>
      <c r="AG185" s="6">
        <v>19050</v>
      </c>
      <c r="AH185" s="6">
        <v>19050</v>
      </c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>
        <f t="shared" si="14"/>
        <v>6</v>
      </c>
      <c r="AX185" t="b">
        <f t="shared" si="15"/>
        <v>1</v>
      </c>
      <c r="AY185" s="21">
        <f t="shared" si="12"/>
        <v>114300</v>
      </c>
      <c r="AZ185" t="b">
        <f t="shared" si="13"/>
        <v>1</v>
      </c>
    </row>
    <row r="186" spans="1:52" x14ac:dyDescent="0.4">
      <c r="A186" s="6" t="s">
        <v>2230</v>
      </c>
      <c r="B186" s="1" t="s">
        <v>607</v>
      </c>
      <c r="C186" s="1" t="s">
        <v>608</v>
      </c>
      <c r="D186" s="1" t="s">
        <v>609</v>
      </c>
      <c r="E186" s="1" t="s">
        <v>44</v>
      </c>
      <c r="F186" s="1" t="s">
        <v>45</v>
      </c>
      <c r="G186" s="5" t="s">
        <v>46</v>
      </c>
      <c r="H186" s="1" t="s">
        <v>27</v>
      </c>
      <c r="I186">
        <v>114300</v>
      </c>
      <c r="J186" s="1" t="s">
        <v>33</v>
      </c>
      <c r="K186">
        <v>0</v>
      </c>
      <c r="L186">
        <v>0</v>
      </c>
      <c r="M186">
        <v>0</v>
      </c>
      <c r="N186">
        <v>0</v>
      </c>
      <c r="O186">
        <v>114300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18">
        <v>6</v>
      </c>
      <c r="Y186" s="6"/>
      <c r="Z186" s="6"/>
      <c r="AA186" s="6"/>
      <c r="AB186" s="6"/>
      <c r="AC186" s="6">
        <v>19050</v>
      </c>
      <c r="AD186" s="6">
        <v>19050</v>
      </c>
      <c r="AE186" s="6">
        <v>19050</v>
      </c>
      <c r="AF186" s="6">
        <v>19050</v>
      </c>
      <c r="AG186" s="6">
        <v>19050</v>
      </c>
      <c r="AH186" s="6">
        <v>19050</v>
      </c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>
        <f t="shared" si="14"/>
        <v>6</v>
      </c>
      <c r="AX186" t="b">
        <f t="shared" si="15"/>
        <v>1</v>
      </c>
      <c r="AY186" s="21">
        <f t="shared" si="12"/>
        <v>114300</v>
      </c>
      <c r="AZ186" t="b">
        <f t="shared" si="13"/>
        <v>1</v>
      </c>
    </row>
    <row r="187" spans="1:52" x14ac:dyDescent="0.4">
      <c r="A187" s="6" t="s">
        <v>2230</v>
      </c>
      <c r="B187" s="1" t="s">
        <v>610</v>
      </c>
      <c r="C187" s="1" t="s">
        <v>611</v>
      </c>
      <c r="D187" s="1" t="s">
        <v>612</v>
      </c>
      <c r="E187" s="1" t="s">
        <v>44</v>
      </c>
      <c r="F187" s="1" t="s">
        <v>45</v>
      </c>
      <c r="G187" s="5" t="s">
        <v>46</v>
      </c>
      <c r="H187" s="1" t="s">
        <v>27</v>
      </c>
      <c r="I187">
        <v>114300</v>
      </c>
      <c r="J187" s="1" t="s">
        <v>33</v>
      </c>
      <c r="K187">
        <v>0</v>
      </c>
      <c r="L187">
        <v>0</v>
      </c>
      <c r="M187">
        <v>0</v>
      </c>
      <c r="N187">
        <v>0</v>
      </c>
      <c r="O187">
        <v>114300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18">
        <v>6</v>
      </c>
      <c r="Y187" s="6"/>
      <c r="Z187" s="6"/>
      <c r="AA187" s="6"/>
      <c r="AB187" s="6"/>
      <c r="AC187" s="6">
        <v>19050</v>
      </c>
      <c r="AD187" s="6">
        <v>19050</v>
      </c>
      <c r="AE187" s="6">
        <v>19050</v>
      </c>
      <c r="AF187" s="6">
        <v>19050</v>
      </c>
      <c r="AG187" s="6">
        <v>19050</v>
      </c>
      <c r="AH187" s="6">
        <v>19050</v>
      </c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>
        <f t="shared" si="14"/>
        <v>6</v>
      </c>
      <c r="AX187" t="b">
        <f t="shared" si="15"/>
        <v>1</v>
      </c>
      <c r="AY187" s="21">
        <f t="shared" si="12"/>
        <v>114300</v>
      </c>
      <c r="AZ187" t="b">
        <f t="shared" si="13"/>
        <v>1</v>
      </c>
    </row>
    <row r="188" spans="1:52" x14ac:dyDescent="0.4">
      <c r="A188" s="6" t="s">
        <v>2230</v>
      </c>
      <c r="B188" s="1" t="s">
        <v>613</v>
      </c>
      <c r="C188" s="1" t="s">
        <v>614</v>
      </c>
      <c r="D188" s="1" t="s">
        <v>615</v>
      </c>
      <c r="E188" s="1" t="s">
        <v>25</v>
      </c>
      <c r="F188" s="1" t="s">
        <v>86</v>
      </c>
      <c r="G188" s="5" t="s">
        <v>10</v>
      </c>
      <c r="H188" s="1" t="s">
        <v>27</v>
      </c>
      <c r="I188">
        <v>59400</v>
      </c>
      <c r="J188" s="1" t="s">
        <v>33</v>
      </c>
      <c r="K188">
        <v>0</v>
      </c>
      <c r="L188">
        <v>59400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18">
        <v>3</v>
      </c>
      <c r="Y188" s="6"/>
      <c r="Z188" s="6">
        <v>19800</v>
      </c>
      <c r="AA188" s="6">
        <v>19800</v>
      </c>
      <c r="AB188" s="6">
        <v>19800</v>
      </c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>
        <f t="shared" si="14"/>
        <v>3</v>
      </c>
      <c r="AX188" t="b">
        <f t="shared" si="15"/>
        <v>1</v>
      </c>
      <c r="AY188" s="21">
        <f t="shared" si="12"/>
        <v>59400</v>
      </c>
      <c r="AZ188" t="b">
        <f t="shared" si="13"/>
        <v>1</v>
      </c>
    </row>
    <row r="189" spans="1:52" x14ac:dyDescent="0.4">
      <c r="A189" s="6" t="s">
        <v>2230</v>
      </c>
      <c r="B189" s="1" t="s">
        <v>616</v>
      </c>
      <c r="C189" s="1" t="s">
        <v>617</v>
      </c>
      <c r="D189" s="1" t="s">
        <v>618</v>
      </c>
      <c r="E189" s="1" t="s">
        <v>44</v>
      </c>
      <c r="F189" s="1" t="s">
        <v>82</v>
      </c>
      <c r="G189" s="5" t="s">
        <v>46</v>
      </c>
      <c r="H189" s="1" t="s">
        <v>27</v>
      </c>
      <c r="I189">
        <v>114300</v>
      </c>
      <c r="J189" s="1" t="s">
        <v>33</v>
      </c>
      <c r="K189">
        <v>0</v>
      </c>
      <c r="L189">
        <v>0</v>
      </c>
      <c r="M189">
        <v>0</v>
      </c>
      <c r="N189">
        <v>0</v>
      </c>
      <c r="O189">
        <v>114300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18">
        <v>6</v>
      </c>
      <c r="Y189" s="6"/>
      <c r="Z189" s="6"/>
      <c r="AA189" s="6"/>
      <c r="AB189" s="6"/>
      <c r="AC189" s="6">
        <v>19050</v>
      </c>
      <c r="AD189" s="6">
        <v>19050</v>
      </c>
      <c r="AE189" s="6">
        <v>19050</v>
      </c>
      <c r="AF189" s="6">
        <v>19050</v>
      </c>
      <c r="AG189" s="6">
        <v>19050</v>
      </c>
      <c r="AH189" s="6">
        <v>19050</v>
      </c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>
        <f t="shared" si="14"/>
        <v>6</v>
      </c>
      <c r="AX189" t="b">
        <f t="shared" si="15"/>
        <v>1</v>
      </c>
      <c r="AY189" s="21">
        <f t="shared" si="12"/>
        <v>114300</v>
      </c>
      <c r="AZ189" t="b">
        <f t="shared" si="13"/>
        <v>1</v>
      </c>
    </row>
    <row r="190" spans="1:52" x14ac:dyDescent="0.4">
      <c r="A190" s="6" t="s">
        <v>2230</v>
      </c>
      <c r="B190" s="1" t="s">
        <v>619</v>
      </c>
      <c r="C190" s="1" t="s">
        <v>620</v>
      </c>
      <c r="D190" s="1" t="s">
        <v>621</v>
      </c>
      <c r="E190" s="1" t="s">
        <v>25</v>
      </c>
      <c r="F190" s="1" t="s">
        <v>37</v>
      </c>
      <c r="G190" s="5" t="s">
        <v>10</v>
      </c>
      <c r="H190" s="1" t="s">
        <v>27</v>
      </c>
      <c r="I190">
        <v>59400</v>
      </c>
      <c r="J190" s="1" t="s">
        <v>33</v>
      </c>
      <c r="K190">
        <v>0</v>
      </c>
      <c r="L190">
        <v>59400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18">
        <v>3</v>
      </c>
      <c r="Y190" s="6"/>
      <c r="Z190" s="6">
        <v>19800</v>
      </c>
      <c r="AA190" s="6">
        <v>19800</v>
      </c>
      <c r="AB190" s="6">
        <v>19800</v>
      </c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>
        <f t="shared" si="14"/>
        <v>3</v>
      </c>
      <c r="AX190" t="b">
        <f t="shared" si="15"/>
        <v>1</v>
      </c>
      <c r="AY190" s="21">
        <f t="shared" si="12"/>
        <v>59400</v>
      </c>
      <c r="AZ190" t="b">
        <f t="shared" si="13"/>
        <v>1</v>
      </c>
    </row>
    <row r="191" spans="1:52" x14ac:dyDescent="0.4">
      <c r="A191" s="6" t="s">
        <v>2230</v>
      </c>
      <c r="B191" s="1" t="s">
        <v>622</v>
      </c>
      <c r="C191" s="1" t="s">
        <v>623</v>
      </c>
      <c r="D191" s="1" t="s">
        <v>624</v>
      </c>
      <c r="E191" s="1" t="s">
        <v>44</v>
      </c>
      <c r="F191" s="1" t="s">
        <v>45</v>
      </c>
      <c r="G191" s="5" t="s">
        <v>46</v>
      </c>
      <c r="H191" s="1" t="s">
        <v>27</v>
      </c>
      <c r="I191">
        <v>114300</v>
      </c>
      <c r="J191" s="1" t="s">
        <v>33</v>
      </c>
      <c r="K191">
        <v>0</v>
      </c>
      <c r="L191">
        <v>0</v>
      </c>
      <c r="M191">
        <v>0</v>
      </c>
      <c r="N191">
        <v>0</v>
      </c>
      <c r="O191">
        <v>114300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8">
        <v>6</v>
      </c>
      <c r="Y191" s="6"/>
      <c r="Z191" s="6"/>
      <c r="AA191" s="6"/>
      <c r="AB191" s="6"/>
      <c r="AC191" s="6">
        <v>19050</v>
      </c>
      <c r="AD191" s="6">
        <v>19050</v>
      </c>
      <c r="AE191" s="6">
        <v>19050</v>
      </c>
      <c r="AF191" s="6">
        <v>19050</v>
      </c>
      <c r="AG191" s="6">
        <v>19050</v>
      </c>
      <c r="AH191" s="6">
        <v>19050</v>
      </c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>
        <f t="shared" si="14"/>
        <v>6</v>
      </c>
      <c r="AX191" t="b">
        <f t="shared" si="15"/>
        <v>1</v>
      </c>
      <c r="AY191" s="21">
        <f t="shared" si="12"/>
        <v>114300</v>
      </c>
      <c r="AZ191" t="b">
        <f t="shared" si="13"/>
        <v>1</v>
      </c>
    </row>
    <row r="192" spans="1:52" x14ac:dyDescent="0.4">
      <c r="A192" s="6" t="s">
        <v>2230</v>
      </c>
      <c r="B192" s="1" t="s">
        <v>625</v>
      </c>
      <c r="C192" s="1" t="s">
        <v>626</v>
      </c>
      <c r="D192" s="1" t="s">
        <v>627</v>
      </c>
      <c r="E192" s="1" t="s">
        <v>44</v>
      </c>
      <c r="F192" s="1" t="s">
        <v>51</v>
      </c>
      <c r="G192" s="5" t="s">
        <v>46</v>
      </c>
      <c r="H192" s="1" t="s">
        <v>27</v>
      </c>
      <c r="I192">
        <v>114300</v>
      </c>
      <c r="J192" s="1" t="s">
        <v>33</v>
      </c>
      <c r="K192">
        <v>0</v>
      </c>
      <c r="L192">
        <v>0</v>
      </c>
      <c r="M192">
        <v>0</v>
      </c>
      <c r="N192">
        <v>0</v>
      </c>
      <c r="O192">
        <v>114300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8">
        <v>6</v>
      </c>
      <c r="Y192" s="6"/>
      <c r="Z192" s="6"/>
      <c r="AA192" s="6"/>
      <c r="AB192" s="6"/>
      <c r="AC192" s="6">
        <v>19050</v>
      </c>
      <c r="AD192" s="6">
        <v>19050</v>
      </c>
      <c r="AE192" s="6">
        <v>19050</v>
      </c>
      <c r="AF192" s="6">
        <v>19050</v>
      </c>
      <c r="AG192" s="6">
        <v>19050</v>
      </c>
      <c r="AH192" s="6">
        <v>19050</v>
      </c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>
        <f t="shared" si="14"/>
        <v>6</v>
      </c>
      <c r="AX192" t="b">
        <f t="shared" si="15"/>
        <v>1</v>
      </c>
      <c r="AY192" s="21">
        <f t="shared" si="12"/>
        <v>114300</v>
      </c>
      <c r="AZ192" t="b">
        <f t="shared" si="13"/>
        <v>1</v>
      </c>
    </row>
    <row r="193" spans="1:52" x14ac:dyDescent="0.4">
      <c r="A193" s="6" t="s">
        <v>2230</v>
      </c>
      <c r="B193" s="1" t="s">
        <v>628</v>
      </c>
      <c r="C193" s="1" t="s">
        <v>629</v>
      </c>
      <c r="D193" s="1" t="s">
        <v>630</v>
      </c>
      <c r="E193" s="1" t="s">
        <v>25</v>
      </c>
      <c r="F193" s="1" t="s">
        <v>101</v>
      </c>
      <c r="G193" s="5" t="s">
        <v>10</v>
      </c>
      <c r="H193" s="1" t="s">
        <v>27</v>
      </c>
      <c r="I193">
        <v>59400</v>
      </c>
      <c r="J193" s="1" t="s">
        <v>33</v>
      </c>
      <c r="K193">
        <v>0</v>
      </c>
      <c r="L193">
        <v>59400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18">
        <v>3</v>
      </c>
      <c r="Y193" s="6"/>
      <c r="Z193" s="6">
        <v>19800</v>
      </c>
      <c r="AA193" s="6">
        <v>19800</v>
      </c>
      <c r="AB193" s="6">
        <v>19800</v>
      </c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>
        <f t="shared" si="14"/>
        <v>3</v>
      </c>
      <c r="AX193" t="b">
        <f t="shared" si="15"/>
        <v>1</v>
      </c>
      <c r="AY193" s="21">
        <f t="shared" si="12"/>
        <v>59400</v>
      </c>
      <c r="AZ193" t="b">
        <f t="shared" si="13"/>
        <v>1</v>
      </c>
    </row>
    <row r="194" spans="1:52" x14ac:dyDescent="0.4">
      <c r="A194" s="6" t="s">
        <v>2230</v>
      </c>
      <c r="B194" s="1" t="s">
        <v>631</v>
      </c>
      <c r="C194" s="1" t="s">
        <v>632</v>
      </c>
      <c r="D194" s="1" t="s">
        <v>633</v>
      </c>
      <c r="E194" s="1" t="s">
        <v>25</v>
      </c>
      <c r="F194" s="1" t="s">
        <v>63</v>
      </c>
      <c r="G194" s="5" t="s">
        <v>10</v>
      </c>
      <c r="H194" s="1" t="s">
        <v>27</v>
      </c>
      <c r="I194">
        <v>59400</v>
      </c>
      <c r="J194" s="1" t="s">
        <v>33</v>
      </c>
      <c r="K194">
        <v>0</v>
      </c>
      <c r="L194">
        <v>59400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8">
        <v>3</v>
      </c>
      <c r="Y194" s="6"/>
      <c r="Z194" s="6">
        <v>19800</v>
      </c>
      <c r="AA194" s="6">
        <v>19800</v>
      </c>
      <c r="AB194" s="6">
        <v>19800</v>
      </c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>
        <f t="shared" si="14"/>
        <v>3</v>
      </c>
      <c r="AX194" t="b">
        <f t="shared" si="15"/>
        <v>1</v>
      </c>
      <c r="AY194" s="21">
        <f t="shared" si="12"/>
        <v>59400</v>
      </c>
      <c r="AZ194" t="b">
        <f t="shared" si="13"/>
        <v>1</v>
      </c>
    </row>
    <row r="195" spans="1:52" x14ac:dyDescent="0.4">
      <c r="A195" s="6" t="s">
        <v>2230</v>
      </c>
      <c r="B195" s="1" t="s">
        <v>634</v>
      </c>
      <c r="C195" s="1" t="s">
        <v>635</v>
      </c>
      <c r="D195" s="1" t="s">
        <v>636</v>
      </c>
      <c r="E195" s="1" t="s">
        <v>44</v>
      </c>
      <c r="F195" s="1" t="s">
        <v>37</v>
      </c>
      <c r="G195" s="5" t="s">
        <v>46</v>
      </c>
      <c r="H195" s="1" t="s">
        <v>27</v>
      </c>
      <c r="I195">
        <v>114300</v>
      </c>
      <c r="J195" s="1" t="s">
        <v>33</v>
      </c>
      <c r="K195">
        <v>0</v>
      </c>
      <c r="L195">
        <v>0</v>
      </c>
      <c r="M195">
        <v>0</v>
      </c>
      <c r="N195">
        <v>0</v>
      </c>
      <c r="O195">
        <v>114300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18">
        <v>6</v>
      </c>
      <c r="Y195" s="6"/>
      <c r="Z195" s="6"/>
      <c r="AA195" s="6"/>
      <c r="AB195" s="6"/>
      <c r="AC195" s="6">
        <v>19050</v>
      </c>
      <c r="AD195" s="6">
        <v>19050</v>
      </c>
      <c r="AE195" s="6">
        <v>19050</v>
      </c>
      <c r="AF195" s="6">
        <v>19050</v>
      </c>
      <c r="AG195" s="6">
        <v>19050</v>
      </c>
      <c r="AH195" s="6">
        <v>19050</v>
      </c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>
        <f t="shared" si="14"/>
        <v>6</v>
      </c>
      <c r="AX195" t="b">
        <f t="shared" si="15"/>
        <v>1</v>
      </c>
      <c r="AY195" s="21">
        <f t="shared" si="12"/>
        <v>114300</v>
      </c>
      <c r="AZ195" t="b">
        <f t="shared" si="13"/>
        <v>1</v>
      </c>
    </row>
    <row r="196" spans="1:52" x14ac:dyDescent="0.4">
      <c r="A196" s="6" t="s">
        <v>2230</v>
      </c>
      <c r="B196" s="1" t="s">
        <v>637</v>
      </c>
      <c r="C196" s="1" t="s">
        <v>638</v>
      </c>
      <c r="D196" s="1" t="s">
        <v>639</v>
      </c>
      <c r="E196" s="1" t="s">
        <v>25</v>
      </c>
      <c r="F196" s="1" t="s">
        <v>32</v>
      </c>
      <c r="G196" s="5" t="s">
        <v>10</v>
      </c>
      <c r="H196" s="1" t="s">
        <v>27</v>
      </c>
      <c r="I196">
        <v>59400</v>
      </c>
      <c r="J196" s="1" t="s">
        <v>33</v>
      </c>
      <c r="K196">
        <v>0</v>
      </c>
      <c r="L196">
        <v>59400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8">
        <v>3</v>
      </c>
      <c r="Y196" s="6"/>
      <c r="Z196" s="6">
        <v>19800</v>
      </c>
      <c r="AA196" s="6">
        <v>19800</v>
      </c>
      <c r="AB196" s="6">
        <v>19800</v>
      </c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>
        <f t="shared" si="14"/>
        <v>3</v>
      </c>
      <c r="AX196" t="b">
        <f t="shared" si="15"/>
        <v>1</v>
      </c>
      <c r="AY196" s="21">
        <f t="shared" si="12"/>
        <v>59400</v>
      </c>
      <c r="AZ196" t="b">
        <f t="shared" si="13"/>
        <v>1</v>
      </c>
    </row>
    <row r="197" spans="1:52" x14ac:dyDescent="0.4">
      <c r="A197" s="6" t="s">
        <v>2230</v>
      </c>
      <c r="B197" s="1" t="s">
        <v>640</v>
      </c>
      <c r="C197" s="1" t="s">
        <v>641</v>
      </c>
      <c r="D197" s="1" t="s">
        <v>642</v>
      </c>
      <c r="E197" s="1" t="s">
        <v>44</v>
      </c>
      <c r="F197" s="1" t="s">
        <v>97</v>
      </c>
      <c r="G197" s="5" t="s">
        <v>46</v>
      </c>
      <c r="H197" s="1" t="s">
        <v>27</v>
      </c>
      <c r="I197">
        <v>114300</v>
      </c>
      <c r="J197" s="1" t="s">
        <v>33</v>
      </c>
      <c r="K197">
        <v>0</v>
      </c>
      <c r="L197">
        <v>0</v>
      </c>
      <c r="M197">
        <v>0</v>
      </c>
      <c r="N197">
        <v>0</v>
      </c>
      <c r="O197">
        <v>114300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8">
        <v>6</v>
      </c>
      <c r="Y197" s="6"/>
      <c r="Z197" s="6"/>
      <c r="AA197" s="6"/>
      <c r="AB197" s="6"/>
      <c r="AC197" s="6">
        <v>19050</v>
      </c>
      <c r="AD197" s="6">
        <v>19050</v>
      </c>
      <c r="AE197" s="6">
        <v>19050</v>
      </c>
      <c r="AF197" s="6">
        <v>19050</v>
      </c>
      <c r="AG197" s="6">
        <v>19050</v>
      </c>
      <c r="AH197" s="6">
        <v>19050</v>
      </c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>
        <f t="shared" si="14"/>
        <v>6</v>
      </c>
      <c r="AX197" t="b">
        <f t="shared" si="15"/>
        <v>1</v>
      </c>
      <c r="AY197" s="21">
        <f t="shared" si="12"/>
        <v>114300</v>
      </c>
      <c r="AZ197" t="b">
        <f t="shared" si="13"/>
        <v>1</v>
      </c>
    </row>
    <row r="198" spans="1:52" x14ac:dyDescent="0.4">
      <c r="A198" s="6" t="s">
        <v>2230</v>
      </c>
      <c r="B198" s="1" t="s">
        <v>643</v>
      </c>
      <c r="C198" s="1" t="s">
        <v>644</v>
      </c>
      <c r="D198" s="1" t="s">
        <v>645</v>
      </c>
      <c r="E198" s="1" t="s">
        <v>25</v>
      </c>
      <c r="F198" s="1" t="s">
        <v>150</v>
      </c>
      <c r="G198" s="5" t="s">
        <v>10</v>
      </c>
      <c r="H198" s="1" t="s">
        <v>27</v>
      </c>
      <c r="I198">
        <v>59400</v>
      </c>
      <c r="J198" s="1" t="s">
        <v>33</v>
      </c>
      <c r="K198">
        <v>0</v>
      </c>
      <c r="L198">
        <v>59400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18">
        <v>3</v>
      </c>
      <c r="Y198" s="6"/>
      <c r="Z198" s="6">
        <v>19800</v>
      </c>
      <c r="AA198" s="6">
        <v>19800</v>
      </c>
      <c r="AB198" s="6">
        <v>19800</v>
      </c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>
        <f t="shared" si="14"/>
        <v>3</v>
      </c>
      <c r="AX198" t="b">
        <f t="shared" si="15"/>
        <v>1</v>
      </c>
      <c r="AY198" s="21">
        <f t="shared" si="12"/>
        <v>59400</v>
      </c>
      <c r="AZ198" t="b">
        <f t="shared" si="13"/>
        <v>1</v>
      </c>
    </row>
    <row r="199" spans="1:52" x14ac:dyDescent="0.4">
      <c r="A199" s="6" t="s">
        <v>2230</v>
      </c>
      <c r="B199" s="1" t="s">
        <v>646</v>
      </c>
      <c r="C199" s="1" t="s">
        <v>647</v>
      </c>
      <c r="D199" s="1" t="s">
        <v>648</v>
      </c>
      <c r="E199" s="1" t="s">
        <v>44</v>
      </c>
      <c r="F199" s="1" t="s">
        <v>51</v>
      </c>
      <c r="G199" s="5" t="s">
        <v>46</v>
      </c>
      <c r="H199" s="1" t="s">
        <v>27</v>
      </c>
      <c r="I199">
        <v>114300</v>
      </c>
      <c r="J199" s="1" t="s">
        <v>33</v>
      </c>
      <c r="K199">
        <v>0</v>
      </c>
      <c r="L199">
        <v>0</v>
      </c>
      <c r="M199">
        <v>0</v>
      </c>
      <c r="N199">
        <v>0</v>
      </c>
      <c r="O199">
        <v>114300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18">
        <v>6</v>
      </c>
      <c r="Y199" s="6"/>
      <c r="Z199" s="6"/>
      <c r="AA199" s="6"/>
      <c r="AB199" s="6"/>
      <c r="AC199" s="6">
        <v>19050</v>
      </c>
      <c r="AD199" s="6">
        <v>19050</v>
      </c>
      <c r="AE199" s="6">
        <v>19050</v>
      </c>
      <c r="AF199" s="6">
        <v>19050</v>
      </c>
      <c r="AG199" s="6">
        <v>19050</v>
      </c>
      <c r="AH199" s="6">
        <v>19050</v>
      </c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>
        <f t="shared" si="14"/>
        <v>6</v>
      </c>
      <c r="AX199" t="b">
        <f t="shared" si="15"/>
        <v>1</v>
      </c>
      <c r="AY199" s="21">
        <f t="shared" ref="AY199:AY262" si="16">+SUM(Y199:AV199)</f>
        <v>114300</v>
      </c>
      <c r="AZ199" t="b">
        <f t="shared" ref="AZ199:AZ262" si="17">+I199=AY199</f>
        <v>1</v>
      </c>
    </row>
    <row r="200" spans="1:52" x14ac:dyDescent="0.4">
      <c r="A200" s="6" t="s">
        <v>2230</v>
      </c>
      <c r="B200" s="1" t="s">
        <v>649</v>
      </c>
      <c r="C200" s="1" t="s">
        <v>650</v>
      </c>
      <c r="D200" s="1" t="s">
        <v>651</v>
      </c>
      <c r="E200" s="1" t="s">
        <v>44</v>
      </c>
      <c r="F200" s="1" t="s">
        <v>37</v>
      </c>
      <c r="G200" s="5" t="s">
        <v>46</v>
      </c>
      <c r="H200" s="1" t="s">
        <v>27</v>
      </c>
      <c r="I200">
        <v>114300</v>
      </c>
      <c r="J200" s="1" t="s">
        <v>33</v>
      </c>
      <c r="K200">
        <v>0</v>
      </c>
      <c r="L200">
        <v>0</v>
      </c>
      <c r="M200">
        <v>0</v>
      </c>
      <c r="N200">
        <v>0</v>
      </c>
      <c r="O200">
        <v>114300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18">
        <v>6</v>
      </c>
      <c r="Y200" s="6"/>
      <c r="Z200" s="6"/>
      <c r="AA200" s="6"/>
      <c r="AB200" s="6"/>
      <c r="AC200" s="6">
        <v>19050</v>
      </c>
      <c r="AD200" s="6">
        <v>19050</v>
      </c>
      <c r="AE200" s="6">
        <v>19050</v>
      </c>
      <c r="AF200" s="6">
        <v>19050</v>
      </c>
      <c r="AG200" s="6">
        <v>19050</v>
      </c>
      <c r="AH200" s="6">
        <v>19050</v>
      </c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>
        <f t="shared" si="14"/>
        <v>6</v>
      </c>
      <c r="AX200" t="b">
        <f t="shared" si="15"/>
        <v>1</v>
      </c>
      <c r="AY200" s="21">
        <f t="shared" si="16"/>
        <v>114300</v>
      </c>
      <c r="AZ200" t="b">
        <f t="shared" si="17"/>
        <v>1</v>
      </c>
    </row>
    <row r="201" spans="1:52" x14ac:dyDescent="0.4">
      <c r="A201" s="6" t="s">
        <v>2230</v>
      </c>
      <c r="B201" s="1" t="s">
        <v>652</v>
      </c>
      <c r="C201" s="1" t="s">
        <v>653</v>
      </c>
      <c r="D201" s="1" t="s">
        <v>654</v>
      </c>
      <c r="E201" s="1" t="s">
        <v>25</v>
      </c>
      <c r="F201" s="1" t="s">
        <v>82</v>
      </c>
      <c r="G201" s="5" t="s">
        <v>10</v>
      </c>
      <c r="H201" s="1" t="s">
        <v>27</v>
      </c>
      <c r="I201">
        <v>59400</v>
      </c>
      <c r="J201" s="1" t="s">
        <v>33</v>
      </c>
      <c r="K201">
        <v>0</v>
      </c>
      <c r="L201">
        <v>59400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s="18">
        <v>3</v>
      </c>
      <c r="Y201" s="6"/>
      <c r="Z201" s="6">
        <v>19800</v>
      </c>
      <c r="AA201" s="6">
        <v>19800</v>
      </c>
      <c r="AB201" s="6">
        <v>19800</v>
      </c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>
        <f t="shared" si="14"/>
        <v>3</v>
      </c>
      <c r="AX201" t="b">
        <f t="shared" si="15"/>
        <v>1</v>
      </c>
      <c r="AY201" s="21">
        <f t="shared" si="16"/>
        <v>59400</v>
      </c>
      <c r="AZ201" t="b">
        <f t="shared" si="17"/>
        <v>1</v>
      </c>
    </row>
    <row r="202" spans="1:52" x14ac:dyDescent="0.4">
      <c r="A202" s="6" t="s">
        <v>2230</v>
      </c>
      <c r="B202" s="1" t="s">
        <v>655</v>
      </c>
      <c r="C202" s="1" t="s">
        <v>656</v>
      </c>
      <c r="D202" s="1" t="s">
        <v>657</v>
      </c>
      <c r="E202" s="1" t="s">
        <v>25</v>
      </c>
      <c r="F202" s="1" t="s">
        <v>376</v>
      </c>
      <c r="G202" s="5" t="s">
        <v>10</v>
      </c>
      <c r="H202" s="1" t="s">
        <v>27</v>
      </c>
      <c r="I202">
        <v>59400</v>
      </c>
      <c r="J202" s="1" t="s">
        <v>33</v>
      </c>
      <c r="K202">
        <v>0</v>
      </c>
      <c r="L202">
        <v>59400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s="18">
        <v>3</v>
      </c>
      <c r="Y202" s="6"/>
      <c r="Z202" s="6">
        <v>19800</v>
      </c>
      <c r="AA202" s="6">
        <v>19800</v>
      </c>
      <c r="AB202" s="6">
        <v>19800</v>
      </c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>
        <f t="shared" si="14"/>
        <v>3</v>
      </c>
      <c r="AX202" t="b">
        <f t="shared" si="15"/>
        <v>1</v>
      </c>
      <c r="AY202" s="21">
        <f t="shared" si="16"/>
        <v>59400</v>
      </c>
      <c r="AZ202" t="b">
        <f t="shared" si="17"/>
        <v>1</v>
      </c>
    </row>
    <row r="203" spans="1:52" x14ac:dyDescent="0.4">
      <c r="A203" s="6" t="s">
        <v>2230</v>
      </c>
      <c r="B203" s="1" t="s">
        <v>658</v>
      </c>
      <c r="C203" s="1" t="s">
        <v>659</v>
      </c>
      <c r="D203" s="1" t="s">
        <v>660</v>
      </c>
      <c r="E203" s="1" t="s">
        <v>44</v>
      </c>
      <c r="F203" s="1" t="s">
        <v>90</v>
      </c>
      <c r="G203" s="5" t="s">
        <v>46</v>
      </c>
      <c r="H203" s="1" t="s">
        <v>27</v>
      </c>
      <c r="I203">
        <v>114300</v>
      </c>
      <c r="J203" s="1" t="s">
        <v>33</v>
      </c>
      <c r="K203">
        <v>0</v>
      </c>
      <c r="L203">
        <v>0</v>
      </c>
      <c r="M203">
        <v>0</v>
      </c>
      <c r="N203">
        <v>0</v>
      </c>
      <c r="O203">
        <v>114300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s="18">
        <v>6</v>
      </c>
      <c r="Y203" s="6"/>
      <c r="Z203" s="6"/>
      <c r="AA203" s="6"/>
      <c r="AB203" s="6"/>
      <c r="AC203" s="6">
        <v>19050</v>
      </c>
      <c r="AD203" s="6">
        <v>19050</v>
      </c>
      <c r="AE203" s="6">
        <v>19050</v>
      </c>
      <c r="AF203" s="6">
        <v>19050</v>
      </c>
      <c r="AG203" s="6">
        <v>19050</v>
      </c>
      <c r="AH203" s="6">
        <v>19050</v>
      </c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>
        <f t="shared" si="14"/>
        <v>6</v>
      </c>
      <c r="AX203" t="b">
        <f t="shared" si="15"/>
        <v>1</v>
      </c>
      <c r="AY203" s="21">
        <f t="shared" si="16"/>
        <v>114300</v>
      </c>
      <c r="AZ203" t="b">
        <f t="shared" si="17"/>
        <v>1</v>
      </c>
    </row>
    <row r="204" spans="1:52" x14ac:dyDescent="0.4">
      <c r="A204" s="6" t="s">
        <v>2230</v>
      </c>
      <c r="B204" s="1" t="s">
        <v>661</v>
      </c>
      <c r="C204" s="1" t="s">
        <v>662</v>
      </c>
      <c r="D204" s="1" t="s">
        <v>663</v>
      </c>
      <c r="E204" s="1" t="s">
        <v>44</v>
      </c>
      <c r="F204" s="1" t="s">
        <v>63</v>
      </c>
      <c r="G204" s="5" t="s">
        <v>46</v>
      </c>
      <c r="H204" s="1" t="s">
        <v>27</v>
      </c>
      <c r="I204">
        <v>114300</v>
      </c>
      <c r="J204" s="1" t="s">
        <v>33</v>
      </c>
      <c r="K204">
        <v>0</v>
      </c>
      <c r="L204">
        <v>0</v>
      </c>
      <c r="M204">
        <v>0</v>
      </c>
      <c r="N204">
        <v>0</v>
      </c>
      <c r="O204">
        <v>114300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s="18">
        <v>6</v>
      </c>
      <c r="Y204" s="6"/>
      <c r="Z204" s="6"/>
      <c r="AA204" s="6"/>
      <c r="AB204" s="6"/>
      <c r="AC204" s="6">
        <v>19050</v>
      </c>
      <c r="AD204" s="6">
        <v>19050</v>
      </c>
      <c r="AE204" s="6">
        <v>19050</v>
      </c>
      <c r="AF204" s="6">
        <v>19050</v>
      </c>
      <c r="AG204" s="6">
        <v>19050</v>
      </c>
      <c r="AH204" s="6">
        <v>19050</v>
      </c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>
        <f t="shared" si="14"/>
        <v>6</v>
      </c>
      <c r="AX204" t="b">
        <f t="shared" si="15"/>
        <v>1</v>
      </c>
      <c r="AY204" s="21">
        <f t="shared" si="16"/>
        <v>114300</v>
      </c>
      <c r="AZ204" t="b">
        <f t="shared" si="17"/>
        <v>1</v>
      </c>
    </row>
    <row r="205" spans="1:52" x14ac:dyDescent="0.4">
      <c r="A205" s="6" t="s">
        <v>2230</v>
      </c>
      <c r="B205" s="1" t="s">
        <v>664</v>
      </c>
      <c r="C205" s="1" t="s">
        <v>665</v>
      </c>
      <c r="D205" s="1" t="s">
        <v>666</v>
      </c>
      <c r="E205" s="1" t="s">
        <v>44</v>
      </c>
      <c r="F205" s="1" t="s">
        <v>150</v>
      </c>
      <c r="G205" s="5" t="s">
        <v>46</v>
      </c>
      <c r="H205" s="1" t="s">
        <v>27</v>
      </c>
      <c r="I205">
        <v>114300</v>
      </c>
      <c r="J205" s="1" t="s">
        <v>33</v>
      </c>
      <c r="K205">
        <v>0</v>
      </c>
      <c r="L205">
        <v>0</v>
      </c>
      <c r="M205">
        <v>0</v>
      </c>
      <c r="N205">
        <v>0</v>
      </c>
      <c r="O205">
        <v>114300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s="18">
        <v>6</v>
      </c>
      <c r="Y205" s="6"/>
      <c r="Z205" s="6"/>
      <c r="AA205" s="6"/>
      <c r="AB205" s="6"/>
      <c r="AC205" s="6">
        <v>19050</v>
      </c>
      <c r="AD205" s="6">
        <v>19050</v>
      </c>
      <c r="AE205" s="6">
        <v>19050</v>
      </c>
      <c r="AF205" s="6">
        <v>19050</v>
      </c>
      <c r="AG205" s="6">
        <v>19050</v>
      </c>
      <c r="AH205" s="6">
        <v>19050</v>
      </c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>
        <f t="shared" si="14"/>
        <v>6</v>
      </c>
      <c r="AX205" t="b">
        <f t="shared" si="15"/>
        <v>1</v>
      </c>
      <c r="AY205" s="21">
        <f t="shared" si="16"/>
        <v>114300</v>
      </c>
      <c r="AZ205" t="b">
        <f t="shared" si="17"/>
        <v>1</v>
      </c>
    </row>
    <row r="206" spans="1:52" x14ac:dyDescent="0.4">
      <c r="A206" s="6" t="s">
        <v>2230</v>
      </c>
      <c r="B206" s="1" t="s">
        <v>667</v>
      </c>
      <c r="C206" s="1" t="s">
        <v>668</v>
      </c>
      <c r="D206" s="1" t="s">
        <v>669</v>
      </c>
      <c r="E206" s="1" t="s">
        <v>70</v>
      </c>
      <c r="F206" s="1" t="s">
        <v>51</v>
      </c>
      <c r="G206" s="5" t="s">
        <v>10</v>
      </c>
      <c r="H206" s="1" t="s">
        <v>52</v>
      </c>
      <c r="I206">
        <v>59400</v>
      </c>
      <c r="J206" s="1" t="s">
        <v>28</v>
      </c>
      <c r="K206">
        <v>0</v>
      </c>
      <c r="L206">
        <v>59400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18">
        <v>3</v>
      </c>
      <c r="Y206" s="6"/>
      <c r="Z206" s="6">
        <v>19800</v>
      </c>
      <c r="AA206" s="6">
        <v>19800</v>
      </c>
      <c r="AB206" s="6">
        <v>19800</v>
      </c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>
        <f t="shared" si="14"/>
        <v>3</v>
      </c>
      <c r="AX206" t="b">
        <f t="shared" si="15"/>
        <v>1</v>
      </c>
      <c r="AY206" s="21">
        <f t="shared" si="16"/>
        <v>59400</v>
      </c>
      <c r="AZ206" t="b">
        <f t="shared" si="17"/>
        <v>1</v>
      </c>
    </row>
    <row r="207" spans="1:52" x14ac:dyDescent="0.4">
      <c r="A207" s="6" t="s">
        <v>2230</v>
      </c>
      <c r="B207" s="1" t="s">
        <v>670</v>
      </c>
      <c r="C207" s="1" t="s">
        <v>671</v>
      </c>
      <c r="D207" s="1" t="s">
        <v>672</v>
      </c>
      <c r="E207" s="1" t="s">
        <v>25</v>
      </c>
      <c r="F207" s="1" t="s">
        <v>333</v>
      </c>
      <c r="G207" s="5" t="s">
        <v>10</v>
      </c>
      <c r="H207" s="1" t="s">
        <v>27</v>
      </c>
      <c r="I207">
        <v>59400</v>
      </c>
      <c r="J207" s="1" t="s">
        <v>33</v>
      </c>
      <c r="K207">
        <v>0</v>
      </c>
      <c r="L207">
        <v>59400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s="18">
        <v>3</v>
      </c>
      <c r="Y207" s="6"/>
      <c r="Z207" s="6">
        <v>19800</v>
      </c>
      <c r="AA207" s="6">
        <v>19800</v>
      </c>
      <c r="AB207" s="6">
        <v>19800</v>
      </c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>
        <f t="shared" si="14"/>
        <v>3</v>
      </c>
      <c r="AX207" t="b">
        <f t="shared" si="15"/>
        <v>1</v>
      </c>
      <c r="AY207" s="21">
        <f t="shared" si="16"/>
        <v>59400</v>
      </c>
      <c r="AZ207" t="b">
        <f t="shared" si="17"/>
        <v>1</v>
      </c>
    </row>
    <row r="208" spans="1:52" x14ac:dyDescent="0.4">
      <c r="A208" s="6" t="s">
        <v>2230</v>
      </c>
      <c r="B208" s="1" t="s">
        <v>673</v>
      </c>
      <c r="C208" s="1" t="s">
        <v>674</v>
      </c>
      <c r="D208" s="1" t="s">
        <v>675</v>
      </c>
      <c r="E208" s="1" t="s">
        <v>44</v>
      </c>
      <c r="F208" s="1" t="s">
        <v>90</v>
      </c>
      <c r="G208" s="5" t="s">
        <v>46</v>
      </c>
      <c r="H208" s="1" t="s">
        <v>27</v>
      </c>
      <c r="I208">
        <v>114300</v>
      </c>
      <c r="J208" s="1" t="s">
        <v>33</v>
      </c>
      <c r="K208">
        <v>0</v>
      </c>
      <c r="L208">
        <v>0</v>
      </c>
      <c r="M208">
        <v>0</v>
      </c>
      <c r="N208">
        <v>0</v>
      </c>
      <c r="O208">
        <v>114300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s="18">
        <v>6</v>
      </c>
      <c r="Y208" s="6"/>
      <c r="Z208" s="6"/>
      <c r="AA208" s="6"/>
      <c r="AB208" s="6"/>
      <c r="AC208" s="6">
        <v>19050</v>
      </c>
      <c r="AD208" s="6">
        <v>19050</v>
      </c>
      <c r="AE208" s="6">
        <v>19050</v>
      </c>
      <c r="AF208" s="6">
        <v>19050</v>
      </c>
      <c r="AG208" s="6">
        <v>19050</v>
      </c>
      <c r="AH208" s="6">
        <v>19050</v>
      </c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>
        <f t="shared" ref="AW208:AW271" si="18">+COUNTA(Y208:AV208)</f>
        <v>6</v>
      </c>
      <c r="AX208" t="b">
        <f t="shared" ref="AX208:AX271" si="19">+AW208=X208</f>
        <v>1</v>
      </c>
      <c r="AY208" s="21">
        <f t="shared" si="16"/>
        <v>114300</v>
      </c>
      <c r="AZ208" t="b">
        <f t="shared" si="17"/>
        <v>1</v>
      </c>
    </row>
    <row r="209" spans="1:52" x14ac:dyDescent="0.4">
      <c r="A209" s="6" t="s">
        <v>2230</v>
      </c>
      <c r="B209" s="1" t="s">
        <v>676</v>
      </c>
      <c r="C209" s="1" t="s">
        <v>677</v>
      </c>
      <c r="D209" s="1" t="s">
        <v>678</v>
      </c>
      <c r="E209" s="1" t="s">
        <v>44</v>
      </c>
      <c r="F209" s="1" t="s">
        <v>97</v>
      </c>
      <c r="G209" s="5" t="s">
        <v>46</v>
      </c>
      <c r="H209" s="1" t="s">
        <v>27</v>
      </c>
      <c r="I209">
        <v>114300</v>
      </c>
      <c r="J209" s="1" t="s">
        <v>33</v>
      </c>
      <c r="K209">
        <v>0</v>
      </c>
      <c r="L209">
        <v>0</v>
      </c>
      <c r="M209">
        <v>0</v>
      </c>
      <c r="N209">
        <v>0</v>
      </c>
      <c r="O209">
        <v>114300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18">
        <v>6</v>
      </c>
      <c r="Y209" s="6"/>
      <c r="Z209" s="6"/>
      <c r="AA209" s="6"/>
      <c r="AB209" s="6"/>
      <c r="AC209" s="6">
        <v>19050</v>
      </c>
      <c r="AD209" s="6">
        <v>19050</v>
      </c>
      <c r="AE209" s="6">
        <v>19050</v>
      </c>
      <c r="AF209" s="6">
        <v>19050</v>
      </c>
      <c r="AG209" s="6">
        <v>19050</v>
      </c>
      <c r="AH209" s="6">
        <v>19050</v>
      </c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>
        <f t="shared" si="18"/>
        <v>6</v>
      </c>
      <c r="AX209" t="b">
        <f t="shared" si="19"/>
        <v>1</v>
      </c>
      <c r="AY209" s="21">
        <f t="shared" si="16"/>
        <v>114300</v>
      </c>
      <c r="AZ209" t="b">
        <f t="shared" si="17"/>
        <v>1</v>
      </c>
    </row>
    <row r="210" spans="1:52" x14ac:dyDescent="0.4">
      <c r="A210" s="6" t="s">
        <v>2230</v>
      </c>
      <c r="B210" s="1" t="s">
        <v>679</v>
      </c>
      <c r="C210" s="1" t="s">
        <v>680</v>
      </c>
      <c r="D210" s="1" t="s">
        <v>681</v>
      </c>
      <c r="E210" s="1" t="s">
        <v>44</v>
      </c>
      <c r="F210" s="1" t="s">
        <v>32</v>
      </c>
      <c r="G210" s="5" t="s">
        <v>46</v>
      </c>
      <c r="H210" s="1" t="s">
        <v>27</v>
      </c>
      <c r="I210">
        <v>114300</v>
      </c>
      <c r="J210" s="1" t="s">
        <v>33</v>
      </c>
      <c r="K210">
        <v>0</v>
      </c>
      <c r="L210">
        <v>0</v>
      </c>
      <c r="M210">
        <v>0</v>
      </c>
      <c r="N210">
        <v>0</v>
      </c>
      <c r="O210">
        <v>114300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18">
        <v>6</v>
      </c>
      <c r="Y210" s="6"/>
      <c r="Z210" s="6"/>
      <c r="AA210" s="6"/>
      <c r="AB210" s="6"/>
      <c r="AC210" s="6">
        <v>19050</v>
      </c>
      <c r="AD210" s="6">
        <v>19050</v>
      </c>
      <c r="AE210" s="6">
        <v>19050</v>
      </c>
      <c r="AF210" s="6">
        <v>19050</v>
      </c>
      <c r="AG210" s="6">
        <v>19050</v>
      </c>
      <c r="AH210" s="6">
        <v>19050</v>
      </c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>
        <f t="shared" si="18"/>
        <v>6</v>
      </c>
      <c r="AX210" t="b">
        <f t="shared" si="19"/>
        <v>1</v>
      </c>
      <c r="AY210" s="21">
        <f t="shared" si="16"/>
        <v>114300</v>
      </c>
      <c r="AZ210" t="b">
        <f t="shared" si="17"/>
        <v>1</v>
      </c>
    </row>
    <row r="211" spans="1:52" x14ac:dyDescent="0.4">
      <c r="A211" s="6" t="s">
        <v>2230</v>
      </c>
      <c r="B211" s="1" t="s">
        <v>682</v>
      </c>
      <c r="C211" s="1" t="s">
        <v>683</v>
      </c>
      <c r="D211" s="1" t="s">
        <v>684</v>
      </c>
      <c r="E211" s="1" t="s">
        <v>44</v>
      </c>
      <c r="F211" s="1" t="s">
        <v>37</v>
      </c>
      <c r="G211" s="5" t="s">
        <v>46</v>
      </c>
      <c r="H211" s="1" t="s">
        <v>27</v>
      </c>
      <c r="I211">
        <v>114300</v>
      </c>
      <c r="J211" s="1" t="s">
        <v>33</v>
      </c>
      <c r="K211">
        <v>0</v>
      </c>
      <c r="L211">
        <v>0</v>
      </c>
      <c r="M211">
        <v>0</v>
      </c>
      <c r="N211">
        <v>0</v>
      </c>
      <c r="O211">
        <v>114300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18">
        <v>6</v>
      </c>
      <c r="Y211" s="6"/>
      <c r="Z211" s="6"/>
      <c r="AA211" s="6"/>
      <c r="AB211" s="6"/>
      <c r="AC211" s="6">
        <v>19050</v>
      </c>
      <c r="AD211" s="6">
        <v>19050</v>
      </c>
      <c r="AE211" s="6">
        <v>19050</v>
      </c>
      <c r="AF211" s="6">
        <v>19050</v>
      </c>
      <c r="AG211" s="6">
        <v>19050</v>
      </c>
      <c r="AH211" s="6">
        <v>19050</v>
      </c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>
        <f t="shared" si="18"/>
        <v>6</v>
      </c>
      <c r="AX211" t="b">
        <f t="shared" si="19"/>
        <v>1</v>
      </c>
      <c r="AY211" s="21">
        <f t="shared" si="16"/>
        <v>114300</v>
      </c>
      <c r="AZ211" t="b">
        <f t="shared" si="17"/>
        <v>1</v>
      </c>
    </row>
    <row r="212" spans="1:52" x14ac:dyDescent="0.4">
      <c r="A212" s="6" t="s">
        <v>2230</v>
      </c>
      <c r="B212" s="1" t="s">
        <v>685</v>
      </c>
      <c r="C212" s="1" t="s">
        <v>686</v>
      </c>
      <c r="D212" s="1" t="s">
        <v>687</v>
      </c>
      <c r="E212" s="1" t="s">
        <v>44</v>
      </c>
      <c r="F212" s="1" t="s">
        <v>56</v>
      </c>
      <c r="G212" s="5" t="s">
        <v>46</v>
      </c>
      <c r="H212" s="1" t="s">
        <v>27</v>
      </c>
      <c r="I212">
        <v>114300</v>
      </c>
      <c r="J212" s="1" t="s">
        <v>33</v>
      </c>
      <c r="K212">
        <v>0</v>
      </c>
      <c r="L212">
        <v>0</v>
      </c>
      <c r="M212">
        <v>0</v>
      </c>
      <c r="N212">
        <v>0</v>
      </c>
      <c r="O212">
        <v>114300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18">
        <v>6</v>
      </c>
      <c r="Y212" s="6"/>
      <c r="Z212" s="6"/>
      <c r="AA212" s="6"/>
      <c r="AB212" s="6"/>
      <c r="AC212" s="6">
        <v>19050</v>
      </c>
      <c r="AD212" s="6">
        <v>19050</v>
      </c>
      <c r="AE212" s="6">
        <v>19050</v>
      </c>
      <c r="AF212" s="6">
        <v>19050</v>
      </c>
      <c r="AG212" s="6">
        <v>19050</v>
      </c>
      <c r="AH212" s="6">
        <v>19050</v>
      </c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>
        <f t="shared" si="18"/>
        <v>6</v>
      </c>
      <c r="AX212" t="b">
        <f t="shared" si="19"/>
        <v>1</v>
      </c>
      <c r="AY212" s="21">
        <f t="shared" si="16"/>
        <v>114300</v>
      </c>
      <c r="AZ212" t="b">
        <f t="shared" si="17"/>
        <v>1</v>
      </c>
    </row>
    <row r="213" spans="1:52" x14ac:dyDescent="0.4">
      <c r="A213" s="6" t="s">
        <v>2230</v>
      </c>
      <c r="B213" s="1" t="s">
        <v>688</v>
      </c>
      <c r="C213" s="1" t="s">
        <v>689</v>
      </c>
      <c r="D213" s="1" t="s">
        <v>690</v>
      </c>
      <c r="E213" s="1" t="s">
        <v>44</v>
      </c>
      <c r="F213" s="1" t="s">
        <v>101</v>
      </c>
      <c r="G213" s="5" t="s">
        <v>46</v>
      </c>
      <c r="H213" s="1" t="s">
        <v>27</v>
      </c>
      <c r="I213">
        <v>114300</v>
      </c>
      <c r="J213" s="1" t="s">
        <v>33</v>
      </c>
      <c r="K213">
        <v>0</v>
      </c>
      <c r="L213">
        <v>0</v>
      </c>
      <c r="M213">
        <v>0</v>
      </c>
      <c r="N213">
        <v>0</v>
      </c>
      <c r="O213">
        <v>114300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18">
        <v>6</v>
      </c>
      <c r="Y213" s="6"/>
      <c r="Z213" s="6"/>
      <c r="AA213" s="6"/>
      <c r="AB213" s="6"/>
      <c r="AC213" s="6">
        <v>19050</v>
      </c>
      <c r="AD213" s="6">
        <v>19050</v>
      </c>
      <c r="AE213" s="6">
        <v>19050</v>
      </c>
      <c r="AF213" s="6">
        <v>19050</v>
      </c>
      <c r="AG213" s="6">
        <v>19050</v>
      </c>
      <c r="AH213" s="6">
        <v>19050</v>
      </c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>
        <f t="shared" si="18"/>
        <v>6</v>
      </c>
      <c r="AX213" t="b">
        <f t="shared" si="19"/>
        <v>1</v>
      </c>
      <c r="AY213" s="21">
        <f t="shared" si="16"/>
        <v>114300</v>
      </c>
      <c r="AZ213" t="b">
        <f t="shared" si="17"/>
        <v>1</v>
      </c>
    </row>
    <row r="214" spans="1:52" x14ac:dyDescent="0.4">
      <c r="A214" s="6" t="s">
        <v>2230</v>
      </c>
      <c r="B214" s="1" t="s">
        <v>691</v>
      </c>
      <c r="C214" s="1" t="s">
        <v>692</v>
      </c>
      <c r="D214" s="1" t="s">
        <v>693</v>
      </c>
      <c r="E214" s="1" t="s">
        <v>44</v>
      </c>
      <c r="F214" s="1" t="s">
        <v>86</v>
      </c>
      <c r="G214" s="5" t="s">
        <v>46</v>
      </c>
      <c r="H214" s="1" t="s">
        <v>27</v>
      </c>
      <c r="I214">
        <v>114300</v>
      </c>
      <c r="J214" s="1" t="s">
        <v>33</v>
      </c>
      <c r="K214">
        <v>0</v>
      </c>
      <c r="L214">
        <v>0</v>
      </c>
      <c r="M214">
        <v>0</v>
      </c>
      <c r="N214">
        <v>0</v>
      </c>
      <c r="O214">
        <v>114300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18">
        <v>6</v>
      </c>
      <c r="Y214" s="6"/>
      <c r="Z214" s="6"/>
      <c r="AA214" s="6"/>
      <c r="AB214" s="6"/>
      <c r="AC214" s="6">
        <v>19050</v>
      </c>
      <c r="AD214" s="6">
        <v>19050</v>
      </c>
      <c r="AE214" s="6">
        <v>19050</v>
      </c>
      <c r="AF214" s="6">
        <v>19050</v>
      </c>
      <c r="AG214" s="6">
        <v>19050</v>
      </c>
      <c r="AH214" s="6">
        <v>19050</v>
      </c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>
        <f t="shared" si="18"/>
        <v>6</v>
      </c>
      <c r="AX214" t="b">
        <f t="shared" si="19"/>
        <v>1</v>
      </c>
      <c r="AY214" s="21">
        <f t="shared" si="16"/>
        <v>114300</v>
      </c>
      <c r="AZ214" t="b">
        <f t="shared" si="17"/>
        <v>1</v>
      </c>
    </row>
    <row r="215" spans="1:52" x14ac:dyDescent="0.4">
      <c r="A215" s="6" t="s">
        <v>2230</v>
      </c>
      <c r="B215" s="1" t="s">
        <v>694</v>
      </c>
      <c r="C215" s="1" t="s">
        <v>695</v>
      </c>
      <c r="D215" s="1" t="s">
        <v>696</v>
      </c>
      <c r="E215" s="1" t="s">
        <v>25</v>
      </c>
      <c r="F215" s="1" t="s">
        <v>26</v>
      </c>
      <c r="G215" s="5" t="s">
        <v>479</v>
      </c>
      <c r="H215" s="1" t="s">
        <v>27</v>
      </c>
      <c r="I215">
        <v>59400</v>
      </c>
      <c r="J215" s="1" t="s">
        <v>28</v>
      </c>
      <c r="K215">
        <v>0</v>
      </c>
      <c r="L215">
        <v>0</v>
      </c>
      <c r="M215">
        <v>59400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18">
        <v>3</v>
      </c>
      <c r="Y215" s="6"/>
      <c r="Z215" s="6"/>
      <c r="AA215" s="6">
        <v>19800</v>
      </c>
      <c r="AB215" s="6">
        <v>19800</v>
      </c>
      <c r="AC215" s="6">
        <v>19800</v>
      </c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>
        <f t="shared" si="18"/>
        <v>3</v>
      </c>
      <c r="AX215" t="b">
        <f t="shared" si="19"/>
        <v>1</v>
      </c>
      <c r="AY215" s="21">
        <f t="shared" si="16"/>
        <v>59400</v>
      </c>
      <c r="AZ215" t="b">
        <f t="shared" si="17"/>
        <v>1</v>
      </c>
    </row>
    <row r="216" spans="1:52" x14ac:dyDescent="0.4">
      <c r="A216" s="6" t="s">
        <v>2230</v>
      </c>
      <c r="B216" s="1" t="s">
        <v>697</v>
      </c>
      <c r="C216" s="1" t="s">
        <v>698</v>
      </c>
      <c r="D216" s="1" t="s">
        <v>699</v>
      </c>
      <c r="E216" s="1" t="s">
        <v>44</v>
      </c>
      <c r="F216" s="1" t="s">
        <v>178</v>
      </c>
      <c r="G216" s="5" t="s">
        <v>46</v>
      </c>
      <c r="H216" s="1" t="s">
        <v>27</v>
      </c>
      <c r="I216">
        <v>114300</v>
      </c>
      <c r="J216" s="1" t="s">
        <v>33</v>
      </c>
      <c r="K216">
        <v>0</v>
      </c>
      <c r="L216">
        <v>0</v>
      </c>
      <c r="M216">
        <v>0</v>
      </c>
      <c r="N216">
        <v>0</v>
      </c>
      <c r="O216">
        <v>114300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18">
        <v>6</v>
      </c>
      <c r="Y216" s="6"/>
      <c r="Z216" s="6"/>
      <c r="AA216" s="6"/>
      <c r="AB216" s="6"/>
      <c r="AC216" s="6">
        <v>19050</v>
      </c>
      <c r="AD216" s="6">
        <v>19050</v>
      </c>
      <c r="AE216" s="6">
        <v>19050</v>
      </c>
      <c r="AF216" s="6">
        <v>19050</v>
      </c>
      <c r="AG216" s="6">
        <v>19050</v>
      </c>
      <c r="AH216" s="6">
        <v>19050</v>
      </c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>
        <f t="shared" si="18"/>
        <v>6</v>
      </c>
      <c r="AX216" t="b">
        <f t="shared" si="19"/>
        <v>1</v>
      </c>
      <c r="AY216" s="21">
        <f t="shared" si="16"/>
        <v>114300</v>
      </c>
      <c r="AZ216" t="b">
        <f t="shared" si="17"/>
        <v>1</v>
      </c>
    </row>
    <row r="217" spans="1:52" x14ac:dyDescent="0.4">
      <c r="A217" s="6" t="s">
        <v>2230</v>
      </c>
      <c r="B217" s="1" t="s">
        <v>700</v>
      </c>
      <c r="C217" s="1" t="s">
        <v>701</v>
      </c>
      <c r="D217" s="1" t="s">
        <v>702</v>
      </c>
      <c r="E217" s="1" t="s">
        <v>44</v>
      </c>
      <c r="F217" s="1" t="s">
        <v>140</v>
      </c>
      <c r="G217" s="5" t="s">
        <v>46</v>
      </c>
      <c r="H217" s="1" t="s">
        <v>27</v>
      </c>
      <c r="I217">
        <v>114300</v>
      </c>
      <c r="J217" s="1" t="s">
        <v>33</v>
      </c>
      <c r="K217">
        <v>0</v>
      </c>
      <c r="L217">
        <v>0</v>
      </c>
      <c r="M217">
        <v>0</v>
      </c>
      <c r="N217">
        <v>0</v>
      </c>
      <c r="O217">
        <v>114300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18">
        <v>6</v>
      </c>
      <c r="Y217" s="6"/>
      <c r="Z217" s="6"/>
      <c r="AA217" s="6"/>
      <c r="AB217" s="6"/>
      <c r="AC217" s="6">
        <v>19050</v>
      </c>
      <c r="AD217" s="6">
        <v>19050</v>
      </c>
      <c r="AE217" s="6">
        <v>19050</v>
      </c>
      <c r="AF217" s="6">
        <v>19050</v>
      </c>
      <c r="AG217" s="6">
        <v>19050</v>
      </c>
      <c r="AH217" s="6">
        <v>19050</v>
      </c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>
        <f t="shared" si="18"/>
        <v>6</v>
      </c>
      <c r="AX217" t="b">
        <f t="shared" si="19"/>
        <v>1</v>
      </c>
      <c r="AY217" s="21">
        <f t="shared" si="16"/>
        <v>114300</v>
      </c>
      <c r="AZ217" t="b">
        <f t="shared" si="17"/>
        <v>1</v>
      </c>
    </row>
    <row r="218" spans="1:52" x14ac:dyDescent="0.4">
      <c r="A218" s="6" t="s">
        <v>2230</v>
      </c>
      <c r="B218" s="1" t="s">
        <v>703</v>
      </c>
      <c r="C218" s="1" t="s">
        <v>704</v>
      </c>
      <c r="D218" s="1" t="s">
        <v>705</v>
      </c>
      <c r="E218" s="1" t="s">
        <v>44</v>
      </c>
      <c r="F218" s="1" t="s">
        <v>37</v>
      </c>
      <c r="G218" s="5" t="s">
        <v>46</v>
      </c>
      <c r="H218" s="1" t="s">
        <v>27</v>
      </c>
      <c r="I218">
        <v>114300</v>
      </c>
      <c r="J218" s="1" t="s">
        <v>33</v>
      </c>
      <c r="K218">
        <v>0</v>
      </c>
      <c r="L218">
        <v>0</v>
      </c>
      <c r="M218">
        <v>0</v>
      </c>
      <c r="N218">
        <v>0</v>
      </c>
      <c r="O218">
        <v>114300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18">
        <v>6</v>
      </c>
      <c r="Y218" s="6"/>
      <c r="Z218" s="6"/>
      <c r="AA218" s="6"/>
      <c r="AB218" s="6"/>
      <c r="AC218" s="6">
        <v>19050</v>
      </c>
      <c r="AD218" s="6">
        <v>19050</v>
      </c>
      <c r="AE218" s="6">
        <v>19050</v>
      </c>
      <c r="AF218" s="6">
        <v>19050</v>
      </c>
      <c r="AG218" s="6">
        <v>19050</v>
      </c>
      <c r="AH218" s="6">
        <v>19050</v>
      </c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>
        <f t="shared" si="18"/>
        <v>6</v>
      </c>
      <c r="AX218" t="b">
        <f t="shared" si="19"/>
        <v>1</v>
      </c>
      <c r="AY218" s="21">
        <f t="shared" si="16"/>
        <v>114300</v>
      </c>
      <c r="AZ218" t="b">
        <f t="shared" si="17"/>
        <v>1</v>
      </c>
    </row>
    <row r="219" spans="1:52" x14ac:dyDescent="0.4">
      <c r="A219" s="6" t="s">
        <v>2230</v>
      </c>
      <c r="B219" s="1" t="s">
        <v>706</v>
      </c>
      <c r="C219" s="1" t="s">
        <v>707</v>
      </c>
      <c r="D219" s="1" t="s">
        <v>708</v>
      </c>
      <c r="E219" s="1" t="s">
        <v>44</v>
      </c>
      <c r="F219" s="1" t="s">
        <v>56</v>
      </c>
      <c r="G219" s="5" t="s">
        <v>46</v>
      </c>
      <c r="H219" s="1" t="s">
        <v>27</v>
      </c>
      <c r="I219">
        <v>114300</v>
      </c>
      <c r="J219" s="1" t="s">
        <v>33</v>
      </c>
      <c r="K219">
        <v>0</v>
      </c>
      <c r="L219">
        <v>0</v>
      </c>
      <c r="M219">
        <v>0</v>
      </c>
      <c r="N219">
        <v>0</v>
      </c>
      <c r="O219">
        <v>114300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18">
        <v>6</v>
      </c>
      <c r="Y219" s="6"/>
      <c r="Z219" s="6"/>
      <c r="AA219" s="6"/>
      <c r="AB219" s="6"/>
      <c r="AC219" s="6">
        <v>19050</v>
      </c>
      <c r="AD219" s="6">
        <v>19050</v>
      </c>
      <c r="AE219" s="6">
        <v>19050</v>
      </c>
      <c r="AF219" s="6">
        <v>19050</v>
      </c>
      <c r="AG219" s="6">
        <v>19050</v>
      </c>
      <c r="AH219" s="6">
        <v>19050</v>
      </c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>
        <f t="shared" si="18"/>
        <v>6</v>
      </c>
      <c r="AX219" t="b">
        <f t="shared" si="19"/>
        <v>1</v>
      </c>
      <c r="AY219" s="21">
        <f t="shared" si="16"/>
        <v>114300</v>
      </c>
      <c r="AZ219" t="b">
        <f t="shared" si="17"/>
        <v>1</v>
      </c>
    </row>
    <row r="220" spans="1:52" x14ac:dyDescent="0.4">
      <c r="A220" s="6" t="s">
        <v>2230</v>
      </c>
      <c r="B220" s="1" t="s">
        <v>709</v>
      </c>
      <c r="C220" s="1" t="s">
        <v>710</v>
      </c>
      <c r="D220" s="1" t="s">
        <v>711</v>
      </c>
      <c r="E220" s="1" t="s">
        <v>44</v>
      </c>
      <c r="F220" s="1" t="s">
        <v>37</v>
      </c>
      <c r="G220" s="5" t="s">
        <v>46</v>
      </c>
      <c r="H220" s="1" t="s">
        <v>27</v>
      </c>
      <c r="I220">
        <v>114300</v>
      </c>
      <c r="J220" s="1" t="s">
        <v>33</v>
      </c>
      <c r="K220">
        <v>0</v>
      </c>
      <c r="L220">
        <v>0</v>
      </c>
      <c r="M220">
        <v>0</v>
      </c>
      <c r="N220">
        <v>0</v>
      </c>
      <c r="O220">
        <v>114300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18">
        <v>6</v>
      </c>
      <c r="Y220" s="6"/>
      <c r="Z220" s="6"/>
      <c r="AA220" s="6"/>
      <c r="AB220" s="6"/>
      <c r="AC220" s="6">
        <v>19050</v>
      </c>
      <c r="AD220" s="6">
        <v>19050</v>
      </c>
      <c r="AE220" s="6">
        <v>19050</v>
      </c>
      <c r="AF220" s="6">
        <v>19050</v>
      </c>
      <c r="AG220" s="6">
        <v>19050</v>
      </c>
      <c r="AH220" s="6">
        <v>19050</v>
      </c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>
        <f t="shared" si="18"/>
        <v>6</v>
      </c>
      <c r="AX220" t="b">
        <f t="shared" si="19"/>
        <v>1</v>
      </c>
      <c r="AY220" s="21">
        <f t="shared" si="16"/>
        <v>114300</v>
      </c>
      <c r="AZ220" t="b">
        <f t="shared" si="17"/>
        <v>1</v>
      </c>
    </row>
    <row r="221" spans="1:52" x14ac:dyDescent="0.4">
      <c r="A221" s="6" t="s">
        <v>2230</v>
      </c>
      <c r="B221" s="1" t="s">
        <v>712</v>
      </c>
      <c r="C221" s="1" t="s">
        <v>713</v>
      </c>
      <c r="D221" s="1" t="s">
        <v>714</v>
      </c>
      <c r="E221" s="1" t="s">
        <v>25</v>
      </c>
      <c r="F221" s="1" t="s">
        <v>37</v>
      </c>
      <c r="G221" s="5" t="s">
        <v>10</v>
      </c>
      <c r="H221" s="1" t="s">
        <v>27</v>
      </c>
      <c r="I221">
        <v>59400</v>
      </c>
      <c r="J221" s="1" t="s">
        <v>33</v>
      </c>
      <c r="K221">
        <v>0</v>
      </c>
      <c r="L221">
        <v>59400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18">
        <v>3</v>
      </c>
      <c r="Y221" s="6"/>
      <c r="Z221" s="6">
        <v>19800</v>
      </c>
      <c r="AA221" s="6">
        <v>19800</v>
      </c>
      <c r="AB221" s="6">
        <v>19800</v>
      </c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>
        <f t="shared" si="18"/>
        <v>3</v>
      </c>
      <c r="AX221" t="b">
        <f t="shared" si="19"/>
        <v>1</v>
      </c>
      <c r="AY221" s="21">
        <f t="shared" si="16"/>
        <v>59400</v>
      </c>
      <c r="AZ221" t="b">
        <f t="shared" si="17"/>
        <v>1</v>
      </c>
    </row>
    <row r="222" spans="1:52" x14ac:dyDescent="0.4">
      <c r="A222" s="6" t="s">
        <v>2230</v>
      </c>
      <c r="B222" s="1" t="s">
        <v>715</v>
      </c>
      <c r="C222" s="1" t="s">
        <v>716</v>
      </c>
      <c r="D222" s="1" t="s">
        <v>717</v>
      </c>
      <c r="E222" s="1" t="s">
        <v>44</v>
      </c>
      <c r="F222" s="1" t="s">
        <v>97</v>
      </c>
      <c r="G222" s="5" t="s">
        <v>46</v>
      </c>
      <c r="H222" s="1" t="s">
        <v>27</v>
      </c>
      <c r="I222">
        <v>114300</v>
      </c>
      <c r="J222" s="1" t="s">
        <v>33</v>
      </c>
      <c r="K222">
        <v>0</v>
      </c>
      <c r="L222">
        <v>0</v>
      </c>
      <c r="M222">
        <v>0</v>
      </c>
      <c r="N222">
        <v>0</v>
      </c>
      <c r="O222">
        <v>114300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18">
        <v>6</v>
      </c>
      <c r="Y222" s="6"/>
      <c r="Z222" s="6"/>
      <c r="AA222" s="6"/>
      <c r="AB222" s="6"/>
      <c r="AC222" s="6">
        <v>19050</v>
      </c>
      <c r="AD222" s="6">
        <v>19050</v>
      </c>
      <c r="AE222" s="6">
        <v>19050</v>
      </c>
      <c r="AF222" s="6">
        <v>19050</v>
      </c>
      <c r="AG222" s="6">
        <v>19050</v>
      </c>
      <c r="AH222" s="6">
        <v>19050</v>
      </c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>
        <f t="shared" si="18"/>
        <v>6</v>
      </c>
      <c r="AX222" t="b">
        <f t="shared" si="19"/>
        <v>1</v>
      </c>
      <c r="AY222" s="21">
        <f t="shared" si="16"/>
        <v>114300</v>
      </c>
      <c r="AZ222" t="b">
        <f t="shared" si="17"/>
        <v>1</v>
      </c>
    </row>
    <row r="223" spans="1:52" x14ac:dyDescent="0.4">
      <c r="A223" s="6" t="s">
        <v>2230</v>
      </c>
      <c r="B223" s="1" t="s">
        <v>718</v>
      </c>
      <c r="C223" s="1" t="s">
        <v>719</v>
      </c>
      <c r="D223" s="1" t="s">
        <v>720</v>
      </c>
      <c r="E223" s="1" t="s">
        <v>44</v>
      </c>
      <c r="F223" s="1" t="s">
        <v>150</v>
      </c>
      <c r="G223" s="5" t="s">
        <v>46</v>
      </c>
      <c r="H223" s="1" t="s">
        <v>27</v>
      </c>
      <c r="I223">
        <v>114300</v>
      </c>
      <c r="J223" s="1" t="s">
        <v>33</v>
      </c>
      <c r="K223">
        <v>0</v>
      </c>
      <c r="L223">
        <v>0</v>
      </c>
      <c r="M223">
        <v>0</v>
      </c>
      <c r="N223">
        <v>0</v>
      </c>
      <c r="O223">
        <v>114300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s="18">
        <v>6</v>
      </c>
      <c r="Y223" s="6"/>
      <c r="Z223" s="6"/>
      <c r="AA223" s="6"/>
      <c r="AB223" s="6"/>
      <c r="AC223" s="6">
        <v>19050</v>
      </c>
      <c r="AD223" s="6">
        <v>19050</v>
      </c>
      <c r="AE223" s="6">
        <v>19050</v>
      </c>
      <c r="AF223" s="6">
        <v>19050</v>
      </c>
      <c r="AG223" s="6">
        <v>19050</v>
      </c>
      <c r="AH223" s="6">
        <v>19050</v>
      </c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>
        <f t="shared" si="18"/>
        <v>6</v>
      </c>
      <c r="AX223" t="b">
        <f t="shared" si="19"/>
        <v>1</v>
      </c>
      <c r="AY223" s="21">
        <f t="shared" si="16"/>
        <v>114300</v>
      </c>
      <c r="AZ223" t="b">
        <f t="shared" si="17"/>
        <v>1</v>
      </c>
    </row>
    <row r="224" spans="1:52" x14ac:dyDescent="0.4">
      <c r="A224" s="6" t="s">
        <v>2230</v>
      </c>
      <c r="B224" s="1" t="s">
        <v>721</v>
      </c>
      <c r="C224" s="1" t="s">
        <v>722</v>
      </c>
      <c r="D224" s="1" t="s">
        <v>723</v>
      </c>
      <c r="E224" s="1" t="s">
        <v>44</v>
      </c>
      <c r="F224" s="1" t="s">
        <v>32</v>
      </c>
      <c r="G224" s="5" t="s">
        <v>46</v>
      </c>
      <c r="H224" s="1" t="s">
        <v>27</v>
      </c>
      <c r="I224">
        <v>114300</v>
      </c>
      <c r="J224" s="1" t="s">
        <v>33</v>
      </c>
      <c r="K224">
        <v>0</v>
      </c>
      <c r="L224">
        <v>0</v>
      </c>
      <c r="M224">
        <v>0</v>
      </c>
      <c r="N224">
        <v>0</v>
      </c>
      <c r="O224">
        <v>114300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s="18">
        <v>6</v>
      </c>
      <c r="Y224" s="6"/>
      <c r="Z224" s="6"/>
      <c r="AA224" s="6"/>
      <c r="AB224" s="6"/>
      <c r="AC224" s="6">
        <v>19050</v>
      </c>
      <c r="AD224" s="6">
        <v>19050</v>
      </c>
      <c r="AE224" s="6">
        <v>19050</v>
      </c>
      <c r="AF224" s="6">
        <v>19050</v>
      </c>
      <c r="AG224" s="6">
        <v>19050</v>
      </c>
      <c r="AH224" s="6">
        <v>19050</v>
      </c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>
        <f t="shared" si="18"/>
        <v>6</v>
      </c>
      <c r="AX224" t="b">
        <f t="shared" si="19"/>
        <v>1</v>
      </c>
      <c r="AY224" s="21">
        <f t="shared" si="16"/>
        <v>114300</v>
      </c>
      <c r="AZ224" t="b">
        <f t="shared" si="17"/>
        <v>1</v>
      </c>
    </row>
    <row r="225" spans="1:52" x14ac:dyDescent="0.4">
      <c r="A225" s="6" t="s">
        <v>2230</v>
      </c>
      <c r="B225" s="1" t="s">
        <v>724</v>
      </c>
      <c r="C225" s="1" t="s">
        <v>725</v>
      </c>
      <c r="D225" s="1" t="s">
        <v>726</v>
      </c>
      <c r="E225" s="1" t="s">
        <v>25</v>
      </c>
      <c r="F225" s="1" t="s">
        <v>32</v>
      </c>
      <c r="G225" s="5" t="s">
        <v>10</v>
      </c>
      <c r="H225" s="1" t="s">
        <v>27</v>
      </c>
      <c r="I225">
        <v>59400</v>
      </c>
      <c r="J225" s="1" t="s">
        <v>33</v>
      </c>
      <c r="K225">
        <v>0</v>
      </c>
      <c r="L225">
        <v>59400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s="18">
        <v>3</v>
      </c>
      <c r="Y225" s="6"/>
      <c r="Z225" s="6">
        <v>19800</v>
      </c>
      <c r="AA225" s="6">
        <v>19800</v>
      </c>
      <c r="AB225" s="6">
        <v>19800</v>
      </c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>
        <f t="shared" si="18"/>
        <v>3</v>
      </c>
      <c r="AX225" t="b">
        <f t="shared" si="19"/>
        <v>1</v>
      </c>
      <c r="AY225" s="21">
        <f t="shared" si="16"/>
        <v>59400</v>
      </c>
      <c r="AZ225" t="b">
        <f t="shared" si="17"/>
        <v>1</v>
      </c>
    </row>
    <row r="226" spans="1:52" x14ac:dyDescent="0.4">
      <c r="A226" s="6" t="s">
        <v>2230</v>
      </c>
      <c r="B226" s="1" t="s">
        <v>727</v>
      </c>
      <c r="C226" s="1" t="s">
        <v>728</v>
      </c>
      <c r="D226" s="1" t="s">
        <v>729</v>
      </c>
      <c r="E226" s="1" t="s">
        <v>44</v>
      </c>
      <c r="F226" s="1" t="s">
        <v>86</v>
      </c>
      <c r="G226" s="5" t="s">
        <v>46</v>
      </c>
      <c r="H226" s="1" t="s">
        <v>27</v>
      </c>
      <c r="I226">
        <v>114300</v>
      </c>
      <c r="J226" s="1" t="s">
        <v>33</v>
      </c>
      <c r="K226">
        <v>0</v>
      </c>
      <c r="L226">
        <v>0</v>
      </c>
      <c r="M226">
        <v>0</v>
      </c>
      <c r="N226">
        <v>0</v>
      </c>
      <c r="O226">
        <v>114300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s="18">
        <v>6</v>
      </c>
      <c r="Y226" s="6"/>
      <c r="Z226" s="6"/>
      <c r="AA226" s="6"/>
      <c r="AB226" s="6"/>
      <c r="AC226" s="6">
        <v>19050</v>
      </c>
      <c r="AD226" s="6">
        <v>19050</v>
      </c>
      <c r="AE226" s="6">
        <v>19050</v>
      </c>
      <c r="AF226" s="6">
        <v>19050</v>
      </c>
      <c r="AG226" s="6">
        <v>19050</v>
      </c>
      <c r="AH226" s="6">
        <v>19050</v>
      </c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>
        <f t="shared" si="18"/>
        <v>6</v>
      </c>
      <c r="AX226" t="b">
        <f t="shared" si="19"/>
        <v>1</v>
      </c>
      <c r="AY226" s="21">
        <f t="shared" si="16"/>
        <v>114300</v>
      </c>
      <c r="AZ226" t="b">
        <f t="shared" si="17"/>
        <v>1</v>
      </c>
    </row>
    <row r="227" spans="1:52" x14ac:dyDescent="0.4">
      <c r="A227" s="6" t="s">
        <v>2230</v>
      </c>
      <c r="B227" s="1" t="s">
        <v>730</v>
      </c>
      <c r="C227" s="1" t="s">
        <v>731</v>
      </c>
      <c r="D227" s="1" t="s">
        <v>732</v>
      </c>
      <c r="E227" s="1" t="s">
        <v>44</v>
      </c>
      <c r="F227" s="1" t="s">
        <v>90</v>
      </c>
      <c r="G227" s="5" t="s">
        <v>46</v>
      </c>
      <c r="H227" s="1" t="s">
        <v>27</v>
      </c>
      <c r="I227">
        <v>114300</v>
      </c>
      <c r="J227" s="1" t="s">
        <v>33</v>
      </c>
      <c r="K227">
        <v>0</v>
      </c>
      <c r="L227">
        <v>0</v>
      </c>
      <c r="M227">
        <v>0</v>
      </c>
      <c r="N227">
        <v>0</v>
      </c>
      <c r="O227">
        <v>114300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18">
        <v>6</v>
      </c>
      <c r="Y227" s="6"/>
      <c r="Z227" s="6"/>
      <c r="AA227" s="6"/>
      <c r="AB227" s="6"/>
      <c r="AC227" s="6">
        <v>19050</v>
      </c>
      <c r="AD227" s="6">
        <v>19050</v>
      </c>
      <c r="AE227" s="6">
        <v>19050</v>
      </c>
      <c r="AF227" s="6">
        <v>19050</v>
      </c>
      <c r="AG227" s="6">
        <v>19050</v>
      </c>
      <c r="AH227" s="6">
        <v>19050</v>
      </c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>
        <f t="shared" si="18"/>
        <v>6</v>
      </c>
      <c r="AX227" t="b">
        <f t="shared" si="19"/>
        <v>1</v>
      </c>
      <c r="AY227" s="21">
        <f t="shared" si="16"/>
        <v>114300</v>
      </c>
      <c r="AZ227" t="b">
        <f t="shared" si="17"/>
        <v>1</v>
      </c>
    </row>
    <row r="228" spans="1:52" x14ac:dyDescent="0.4">
      <c r="A228" s="6" t="s">
        <v>2230</v>
      </c>
      <c r="B228" s="1" t="s">
        <v>733</v>
      </c>
      <c r="C228" s="1" t="s">
        <v>734</v>
      </c>
      <c r="D228" s="1" t="s">
        <v>735</v>
      </c>
      <c r="E228" s="1" t="s">
        <v>44</v>
      </c>
      <c r="F228" s="1" t="s">
        <v>150</v>
      </c>
      <c r="G228" s="5" t="s">
        <v>46</v>
      </c>
      <c r="H228" s="1" t="s">
        <v>27</v>
      </c>
      <c r="I228">
        <v>114300</v>
      </c>
      <c r="J228" s="1" t="s">
        <v>33</v>
      </c>
      <c r="K228">
        <v>0</v>
      </c>
      <c r="L228">
        <v>0</v>
      </c>
      <c r="M228">
        <v>0</v>
      </c>
      <c r="N228">
        <v>0</v>
      </c>
      <c r="O228">
        <v>114300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s="18">
        <v>6</v>
      </c>
      <c r="Y228" s="6"/>
      <c r="Z228" s="6"/>
      <c r="AA228" s="6"/>
      <c r="AB228" s="6"/>
      <c r="AC228" s="6">
        <v>19050</v>
      </c>
      <c r="AD228" s="6">
        <v>19050</v>
      </c>
      <c r="AE228" s="6">
        <v>19050</v>
      </c>
      <c r="AF228" s="6">
        <v>19050</v>
      </c>
      <c r="AG228" s="6">
        <v>19050</v>
      </c>
      <c r="AH228" s="6">
        <v>19050</v>
      </c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>
        <f t="shared" si="18"/>
        <v>6</v>
      </c>
      <c r="AX228" t="b">
        <f t="shared" si="19"/>
        <v>1</v>
      </c>
      <c r="AY228" s="21">
        <f t="shared" si="16"/>
        <v>114300</v>
      </c>
      <c r="AZ228" t="b">
        <f t="shared" si="17"/>
        <v>1</v>
      </c>
    </row>
    <row r="229" spans="1:52" x14ac:dyDescent="0.4">
      <c r="A229" s="6" t="s">
        <v>2230</v>
      </c>
      <c r="B229" s="1" t="s">
        <v>736</v>
      </c>
      <c r="C229" s="1" t="s">
        <v>737</v>
      </c>
      <c r="D229" s="1" t="s">
        <v>738</v>
      </c>
      <c r="E229" s="1" t="s">
        <v>44</v>
      </c>
      <c r="F229" s="1" t="s">
        <v>86</v>
      </c>
      <c r="G229" s="5" t="s">
        <v>46</v>
      </c>
      <c r="H229" s="1" t="s">
        <v>27</v>
      </c>
      <c r="I229">
        <v>114300</v>
      </c>
      <c r="J229" s="1" t="s">
        <v>33</v>
      </c>
      <c r="K229">
        <v>0</v>
      </c>
      <c r="L229">
        <v>0</v>
      </c>
      <c r="M229">
        <v>0</v>
      </c>
      <c r="N229">
        <v>0</v>
      </c>
      <c r="O229">
        <v>114300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s="18">
        <v>6</v>
      </c>
      <c r="Y229" s="6"/>
      <c r="Z229" s="6"/>
      <c r="AA229" s="6"/>
      <c r="AB229" s="6"/>
      <c r="AC229" s="6">
        <v>19050</v>
      </c>
      <c r="AD229" s="6">
        <v>19050</v>
      </c>
      <c r="AE229" s="6">
        <v>19050</v>
      </c>
      <c r="AF229" s="6">
        <v>19050</v>
      </c>
      <c r="AG229" s="6">
        <v>19050</v>
      </c>
      <c r="AH229" s="6">
        <v>19050</v>
      </c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>
        <f t="shared" si="18"/>
        <v>6</v>
      </c>
      <c r="AX229" t="b">
        <f t="shared" si="19"/>
        <v>1</v>
      </c>
      <c r="AY229" s="21">
        <f t="shared" si="16"/>
        <v>114300</v>
      </c>
      <c r="AZ229" t="b">
        <f t="shared" si="17"/>
        <v>1</v>
      </c>
    </row>
    <row r="230" spans="1:52" x14ac:dyDescent="0.4">
      <c r="A230" s="6" t="s">
        <v>2230</v>
      </c>
      <c r="B230" s="1" t="s">
        <v>739</v>
      </c>
      <c r="C230" s="1" t="s">
        <v>740</v>
      </c>
      <c r="D230" s="1" t="s">
        <v>741</v>
      </c>
      <c r="E230" s="1" t="s">
        <v>44</v>
      </c>
      <c r="F230" s="1" t="s">
        <v>86</v>
      </c>
      <c r="G230" s="5" t="s">
        <v>46</v>
      </c>
      <c r="H230" s="1" t="s">
        <v>27</v>
      </c>
      <c r="I230">
        <v>114300</v>
      </c>
      <c r="J230" s="1" t="s">
        <v>33</v>
      </c>
      <c r="K230">
        <v>0</v>
      </c>
      <c r="L230">
        <v>0</v>
      </c>
      <c r="M230">
        <v>0</v>
      </c>
      <c r="N230">
        <v>0</v>
      </c>
      <c r="O230">
        <v>114300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s="18">
        <v>6</v>
      </c>
      <c r="Y230" s="6"/>
      <c r="Z230" s="6"/>
      <c r="AA230" s="6"/>
      <c r="AB230" s="6"/>
      <c r="AC230" s="6">
        <v>19050</v>
      </c>
      <c r="AD230" s="6">
        <v>19050</v>
      </c>
      <c r="AE230" s="6">
        <v>19050</v>
      </c>
      <c r="AF230" s="6">
        <v>19050</v>
      </c>
      <c r="AG230" s="6">
        <v>19050</v>
      </c>
      <c r="AH230" s="6">
        <v>19050</v>
      </c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>
        <f t="shared" si="18"/>
        <v>6</v>
      </c>
      <c r="AX230" t="b">
        <f t="shared" si="19"/>
        <v>1</v>
      </c>
      <c r="AY230" s="21">
        <f t="shared" si="16"/>
        <v>114300</v>
      </c>
      <c r="AZ230" t="b">
        <f t="shared" si="17"/>
        <v>1</v>
      </c>
    </row>
    <row r="231" spans="1:52" x14ac:dyDescent="0.4">
      <c r="A231" s="6" t="s">
        <v>2230</v>
      </c>
      <c r="B231" s="1" t="s">
        <v>742</v>
      </c>
      <c r="C231" s="1" t="s">
        <v>743</v>
      </c>
      <c r="D231" s="1" t="s">
        <v>744</v>
      </c>
      <c r="E231" s="1" t="s">
        <v>25</v>
      </c>
      <c r="F231" s="1" t="s">
        <v>178</v>
      </c>
      <c r="G231" s="5" t="s">
        <v>10</v>
      </c>
      <c r="H231" s="1" t="s">
        <v>27</v>
      </c>
      <c r="I231">
        <v>59400</v>
      </c>
      <c r="J231" s="1" t="s">
        <v>33</v>
      </c>
      <c r="K231">
        <v>0</v>
      </c>
      <c r="L231">
        <v>59400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18">
        <v>3</v>
      </c>
      <c r="Y231" s="6"/>
      <c r="Z231" s="6">
        <v>19800</v>
      </c>
      <c r="AA231" s="6">
        <v>19800</v>
      </c>
      <c r="AB231" s="6">
        <v>19800</v>
      </c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>
        <f t="shared" si="18"/>
        <v>3</v>
      </c>
      <c r="AX231" t="b">
        <f t="shared" si="19"/>
        <v>1</v>
      </c>
      <c r="AY231" s="21">
        <f t="shared" si="16"/>
        <v>59400</v>
      </c>
      <c r="AZ231" t="b">
        <f t="shared" si="17"/>
        <v>1</v>
      </c>
    </row>
    <row r="232" spans="1:52" x14ac:dyDescent="0.4">
      <c r="A232" s="6" t="s">
        <v>2230</v>
      </c>
      <c r="B232" s="1" t="s">
        <v>745</v>
      </c>
      <c r="C232" s="1" t="s">
        <v>746</v>
      </c>
      <c r="D232" s="1" t="s">
        <v>747</v>
      </c>
      <c r="E232" s="1" t="s">
        <v>44</v>
      </c>
      <c r="F232" s="1" t="s">
        <v>748</v>
      </c>
      <c r="G232" s="5" t="s">
        <v>75</v>
      </c>
      <c r="H232" s="1" t="s">
        <v>27</v>
      </c>
      <c r="I232">
        <v>114300</v>
      </c>
      <c r="J232" s="1" t="s">
        <v>28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114300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s="18">
        <v>6</v>
      </c>
      <c r="Y232" s="6"/>
      <c r="Z232" s="6"/>
      <c r="AA232" s="6"/>
      <c r="AB232" s="6"/>
      <c r="AC232" s="6"/>
      <c r="AD232" s="6">
        <v>19050</v>
      </c>
      <c r="AE232" s="6">
        <v>19050</v>
      </c>
      <c r="AF232" s="6">
        <v>19050</v>
      </c>
      <c r="AG232" s="6">
        <v>19050</v>
      </c>
      <c r="AH232" s="6">
        <v>19050</v>
      </c>
      <c r="AI232" s="6">
        <v>19050</v>
      </c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>
        <f t="shared" si="18"/>
        <v>6</v>
      </c>
      <c r="AX232" t="b">
        <f t="shared" si="19"/>
        <v>1</v>
      </c>
      <c r="AY232" s="21">
        <f t="shared" si="16"/>
        <v>114300</v>
      </c>
      <c r="AZ232" t="b">
        <f t="shared" si="17"/>
        <v>1</v>
      </c>
    </row>
    <row r="233" spans="1:52" x14ac:dyDescent="0.4">
      <c r="A233" s="6" t="s">
        <v>2230</v>
      </c>
      <c r="B233" s="1" t="s">
        <v>749</v>
      </c>
      <c r="C233" s="1" t="s">
        <v>750</v>
      </c>
      <c r="D233" s="1" t="s">
        <v>751</v>
      </c>
      <c r="E233" s="1" t="s">
        <v>50</v>
      </c>
      <c r="F233" s="1" t="s">
        <v>86</v>
      </c>
      <c r="G233" s="5" t="s">
        <v>46</v>
      </c>
      <c r="H233" s="1" t="s">
        <v>52</v>
      </c>
      <c r="I233">
        <v>114300</v>
      </c>
      <c r="J233" s="1" t="s">
        <v>28</v>
      </c>
      <c r="K233">
        <v>0</v>
      </c>
      <c r="L233">
        <v>0</v>
      </c>
      <c r="M233">
        <v>0</v>
      </c>
      <c r="N233">
        <v>0</v>
      </c>
      <c r="O233">
        <v>114300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18">
        <v>6</v>
      </c>
      <c r="Y233" s="6"/>
      <c r="Z233" s="6"/>
      <c r="AA233" s="6"/>
      <c r="AB233" s="6"/>
      <c r="AC233" s="6">
        <v>19050</v>
      </c>
      <c r="AD233" s="6">
        <v>19050</v>
      </c>
      <c r="AE233" s="6">
        <v>19050</v>
      </c>
      <c r="AF233" s="6">
        <v>19050</v>
      </c>
      <c r="AG233" s="6">
        <v>19050</v>
      </c>
      <c r="AH233" s="6">
        <v>19050</v>
      </c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>
        <f t="shared" si="18"/>
        <v>6</v>
      </c>
      <c r="AX233" t="b">
        <f t="shared" si="19"/>
        <v>1</v>
      </c>
      <c r="AY233" s="21">
        <f t="shared" si="16"/>
        <v>114300</v>
      </c>
      <c r="AZ233" t="b">
        <f t="shared" si="17"/>
        <v>1</v>
      </c>
    </row>
    <row r="234" spans="1:52" x14ac:dyDescent="0.4">
      <c r="A234" s="6" t="s">
        <v>2230</v>
      </c>
      <c r="B234" s="1" t="s">
        <v>752</v>
      </c>
      <c r="C234" s="1" t="s">
        <v>753</v>
      </c>
      <c r="D234" s="1" t="s">
        <v>754</v>
      </c>
      <c r="E234" s="1" t="s">
        <v>44</v>
      </c>
      <c r="F234" s="1" t="s">
        <v>150</v>
      </c>
      <c r="G234" s="5" t="s">
        <v>46</v>
      </c>
      <c r="H234" s="1" t="s">
        <v>27</v>
      </c>
      <c r="I234">
        <v>114300</v>
      </c>
      <c r="J234" s="1" t="s">
        <v>33</v>
      </c>
      <c r="K234">
        <v>0</v>
      </c>
      <c r="L234">
        <v>0</v>
      </c>
      <c r="M234">
        <v>0</v>
      </c>
      <c r="N234">
        <v>0</v>
      </c>
      <c r="O234">
        <v>114300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s="18">
        <v>6</v>
      </c>
      <c r="Y234" s="6"/>
      <c r="Z234" s="6"/>
      <c r="AA234" s="6"/>
      <c r="AB234" s="6"/>
      <c r="AC234" s="6">
        <v>19050</v>
      </c>
      <c r="AD234" s="6">
        <v>19050</v>
      </c>
      <c r="AE234" s="6">
        <v>19050</v>
      </c>
      <c r="AF234" s="6">
        <v>19050</v>
      </c>
      <c r="AG234" s="6">
        <v>19050</v>
      </c>
      <c r="AH234" s="6">
        <v>19050</v>
      </c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>
        <f t="shared" si="18"/>
        <v>6</v>
      </c>
      <c r="AX234" t="b">
        <f t="shared" si="19"/>
        <v>1</v>
      </c>
      <c r="AY234" s="21">
        <f t="shared" si="16"/>
        <v>114300</v>
      </c>
      <c r="AZ234" t="b">
        <f t="shared" si="17"/>
        <v>1</v>
      </c>
    </row>
    <row r="235" spans="1:52" x14ac:dyDescent="0.4">
      <c r="A235" s="6" t="s">
        <v>2230</v>
      </c>
      <c r="B235" s="1" t="s">
        <v>755</v>
      </c>
      <c r="C235" s="1" t="s">
        <v>756</v>
      </c>
      <c r="D235" s="1" t="s">
        <v>757</v>
      </c>
      <c r="E235" s="1" t="s">
        <v>44</v>
      </c>
      <c r="F235" s="1" t="s">
        <v>86</v>
      </c>
      <c r="G235" s="5" t="s">
        <v>46</v>
      </c>
      <c r="H235" s="1" t="s">
        <v>27</v>
      </c>
      <c r="I235">
        <v>114300</v>
      </c>
      <c r="J235" s="1" t="s">
        <v>33</v>
      </c>
      <c r="K235">
        <v>0</v>
      </c>
      <c r="L235">
        <v>0</v>
      </c>
      <c r="M235">
        <v>0</v>
      </c>
      <c r="N235">
        <v>0</v>
      </c>
      <c r="O235">
        <v>114300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s="18">
        <v>6</v>
      </c>
      <c r="Y235" s="6"/>
      <c r="Z235" s="6"/>
      <c r="AA235" s="6"/>
      <c r="AB235" s="6"/>
      <c r="AC235" s="6">
        <v>19050</v>
      </c>
      <c r="AD235" s="6">
        <v>19050</v>
      </c>
      <c r="AE235" s="6">
        <v>19050</v>
      </c>
      <c r="AF235" s="6">
        <v>19050</v>
      </c>
      <c r="AG235" s="6">
        <v>19050</v>
      </c>
      <c r="AH235" s="6">
        <v>19050</v>
      </c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>
        <f t="shared" si="18"/>
        <v>6</v>
      </c>
      <c r="AX235" t="b">
        <f t="shared" si="19"/>
        <v>1</v>
      </c>
      <c r="AY235" s="21">
        <f t="shared" si="16"/>
        <v>114300</v>
      </c>
      <c r="AZ235" t="b">
        <f t="shared" si="17"/>
        <v>1</v>
      </c>
    </row>
    <row r="236" spans="1:52" x14ac:dyDescent="0.4">
      <c r="A236" s="6" t="s">
        <v>2230</v>
      </c>
      <c r="B236" s="1" t="s">
        <v>758</v>
      </c>
      <c r="C236" s="1" t="s">
        <v>759</v>
      </c>
      <c r="D236" s="1" t="s">
        <v>760</v>
      </c>
      <c r="E236" s="1" t="s">
        <v>44</v>
      </c>
      <c r="F236" s="1" t="s">
        <v>90</v>
      </c>
      <c r="G236" s="5" t="s">
        <v>46</v>
      </c>
      <c r="H236" s="1" t="s">
        <v>27</v>
      </c>
      <c r="I236">
        <v>114300</v>
      </c>
      <c r="J236" s="1" t="s">
        <v>33</v>
      </c>
      <c r="K236">
        <v>0</v>
      </c>
      <c r="L236">
        <v>0</v>
      </c>
      <c r="M236">
        <v>0</v>
      </c>
      <c r="N236">
        <v>0</v>
      </c>
      <c r="O236">
        <v>114300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s="18">
        <v>6</v>
      </c>
      <c r="Y236" s="6"/>
      <c r="Z236" s="6"/>
      <c r="AA236" s="6"/>
      <c r="AB236" s="6"/>
      <c r="AC236" s="6">
        <v>19050</v>
      </c>
      <c r="AD236" s="6">
        <v>19050</v>
      </c>
      <c r="AE236" s="6">
        <v>19050</v>
      </c>
      <c r="AF236" s="6">
        <v>19050</v>
      </c>
      <c r="AG236" s="6">
        <v>19050</v>
      </c>
      <c r="AH236" s="6">
        <v>19050</v>
      </c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>
        <f t="shared" si="18"/>
        <v>6</v>
      </c>
      <c r="AX236" t="b">
        <f t="shared" si="19"/>
        <v>1</v>
      </c>
      <c r="AY236" s="21">
        <f t="shared" si="16"/>
        <v>114300</v>
      </c>
      <c r="AZ236" t="b">
        <f t="shared" si="17"/>
        <v>1</v>
      </c>
    </row>
    <row r="237" spans="1:52" x14ac:dyDescent="0.4">
      <c r="A237" s="6" t="s">
        <v>2230</v>
      </c>
      <c r="B237" s="1" t="s">
        <v>761</v>
      </c>
      <c r="C237" s="1" t="s">
        <v>762</v>
      </c>
      <c r="D237" s="1" t="s">
        <v>763</v>
      </c>
      <c r="E237" s="1" t="s">
        <v>44</v>
      </c>
      <c r="F237" s="1" t="s">
        <v>63</v>
      </c>
      <c r="G237" s="5" t="s">
        <v>46</v>
      </c>
      <c r="H237" s="1" t="s">
        <v>27</v>
      </c>
      <c r="I237">
        <v>114300</v>
      </c>
      <c r="J237" s="1" t="s">
        <v>33</v>
      </c>
      <c r="K237">
        <v>0</v>
      </c>
      <c r="L237">
        <v>0</v>
      </c>
      <c r="M237">
        <v>0</v>
      </c>
      <c r="N237">
        <v>0</v>
      </c>
      <c r="O237">
        <v>114300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18">
        <v>6</v>
      </c>
      <c r="Y237" s="6"/>
      <c r="Z237" s="6"/>
      <c r="AA237" s="6"/>
      <c r="AB237" s="6"/>
      <c r="AC237" s="6">
        <v>19050</v>
      </c>
      <c r="AD237" s="6">
        <v>19050</v>
      </c>
      <c r="AE237" s="6">
        <v>19050</v>
      </c>
      <c r="AF237" s="6">
        <v>19050</v>
      </c>
      <c r="AG237" s="6">
        <v>19050</v>
      </c>
      <c r="AH237" s="6">
        <v>19050</v>
      </c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>
        <f t="shared" si="18"/>
        <v>6</v>
      </c>
      <c r="AX237" t="b">
        <f t="shared" si="19"/>
        <v>1</v>
      </c>
      <c r="AY237" s="21">
        <f t="shared" si="16"/>
        <v>114300</v>
      </c>
      <c r="AZ237" t="b">
        <f t="shared" si="17"/>
        <v>1</v>
      </c>
    </row>
    <row r="238" spans="1:52" x14ac:dyDescent="0.4">
      <c r="A238" s="6" t="s">
        <v>2230</v>
      </c>
      <c r="B238" s="1" t="s">
        <v>764</v>
      </c>
      <c r="C238" s="1" t="s">
        <v>765</v>
      </c>
      <c r="D238" s="1" t="s">
        <v>766</v>
      </c>
      <c r="E238" s="1" t="s">
        <v>44</v>
      </c>
      <c r="F238" s="1" t="s">
        <v>86</v>
      </c>
      <c r="G238" s="5" t="s">
        <v>46</v>
      </c>
      <c r="H238" s="1" t="s">
        <v>27</v>
      </c>
      <c r="I238">
        <v>114300</v>
      </c>
      <c r="J238" s="1" t="s">
        <v>33</v>
      </c>
      <c r="K238">
        <v>0</v>
      </c>
      <c r="L238">
        <v>0</v>
      </c>
      <c r="M238">
        <v>0</v>
      </c>
      <c r="N238">
        <v>0</v>
      </c>
      <c r="O238">
        <v>114300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s="18">
        <v>6</v>
      </c>
      <c r="Y238" s="6"/>
      <c r="Z238" s="6"/>
      <c r="AA238" s="6"/>
      <c r="AB238" s="6"/>
      <c r="AC238" s="6">
        <v>19050</v>
      </c>
      <c r="AD238" s="6">
        <v>19050</v>
      </c>
      <c r="AE238" s="6">
        <v>19050</v>
      </c>
      <c r="AF238" s="6">
        <v>19050</v>
      </c>
      <c r="AG238" s="6">
        <v>19050</v>
      </c>
      <c r="AH238" s="6">
        <v>19050</v>
      </c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>
        <f t="shared" si="18"/>
        <v>6</v>
      </c>
      <c r="AX238" t="b">
        <f t="shared" si="19"/>
        <v>1</v>
      </c>
      <c r="AY238" s="21">
        <f t="shared" si="16"/>
        <v>114300</v>
      </c>
      <c r="AZ238" t="b">
        <f t="shared" si="17"/>
        <v>1</v>
      </c>
    </row>
    <row r="239" spans="1:52" x14ac:dyDescent="0.4">
      <c r="A239" s="6" t="s">
        <v>2230</v>
      </c>
      <c r="B239" s="1" t="s">
        <v>767</v>
      </c>
      <c r="C239" s="1" t="s">
        <v>768</v>
      </c>
      <c r="D239" s="1" t="s">
        <v>769</v>
      </c>
      <c r="E239" s="1" t="s">
        <v>44</v>
      </c>
      <c r="F239" s="1" t="s">
        <v>32</v>
      </c>
      <c r="G239" s="5" t="s">
        <v>46</v>
      </c>
      <c r="H239" s="1" t="s">
        <v>27</v>
      </c>
      <c r="I239">
        <v>114300</v>
      </c>
      <c r="J239" s="1" t="s">
        <v>33</v>
      </c>
      <c r="K239">
        <v>0</v>
      </c>
      <c r="L239">
        <v>0</v>
      </c>
      <c r="M239">
        <v>0</v>
      </c>
      <c r="N239">
        <v>0</v>
      </c>
      <c r="O239">
        <v>114300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18">
        <v>6</v>
      </c>
      <c r="Y239" s="6"/>
      <c r="Z239" s="6"/>
      <c r="AA239" s="6"/>
      <c r="AB239" s="6"/>
      <c r="AC239" s="6">
        <v>19050</v>
      </c>
      <c r="AD239" s="6">
        <v>19050</v>
      </c>
      <c r="AE239" s="6">
        <v>19050</v>
      </c>
      <c r="AF239" s="6">
        <v>19050</v>
      </c>
      <c r="AG239" s="6">
        <v>19050</v>
      </c>
      <c r="AH239" s="6">
        <v>19050</v>
      </c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>
        <f t="shared" si="18"/>
        <v>6</v>
      </c>
      <c r="AX239" t="b">
        <f t="shared" si="19"/>
        <v>1</v>
      </c>
      <c r="AY239" s="21">
        <f t="shared" si="16"/>
        <v>114300</v>
      </c>
      <c r="AZ239" t="b">
        <f t="shared" si="17"/>
        <v>1</v>
      </c>
    </row>
    <row r="240" spans="1:52" x14ac:dyDescent="0.4">
      <c r="A240" s="6" t="s">
        <v>2230</v>
      </c>
      <c r="B240" s="1" t="s">
        <v>770</v>
      </c>
      <c r="C240" s="1" t="s">
        <v>771</v>
      </c>
      <c r="D240" s="1" t="s">
        <v>772</v>
      </c>
      <c r="E240" s="1" t="s">
        <v>70</v>
      </c>
      <c r="F240" s="1" t="s">
        <v>97</v>
      </c>
      <c r="G240" s="5" t="s">
        <v>10</v>
      </c>
      <c r="H240" s="1" t="s">
        <v>52</v>
      </c>
      <c r="I240">
        <v>59400</v>
      </c>
      <c r="J240" s="1" t="s">
        <v>28</v>
      </c>
      <c r="K240">
        <v>0</v>
      </c>
      <c r="L240">
        <v>59400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18">
        <v>3</v>
      </c>
      <c r="Y240" s="6"/>
      <c r="Z240" s="6">
        <v>19800</v>
      </c>
      <c r="AA240" s="6">
        <v>19800</v>
      </c>
      <c r="AB240" s="6">
        <v>19800</v>
      </c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>
        <f t="shared" si="18"/>
        <v>3</v>
      </c>
      <c r="AX240" t="b">
        <f t="shared" si="19"/>
        <v>1</v>
      </c>
      <c r="AY240" s="21">
        <f t="shared" si="16"/>
        <v>59400</v>
      </c>
      <c r="AZ240" t="b">
        <f t="shared" si="17"/>
        <v>1</v>
      </c>
    </row>
    <row r="241" spans="1:52" x14ac:dyDescent="0.4">
      <c r="A241" s="6" t="s">
        <v>2230</v>
      </c>
      <c r="B241" s="1" t="s">
        <v>773</v>
      </c>
      <c r="C241" s="1" t="s">
        <v>774</v>
      </c>
      <c r="D241" s="1" t="s">
        <v>775</v>
      </c>
      <c r="E241" s="1" t="s">
        <v>25</v>
      </c>
      <c r="F241" s="1" t="s">
        <v>112</v>
      </c>
      <c r="G241" s="5" t="s">
        <v>10</v>
      </c>
      <c r="H241" s="1" t="s">
        <v>27</v>
      </c>
      <c r="I241">
        <v>59400</v>
      </c>
      <c r="J241" s="1" t="s">
        <v>33</v>
      </c>
      <c r="K241">
        <v>0</v>
      </c>
      <c r="L241">
        <v>59400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18">
        <v>3</v>
      </c>
      <c r="Y241" s="6"/>
      <c r="Z241" s="6">
        <v>19800</v>
      </c>
      <c r="AA241" s="6">
        <v>19800</v>
      </c>
      <c r="AB241" s="6">
        <v>19800</v>
      </c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>
        <f t="shared" si="18"/>
        <v>3</v>
      </c>
      <c r="AX241" t="b">
        <f t="shared" si="19"/>
        <v>1</v>
      </c>
      <c r="AY241" s="21">
        <f t="shared" si="16"/>
        <v>59400</v>
      </c>
      <c r="AZ241" t="b">
        <f t="shared" si="17"/>
        <v>1</v>
      </c>
    </row>
    <row r="242" spans="1:52" x14ac:dyDescent="0.4">
      <c r="A242" s="6" t="s">
        <v>2230</v>
      </c>
      <c r="B242" s="1" t="s">
        <v>776</v>
      </c>
      <c r="C242" s="1" t="s">
        <v>777</v>
      </c>
      <c r="D242" s="1" t="s">
        <v>778</v>
      </c>
      <c r="E242" s="1" t="s">
        <v>44</v>
      </c>
      <c r="F242" s="1" t="s">
        <v>56</v>
      </c>
      <c r="G242" s="5" t="s">
        <v>46</v>
      </c>
      <c r="H242" s="1" t="s">
        <v>27</v>
      </c>
      <c r="I242">
        <v>114300</v>
      </c>
      <c r="J242" s="1" t="s">
        <v>33</v>
      </c>
      <c r="K242">
        <v>0</v>
      </c>
      <c r="L242">
        <v>0</v>
      </c>
      <c r="M242">
        <v>0</v>
      </c>
      <c r="N242">
        <v>0</v>
      </c>
      <c r="O242">
        <v>114300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s="18">
        <v>6</v>
      </c>
      <c r="Y242" s="6"/>
      <c r="Z242" s="6"/>
      <c r="AA242" s="6"/>
      <c r="AB242" s="6"/>
      <c r="AC242" s="6">
        <v>19050</v>
      </c>
      <c r="AD242" s="6">
        <v>19050</v>
      </c>
      <c r="AE242" s="6">
        <v>19050</v>
      </c>
      <c r="AF242" s="6">
        <v>19050</v>
      </c>
      <c r="AG242" s="6">
        <v>19050</v>
      </c>
      <c r="AH242" s="6">
        <v>19050</v>
      </c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>
        <f t="shared" si="18"/>
        <v>6</v>
      </c>
      <c r="AX242" t="b">
        <f t="shared" si="19"/>
        <v>1</v>
      </c>
      <c r="AY242" s="21">
        <f t="shared" si="16"/>
        <v>114300</v>
      </c>
      <c r="AZ242" t="b">
        <f t="shared" si="17"/>
        <v>1</v>
      </c>
    </row>
    <row r="243" spans="1:52" x14ac:dyDescent="0.4">
      <c r="A243" s="6" t="s">
        <v>2230</v>
      </c>
      <c r="B243" s="1" t="s">
        <v>779</v>
      </c>
      <c r="C243" s="1" t="s">
        <v>780</v>
      </c>
      <c r="D243" s="1" t="s">
        <v>781</v>
      </c>
      <c r="E243" s="1" t="s">
        <v>25</v>
      </c>
      <c r="F243" s="1" t="s">
        <v>90</v>
      </c>
      <c r="G243" s="5" t="s">
        <v>10</v>
      </c>
      <c r="H243" s="1" t="s">
        <v>27</v>
      </c>
      <c r="I243">
        <v>59400</v>
      </c>
      <c r="J243" s="1" t="s">
        <v>33</v>
      </c>
      <c r="K243">
        <v>0</v>
      </c>
      <c r="L243">
        <v>59400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s="18">
        <v>3</v>
      </c>
      <c r="Y243" s="6"/>
      <c r="Z243" s="6">
        <v>19800</v>
      </c>
      <c r="AA243" s="6">
        <v>19800</v>
      </c>
      <c r="AB243" s="6">
        <v>19800</v>
      </c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>
        <f t="shared" si="18"/>
        <v>3</v>
      </c>
      <c r="AX243" t="b">
        <f t="shared" si="19"/>
        <v>1</v>
      </c>
      <c r="AY243" s="21">
        <f t="shared" si="16"/>
        <v>59400</v>
      </c>
      <c r="AZ243" t="b">
        <f t="shared" si="17"/>
        <v>1</v>
      </c>
    </row>
    <row r="244" spans="1:52" x14ac:dyDescent="0.4">
      <c r="A244" s="6" t="s">
        <v>2230</v>
      </c>
      <c r="B244" s="1" t="s">
        <v>782</v>
      </c>
      <c r="C244" s="1" t="s">
        <v>783</v>
      </c>
      <c r="D244" s="1" t="s">
        <v>784</v>
      </c>
      <c r="E244" s="1" t="s">
        <v>44</v>
      </c>
      <c r="F244" s="1" t="s">
        <v>86</v>
      </c>
      <c r="G244" s="5" t="s">
        <v>46</v>
      </c>
      <c r="H244" s="1" t="s">
        <v>27</v>
      </c>
      <c r="I244">
        <v>114300</v>
      </c>
      <c r="J244" s="1" t="s">
        <v>33</v>
      </c>
      <c r="K244">
        <v>0</v>
      </c>
      <c r="L244">
        <v>0</v>
      </c>
      <c r="M244">
        <v>0</v>
      </c>
      <c r="N244">
        <v>0</v>
      </c>
      <c r="O244">
        <v>114300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s="18">
        <v>6</v>
      </c>
      <c r="Y244" s="6"/>
      <c r="Z244" s="6"/>
      <c r="AA244" s="6"/>
      <c r="AB244" s="6"/>
      <c r="AC244" s="6">
        <v>19050</v>
      </c>
      <c r="AD244" s="6">
        <v>19050</v>
      </c>
      <c r="AE244" s="6">
        <v>19050</v>
      </c>
      <c r="AF244" s="6">
        <v>19050</v>
      </c>
      <c r="AG244" s="6">
        <v>19050</v>
      </c>
      <c r="AH244" s="6">
        <v>19050</v>
      </c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>
        <f t="shared" si="18"/>
        <v>6</v>
      </c>
      <c r="AX244" t="b">
        <f t="shared" si="19"/>
        <v>1</v>
      </c>
      <c r="AY244" s="21">
        <f t="shared" si="16"/>
        <v>114300</v>
      </c>
      <c r="AZ244" t="b">
        <f t="shared" si="17"/>
        <v>1</v>
      </c>
    </row>
    <row r="245" spans="1:52" x14ac:dyDescent="0.4">
      <c r="A245" s="6" t="s">
        <v>2230</v>
      </c>
      <c r="B245" s="1" t="s">
        <v>785</v>
      </c>
      <c r="C245" s="1" t="s">
        <v>786</v>
      </c>
      <c r="D245" s="1" t="s">
        <v>787</v>
      </c>
      <c r="E245" s="1" t="s">
        <v>44</v>
      </c>
      <c r="F245" s="1" t="s">
        <v>45</v>
      </c>
      <c r="G245" s="5" t="s">
        <v>46</v>
      </c>
      <c r="H245" s="1" t="s">
        <v>27</v>
      </c>
      <c r="I245">
        <v>114300</v>
      </c>
      <c r="J245" s="1" t="s">
        <v>33</v>
      </c>
      <c r="K245">
        <v>0</v>
      </c>
      <c r="L245">
        <v>0</v>
      </c>
      <c r="M245">
        <v>0</v>
      </c>
      <c r="N245">
        <v>0</v>
      </c>
      <c r="O245">
        <v>114300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18">
        <v>6</v>
      </c>
      <c r="Y245" s="6"/>
      <c r="Z245" s="6"/>
      <c r="AA245" s="6"/>
      <c r="AB245" s="6"/>
      <c r="AC245" s="6">
        <v>19050</v>
      </c>
      <c r="AD245" s="6">
        <v>19050</v>
      </c>
      <c r="AE245" s="6">
        <v>19050</v>
      </c>
      <c r="AF245" s="6">
        <v>19050</v>
      </c>
      <c r="AG245" s="6">
        <v>19050</v>
      </c>
      <c r="AH245" s="6">
        <v>19050</v>
      </c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>
        <f t="shared" si="18"/>
        <v>6</v>
      </c>
      <c r="AX245" t="b">
        <f t="shared" si="19"/>
        <v>1</v>
      </c>
      <c r="AY245" s="21">
        <f t="shared" si="16"/>
        <v>114300</v>
      </c>
      <c r="AZ245" t="b">
        <f t="shared" si="17"/>
        <v>1</v>
      </c>
    </row>
    <row r="246" spans="1:52" x14ac:dyDescent="0.4">
      <c r="A246" s="6" t="s">
        <v>2230</v>
      </c>
      <c r="B246" s="1" t="s">
        <v>788</v>
      </c>
      <c r="C246" s="1" t="s">
        <v>789</v>
      </c>
      <c r="D246" s="1" t="s">
        <v>790</v>
      </c>
      <c r="E246" s="1" t="s">
        <v>50</v>
      </c>
      <c r="F246" s="1" t="s">
        <v>32</v>
      </c>
      <c r="G246" s="5" t="s">
        <v>46</v>
      </c>
      <c r="H246" s="1" t="s">
        <v>52</v>
      </c>
      <c r="I246">
        <v>114300</v>
      </c>
      <c r="J246" s="1" t="s">
        <v>28</v>
      </c>
      <c r="K246">
        <v>0</v>
      </c>
      <c r="L246">
        <v>0</v>
      </c>
      <c r="M246">
        <v>0</v>
      </c>
      <c r="N246">
        <v>0</v>
      </c>
      <c r="O246">
        <v>114300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s="18">
        <v>6</v>
      </c>
      <c r="Y246" s="6"/>
      <c r="Z246" s="6"/>
      <c r="AA246" s="6"/>
      <c r="AB246" s="6"/>
      <c r="AC246" s="6">
        <v>19050</v>
      </c>
      <c r="AD246" s="6">
        <v>19050</v>
      </c>
      <c r="AE246" s="6">
        <v>19050</v>
      </c>
      <c r="AF246" s="6">
        <v>19050</v>
      </c>
      <c r="AG246" s="6">
        <v>19050</v>
      </c>
      <c r="AH246" s="6">
        <v>19050</v>
      </c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>
        <f t="shared" si="18"/>
        <v>6</v>
      </c>
      <c r="AX246" t="b">
        <f t="shared" si="19"/>
        <v>1</v>
      </c>
      <c r="AY246" s="21">
        <f t="shared" si="16"/>
        <v>114300</v>
      </c>
      <c r="AZ246" t="b">
        <f t="shared" si="17"/>
        <v>1</v>
      </c>
    </row>
    <row r="247" spans="1:52" x14ac:dyDescent="0.4">
      <c r="A247" s="6" t="s">
        <v>2230</v>
      </c>
      <c r="B247" s="1" t="s">
        <v>791</v>
      </c>
      <c r="C247" s="1" t="s">
        <v>792</v>
      </c>
      <c r="D247" s="1" t="s">
        <v>793</v>
      </c>
      <c r="E247" s="1" t="s">
        <v>44</v>
      </c>
      <c r="F247" s="1" t="s">
        <v>86</v>
      </c>
      <c r="G247" s="5" t="s">
        <v>46</v>
      </c>
      <c r="H247" s="1" t="s">
        <v>27</v>
      </c>
      <c r="I247">
        <v>114300</v>
      </c>
      <c r="J247" s="1" t="s">
        <v>33</v>
      </c>
      <c r="K247">
        <v>0</v>
      </c>
      <c r="L247">
        <v>0</v>
      </c>
      <c r="M247">
        <v>0</v>
      </c>
      <c r="N247">
        <v>0</v>
      </c>
      <c r="O247">
        <v>114300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s="18">
        <v>6</v>
      </c>
      <c r="Y247" s="6"/>
      <c r="Z247" s="6"/>
      <c r="AA247" s="6"/>
      <c r="AB247" s="6"/>
      <c r="AC247" s="6">
        <v>19050</v>
      </c>
      <c r="AD247" s="6">
        <v>19050</v>
      </c>
      <c r="AE247" s="6">
        <v>19050</v>
      </c>
      <c r="AF247" s="6">
        <v>19050</v>
      </c>
      <c r="AG247" s="6">
        <v>19050</v>
      </c>
      <c r="AH247" s="6">
        <v>19050</v>
      </c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>
        <f t="shared" si="18"/>
        <v>6</v>
      </c>
      <c r="AX247" t="b">
        <f t="shared" si="19"/>
        <v>1</v>
      </c>
      <c r="AY247" s="21">
        <f t="shared" si="16"/>
        <v>114300</v>
      </c>
      <c r="AZ247" t="b">
        <f t="shared" si="17"/>
        <v>1</v>
      </c>
    </row>
    <row r="248" spans="1:52" x14ac:dyDescent="0.4">
      <c r="A248" s="6" t="s">
        <v>2230</v>
      </c>
      <c r="B248" s="1" t="s">
        <v>794</v>
      </c>
      <c r="C248" s="1" t="s">
        <v>795</v>
      </c>
      <c r="D248" s="1" t="s">
        <v>796</v>
      </c>
      <c r="E248" s="1" t="s">
        <v>44</v>
      </c>
      <c r="F248" s="1" t="s">
        <v>90</v>
      </c>
      <c r="G248" s="5" t="s">
        <v>46</v>
      </c>
      <c r="H248" s="1" t="s">
        <v>27</v>
      </c>
      <c r="I248">
        <v>114300</v>
      </c>
      <c r="J248" s="1" t="s">
        <v>33</v>
      </c>
      <c r="K248">
        <v>0</v>
      </c>
      <c r="L248">
        <v>0</v>
      </c>
      <c r="M248">
        <v>0</v>
      </c>
      <c r="N248">
        <v>0</v>
      </c>
      <c r="O248">
        <v>114300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s="18">
        <v>6</v>
      </c>
      <c r="Y248" s="6"/>
      <c r="Z248" s="6"/>
      <c r="AA248" s="6"/>
      <c r="AB248" s="6"/>
      <c r="AC248" s="6">
        <v>19050</v>
      </c>
      <c r="AD248" s="6">
        <v>19050</v>
      </c>
      <c r="AE248" s="6">
        <v>19050</v>
      </c>
      <c r="AF248" s="6">
        <v>19050</v>
      </c>
      <c r="AG248" s="6">
        <v>19050</v>
      </c>
      <c r="AH248" s="6">
        <v>19050</v>
      </c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>
        <f t="shared" si="18"/>
        <v>6</v>
      </c>
      <c r="AX248" t="b">
        <f t="shared" si="19"/>
        <v>1</v>
      </c>
      <c r="AY248" s="21">
        <f t="shared" si="16"/>
        <v>114300</v>
      </c>
      <c r="AZ248" t="b">
        <f t="shared" si="17"/>
        <v>1</v>
      </c>
    </row>
    <row r="249" spans="1:52" x14ac:dyDescent="0.4">
      <c r="A249" s="6" t="s">
        <v>2230</v>
      </c>
      <c r="B249" s="1" t="s">
        <v>797</v>
      </c>
      <c r="C249" s="1" t="s">
        <v>798</v>
      </c>
      <c r="D249" s="1" t="s">
        <v>799</v>
      </c>
      <c r="E249" s="1" t="s">
        <v>44</v>
      </c>
      <c r="F249" s="1" t="s">
        <v>86</v>
      </c>
      <c r="G249" s="5" t="s">
        <v>46</v>
      </c>
      <c r="H249" s="1" t="s">
        <v>27</v>
      </c>
      <c r="I249">
        <v>114300</v>
      </c>
      <c r="J249" s="1" t="s">
        <v>33</v>
      </c>
      <c r="K249">
        <v>0</v>
      </c>
      <c r="L249">
        <v>0</v>
      </c>
      <c r="M249">
        <v>0</v>
      </c>
      <c r="N249">
        <v>0</v>
      </c>
      <c r="O249">
        <v>114300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18">
        <v>6</v>
      </c>
      <c r="Y249" s="6"/>
      <c r="Z249" s="6"/>
      <c r="AA249" s="6"/>
      <c r="AB249" s="6"/>
      <c r="AC249" s="6">
        <v>19050</v>
      </c>
      <c r="AD249" s="6">
        <v>19050</v>
      </c>
      <c r="AE249" s="6">
        <v>19050</v>
      </c>
      <c r="AF249" s="6">
        <v>19050</v>
      </c>
      <c r="AG249" s="6">
        <v>19050</v>
      </c>
      <c r="AH249" s="6">
        <v>19050</v>
      </c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>
        <f t="shared" si="18"/>
        <v>6</v>
      </c>
      <c r="AX249" t="b">
        <f t="shared" si="19"/>
        <v>1</v>
      </c>
      <c r="AY249" s="21">
        <f t="shared" si="16"/>
        <v>114300</v>
      </c>
      <c r="AZ249" t="b">
        <f t="shared" si="17"/>
        <v>1</v>
      </c>
    </row>
    <row r="250" spans="1:52" x14ac:dyDescent="0.4">
      <c r="A250" s="6" t="s">
        <v>2230</v>
      </c>
      <c r="B250" s="1" t="s">
        <v>800</v>
      </c>
      <c r="C250" s="1" t="s">
        <v>801</v>
      </c>
      <c r="D250" s="1" t="s">
        <v>802</v>
      </c>
      <c r="E250" s="1" t="s">
        <v>44</v>
      </c>
      <c r="F250" s="1" t="s">
        <v>63</v>
      </c>
      <c r="G250" s="5" t="s">
        <v>46</v>
      </c>
      <c r="H250" s="1" t="s">
        <v>27</v>
      </c>
      <c r="I250">
        <v>114300</v>
      </c>
      <c r="J250" s="1" t="s">
        <v>33</v>
      </c>
      <c r="K250">
        <v>0</v>
      </c>
      <c r="L250">
        <v>0</v>
      </c>
      <c r="M250">
        <v>0</v>
      </c>
      <c r="N250">
        <v>0</v>
      </c>
      <c r="O250">
        <v>114300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s="18">
        <v>6</v>
      </c>
      <c r="Y250" s="6"/>
      <c r="Z250" s="6"/>
      <c r="AA250" s="6"/>
      <c r="AB250" s="6"/>
      <c r="AC250" s="6">
        <v>19050</v>
      </c>
      <c r="AD250" s="6">
        <v>19050</v>
      </c>
      <c r="AE250" s="6">
        <v>19050</v>
      </c>
      <c r="AF250" s="6">
        <v>19050</v>
      </c>
      <c r="AG250" s="6">
        <v>19050</v>
      </c>
      <c r="AH250" s="6">
        <v>19050</v>
      </c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>
        <f t="shared" si="18"/>
        <v>6</v>
      </c>
      <c r="AX250" t="b">
        <f t="shared" si="19"/>
        <v>1</v>
      </c>
      <c r="AY250" s="21">
        <f t="shared" si="16"/>
        <v>114300</v>
      </c>
      <c r="AZ250" t="b">
        <f t="shared" si="17"/>
        <v>1</v>
      </c>
    </row>
    <row r="251" spans="1:52" x14ac:dyDescent="0.4">
      <c r="A251" s="6" t="s">
        <v>2230</v>
      </c>
      <c r="B251" s="1" t="s">
        <v>803</v>
      </c>
      <c r="C251" s="1" t="s">
        <v>804</v>
      </c>
      <c r="D251" s="1" t="s">
        <v>805</v>
      </c>
      <c r="E251" s="1" t="s">
        <v>44</v>
      </c>
      <c r="F251" s="1" t="s">
        <v>37</v>
      </c>
      <c r="G251" s="5" t="s">
        <v>46</v>
      </c>
      <c r="H251" s="1" t="s">
        <v>27</v>
      </c>
      <c r="I251">
        <v>114300</v>
      </c>
      <c r="J251" s="1" t="s">
        <v>33</v>
      </c>
      <c r="K251">
        <v>0</v>
      </c>
      <c r="L251">
        <v>0</v>
      </c>
      <c r="M251">
        <v>0</v>
      </c>
      <c r="N251">
        <v>0</v>
      </c>
      <c r="O251">
        <v>114300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s="18">
        <v>6</v>
      </c>
      <c r="Y251" s="6"/>
      <c r="Z251" s="6"/>
      <c r="AA251" s="6"/>
      <c r="AB251" s="6"/>
      <c r="AC251" s="6">
        <v>19050</v>
      </c>
      <c r="AD251" s="6">
        <v>19050</v>
      </c>
      <c r="AE251" s="6">
        <v>19050</v>
      </c>
      <c r="AF251" s="6">
        <v>19050</v>
      </c>
      <c r="AG251" s="6">
        <v>19050</v>
      </c>
      <c r="AH251" s="6">
        <v>19050</v>
      </c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>
        <f t="shared" si="18"/>
        <v>6</v>
      </c>
      <c r="AX251" t="b">
        <f t="shared" si="19"/>
        <v>1</v>
      </c>
      <c r="AY251" s="21">
        <f t="shared" si="16"/>
        <v>114300</v>
      </c>
      <c r="AZ251" t="b">
        <f t="shared" si="17"/>
        <v>1</v>
      </c>
    </row>
    <row r="252" spans="1:52" x14ac:dyDescent="0.4">
      <c r="A252" s="6" t="s">
        <v>2230</v>
      </c>
      <c r="B252" s="1" t="s">
        <v>806</v>
      </c>
      <c r="C252" s="1" t="s">
        <v>807</v>
      </c>
      <c r="D252" s="1" t="s">
        <v>808</v>
      </c>
      <c r="E252" s="1" t="s">
        <v>44</v>
      </c>
      <c r="F252" s="1" t="s">
        <v>90</v>
      </c>
      <c r="G252" s="5" t="s">
        <v>46</v>
      </c>
      <c r="H252" s="1" t="s">
        <v>27</v>
      </c>
      <c r="I252">
        <v>114300</v>
      </c>
      <c r="J252" s="1" t="s">
        <v>33</v>
      </c>
      <c r="K252">
        <v>0</v>
      </c>
      <c r="L252">
        <v>0</v>
      </c>
      <c r="M252">
        <v>0</v>
      </c>
      <c r="N252">
        <v>0</v>
      </c>
      <c r="O252">
        <v>114300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s="18">
        <v>6</v>
      </c>
      <c r="Y252" s="6"/>
      <c r="Z252" s="6"/>
      <c r="AA252" s="6"/>
      <c r="AB252" s="6"/>
      <c r="AC252" s="6">
        <v>19050</v>
      </c>
      <c r="AD252" s="6">
        <v>19050</v>
      </c>
      <c r="AE252" s="6">
        <v>19050</v>
      </c>
      <c r="AF252" s="6">
        <v>19050</v>
      </c>
      <c r="AG252" s="6">
        <v>19050</v>
      </c>
      <c r="AH252" s="6">
        <v>19050</v>
      </c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>
        <f t="shared" si="18"/>
        <v>6</v>
      </c>
      <c r="AX252" t="b">
        <f t="shared" si="19"/>
        <v>1</v>
      </c>
      <c r="AY252" s="21">
        <f t="shared" si="16"/>
        <v>114300</v>
      </c>
      <c r="AZ252" t="b">
        <f t="shared" si="17"/>
        <v>1</v>
      </c>
    </row>
    <row r="253" spans="1:52" x14ac:dyDescent="0.4">
      <c r="A253" s="6" t="s">
        <v>2230</v>
      </c>
      <c r="B253" s="1" t="s">
        <v>809</v>
      </c>
      <c r="C253" s="1" t="s">
        <v>810</v>
      </c>
      <c r="D253" s="1" t="s">
        <v>811</v>
      </c>
      <c r="E253" s="1" t="s">
        <v>44</v>
      </c>
      <c r="F253" s="1" t="s">
        <v>32</v>
      </c>
      <c r="G253" s="5" t="s">
        <v>46</v>
      </c>
      <c r="H253" s="1" t="s">
        <v>27</v>
      </c>
      <c r="I253">
        <v>114300</v>
      </c>
      <c r="J253" s="1" t="s">
        <v>33</v>
      </c>
      <c r="K253">
        <v>0</v>
      </c>
      <c r="L253">
        <v>0</v>
      </c>
      <c r="M253">
        <v>0</v>
      </c>
      <c r="N253">
        <v>0</v>
      </c>
      <c r="O253">
        <v>114300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s="18">
        <v>6</v>
      </c>
      <c r="Y253" s="6"/>
      <c r="Z253" s="6"/>
      <c r="AA253" s="6"/>
      <c r="AB253" s="6"/>
      <c r="AC253" s="6">
        <v>19050</v>
      </c>
      <c r="AD253" s="6">
        <v>19050</v>
      </c>
      <c r="AE253" s="6">
        <v>19050</v>
      </c>
      <c r="AF253" s="6">
        <v>19050</v>
      </c>
      <c r="AG253" s="6">
        <v>19050</v>
      </c>
      <c r="AH253" s="6">
        <v>19050</v>
      </c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>
        <f t="shared" si="18"/>
        <v>6</v>
      </c>
      <c r="AX253" t="b">
        <f t="shared" si="19"/>
        <v>1</v>
      </c>
      <c r="AY253" s="21">
        <f t="shared" si="16"/>
        <v>114300</v>
      </c>
      <c r="AZ253" t="b">
        <f t="shared" si="17"/>
        <v>1</v>
      </c>
    </row>
    <row r="254" spans="1:52" x14ac:dyDescent="0.4">
      <c r="A254" s="6" t="s">
        <v>2230</v>
      </c>
      <c r="B254" s="1" t="s">
        <v>812</v>
      </c>
      <c r="C254" s="1" t="s">
        <v>813</v>
      </c>
      <c r="D254" s="1" t="s">
        <v>814</v>
      </c>
      <c r="E254" s="1" t="s">
        <v>44</v>
      </c>
      <c r="F254" s="1" t="s">
        <v>63</v>
      </c>
      <c r="G254" s="5" t="s">
        <v>46</v>
      </c>
      <c r="H254" s="1" t="s">
        <v>27</v>
      </c>
      <c r="I254">
        <v>114300</v>
      </c>
      <c r="J254" s="1" t="s">
        <v>33</v>
      </c>
      <c r="K254">
        <v>0</v>
      </c>
      <c r="L254">
        <v>0</v>
      </c>
      <c r="M254">
        <v>0</v>
      </c>
      <c r="N254">
        <v>0</v>
      </c>
      <c r="O254">
        <v>114300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18">
        <v>6</v>
      </c>
      <c r="Y254" s="6"/>
      <c r="Z254" s="6"/>
      <c r="AA254" s="6"/>
      <c r="AB254" s="6"/>
      <c r="AC254" s="6">
        <v>19050</v>
      </c>
      <c r="AD254" s="6">
        <v>19050</v>
      </c>
      <c r="AE254" s="6">
        <v>19050</v>
      </c>
      <c r="AF254" s="6">
        <v>19050</v>
      </c>
      <c r="AG254" s="6">
        <v>19050</v>
      </c>
      <c r="AH254" s="6">
        <v>19050</v>
      </c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>
        <f t="shared" si="18"/>
        <v>6</v>
      </c>
      <c r="AX254" t="b">
        <f t="shared" si="19"/>
        <v>1</v>
      </c>
      <c r="AY254" s="21">
        <f t="shared" si="16"/>
        <v>114300</v>
      </c>
      <c r="AZ254" t="b">
        <f t="shared" si="17"/>
        <v>1</v>
      </c>
    </row>
    <row r="255" spans="1:52" x14ac:dyDescent="0.4">
      <c r="A255" s="6" t="s">
        <v>2230</v>
      </c>
      <c r="B255" s="1" t="s">
        <v>815</v>
      </c>
      <c r="C255" s="1" t="s">
        <v>816</v>
      </c>
      <c r="D255" s="1" t="s">
        <v>817</v>
      </c>
      <c r="E255" s="1" t="s">
        <v>44</v>
      </c>
      <c r="F255" s="1" t="s">
        <v>227</v>
      </c>
      <c r="G255" s="5" t="s">
        <v>46</v>
      </c>
      <c r="H255" s="1" t="s">
        <v>27</v>
      </c>
      <c r="I255">
        <v>114300</v>
      </c>
      <c r="J255" s="1" t="s">
        <v>33</v>
      </c>
      <c r="K255">
        <v>0</v>
      </c>
      <c r="L255">
        <v>0</v>
      </c>
      <c r="M255">
        <v>0</v>
      </c>
      <c r="N255">
        <v>0</v>
      </c>
      <c r="O255">
        <v>114300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s="18">
        <v>6</v>
      </c>
      <c r="Y255" s="6"/>
      <c r="Z255" s="6"/>
      <c r="AA255" s="6"/>
      <c r="AB255" s="6"/>
      <c r="AC255" s="6">
        <v>19050</v>
      </c>
      <c r="AD255" s="6">
        <v>19050</v>
      </c>
      <c r="AE255" s="6">
        <v>19050</v>
      </c>
      <c r="AF255" s="6">
        <v>19050</v>
      </c>
      <c r="AG255" s="6">
        <v>19050</v>
      </c>
      <c r="AH255" s="6">
        <v>19050</v>
      </c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>
        <f t="shared" si="18"/>
        <v>6</v>
      </c>
      <c r="AX255" t="b">
        <f t="shared" si="19"/>
        <v>1</v>
      </c>
      <c r="AY255" s="21">
        <f t="shared" si="16"/>
        <v>114300</v>
      </c>
      <c r="AZ255" t="b">
        <f t="shared" si="17"/>
        <v>1</v>
      </c>
    </row>
    <row r="256" spans="1:52" x14ac:dyDescent="0.4">
      <c r="A256" s="6" t="s">
        <v>2230</v>
      </c>
      <c r="B256" s="1" t="s">
        <v>818</v>
      </c>
      <c r="C256" s="1" t="s">
        <v>819</v>
      </c>
      <c r="D256" s="1" t="s">
        <v>820</v>
      </c>
      <c r="E256" s="1" t="s">
        <v>44</v>
      </c>
      <c r="F256" s="1" t="s">
        <v>90</v>
      </c>
      <c r="G256" s="5" t="s">
        <v>46</v>
      </c>
      <c r="H256" s="1" t="s">
        <v>27</v>
      </c>
      <c r="I256">
        <v>114300</v>
      </c>
      <c r="J256" s="1" t="s">
        <v>33</v>
      </c>
      <c r="K256">
        <v>0</v>
      </c>
      <c r="L256">
        <v>0</v>
      </c>
      <c r="M256">
        <v>0</v>
      </c>
      <c r="N256">
        <v>0</v>
      </c>
      <c r="O256">
        <v>114300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18">
        <v>6</v>
      </c>
      <c r="Y256" s="6"/>
      <c r="Z256" s="6"/>
      <c r="AA256" s="6"/>
      <c r="AB256" s="6"/>
      <c r="AC256" s="6">
        <v>19050</v>
      </c>
      <c r="AD256" s="6">
        <v>19050</v>
      </c>
      <c r="AE256" s="6">
        <v>19050</v>
      </c>
      <c r="AF256" s="6">
        <v>19050</v>
      </c>
      <c r="AG256" s="6">
        <v>19050</v>
      </c>
      <c r="AH256" s="6">
        <v>19050</v>
      </c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>
        <f t="shared" si="18"/>
        <v>6</v>
      </c>
      <c r="AX256" t="b">
        <f t="shared" si="19"/>
        <v>1</v>
      </c>
      <c r="AY256" s="21">
        <f t="shared" si="16"/>
        <v>114300</v>
      </c>
      <c r="AZ256" t="b">
        <f t="shared" si="17"/>
        <v>1</v>
      </c>
    </row>
    <row r="257" spans="1:52" x14ac:dyDescent="0.4">
      <c r="A257" s="6" t="s">
        <v>2230</v>
      </c>
      <c r="B257" s="1" t="s">
        <v>821</v>
      </c>
      <c r="C257" s="1" t="s">
        <v>822</v>
      </c>
      <c r="D257" s="1" t="s">
        <v>823</v>
      </c>
      <c r="E257" s="1" t="s">
        <v>25</v>
      </c>
      <c r="F257" s="1" t="s">
        <v>37</v>
      </c>
      <c r="G257" s="5" t="s">
        <v>10</v>
      </c>
      <c r="H257" s="1" t="s">
        <v>27</v>
      </c>
      <c r="I257">
        <v>59400</v>
      </c>
      <c r="J257" s="1" t="s">
        <v>33</v>
      </c>
      <c r="K257">
        <v>0</v>
      </c>
      <c r="L257">
        <v>59400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s="18">
        <v>3</v>
      </c>
      <c r="Y257" s="6"/>
      <c r="Z257" s="6">
        <v>19800</v>
      </c>
      <c r="AA257" s="6">
        <v>19800</v>
      </c>
      <c r="AB257" s="6">
        <v>19800</v>
      </c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>
        <f t="shared" si="18"/>
        <v>3</v>
      </c>
      <c r="AX257" t="b">
        <f t="shared" si="19"/>
        <v>1</v>
      </c>
      <c r="AY257" s="21">
        <f t="shared" si="16"/>
        <v>59400</v>
      </c>
      <c r="AZ257" t="b">
        <f t="shared" si="17"/>
        <v>1</v>
      </c>
    </row>
    <row r="258" spans="1:52" x14ac:dyDescent="0.4">
      <c r="A258" s="6" t="s">
        <v>2230</v>
      </c>
      <c r="B258" s="1" t="s">
        <v>824</v>
      </c>
      <c r="C258" s="1" t="s">
        <v>825</v>
      </c>
      <c r="D258" s="1" t="s">
        <v>826</v>
      </c>
      <c r="E258" s="1" t="s">
        <v>44</v>
      </c>
      <c r="F258" s="1" t="s">
        <v>86</v>
      </c>
      <c r="G258" s="5" t="s">
        <v>46</v>
      </c>
      <c r="H258" s="1" t="s">
        <v>27</v>
      </c>
      <c r="I258">
        <v>114300</v>
      </c>
      <c r="J258" s="1" t="s">
        <v>33</v>
      </c>
      <c r="K258">
        <v>0</v>
      </c>
      <c r="L258">
        <v>0</v>
      </c>
      <c r="M258">
        <v>0</v>
      </c>
      <c r="N258">
        <v>0</v>
      </c>
      <c r="O258">
        <v>114300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s="18">
        <v>6</v>
      </c>
      <c r="Y258" s="6"/>
      <c r="Z258" s="6"/>
      <c r="AA258" s="6"/>
      <c r="AB258" s="6"/>
      <c r="AC258" s="6">
        <v>19050</v>
      </c>
      <c r="AD258" s="6">
        <v>19050</v>
      </c>
      <c r="AE258" s="6">
        <v>19050</v>
      </c>
      <c r="AF258" s="6">
        <v>19050</v>
      </c>
      <c r="AG258" s="6">
        <v>19050</v>
      </c>
      <c r="AH258" s="6">
        <v>19050</v>
      </c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>
        <f t="shared" si="18"/>
        <v>6</v>
      </c>
      <c r="AX258" t="b">
        <f t="shared" si="19"/>
        <v>1</v>
      </c>
      <c r="AY258" s="21">
        <f t="shared" si="16"/>
        <v>114300</v>
      </c>
      <c r="AZ258" t="b">
        <f t="shared" si="17"/>
        <v>1</v>
      </c>
    </row>
    <row r="259" spans="1:52" x14ac:dyDescent="0.4">
      <c r="A259" s="6" t="s">
        <v>2230</v>
      </c>
      <c r="B259" s="1" t="s">
        <v>827</v>
      </c>
      <c r="C259" s="1" t="s">
        <v>828</v>
      </c>
      <c r="D259" s="1" t="s">
        <v>829</v>
      </c>
      <c r="E259" s="1" t="s">
        <v>44</v>
      </c>
      <c r="F259" s="1" t="s">
        <v>86</v>
      </c>
      <c r="G259" s="5" t="s">
        <v>46</v>
      </c>
      <c r="H259" s="1" t="s">
        <v>27</v>
      </c>
      <c r="I259">
        <v>114300</v>
      </c>
      <c r="J259" s="1" t="s">
        <v>33</v>
      </c>
      <c r="K259">
        <v>0</v>
      </c>
      <c r="L259">
        <v>0</v>
      </c>
      <c r="M259">
        <v>0</v>
      </c>
      <c r="N259">
        <v>0</v>
      </c>
      <c r="O259">
        <v>114300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s="18">
        <v>6</v>
      </c>
      <c r="Y259" s="6"/>
      <c r="Z259" s="6"/>
      <c r="AA259" s="6"/>
      <c r="AB259" s="6"/>
      <c r="AC259" s="6">
        <v>19050</v>
      </c>
      <c r="AD259" s="6">
        <v>19050</v>
      </c>
      <c r="AE259" s="6">
        <v>19050</v>
      </c>
      <c r="AF259" s="6">
        <v>19050</v>
      </c>
      <c r="AG259" s="6">
        <v>19050</v>
      </c>
      <c r="AH259" s="6">
        <v>19050</v>
      </c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>
        <f t="shared" si="18"/>
        <v>6</v>
      </c>
      <c r="AX259" t="b">
        <f t="shared" si="19"/>
        <v>1</v>
      </c>
      <c r="AY259" s="21">
        <f t="shared" si="16"/>
        <v>114300</v>
      </c>
      <c r="AZ259" t="b">
        <f t="shared" si="17"/>
        <v>1</v>
      </c>
    </row>
    <row r="260" spans="1:52" x14ac:dyDescent="0.4">
      <c r="A260" s="6" t="s">
        <v>2230</v>
      </c>
      <c r="B260" s="1" t="s">
        <v>830</v>
      </c>
      <c r="C260" s="1" t="s">
        <v>831</v>
      </c>
      <c r="D260" s="1" t="s">
        <v>832</v>
      </c>
      <c r="E260" s="1" t="s">
        <v>25</v>
      </c>
      <c r="F260" s="1" t="s">
        <v>45</v>
      </c>
      <c r="G260" s="5" t="s">
        <v>10</v>
      </c>
      <c r="H260" s="1" t="s">
        <v>27</v>
      </c>
      <c r="I260">
        <v>59400</v>
      </c>
      <c r="J260" s="1" t="s">
        <v>33</v>
      </c>
      <c r="K260">
        <v>0</v>
      </c>
      <c r="L260">
        <v>59400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s="18">
        <v>3</v>
      </c>
      <c r="Y260" s="6"/>
      <c r="Z260" s="6">
        <v>19800</v>
      </c>
      <c r="AA260" s="6">
        <v>19800</v>
      </c>
      <c r="AB260" s="6">
        <v>19800</v>
      </c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>
        <f t="shared" si="18"/>
        <v>3</v>
      </c>
      <c r="AX260" t="b">
        <f t="shared" si="19"/>
        <v>1</v>
      </c>
      <c r="AY260" s="21">
        <f t="shared" si="16"/>
        <v>59400</v>
      </c>
      <c r="AZ260" t="b">
        <f t="shared" si="17"/>
        <v>1</v>
      </c>
    </row>
    <row r="261" spans="1:52" x14ac:dyDescent="0.4">
      <c r="A261" s="6" t="s">
        <v>2230</v>
      </c>
      <c r="B261" s="1" t="s">
        <v>833</v>
      </c>
      <c r="C261" s="1" t="s">
        <v>834</v>
      </c>
      <c r="D261" s="1" t="s">
        <v>835</v>
      </c>
      <c r="E261" s="1" t="s">
        <v>25</v>
      </c>
      <c r="F261" s="1" t="s">
        <v>112</v>
      </c>
      <c r="G261" s="5" t="s">
        <v>10</v>
      </c>
      <c r="H261" s="1" t="s">
        <v>27</v>
      </c>
      <c r="I261">
        <v>59400</v>
      </c>
      <c r="J261" s="1" t="s">
        <v>33</v>
      </c>
      <c r="K261">
        <v>0</v>
      </c>
      <c r="L261">
        <v>59400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s="18">
        <v>3</v>
      </c>
      <c r="Y261" s="6"/>
      <c r="Z261" s="6">
        <v>19800</v>
      </c>
      <c r="AA261" s="6">
        <v>19800</v>
      </c>
      <c r="AB261" s="6">
        <v>19800</v>
      </c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>
        <f t="shared" si="18"/>
        <v>3</v>
      </c>
      <c r="AX261" t="b">
        <f t="shared" si="19"/>
        <v>1</v>
      </c>
      <c r="AY261" s="21">
        <f t="shared" si="16"/>
        <v>59400</v>
      </c>
      <c r="AZ261" t="b">
        <f t="shared" si="17"/>
        <v>1</v>
      </c>
    </row>
    <row r="262" spans="1:52" x14ac:dyDescent="0.4">
      <c r="A262" s="6" t="s">
        <v>2230</v>
      </c>
      <c r="B262" s="1" t="s">
        <v>836</v>
      </c>
      <c r="C262" s="1" t="s">
        <v>837</v>
      </c>
      <c r="D262" s="1" t="s">
        <v>838</v>
      </c>
      <c r="E262" s="1" t="s">
        <v>44</v>
      </c>
      <c r="F262" s="1" t="s">
        <v>63</v>
      </c>
      <c r="G262" s="5" t="s">
        <v>46</v>
      </c>
      <c r="H262" s="1" t="s">
        <v>27</v>
      </c>
      <c r="I262">
        <v>114300</v>
      </c>
      <c r="J262" s="1" t="s">
        <v>33</v>
      </c>
      <c r="K262">
        <v>0</v>
      </c>
      <c r="L262">
        <v>0</v>
      </c>
      <c r="M262">
        <v>0</v>
      </c>
      <c r="N262">
        <v>0</v>
      </c>
      <c r="O262">
        <v>114300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s="18">
        <v>6</v>
      </c>
      <c r="Y262" s="6"/>
      <c r="Z262" s="6"/>
      <c r="AA262" s="6"/>
      <c r="AB262" s="6"/>
      <c r="AC262" s="6">
        <v>19050</v>
      </c>
      <c r="AD262" s="6">
        <v>19050</v>
      </c>
      <c r="AE262" s="6">
        <v>19050</v>
      </c>
      <c r="AF262" s="6">
        <v>19050</v>
      </c>
      <c r="AG262" s="6">
        <v>19050</v>
      </c>
      <c r="AH262" s="6">
        <v>19050</v>
      </c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>
        <f t="shared" si="18"/>
        <v>6</v>
      </c>
      <c r="AX262" t="b">
        <f t="shared" si="19"/>
        <v>1</v>
      </c>
      <c r="AY262" s="21">
        <f t="shared" si="16"/>
        <v>114300</v>
      </c>
      <c r="AZ262" t="b">
        <f t="shared" si="17"/>
        <v>1</v>
      </c>
    </row>
    <row r="263" spans="1:52" x14ac:dyDescent="0.4">
      <c r="A263" s="6" t="s">
        <v>2230</v>
      </c>
      <c r="B263" s="1" t="s">
        <v>839</v>
      </c>
      <c r="C263" s="1" t="s">
        <v>840</v>
      </c>
      <c r="D263" s="1" t="s">
        <v>841</v>
      </c>
      <c r="E263" s="1" t="s">
        <v>25</v>
      </c>
      <c r="F263" s="1" t="s">
        <v>101</v>
      </c>
      <c r="G263" s="5" t="s">
        <v>10</v>
      </c>
      <c r="H263" s="1" t="s">
        <v>27</v>
      </c>
      <c r="I263">
        <v>59400</v>
      </c>
      <c r="J263" s="1" t="s">
        <v>33</v>
      </c>
      <c r="K263">
        <v>0</v>
      </c>
      <c r="L263">
        <v>59400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s="18">
        <v>3</v>
      </c>
      <c r="Y263" s="6"/>
      <c r="Z263" s="6">
        <v>19800</v>
      </c>
      <c r="AA263" s="6">
        <v>19800</v>
      </c>
      <c r="AB263" s="6">
        <v>19800</v>
      </c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>
        <f t="shared" si="18"/>
        <v>3</v>
      </c>
      <c r="AX263" t="b">
        <f t="shared" si="19"/>
        <v>1</v>
      </c>
      <c r="AY263" s="21">
        <f t="shared" ref="AY263:AY326" si="20">+SUM(Y263:AV263)</f>
        <v>59400</v>
      </c>
      <c r="AZ263" t="b">
        <f t="shared" ref="AZ263:AZ326" si="21">+I263=AY263</f>
        <v>1</v>
      </c>
    </row>
    <row r="264" spans="1:52" x14ac:dyDescent="0.4">
      <c r="A264" s="6" t="s">
        <v>2230</v>
      </c>
      <c r="B264" s="1" t="s">
        <v>842</v>
      </c>
      <c r="C264" s="1" t="s">
        <v>843</v>
      </c>
      <c r="D264" s="1" t="s">
        <v>844</v>
      </c>
      <c r="E264" s="1" t="s">
        <v>70</v>
      </c>
      <c r="F264" s="1" t="s">
        <v>845</v>
      </c>
      <c r="G264" s="5" t="s">
        <v>10</v>
      </c>
      <c r="H264" s="1" t="s">
        <v>52</v>
      </c>
      <c r="I264">
        <v>59400</v>
      </c>
      <c r="J264" s="1" t="s">
        <v>28</v>
      </c>
      <c r="K264">
        <v>0</v>
      </c>
      <c r="L264">
        <v>59400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s="18">
        <v>3</v>
      </c>
      <c r="Y264" s="6"/>
      <c r="Z264" s="6">
        <v>19800</v>
      </c>
      <c r="AA264" s="6">
        <v>19800</v>
      </c>
      <c r="AB264" s="6">
        <v>19800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>
        <f t="shared" si="18"/>
        <v>3</v>
      </c>
      <c r="AX264" t="b">
        <f t="shared" si="19"/>
        <v>1</v>
      </c>
      <c r="AY264" s="21">
        <f t="shared" si="20"/>
        <v>59400</v>
      </c>
      <c r="AZ264" t="b">
        <f t="shared" si="21"/>
        <v>1</v>
      </c>
    </row>
    <row r="265" spans="1:52" x14ac:dyDescent="0.4">
      <c r="A265" s="6" t="s">
        <v>2230</v>
      </c>
      <c r="B265" s="1" t="s">
        <v>846</v>
      </c>
      <c r="C265" s="1" t="s">
        <v>847</v>
      </c>
      <c r="D265" s="1" t="s">
        <v>848</v>
      </c>
      <c r="E265" s="1" t="s">
        <v>44</v>
      </c>
      <c r="F265" s="1" t="s">
        <v>227</v>
      </c>
      <c r="G265" s="5" t="s">
        <v>46</v>
      </c>
      <c r="H265" s="1" t="s">
        <v>27</v>
      </c>
      <c r="I265">
        <v>114300</v>
      </c>
      <c r="J265" s="1" t="s">
        <v>33</v>
      </c>
      <c r="K265">
        <v>0</v>
      </c>
      <c r="L265">
        <v>0</v>
      </c>
      <c r="M265">
        <v>0</v>
      </c>
      <c r="N265">
        <v>0</v>
      </c>
      <c r="O265">
        <v>114300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s="18">
        <v>6</v>
      </c>
      <c r="Y265" s="6"/>
      <c r="Z265" s="6"/>
      <c r="AA265" s="6"/>
      <c r="AB265" s="6"/>
      <c r="AC265" s="6">
        <v>19050</v>
      </c>
      <c r="AD265" s="6">
        <v>19050</v>
      </c>
      <c r="AE265" s="6">
        <v>19050</v>
      </c>
      <c r="AF265" s="6">
        <v>19050</v>
      </c>
      <c r="AG265" s="6">
        <v>19050</v>
      </c>
      <c r="AH265" s="6">
        <v>19050</v>
      </c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>
        <f t="shared" si="18"/>
        <v>6</v>
      </c>
      <c r="AX265" t="b">
        <f t="shared" si="19"/>
        <v>1</v>
      </c>
      <c r="AY265" s="21">
        <f t="shared" si="20"/>
        <v>114300</v>
      </c>
      <c r="AZ265" t="b">
        <f t="shared" si="21"/>
        <v>1</v>
      </c>
    </row>
    <row r="266" spans="1:52" x14ac:dyDescent="0.4">
      <c r="A266" s="6" t="s">
        <v>2230</v>
      </c>
      <c r="B266" s="1" t="s">
        <v>849</v>
      </c>
      <c r="C266" s="1" t="s">
        <v>850</v>
      </c>
      <c r="D266" s="1" t="s">
        <v>851</v>
      </c>
      <c r="E266" s="1" t="s">
        <v>44</v>
      </c>
      <c r="F266" s="1" t="s">
        <v>86</v>
      </c>
      <c r="G266" s="5" t="s">
        <v>46</v>
      </c>
      <c r="H266" s="1" t="s">
        <v>27</v>
      </c>
      <c r="I266">
        <v>114300</v>
      </c>
      <c r="J266" s="1" t="s">
        <v>33</v>
      </c>
      <c r="K266">
        <v>0</v>
      </c>
      <c r="L266">
        <v>0</v>
      </c>
      <c r="M266">
        <v>0</v>
      </c>
      <c r="N266">
        <v>0</v>
      </c>
      <c r="O266">
        <v>114300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s="18">
        <v>6</v>
      </c>
      <c r="Y266" s="6"/>
      <c r="Z266" s="6"/>
      <c r="AA266" s="6"/>
      <c r="AB266" s="6"/>
      <c r="AC266" s="6">
        <v>19050</v>
      </c>
      <c r="AD266" s="6">
        <v>19050</v>
      </c>
      <c r="AE266" s="6">
        <v>19050</v>
      </c>
      <c r="AF266" s="6">
        <v>19050</v>
      </c>
      <c r="AG266" s="6">
        <v>19050</v>
      </c>
      <c r="AH266" s="6">
        <v>19050</v>
      </c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>
        <f t="shared" si="18"/>
        <v>6</v>
      </c>
      <c r="AX266" t="b">
        <f t="shared" si="19"/>
        <v>1</v>
      </c>
      <c r="AY266" s="21">
        <f t="shared" si="20"/>
        <v>114300</v>
      </c>
      <c r="AZ266" t="b">
        <f t="shared" si="21"/>
        <v>1</v>
      </c>
    </row>
    <row r="267" spans="1:52" x14ac:dyDescent="0.4">
      <c r="A267" s="6" t="s">
        <v>2230</v>
      </c>
      <c r="B267" s="1" t="s">
        <v>852</v>
      </c>
      <c r="C267" s="1" t="s">
        <v>853</v>
      </c>
      <c r="D267" s="1" t="s">
        <v>854</v>
      </c>
      <c r="E267" s="1" t="s">
        <v>25</v>
      </c>
      <c r="F267" s="1" t="s">
        <v>90</v>
      </c>
      <c r="G267" s="5" t="s">
        <v>10</v>
      </c>
      <c r="H267" s="1" t="s">
        <v>27</v>
      </c>
      <c r="I267">
        <v>59400</v>
      </c>
      <c r="J267" s="1" t="s">
        <v>33</v>
      </c>
      <c r="K267">
        <v>0</v>
      </c>
      <c r="L267">
        <v>59400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s="18">
        <v>3</v>
      </c>
      <c r="Y267" s="6"/>
      <c r="Z267" s="6">
        <v>19800</v>
      </c>
      <c r="AA267" s="6">
        <v>19800</v>
      </c>
      <c r="AB267" s="6">
        <v>19800</v>
      </c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>
        <f t="shared" si="18"/>
        <v>3</v>
      </c>
      <c r="AX267" t="b">
        <f t="shared" si="19"/>
        <v>1</v>
      </c>
      <c r="AY267" s="21">
        <f t="shared" si="20"/>
        <v>59400</v>
      </c>
      <c r="AZ267" t="b">
        <f t="shared" si="21"/>
        <v>1</v>
      </c>
    </row>
    <row r="268" spans="1:52" x14ac:dyDescent="0.4">
      <c r="A268" s="6" t="s">
        <v>2230</v>
      </c>
      <c r="B268" s="1" t="s">
        <v>855</v>
      </c>
      <c r="C268" s="1" t="s">
        <v>856</v>
      </c>
      <c r="D268" s="1" t="s">
        <v>857</v>
      </c>
      <c r="E268" s="1" t="s">
        <v>44</v>
      </c>
      <c r="F268" s="1" t="s">
        <v>112</v>
      </c>
      <c r="G268" s="5" t="s">
        <v>46</v>
      </c>
      <c r="H268" s="1" t="s">
        <v>27</v>
      </c>
      <c r="I268">
        <v>114300</v>
      </c>
      <c r="J268" s="1" t="s">
        <v>33</v>
      </c>
      <c r="K268">
        <v>0</v>
      </c>
      <c r="L268">
        <v>0</v>
      </c>
      <c r="M268">
        <v>0</v>
      </c>
      <c r="N268">
        <v>0</v>
      </c>
      <c r="O268">
        <v>114300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s="18">
        <v>6</v>
      </c>
      <c r="Y268" s="6"/>
      <c r="Z268" s="6"/>
      <c r="AA268" s="6"/>
      <c r="AB268" s="6"/>
      <c r="AC268" s="6">
        <v>19050</v>
      </c>
      <c r="AD268" s="6">
        <v>19050</v>
      </c>
      <c r="AE268" s="6">
        <v>19050</v>
      </c>
      <c r="AF268" s="6">
        <v>19050</v>
      </c>
      <c r="AG268" s="6">
        <v>19050</v>
      </c>
      <c r="AH268" s="6">
        <v>19050</v>
      </c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>
        <f t="shared" si="18"/>
        <v>6</v>
      </c>
      <c r="AX268" t="b">
        <f t="shared" si="19"/>
        <v>1</v>
      </c>
      <c r="AY268" s="21">
        <f t="shared" si="20"/>
        <v>114300</v>
      </c>
      <c r="AZ268" t="b">
        <f t="shared" si="21"/>
        <v>1</v>
      </c>
    </row>
    <row r="269" spans="1:52" x14ac:dyDescent="0.4">
      <c r="A269" s="6" t="s">
        <v>2230</v>
      </c>
      <c r="B269" s="1" t="s">
        <v>858</v>
      </c>
      <c r="C269" s="1" t="s">
        <v>859</v>
      </c>
      <c r="D269" s="1" t="s">
        <v>860</v>
      </c>
      <c r="E269" s="1" t="s">
        <v>44</v>
      </c>
      <c r="F269" s="1" t="s">
        <v>112</v>
      </c>
      <c r="G269" s="5" t="s">
        <v>46</v>
      </c>
      <c r="H269" s="1" t="s">
        <v>27</v>
      </c>
      <c r="I269">
        <v>114300</v>
      </c>
      <c r="J269" s="1" t="s">
        <v>33</v>
      </c>
      <c r="K269">
        <v>0</v>
      </c>
      <c r="L269">
        <v>0</v>
      </c>
      <c r="M269">
        <v>0</v>
      </c>
      <c r="N269">
        <v>0</v>
      </c>
      <c r="O269">
        <v>114300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s="18">
        <v>6</v>
      </c>
      <c r="Y269" s="6"/>
      <c r="Z269" s="6"/>
      <c r="AA269" s="6"/>
      <c r="AB269" s="6"/>
      <c r="AC269" s="6">
        <v>19050</v>
      </c>
      <c r="AD269" s="6">
        <v>19050</v>
      </c>
      <c r="AE269" s="6">
        <v>19050</v>
      </c>
      <c r="AF269" s="6">
        <v>19050</v>
      </c>
      <c r="AG269" s="6">
        <v>19050</v>
      </c>
      <c r="AH269" s="6">
        <v>19050</v>
      </c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>
        <f t="shared" si="18"/>
        <v>6</v>
      </c>
      <c r="AX269" t="b">
        <f t="shared" si="19"/>
        <v>1</v>
      </c>
      <c r="AY269" s="21">
        <f t="shared" si="20"/>
        <v>114300</v>
      </c>
      <c r="AZ269" t="b">
        <f t="shared" si="21"/>
        <v>1</v>
      </c>
    </row>
    <row r="270" spans="1:52" x14ac:dyDescent="0.4">
      <c r="A270" s="6" t="s">
        <v>2230</v>
      </c>
      <c r="B270" s="1" t="s">
        <v>861</v>
      </c>
      <c r="C270" s="1" t="s">
        <v>862</v>
      </c>
      <c r="D270" s="1" t="s">
        <v>863</v>
      </c>
      <c r="E270" s="1" t="s">
        <v>44</v>
      </c>
      <c r="F270" s="1" t="s">
        <v>86</v>
      </c>
      <c r="G270" s="5" t="s">
        <v>46</v>
      </c>
      <c r="H270" s="1" t="s">
        <v>27</v>
      </c>
      <c r="I270">
        <v>114300</v>
      </c>
      <c r="J270" s="1" t="s">
        <v>33</v>
      </c>
      <c r="K270">
        <v>0</v>
      </c>
      <c r="L270">
        <v>0</v>
      </c>
      <c r="M270">
        <v>0</v>
      </c>
      <c r="N270">
        <v>0</v>
      </c>
      <c r="O270">
        <v>114300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s="18">
        <v>6</v>
      </c>
      <c r="Y270" s="6"/>
      <c r="Z270" s="6"/>
      <c r="AA270" s="6"/>
      <c r="AB270" s="6"/>
      <c r="AC270" s="6">
        <v>19050</v>
      </c>
      <c r="AD270" s="6">
        <v>19050</v>
      </c>
      <c r="AE270" s="6">
        <v>19050</v>
      </c>
      <c r="AF270" s="6">
        <v>19050</v>
      </c>
      <c r="AG270" s="6">
        <v>19050</v>
      </c>
      <c r="AH270" s="6">
        <v>19050</v>
      </c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>
        <f t="shared" si="18"/>
        <v>6</v>
      </c>
      <c r="AX270" t="b">
        <f t="shared" si="19"/>
        <v>1</v>
      </c>
      <c r="AY270" s="21">
        <f t="shared" si="20"/>
        <v>114300</v>
      </c>
      <c r="AZ270" t="b">
        <f t="shared" si="21"/>
        <v>1</v>
      </c>
    </row>
    <row r="271" spans="1:52" x14ac:dyDescent="0.4">
      <c r="A271" s="6" t="s">
        <v>2230</v>
      </c>
      <c r="B271" s="1" t="s">
        <v>864</v>
      </c>
      <c r="C271" s="1" t="s">
        <v>865</v>
      </c>
      <c r="D271" s="1" t="s">
        <v>866</v>
      </c>
      <c r="E271" s="1" t="s">
        <v>44</v>
      </c>
      <c r="F271" s="1" t="s">
        <v>867</v>
      </c>
      <c r="G271" s="5" t="s">
        <v>479</v>
      </c>
      <c r="H271" s="1" t="s">
        <v>27</v>
      </c>
      <c r="I271">
        <v>114300</v>
      </c>
      <c r="J271" s="1" t="s">
        <v>868</v>
      </c>
      <c r="K271">
        <v>0</v>
      </c>
      <c r="L271">
        <v>0</v>
      </c>
      <c r="M271">
        <v>114300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s="18">
        <v>6</v>
      </c>
      <c r="Y271" s="6"/>
      <c r="Z271" s="6"/>
      <c r="AA271" s="6">
        <v>19050</v>
      </c>
      <c r="AB271" s="6">
        <v>19050</v>
      </c>
      <c r="AC271" s="6">
        <v>19050</v>
      </c>
      <c r="AD271" s="6">
        <v>19050</v>
      </c>
      <c r="AE271" s="6">
        <v>19050</v>
      </c>
      <c r="AF271" s="6">
        <v>19050</v>
      </c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>
        <f t="shared" si="18"/>
        <v>6</v>
      </c>
      <c r="AX271" t="b">
        <f t="shared" si="19"/>
        <v>1</v>
      </c>
      <c r="AY271" s="21">
        <f t="shared" si="20"/>
        <v>114300</v>
      </c>
      <c r="AZ271" t="b">
        <f t="shared" si="21"/>
        <v>1</v>
      </c>
    </row>
    <row r="272" spans="1:52" x14ac:dyDescent="0.4">
      <c r="A272" s="6" t="s">
        <v>2230</v>
      </c>
      <c r="B272" s="1" t="s">
        <v>869</v>
      </c>
      <c r="C272" s="1" t="s">
        <v>870</v>
      </c>
      <c r="D272" s="1" t="s">
        <v>871</v>
      </c>
      <c r="E272" s="1" t="s">
        <v>44</v>
      </c>
      <c r="F272" s="1" t="s">
        <v>63</v>
      </c>
      <c r="G272" s="5" t="s">
        <v>46</v>
      </c>
      <c r="H272" s="1" t="s">
        <v>27</v>
      </c>
      <c r="I272">
        <v>114300</v>
      </c>
      <c r="J272" s="1" t="s">
        <v>33</v>
      </c>
      <c r="K272">
        <v>0</v>
      </c>
      <c r="L272">
        <v>0</v>
      </c>
      <c r="M272">
        <v>0</v>
      </c>
      <c r="N272">
        <v>0</v>
      </c>
      <c r="O272">
        <v>114300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s="18">
        <v>6</v>
      </c>
      <c r="Y272" s="6"/>
      <c r="Z272" s="6"/>
      <c r="AA272" s="6"/>
      <c r="AB272" s="6"/>
      <c r="AC272" s="6">
        <v>19050</v>
      </c>
      <c r="AD272" s="6">
        <v>19050</v>
      </c>
      <c r="AE272" s="6">
        <v>19050</v>
      </c>
      <c r="AF272" s="6">
        <v>19050</v>
      </c>
      <c r="AG272" s="6">
        <v>19050</v>
      </c>
      <c r="AH272" s="6">
        <v>19050</v>
      </c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>
        <f t="shared" ref="AW272:AW335" si="22">+COUNTA(Y272:AV272)</f>
        <v>6</v>
      </c>
      <c r="AX272" t="b">
        <f t="shared" ref="AX272:AX335" si="23">+AW272=X272</f>
        <v>1</v>
      </c>
      <c r="AY272" s="21">
        <f t="shared" si="20"/>
        <v>114300</v>
      </c>
      <c r="AZ272" t="b">
        <f t="shared" si="21"/>
        <v>1</v>
      </c>
    </row>
    <row r="273" spans="1:52" x14ac:dyDescent="0.4">
      <c r="A273" s="6" t="s">
        <v>2230</v>
      </c>
      <c r="B273" s="1" t="s">
        <v>872</v>
      </c>
      <c r="C273" s="1" t="s">
        <v>873</v>
      </c>
      <c r="D273" s="1" t="s">
        <v>874</v>
      </c>
      <c r="E273" s="1" t="s">
        <v>44</v>
      </c>
      <c r="F273" s="1" t="s">
        <v>63</v>
      </c>
      <c r="G273" s="5" t="s">
        <v>46</v>
      </c>
      <c r="H273" s="1" t="s">
        <v>27</v>
      </c>
      <c r="I273">
        <v>114300</v>
      </c>
      <c r="J273" s="1" t="s">
        <v>33</v>
      </c>
      <c r="K273">
        <v>0</v>
      </c>
      <c r="L273">
        <v>0</v>
      </c>
      <c r="M273">
        <v>0</v>
      </c>
      <c r="N273">
        <v>0</v>
      </c>
      <c r="O273">
        <v>114300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s="18">
        <v>6</v>
      </c>
      <c r="Y273" s="6"/>
      <c r="Z273" s="6"/>
      <c r="AA273" s="6"/>
      <c r="AB273" s="6"/>
      <c r="AC273" s="6">
        <v>19050</v>
      </c>
      <c r="AD273" s="6">
        <v>19050</v>
      </c>
      <c r="AE273" s="6">
        <v>19050</v>
      </c>
      <c r="AF273" s="6">
        <v>19050</v>
      </c>
      <c r="AG273" s="6">
        <v>19050</v>
      </c>
      <c r="AH273" s="6">
        <v>19050</v>
      </c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>
        <f t="shared" si="22"/>
        <v>6</v>
      </c>
      <c r="AX273" t="b">
        <f t="shared" si="23"/>
        <v>1</v>
      </c>
      <c r="AY273" s="21">
        <f t="shared" si="20"/>
        <v>114300</v>
      </c>
      <c r="AZ273" t="b">
        <f t="shared" si="21"/>
        <v>1</v>
      </c>
    </row>
    <row r="274" spans="1:52" x14ac:dyDescent="0.4">
      <c r="A274" s="6" t="s">
        <v>2230</v>
      </c>
      <c r="B274" s="1" t="s">
        <v>875</v>
      </c>
      <c r="C274" s="1" t="s">
        <v>876</v>
      </c>
      <c r="D274" s="1" t="s">
        <v>877</v>
      </c>
      <c r="E274" s="1" t="s">
        <v>44</v>
      </c>
      <c r="F274" s="1" t="s">
        <v>86</v>
      </c>
      <c r="G274" s="5" t="s">
        <v>46</v>
      </c>
      <c r="H274" s="1" t="s">
        <v>27</v>
      </c>
      <c r="I274">
        <v>114300</v>
      </c>
      <c r="J274" s="1" t="s">
        <v>33</v>
      </c>
      <c r="K274">
        <v>0</v>
      </c>
      <c r="L274">
        <v>0</v>
      </c>
      <c r="M274">
        <v>0</v>
      </c>
      <c r="N274">
        <v>0</v>
      </c>
      <c r="O274">
        <v>114300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s="18">
        <v>6</v>
      </c>
      <c r="Y274" s="6"/>
      <c r="Z274" s="6"/>
      <c r="AA274" s="6"/>
      <c r="AB274" s="6"/>
      <c r="AC274" s="6">
        <v>19050</v>
      </c>
      <c r="AD274" s="6">
        <v>19050</v>
      </c>
      <c r="AE274" s="6">
        <v>19050</v>
      </c>
      <c r="AF274" s="6">
        <v>19050</v>
      </c>
      <c r="AG274" s="6">
        <v>19050</v>
      </c>
      <c r="AH274" s="6">
        <v>19050</v>
      </c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>
        <f t="shared" si="22"/>
        <v>6</v>
      </c>
      <c r="AX274" t="b">
        <f t="shared" si="23"/>
        <v>1</v>
      </c>
      <c r="AY274" s="21">
        <f t="shared" si="20"/>
        <v>114300</v>
      </c>
      <c r="AZ274" t="b">
        <f t="shared" si="21"/>
        <v>1</v>
      </c>
    </row>
    <row r="275" spans="1:52" x14ac:dyDescent="0.4">
      <c r="A275" s="6" t="s">
        <v>2230</v>
      </c>
      <c r="B275" s="1" t="s">
        <v>878</v>
      </c>
      <c r="C275" s="1" t="s">
        <v>879</v>
      </c>
      <c r="D275" s="1" t="s">
        <v>880</v>
      </c>
      <c r="E275" s="1" t="s">
        <v>44</v>
      </c>
      <c r="F275" s="1" t="s">
        <v>376</v>
      </c>
      <c r="G275" s="5" t="s">
        <v>46</v>
      </c>
      <c r="H275" s="1" t="s">
        <v>27</v>
      </c>
      <c r="I275">
        <v>114300</v>
      </c>
      <c r="J275" s="1" t="s">
        <v>33</v>
      </c>
      <c r="K275">
        <v>0</v>
      </c>
      <c r="L275">
        <v>0</v>
      </c>
      <c r="M275">
        <v>0</v>
      </c>
      <c r="N275">
        <v>0</v>
      </c>
      <c r="O275">
        <v>114300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s="18">
        <v>6</v>
      </c>
      <c r="Y275" s="6"/>
      <c r="Z275" s="6"/>
      <c r="AA275" s="6"/>
      <c r="AB275" s="6"/>
      <c r="AC275" s="6">
        <v>19050</v>
      </c>
      <c r="AD275" s="6">
        <v>19050</v>
      </c>
      <c r="AE275" s="6">
        <v>19050</v>
      </c>
      <c r="AF275" s="6">
        <v>19050</v>
      </c>
      <c r="AG275" s="6">
        <v>19050</v>
      </c>
      <c r="AH275" s="6">
        <v>19050</v>
      </c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>
        <f t="shared" si="22"/>
        <v>6</v>
      </c>
      <c r="AX275" t="b">
        <f t="shared" si="23"/>
        <v>1</v>
      </c>
      <c r="AY275" s="21">
        <f t="shared" si="20"/>
        <v>114300</v>
      </c>
      <c r="AZ275" t="b">
        <f t="shared" si="21"/>
        <v>1</v>
      </c>
    </row>
    <row r="276" spans="1:52" x14ac:dyDescent="0.4">
      <c r="A276" s="6" t="s">
        <v>2230</v>
      </c>
      <c r="B276" s="1" t="s">
        <v>881</v>
      </c>
      <c r="C276" s="1" t="s">
        <v>882</v>
      </c>
      <c r="D276" s="1" t="s">
        <v>883</v>
      </c>
      <c r="E276" s="1" t="s">
        <v>44</v>
      </c>
      <c r="F276" s="1" t="s">
        <v>90</v>
      </c>
      <c r="G276" s="5" t="s">
        <v>46</v>
      </c>
      <c r="H276" s="1" t="s">
        <v>27</v>
      </c>
      <c r="I276">
        <v>114300</v>
      </c>
      <c r="J276" s="1" t="s">
        <v>33</v>
      </c>
      <c r="K276">
        <v>0</v>
      </c>
      <c r="L276">
        <v>0</v>
      </c>
      <c r="M276">
        <v>0</v>
      </c>
      <c r="N276">
        <v>0</v>
      </c>
      <c r="O276">
        <v>114300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s="18">
        <v>6</v>
      </c>
      <c r="Y276" s="6"/>
      <c r="Z276" s="6"/>
      <c r="AA276" s="6"/>
      <c r="AB276" s="6"/>
      <c r="AC276" s="6">
        <v>19050</v>
      </c>
      <c r="AD276" s="6">
        <v>19050</v>
      </c>
      <c r="AE276" s="6">
        <v>19050</v>
      </c>
      <c r="AF276" s="6">
        <v>19050</v>
      </c>
      <c r="AG276" s="6">
        <v>19050</v>
      </c>
      <c r="AH276" s="6">
        <v>19050</v>
      </c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>
        <f t="shared" si="22"/>
        <v>6</v>
      </c>
      <c r="AX276" t="b">
        <f t="shared" si="23"/>
        <v>1</v>
      </c>
      <c r="AY276" s="21">
        <f t="shared" si="20"/>
        <v>114300</v>
      </c>
      <c r="AZ276" t="b">
        <f t="shared" si="21"/>
        <v>1</v>
      </c>
    </row>
    <row r="277" spans="1:52" x14ac:dyDescent="0.4">
      <c r="A277" s="6" t="s">
        <v>2230</v>
      </c>
      <c r="B277" s="1" t="s">
        <v>884</v>
      </c>
      <c r="C277" s="1" t="s">
        <v>885</v>
      </c>
      <c r="D277" s="1" t="s">
        <v>886</v>
      </c>
      <c r="E277" s="1" t="s">
        <v>25</v>
      </c>
      <c r="F277" s="1" t="s">
        <v>86</v>
      </c>
      <c r="G277" s="5" t="s">
        <v>10</v>
      </c>
      <c r="H277" s="1" t="s">
        <v>27</v>
      </c>
      <c r="I277">
        <v>59400</v>
      </c>
      <c r="J277" s="1" t="s">
        <v>33</v>
      </c>
      <c r="K277">
        <v>0</v>
      </c>
      <c r="L277">
        <v>59400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s="18">
        <v>3</v>
      </c>
      <c r="Y277" s="6"/>
      <c r="Z277" s="6">
        <v>19800</v>
      </c>
      <c r="AA277" s="6">
        <v>19800</v>
      </c>
      <c r="AB277" s="6">
        <v>19800</v>
      </c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>
        <f t="shared" si="22"/>
        <v>3</v>
      </c>
      <c r="AX277" t="b">
        <f t="shared" si="23"/>
        <v>1</v>
      </c>
      <c r="AY277" s="21">
        <f t="shared" si="20"/>
        <v>59400</v>
      </c>
      <c r="AZ277" t="b">
        <f t="shared" si="21"/>
        <v>1</v>
      </c>
    </row>
    <row r="278" spans="1:52" x14ac:dyDescent="0.4">
      <c r="A278" s="6" t="s">
        <v>2230</v>
      </c>
      <c r="B278" s="1" t="s">
        <v>887</v>
      </c>
      <c r="C278" s="1" t="s">
        <v>888</v>
      </c>
      <c r="D278" s="1" t="s">
        <v>889</v>
      </c>
      <c r="E278" s="1" t="s">
        <v>44</v>
      </c>
      <c r="F278" s="1" t="s">
        <v>376</v>
      </c>
      <c r="G278" s="5" t="s">
        <v>46</v>
      </c>
      <c r="H278" s="1" t="s">
        <v>27</v>
      </c>
      <c r="I278">
        <v>114300</v>
      </c>
      <c r="J278" s="1" t="s">
        <v>33</v>
      </c>
      <c r="K278">
        <v>0</v>
      </c>
      <c r="L278">
        <v>0</v>
      </c>
      <c r="M278">
        <v>0</v>
      </c>
      <c r="N278">
        <v>0</v>
      </c>
      <c r="O278">
        <v>114300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s="18">
        <v>6</v>
      </c>
      <c r="Y278" s="6"/>
      <c r="Z278" s="6"/>
      <c r="AA278" s="6"/>
      <c r="AB278" s="6"/>
      <c r="AC278" s="6">
        <v>19050</v>
      </c>
      <c r="AD278" s="6">
        <v>19050</v>
      </c>
      <c r="AE278" s="6">
        <v>19050</v>
      </c>
      <c r="AF278" s="6">
        <v>19050</v>
      </c>
      <c r="AG278" s="6">
        <v>19050</v>
      </c>
      <c r="AH278" s="6">
        <v>19050</v>
      </c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>
        <f t="shared" si="22"/>
        <v>6</v>
      </c>
      <c r="AX278" t="b">
        <f t="shared" si="23"/>
        <v>1</v>
      </c>
      <c r="AY278" s="21">
        <f t="shared" si="20"/>
        <v>114300</v>
      </c>
      <c r="AZ278" t="b">
        <f t="shared" si="21"/>
        <v>1</v>
      </c>
    </row>
    <row r="279" spans="1:52" x14ac:dyDescent="0.4">
      <c r="A279" s="6" t="s">
        <v>2230</v>
      </c>
      <c r="B279" s="1" t="s">
        <v>890</v>
      </c>
      <c r="C279" s="1" t="s">
        <v>891</v>
      </c>
      <c r="D279" s="1" t="s">
        <v>892</v>
      </c>
      <c r="E279" s="1" t="s">
        <v>44</v>
      </c>
      <c r="F279" s="1" t="s">
        <v>82</v>
      </c>
      <c r="G279" s="5" t="s">
        <v>46</v>
      </c>
      <c r="H279" s="1" t="s">
        <v>27</v>
      </c>
      <c r="I279">
        <v>114300</v>
      </c>
      <c r="J279" s="1" t="s">
        <v>33</v>
      </c>
      <c r="K279">
        <v>0</v>
      </c>
      <c r="L279">
        <v>0</v>
      </c>
      <c r="M279">
        <v>0</v>
      </c>
      <c r="N279">
        <v>0</v>
      </c>
      <c r="O279">
        <v>114300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s="18">
        <v>6</v>
      </c>
      <c r="Y279" s="6"/>
      <c r="Z279" s="6"/>
      <c r="AA279" s="6"/>
      <c r="AB279" s="6"/>
      <c r="AC279" s="6">
        <v>19050</v>
      </c>
      <c r="AD279" s="6">
        <v>19050</v>
      </c>
      <c r="AE279" s="6">
        <v>19050</v>
      </c>
      <c r="AF279" s="6">
        <v>19050</v>
      </c>
      <c r="AG279" s="6">
        <v>19050</v>
      </c>
      <c r="AH279" s="6">
        <v>19050</v>
      </c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>
        <f t="shared" si="22"/>
        <v>6</v>
      </c>
      <c r="AX279" t="b">
        <f t="shared" si="23"/>
        <v>1</v>
      </c>
      <c r="AY279" s="21">
        <f t="shared" si="20"/>
        <v>114300</v>
      </c>
      <c r="AZ279" t="b">
        <f t="shared" si="21"/>
        <v>1</v>
      </c>
    </row>
    <row r="280" spans="1:52" x14ac:dyDescent="0.4">
      <c r="A280" s="6" t="s">
        <v>2230</v>
      </c>
      <c r="B280" s="1" t="s">
        <v>893</v>
      </c>
      <c r="C280" s="1" t="s">
        <v>894</v>
      </c>
      <c r="D280" s="1" t="s">
        <v>895</v>
      </c>
      <c r="E280" s="1" t="s">
        <v>44</v>
      </c>
      <c r="F280" s="1" t="s">
        <v>86</v>
      </c>
      <c r="G280" s="5" t="s">
        <v>46</v>
      </c>
      <c r="H280" s="1" t="s">
        <v>27</v>
      </c>
      <c r="I280">
        <v>114300</v>
      </c>
      <c r="J280" s="1" t="s">
        <v>33</v>
      </c>
      <c r="K280">
        <v>0</v>
      </c>
      <c r="L280">
        <v>0</v>
      </c>
      <c r="M280">
        <v>0</v>
      </c>
      <c r="N280">
        <v>0</v>
      </c>
      <c r="O280">
        <v>114300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s="18">
        <v>6</v>
      </c>
      <c r="Y280" s="6"/>
      <c r="Z280" s="6"/>
      <c r="AA280" s="6"/>
      <c r="AB280" s="6"/>
      <c r="AC280" s="6">
        <v>19050</v>
      </c>
      <c r="AD280" s="6">
        <v>19050</v>
      </c>
      <c r="AE280" s="6">
        <v>19050</v>
      </c>
      <c r="AF280" s="6">
        <v>19050</v>
      </c>
      <c r="AG280" s="6">
        <v>19050</v>
      </c>
      <c r="AH280" s="6">
        <v>19050</v>
      </c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>
        <f t="shared" si="22"/>
        <v>6</v>
      </c>
      <c r="AX280" t="b">
        <f t="shared" si="23"/>
        <v>1</v>
      </c>
      <c r="AY280" s="21">
        <f t="shared" si="20"/>
        <v>114300</v>
      </c>
      <c r="AZ280" t="b">
        <f t="shared" si="21"/>
        <v>1</v>
      </c>
    </row>
    <row r="281" spans="1:52" x14ac:dyDescent="0.4">
      <c r="A281" s="6" t="s">
        <v>2230</v>
      </c>
      <c r="B281" s="1" t="s">
        <v>896</v>
      </c>
      <c r="C281" s="1" t="s">
        <v>897</v>
      </c>
      <c r="D281" s="1" t="s">
        <v>898</v>
      </c>
      <c r="E281" s="1" t="s">
        <v>44</v>
      </c>
      <c r="F281" s="1" t="s">
        <v>32</v>
      </c>
      <c r="G281" s="5" t="s">
        <v>46</v>
      </c>
      <c r="H281" s="1" t="s">
        <v>27</v>
      </c>
      <c r="I281">
        <v>114300</v>
      </c>
      <c r="J281" s="1" t="s">
        <v>33</v>
      </c>
      <c r="K281">
        <v>0</v>
      </c>
      <c r="L281">
        <v>0</v>
      </c>
      <c r="M281">
        <v>0</v>
      </c>
      <c r="N281">
        <v>0</v>
      </c>
      <c r="O281">
        <v>114300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s="18">
        <v>6</v>
      </c>
      <c r="Y281" s="6"/>
      <c r="Z281" s="6"/>
      <c r="AA281" s="6"/>
      <c r="AB281" s="6"/>
      <c r="AC281" s="6">
        <v>19050</v>
      </c>
      <c r="AD281" s="6">
        <v>19050</v>
      </c>
      <c r="AE281" s="6">
        <v>19050</v>
      </c>
      <c r="AF281" s="6">
        <v>19050</v>
      </c>
      <c r="AG281" s="6">
        <v>19050</v>
      </c>
      <c r="AH281" s="6">
        <v>19050</v>
      </c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>
        <f t="shared" si="22"/>
        <v>6</v>
      </c>
      <c r="AX281" t="b">
        <f t="shared" si="23"/>
        <v>1</v>
      </c>
      <c r="AY281" s="21">
        <f t="shared" si="20"/>
        <v>114300</v>
      </c>
      <c r="AZ281" t="b">
        <f t="shared" si="21"/>
        <v>1</v>
      </c>
    </row>
    <row r="282" spans="1:52" x14ac:dyDescent="0.4">
      <c r="A282" s="6" t="s">
        <v>2230</v>
      </c>
      <c r="B282" s="1" t="s">
        <v>899</v>
      </c>
      <c r="C282" s="1" t="s">
        <v>900</v>
      </c>
      <c r="D282" s="1" t="s">
        <v>901</v>
      </c>
      <c r="E282" s="1" t="s">
        <v>50</v>
      </c>
      <c r="F282" s="1" t="s">
        <v>376</v>
      </c>
      <c r="G282" s="5" t="s">
        <v>46</v>
      </c>
      <c r="H282" s="1" t="s">
        <v>52</v>
      </c>
      <c r="I282">
        <v>114300</v>
      </c>
      <c r="J282" s="1" t="s">
        <v>28</v>
      </c>
      <c r="K282">
        <v>0</v>
      </c>
      <c r="L282">
        <v>0</v>
      </c>
      <c r="M282">
        <v>0</v>
      </c>
      <c r="N282">
        <v>0</v>
      </c>
      <c r="O282">
        <v>114300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s="18">
        <v>6</v>
      </c>
      <c r="Y282" s="6"/>
      <c r="Z282" s="6"/>
      <c r="AA282" s="6"/>
      <c r="AB282" s="6"/>
      <c r="AC282" s="6">
        <v>19050</v>
      </c>
      <c r="AD282" s="6">
        <v>19050</v>
      </c>
      <c r="AE282" s="6">
        <v>19050</v>
      </c>
      <c r="AF282" s="6">
        <v>19050</v>
      </c>
      <c r="AG282" s="6">
        <v>19050</v>
      </c>
      <c r="AH282" s="6">
        <v>19050</v>
      </c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>
        <f t="shared" si="22"/>
        <v>6</v>
      </c>
      <c r="AX282" t="b">
        <f t="shared" si="23"/>
        <v>1</v>
      </c>
      <c r="AY282" s="21">
        <f t="shared" si="20"/>
        <v>114300</v>
      </c>
      <c r="AZ282" t="b">
        <f t="shared" si="21"/>
        <v>1</v>
      </c>
    </row>
    <row r="283" spans="1:52" x14ac:dyDescent="0.4">
      <c r="A283" s="6" t="s">
        <v>2230</v>
      </c>
      <c r="B283" s="1" t="s">
        <v>902</v>
      </c>
      <c r="C283" s="1" t="s">
        <v>903</v>
      </c>
      <c r="D283" s="1" t="s">
        <v>904</v>
      </c>
      <c r="E283" s="1" t="s">
        <v>44</v>
      </c>
      <c r="F283" s="1" t="s">
        <v>56</v>
      </c>
      <c r="G283" s="5" t="s">
        <v>46</v>
      </c>
      <c r="H283" s="1" t="s">
        <v>27</v>
      </c>
      <c r="I283">
        <v>114300</v>
      </c>
      <c r="J283" s="1" t="s">
        <v>33</v>
      </c>
      <c r="K283">
        <v>0</v>
      </c>
      <c r="L283">
        <v>0</v>
      </c>
      <c r="M283">
        <v>0</v>
      </c>
      <c r="N283">
        <v>0</v>
      </c>
      <c r="O283">
        <v>114300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s="18">
        <v>6</v>
      </c>
      <c r="Y283" s="6"/>
      <c r="Z283" s="6"/>
      <c r="AA283" s="6"/>
      <c r="AB283" s="6"/>
      <c r="AC283" s="6">
        <v>19050</v>
      </c>
      <c r="AD283" s="6">
        <v>19050</v>
      </c>
      <c r="AE283" s="6">
        <v>19050</v>
      </c>
      <c r="AF283" s="6">
        <v>19050</v>
      </c>
      <c r="AG283" s="6">
        <v>19050</v>
      </c>
      <c r="AH283" s="6">
        <v>19050</v>
      </c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>
        <f t="shared" si="22"/>
        <v>6</v>
      </c>
      <c r="AX283" t="b">
        <f t="shared" si="23"/>
        <v>1</v>
      </c>
      <c r="AY283" s="21">
        <f t="shared" si="20"/>
        <v>114300</v>
      </c>
      <c r="AZ283" t="b">
        <f t="shared" si="21"/>
        <v>1</v>
      </c>
    </row>
    <row r="284" spans="1:52" x14ac:dyDescent="0.4">
      <c r="A284" s="6" t="s">
        <v>2230</v>
      </c>
      <c r="B284" s="1" t="s">
        <v>905</v>
      </c>
      <c r="C284" s="1" t="s">
        <v>906</v>
      </c>
      <c r="D284" s="1" t="s">
        <v>907</v>
      </c>
      <c r="E284" s="1" t="s">
        <v>44</v>
      </c>
      <c r="F284" s="1" t="s">
        <v>112</v>
      </c>
      <c r="G284" s="5" t="s">
        <v>46</v>
      </c>
      <c r="H284" s="1" t="s">
        <v>27</v>
      </c>
      <c r="I284">
        <v>114300</v>
      </c>
      <c r="J284" s="1" t="s">
        <v>33</v>
      </c>
      <c r="K284">
        <v>0</v>
      </c>
      <c r="L284">
        <v>0</v>
      </c>
      <c r="M284">
        <v>0</v>
      </c>
      <c r="N284">
        <v>0</v>
      </c>
      <c r="O284">
        <v>114300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s="18">
        <v>6</v>
      </c>
      <c r="Y284" s="6"/>
      <c r="Z284" s="6"/>
      <c r="AA284" s="6"/>
      <c r="AB284" s="6"/>
      <c r="AC284" s="6">
        <v>19050</v>
      </c>
      <c r="AD284" s="6">
        <v>19050</v>
      </c>
      <c r="AE284" s="6">
        <v>19050</v>
      </c>
      <c r="AF284" s="6">
        <v>19050</v>
      </c>
      <c r="AG284" s="6">
        <v>19050</v>
      </c>
      <c r="AH284" s="6">
        <v>19050</v>
      </c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>
        <f t="shared" si="22"/>
        <v>6</v>
      </c>
      <c r="AX284" t="b">
        <f t="shared" si="23"/>
        <v>1</v>
      </c>
      <c r="AY284" s="21">
        <f t="shared" si="20"/>
        <v>114300</v>
      </c>
      <c r="AZ284" t="b">
        <f t="shared" si="21"/>
        <v>1</v>
      </c>
    </row>
    <row r="285" spans="1:52" x14ac:dyDescent="0.4">
      <c r="A285" s="6" t="s">
        <v>2230</v>
      </c>
      <c r="B285" s="1" t="s">
        <v>908</v>
      </c>
      <c r="C285" s="1" t="s">
        <v>909</v>
      </c>
      <c r="D285" s="1" t="s">
        <v>910</v>
      </c>
      <c r="E285" s="1" t="s">
        <v>44</v>
      </c>
      <c r="F285" s="1" t="s">
        <v>86</v>
      </c>
      <c r="G285" s="5" t="s">
        <v>46</v>
      </c>
      <c r="H285" s="1" t="s">
        <v>27</v>
      </c>
      <c r="I285">
        <v>114300</v>
      </c>
      <c r="J285" s="1" t="s">
        <v>33</v>
      </c>
      <c r="K285">
        <v>0</v>
      </c>
      <c r="L285">
        <v>0</v>
      </c>
      <c r="M285">
        <v>0</v>
      </c>
      <c r="N285">
        <v>0</v>
      </c>
      <c r="O285">
        <v>114300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s="18">
        <v>6</v>
      </c>
      <c r="Y285" s="6"/>
      <c r="Z285" s="6"/>
      <c r="AA285" s="6"/>
      <c r="AB285" s="6"/>
      <c r="AC285" s="6">
        <v>19050</v>
      </c>
      <c r="AD285" s="6">
        <v>19050</v>
      </c>
      <c r="AE285" s="6">
        <v>19050</v>
      </c>
      <c r="AF285" s="6">
        <v>19050</v>
      </c>
      <c r="AG285" s="6">
        <v>19050</v>
      </c>
      <c r="AH285" s="6">
        <v>19050</v>
      </c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>
        <f t="shared" si="22"/>
        <v>6</v>
      </c>
      <c r="AX285" t="b">
        <f t="shared" si="23"/>
        <v>1</v>
      </c>
      <c r="AY285" s="21">
        <f t="shared" si="20"/>
        <v>114300</v>
      </c>
      <c r="AZ285" t="b">
        <f t="shared" si="21"/>
        <v>1</v>
      </c>
    </row>
    <row r="286" spans="1:52" x14ac:dyDescent="0.4">
      <c r="A286" s="6" t="s">
        <v>2230</v>
      </c>
      <c r="B286" s="1" t="s">
        <v>911</v>
      </c>
      <c r="C286" s="1" t="s">
        <v>912</v>
      </c>
      <c r="D286" s="1" t="s">
        <v>913</v>
      </c>
      <c r="E286" s="1" t="s">
        <v>25</v>
      </c>
      <c r="F286" s="1" t="s">
        <v>37</v>
      </c>
      <c r="G286" s="5" t="s">
        <v>10</v>
      </c>
      <c r="H286" s="1" t="s">
        <v>27</v>
      </c>
      <c r="I286">
        <v>59400</v>
      </c>
      <c r="J286" s="1" t="s">
        <v>33</v>
      </c>
      <c r="K286">
        <v>0</v>
      </c>
      <c r="L286">
        <v>59400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s="18">
        <v>3</v>
      </c>
      <c r="Y286" s="6"/>
      <c r="Z286" s="6">
        <v>19800</v>
      </c>
      <c r="AA286" s="6">
        <v>19800</v>
      </c>
      <c r="AB286" s="6">
        <v>19800</v>
      </c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>
        <f t="shared" si="22"/>
        <v>3</v>
      </c>
      <c r="AX286" t="b">
        <f t="shared" si="23"/>
        <v>1</v>
      </c>
      <c r="AY286" s="21">
        <f t="shared" si="20"/>
        <v>59400</v>
      </c>
      <c r="AZ286" t="b">
        <f t="shared" si="21"/>
        <v>1</v>
      </c>
    </row>
    <row r="287" spans="1:52" x14ac:dyDescent="0.4">
      <c r="A287" s="6" t="s">
        <v>2230</v>
      </c>
      <c r="B287" s="1" t="s">
        <v>914</v>
      </c>
      <c r="C287" s="1" t="s">
        <v>915</v>
      </c>
      <c r="D287" s="1" t="s">
        <v>916</v>
      </c>
      <c r="E287" s="1" t="s">
        <v>44</v>
      </c>
      <c r="F287" s="1" t="s">
        <v>63</v>
      </c>
      <c r="G287" s="5" t="s">
        <v>46</v>
      </c>
      <c r="H287" s="1" t="s">
        <v>27</v>
      </c>
      <c r="I287">
        <v>114300</v>
      </c>
      <c r="J287" s="1" t="s">
        <v>33</v>
      </c>
      <c r="K287">
        <v>0</v>
      </c>
      <c r="L287">
        <v>0</v>
      </c>
      <c r="M287">
        <v>0</v>
      </c>
      <c r="N287">
        <v>0</v>
      </c>
      <c r="O287">
        <v>114300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18">
        <v>6</v>
      </c>
      <c r="Y287" s="6"/>
      <c r="Z287" s="6"/>
      <c r="AA287" s="6"/>
      <c r="AB287" s="6"/>
      <c r="AC287" s="6">
        <v>19050</v>
      </c>
      <c r="AD287" s="6">
        <v>19050</v>
      </c>
      <c r="AE287" s="6">
        <v>19050</v>
      </c>
      <c r="AF287" s="6">
        <v>19050</v>
      </c>
      <c r="AG287" s="6">
        <v>19050</v>
      </c>
      <c r="AH287" s="6">
        <v>19050</v>
      </c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>
        <f t="shared" si="22"/>
        <v>6</v>
      </c>
      <c r="AX287" t="b">
        <f t="shared" si="23"/>
        <v>1</v>
      </c>
      <c r="AY287" s="21">
        <f t="shared" si="20"/>
        <v>114300</v>
      </c>
      <c r="AZ287" t="b">
        <f t="shared" si="21"/>
        <v>1</v>
      </c>
    </row>
    <row r="288" spans="1:52" x14ac:dyDescent="0.4">
      <c r="A288" s="6" t="s">
        <v>2230</v>
      </c>
      <c r="B288" s="1" t="s">
        <v>917</v>
      </c>
      <c r="C288" s="1" t="s">
        <v>918</v>
      </c>
      <c r="D288" s="1" t="s">
        <v>919</v>
      </c>
      <c r="E288" s="1" t="s">
        <v>44</v>
      </c>
      <c r="F288" s="1" t="s">
        <v>920</v>
      </c>
      <c r="G288" s="5" t="s">
        <v>479</v>
      </c>
      <c r="H288" s="1" t="s">
        <v>27</v>
      </c>
      <c r="I288">
        <v>114300</v>
      </c>
      <c r="J288" s="1" t="s">
        <v>868</v>
      </c>
      <c r="K288">
        <v>0</v>
      </c>
      <c r="L288">
        <v>0</v>
      </c>
      <c r="M288">
        <v>114300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18">
        <v>6</v>
      </c>
      <c r="Y288" s="6"/>
      <c r="Z288" s="6"/>
      <c r="AA288" s="6">
        <v>19050</v>
      </c>
      <c r="AB288" s="6">
        <v>19050</v>
      </c>
      <c r="AC288" s="6">
        <v>19050</v>
      </c>
      <c r="AD288" s="6">
        <v>19050</v>
      </c>
      <c r="AE288" s="6">
        <v>19050</v>
      </c>
      <c r="AF288" s="6">
        <v>19050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>
        <f t="shared" si="22"/>
        <v>6</v>
      </c>
      <c r="AX288" t="b">
        <f t="shared" si="23"/>
        <v>1</v>
      </c>
      <c r="AY288" s="21">
        <f t="shared" si="20"/>
        <v>114300</v>
      </c>
      <c r="AZ288" t="b">
        <f t="shared" si="21"/>
        <v>1</v>
      </c>
    </row>
    <row r="289" spans="1:52" x14ac:dyDescent="0.4">
      <c r="A289" s="6" t="s">
        <v>2230</v>
      </c>
      <c r="B289" s="1" t="s">
        <v>921</v>
      </c>
      <c r="C289" s="1" t="s">
        <v>922</v>
      </c>
      <c r="D289" s="1" t="s">
        <v>923</v>
      </c>
      <c r="E289" s="1" t="s">
        <v>44</v>
      </c>
      <c r="F289" s="1" t="s">
        <v>924</v>
      </c>
      <c r="G289" s="5" t="s">
        <v>479</v>
      </c>
      <c r="H289" s="1" t="s">
        <v>27</v>
      </c>
      <c r="I289">
        <v>114300</v>
      </c>
      <c r="J289" s="1" t="s">
        <v>868</v>
      </c>
      <c r="K289">
        <v>0</v>
      </c>
      <c r="L289">
        <v>0</v>
      </c>
      <c r="M289">
        <v>114300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s="18">
        <v>6</v>
      </c>
      <c r="Y289" s="6"/>
      <c r="Z289" s="6"/>
      <c r="AA289" s="6">
        <v>19050</v>
      </c>
      <c r="AB289" s="6">
        <v>19050</v>
      </c>
      <c r="AC289" s="6">
        <v>19050</v>
      </c>
      <c r="AD289" s="6">
        <v>19050</v>
      </c>
      <c r="AE289" s="6">
        <v>19050</v>
      </c>
      <c r="AF289" s="6">
        <v>19050</v>
      </c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>
        <f t="shared" si="22"/>
        <v>6</v>
      </c>
      <c r="AX289" t="b">
        <f t="shared" si="23"/>
        <v>1</v>
      </c>
      <c r="AY289" s="21">
        <f t="shared" si="20"/>
        <v>114300</v>
      </c>
      <c r="AZ289" t="b">
        <f t="shared" si="21"/>
        <v>1</v>
      </c>
    </row>
    <row r="290" spans="1:52" x14ac:dyDescent="0.4">
      <c r="A290" s="6" t="s">
        <v>2230</v>
      </c>
      <c r="B290" s="1" t="s">
        <v>925</v>
      </c>
      <c r="C290" s="1" t="s">
        <v>926</v>
      </c>
      <c r="D290" s="1" t="s">
        <v>927</v>
      </c>
      <c r="E290" s="1" t="s">
        <v>44</v>
      </c>
      <c r="F290" s="1" t="s">
        <v>928</v>
      </c>
      <c r="G290" s="5" t="s">
        <v>479</v>
      </c>
      <c r="H290" s="1" t="s">
        <v>27</v>
      </c>
      <c r="I290">
        <v>114300</v>
      </c>
      <c r="J290" s="1" t="s">
        <v>868</v>
      </c>
      <c r="K290">
        <v>0</v>
      </c>
      <c r="L290">
        <v>0</v>
      </c>
      <c r="M290">
        <v>114300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s="18">
        <v>6</v>
      </c>
      <c r="Y290" s="6"/>
      <c r="Z290" s="6"/>
      <c r="AA290" s="6">
        <v>19050</v>
      </c>
      <c r="AB290" s="6">
        <v>19050</v>
      </c>
      <c r="AC290" s="6">
        <v>19050</v>
      </c>
      <c r="AD290" s="6">
        <v>19050</v>
      </c>
      <c r="AE290" s="6">
        <v>19050</v>
      </c>
      <c r="AF290" s="6">
        <v>19050</v>
      </c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>
        <f t="shared" si="22"/>
        <v>6</v>
      </c>
      <c r="AX290" t="b">
        <f t="shared" si="23"/>
        <v>1</v>
      </c>
      <c r="AY290" s="21">
        <f t="shared" si="20"/>
        <v>114300</v>
      </c>
      <c r="AZ290" t="b">
        <f t="shared" si="21"/>
        <v>1</v>
      </c>
    </row>
    <row r="291" spans="1:52" x14ac:dyDescent="0.4">
      <c r="A291" s="6" t="s">
        <v>2230</v>
      </c>
      <c r="B291" s="1" t="s">
        <v>929</v>
      </c>
      <c r="C291" s="1" t="s">
        <v>930</v>
      </c>
      <c r="D291" s="1" t="s">
        <v>931</v>
      </c>
      <c r="E291" s="1" t="s">
        <v>44</v>
      </c>
      <c r="F291" s="1" t="s">
        <v>932</v>
      </c>
      <c r="G291" s="5" t="s">
        <v>479</v>
      </c>
      <c r="H291" s="1" t="s">
        <v>27</v>
      </c>
      <c r="I291">
        <v>114300</v>
      </c>
      <c r="J291" s="1" t="s">
        <v>868</v>
      </c>
      <c r="K291">
        <v>0</v>
      </c>
      <c r="L291">
        <v>0</v>
      </c>
      <c r="M291">
        <v>114300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18">
        <v>6</v>
      </c>
      <c r="Y291" s="6"/>
      <c r="Z291" s="6"/>
      <c r="AA291" s="6">
        <v>19050</v>
      </c>
      <c r="AB291" s="6">
        <v>19050</v>
      </c>
      <c r="AC291" s="6">
        <v>19050</v>
      </c>
      <c r="AD291" s="6">
        <v>19050</v>
      </c>
      <c r="AE291" s="6">
        <v>19050</v>
      </c>
      <c r="AF291" s="6">
        <v>19050</v>
      </c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>
        <f t="shared" si="22"/>
        <v>6</v>
      </c>
      <c r="AX291" t="b">
        <f t="shared" si="23"/>
        <v>1</v>
      </c>
      <c r="AY291" s="21">
        <f t="shared" si="20"/>
        <v>114300</v>
      </c>
      <c r="AZ291" t="b">
        <f t="shared" si="21"/>
        <v>1</v>
      </c>
    </row>
    <row r="292" spans="1:52" x14ac:dyDescent="0.4">
      <c r="A292" s="6" t="s">
        <v>2230</v>
      </c>
      <c r="B292" s="1" t="s">
        <v>933</v>
      </c>
      <c r="C292" s="1" t="s">
        <v>934</v>
      </c>
      <c r="D292" s="1" t="s">
        <v>935</v>
      </c>
      <c r="E292" s="1" t="s">
        <v>44</v>
      </c>
      <c r="F292" s="1" t="s">
        <v>90</v>
      </c>
      <c r="G292" s="5" t="s">
        <v>46</v>
      </c>
      <c r="H292" s="1" t="s">
        <v>27</v>
      </c>
      <c r="I292">
        <v>114300</v>
      </c>
      <c r="J292" s="1" t="s">
        <v>33</v>
      </c>
      <c r="K292">
        <v>0</v>
      </c>
      <c r="L292">
        <v>0</v>
      </c>
      <c r="M292">
        <v>0</v>
      </c>
      <c r="N292">
        <v>0</v>
      </c>
      <c r="O292">
        <v>114300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s="18">
        <v>6</v>
      </c>
      <c r="Y292" s="6"/>
      <c r="Z292" s="6"/>
      <c r="AA292" s="6"/>
      <c r="AB292" s="6"/>
      <c r="AC292" s="6">
        <v>19050</v>
      </c>
      <c r="AD292" s="6">
        <v>19050</v>
      </c>
      <c r="AE292" s="6">
        <v>19050</v>
      </c>
      <c r="AF292" s="6">
        <v>19050</v>
      </c>
      <c r="AG292" s="6">
        <v>19050</v>
      </c>
      <c r="AH292" s="6">
        <v>19050</v>
      </c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>
        <f t="shared" si="22"/>
        <v>6</v>
      </c>
      <c r="AX292" t="b">
        <f t="shared" si="23"/>
        <v>1</v>
      </c>
      <c r="AY292" s="21">
        <f t="shared" si="20"/>
        <v>114300</v>
      </c>
      <c r="AZ292" t="b">
        <f t="shared" si="21"/>
        <v>1</v>
      </c>
    </row>
    <row r="293" spans="1:52" x14ac:dyDescent="0.4">
      <c r="A293" s="6" t="s">
        <v>2230</v>
      </c>
      <c r="B293" s="1" t="s">
        <v>936</v>
      </c>
      <c r="C293" s="1" t="s">
        <v>937</v>
      </c>
      <c r="D293" s="1" t="s">
        <v>938</v>
      </c>
      <c r="E293" s="1" t="s">
        <v>44</v>
      </c>
      <c r="F293" s="1" t="s">
        <v>376</v>
      </c>
      <c r="G293" s="5" t="s">
        <v>46</v>
      </c>
      <c r="H293" s="1" t="s">
        <v>27</v>
      </c>
      <c r="I293">
        <v>114300</v>
      </c>
      <c r="J293" s="1" t="s">
        <v>33</v>
      </c>
      <c r="K293">
        <v>0</v>
      </c>
      <c r="L293">
        <v>0</v>
      </c>
      <c r="M293">
        <v>0</v>
      </c>
      <c r="N293">
        <v>0</v>
      </c>
      <c r="O293">
        <v>114300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s="18">
        <v>6</v>
      </c>
      <c r="Y293" s="6"/>
      <c r="Z293" s="6"/>
      <c r="AA293" s="6"/>
      <c r="AB293" s="6"/>
      <c r="AC293" s="6">
        <v>19050</v>
      </c>
      <c r="AD293" s="6">
        <v>19050</v>
      </c>
      <c r="AE293" s="6">
        <v>19050</v>
      </c>
      <c r="AF293" s="6">
        <v>19050</v>
      </c>
      <c r="AG293" s="6">
        <v>19050</v>
      </c>
      <c r="AH293" s="6">
        <v>19050</v>
      </c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>
        <f t="shared" si="22"/>
        <v>6</v>
      </c>
      <c r="AX293" t="b">
        <f t="shared" si="23"/>
        <v>1</v>
      </c>
      <c r="AY293" s="21">
        <f t="shared" si="20"/>
        <v>114300</v>
      </c>
      <c r="AZ293" t="b">
        <f t="shared" si="21"/>
        <v>1</v>
      </c>
    </row>
    <row r="294" spans="1:52" x14ac:dyDescent="0.4">
      <c r="A294" s="6" t="s">
        <v>2230</v>
      </c>
      <c r="B294" s="1" t="s">
        <v>939</v>
      </c>
      <c r="C294" s="1" t="s">
        <v>940</v>
      </c>
      <c r="D294" s="1" t="s">
        <v>941</v>
      </c>
      <c r="E294" s="1" t="s">
        <v>44</v>
      </c>
      <c r="F294" s="1" t="s">
        <v>63</v>
      </c>
      <c r="G294" s="5" t="s">
        <v>46</v>
      </c>
      <c r="H294" s="1" t="s">
        <v>27</v>
      </c>
      <c r="I294">
        <v>114300</v>
      </c>
      <c r="J294" s="1" t="s">
        <v>33</v>
      </c>
      <c r="K294">
        <v>0</v>
      </c>
      <c r="L294">
        <v>0</v>
      </c>
      <c r="M294">
        <v>0</v>
      </c>
      <c r="N294">
        <v>0</v>
      </c>
      <c r="O294">
        <v>114300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s="18">
        <v>6</v>
      </c>
      <c r="Y294" s="6"/>
      <c r="Z294" s="6"/>
      <c r="AA294" s="6"/>
      <c r="AB294" s="6"/>
      <c r="AC294" s="6">
        <v>19050</v>
      </c>
      <c r="AD294" s="6">
        <v>19050</v>
      </c>
      <c r="AE294" s="6">
        <v>19050</v>
      </c>
      <c r="AF294" s="6">
        <v>19050</v>
      </c>
      <c r="AG294" s="6">
        <v>19050</v>
      </c>
      <c r="AH294" s="6">
        <v>19050</v>
      </c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>
        <f t="shared" si="22"/>
        <v>6</v>
      </c>
      <c r="AX294" t="b">
        <f t="shared" si="23"/>
        <v>1</v>
      </c>
      <c r="AY294" s="21">
        <f t="shared" si="20"/>
        <v>114300</v>
      </c>
      <c r="AZ294" t="b">
        <f t="shared" si="21"/>
        <v>1</v>
      </c>
    </row>
    <row r="295" spans="1:52" x14ac:dyDescent="0.4">
      <c r="A295" s="6" t="s">
        <v>2230</v>
      </c>
      <c r="B295" s="1" t="s">
        <v>942</v>
      </c>
      <c r="C295" s="1" t="s">
        <v>943</v>
      </c>
      <c r="D295" s="1" t="s">
        <v>944</v>
      </c>
      <c r="E295" s="1" t="s">
        <v>44</v>
      </c>
      <c r="F295" s="1" t="s">
        <v>86</v>
      </c>
      <c r="G295" s="5" t="s">
        <v>46</v>
      </c>
      <c r="H295" s="1" t="s">
        <v>27</v>
      </c>
      <c r="I295">
        <v>114300</v>
      </c>
      <c r="J295" s="1" t="s">
        <v>33</v>
      </c>
      <c r="K295">
        <v>0</v>
      </c>
      <c r="L295">
        <v>0</v>
      </c>
      <c r="M295">
        <v>0</v>
      </c>
      <c r="N295">
        <v>0</v>
      </c>
      <c r="O295">
        <v>114300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18">
        <v>6</v>
      </c>
      <c r="Y295" s="6"/>
      <c r="Z295" s="6"/>
      <c r="AA295" s="6"/>
      <c r="AB295" s="6"/>
      <c r="AC295" s="6">
        <v>19050</v>
      </c>
      <c r="AD295" s="6">
        <v>19050</v>
      </c>
      <c r="AE295" s="6">
        <v>19050</v>
      </c>
      <c r="AF295" s="6">
        <v>19050</v>
      </c>
      <c r="AG295" s="6">
        <v>19050</v>
      </c>
      <c r="AH295" s="6">
        <v>19050</v>
      </c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>
        <f t="shared" si="22"/>
        <v>6</v>
      </c>
      <c r="AX295" t="b">
        <f t="shared" si="23"/>
        <v>1</v>
      </c>
      <c r="AY295" s="21">
        <f t="shared" si="20"/>
        <v>114300</v>
      </c>
      <c r="AZ295" t="b">
        <f t="shared" si="21"/>
        <v>1</v>
      </c>
    </row>
    <row r="296" spans="1:52" x14ac:dyDescent="0.4">
      <c r="A296" s="6" t="s">
        <v>2230</v>
      </c>
      <c r="B296" s="1" t="s">
        <v>945</v>
      </c>
      <c r="C296" s="1" t="s">
        <v>946</v>
      </c>
      <c r="D296" s="1" t="s">
        <v>947</v>
      </c>
      <c r="E296" s="1" t="s">
        <v>25</v>
      </c>
      <c r="F296" s="1" t="s">
        <v>86</v>
      </c>
      <c r="G296" s="5" t="s">
        <v>10</v>
      </c>
      <c r="H296" s="1" t="s">
        <v>27</v>
      </c>
      <c r="I296">
        <v>59400</v>
      </c>
      <c r="J296" s="1" t="s">
        <v>33</v>
      </c>
      <c r="K296">
        <v>0</v>
      </c>
      <c r="L296">
        <v>59400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s="18">
        <v>3</v>
      </c>
      <c r="Y296" s="6"/>
      <c r="Z296" s="6">
        <v>19800</v>
      </c>
      <c r="AA296" s="6">
        <v>19800</v>
      </c>
      <c r="AB296" s="6">
        <v>19800</v>
      </c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>
        <f t="shared" si="22"/>
        <v>3</v>
      </c>
      <c r="AX296" t="b">
        <f t="shared" si="23"/>
        <v>1</v>
      </c>
      <c r="AY296" s="21">
        <f t="shared" si="20"/>
        <v>59400</v>
      </c>
      <c r="AZ296" t="b">
        <f t="shared" si="21"/>
        <v>1</v>
      </c>
    </row>
    <row r="297" spans="1:52" x14ac:dyDescent="0.4">
      <c r="A297" s="6" t="s">
        <v>2230</v>
      </c>
      <c r="B297" s="1" t="s">
        <v>948</v>
      </c>
      <c r="C297" s="1" t="s">
        <v>949</v>
      </c>
      <c r="D297" s="1" t="s">
        <v>950</v>
      </c>
      <c r="E297" s="1" t="s">
        <v>44</v>
      </c>
      <c r="F297" s="1" t="s">
        <v>86</v>
      </c>
      <c r="G297" s="5" t="s">
        <v>46</v>
      </c>
      <c r="H297" s="1" t="s">
        <v>27</v>
      </c>
      <c r="I297">
        <v>114300</v>
      </c>
      <c r="J297" s="1" t="s">
        <v>33</v>
      </c>
      <c r="K297">
        <v>0</v>
      </c>
      <c r="L297">
        <v>0</v>
      </c>
      <c r="M297">
        <v>0</v>
      </c>
      <c r="N297">
        <v>0</v>
      </c>
      <c r="O297">
        <v>114300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18">
        <v>6</v>
      </c>
      <c r="Y297" s="6"/>
      <c r="Z297" s="6"/>
      <c r="AA297" s="6"/>
      <c r="AB297" s="6"/>
      <c r="AC297" s="6">
        <v>19050</v>
      </c>
      <c r="AD297" s="6">
        <v>19050</v>
      </c>
      <c r="AE297" s="6">
        <v>19050</v>
      </c>
      <c r="AF297" s="6">
        <v>19050</v>
      </c>
      <c r="AG297" s="6">
        <v>19050</v>
      </c>
      <c r="AH297" s="6">
        <v>19050</v>
      </c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>
        <f t="shared" si="22"/>
        <v>6</v>
      </c>
      <c r="AX297" t="b">
        <f t="shared" si="23"/>
        <v>1</v>
      </c>
      <c r="AY297" s="21">
        <f t="shared" si="20"/>
        <v>114300</v>
      </c>
      <c r="AZ297" t="b">
        <f t="shared" si="21"/>
        <v>1</v>
      </c>
    </row>
    <row r="298" spans="1:52" x14ac:dyDescent="0.4">
      <c r="A298" s="6" t="s">
        <v>2230</v>
      </c>
      <c r="B298" s="1" t="s">
        <v>951</v>
      </c>
      <c r="C298" s="1" t="s">
        <v>952</v>
      </c>
      <c r="D298" s="1" t="s">
        <v>953</v>
      </c>
      <c r="E298" s="1" t="s">
        <v>25</v>
      </c>
      <c r="F298" s="1" t="s">
        <v>227</v>
      </c>
      <c r="G298" s="5" t="s">
        <v>10</v>
      </c>
      <c r="H298" s="1" t="s">
        <v>27</v>
      </c>
      <c r="I298">
        <v>59400</v>
      </c>
      <c r="J298" s="1" t="s">
        <v>33</v>
      </c>
      <c r="K298">
        <v>0</v>
      </c>
      <c r="L298">
        <v>59400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18">
        <v>3</v>
      </c>
      <c r="Y298" s="6"/>
      <c r="Z298" s="6">
        <v>19800</v>
      </c>
      <c r="AA298" s="6">
        <v>19800</v>
      </c>
      <c r="AB298" s="6">
        <v>19800</v>
      </c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>
        <f t="shared" si="22"/>
        <v>3</v>
      </c>
      <c r="AX298" t="b">
        <f t="shared" si="23"/>
        <v>1</v>
      </c>
      <c r="AY298" s="21">
        <f t="shared" si="20"/>
        <v>59400</v>
      </c>
      <c r="AZ298" t="b">
        <f t="shared" si="21"/>
        <v>1</v>
      </c>
    </row>
    <row r="299" spans="1:52" x14ac:dyDescent="0.4">
      <c r="A299" s="6" t="s">
        <v>2230</v>
      </c>
      <c r="B299" s="1" t="s">
        <v>954</v>
      </c>
      <c r="C299" s="1" t="s">
        <v>955</v>
      </c>
      <c r="D299" s="1" t="s">
        <v>956</v>
      </c>
      <c r="E299" s="1" t="s">
        <v>44</v>
      </c>
      <c r="F299" s="1" t="s">
        <v>86</v>
      </c>
      <c r="G299" s="5" t="s">
        <v>46</v>
      </c>
      <c r="H299" s="1" t="s">
        <v>27</v>
      </c>
      <c r="I299">
        <v>114300</v>
      </c>
      <c r="J299" s="1" t="s">
        <v>33</v>
      </c>
      <c r="K299">
        <v>0</v>
      </c>
      <c r="L299">
        <v>0</v>
      </c>
      <c r="M299">
        <v>0</v>
      </c>
      <c r="N299">
        <v>0</v>
      </c>
      <c r="O299">
        <v>114300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s="18">
        <v>6</v>
      </c>
      <c r="Y299" s="6"/>
      <c r="Z299" s="6"/>
      <c r="AA299" s="6"/>
      <c r="AB299" s="6"/>
      <c r="AC299" s="6">
        <v>19050</v>
      </c>
      <c r="AD299" s="6">
        <v>19050</v>
      </c>
      <c r="AE299" s="6">
        <v>19050</v>
      </c>
      <c r="AF299" s="6">
        <v>19050</v>
      </c>
      <c r="AG299" s="6">
        <v>19050</v>
      </c>
      <c r="AH299" s="6">
        <v>19050</v>
      </c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>
        <f t="shared" si="22"/>
        <v>6</v>
      </c>
      <c r="AX299" t="b">
        <f t="shared" si="23"/>
        <v>1</v>
      </c>
      <c r="AY299" s="21">
        <f t="shared" si="20"/>
        <v>114300</v>
      </c>
      <c r="AZ299" t="b">
        <f t="shared" si="21"/>
        <v>1</v>
      </c>
    </row>
    <row r="300" spans="1:52" x14ac:dyDescent="0.4">
      <c r="A300" s="6" t="s">
        <v>2230</v>
      </c>
      <c r="B300" s="1" t="s">
        <v>957</v>
      </c>
      <c r="C300" s="1" t="s">
        <v>958</v>
      </c>
      <c r="D300" s="1" t="s">
        <v>959</v>
      </c>
      <c r="E300" s="1" t="s">
        <v>44</v>
      </c>
      <c r="F300" s="1" t="s">
        <v>45</v>
      </c>
      <c r="G300" s="5" t="s">
        <v>46</v>
      </c>
      <c r="H300" s="1" t="s">
        <v>27</v>
      </c>
      <c r="I300">
        <v>114300</v>
      </c>
      <c r="J300" s="1" t="s">
        <v>33</v>
      </c>
      <c r="K300">
        <v>0</v>
      </c>
      <c r="L300">
        <v>0</v>
      </c>
      <c r="M300">
        <v>0</v>
      </c>
      <c r="N300">
        <v>0</v>
      </c>
      <c r="O300">
        <v>114300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s="18">
        <v>6</v>
      </c>
      <c r="Y300" s="6"/>
      <c r="Z300" s="6"/>
      <c r="AA300" s="6"/>
      <c r="AB300" s="6"/>
      <c r="AC300" s="6">
        <v>19050</v>
      </c>
      <c r="AD300" s="6">
        <v>19050</v>
      </c>
      <c r="AE300" s="6">
        <v>19050</v>
      </c>
      <c r="AF300" s="6">
        <v>19050</v>
      </c>
      <c r="AG300" s="6">
        <v>19050</v>
      </c>
      <c r="AH300" s="6">
        <v>19050</v>
      </c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>
        <f t="shared" si="22"/>
        <v>6</v>
      </c>
      <c r="AX300" t="b">
        <f t="shared" si="23"/>
        <v>1</v>
      </c>
      <c r="AY300" s="21">
        <f t="shared" si="20"/>
        <v>114300</v>
      </c>
      <c r="AZ300" t="b">
        <f t="shared" si="21"/>
        <v>1</v>
      </c>
    </row>
    <row r="301" spans="1:52" x14ac:dyDescent="0.4">
      <c r="A301" s="6" t="s">
        <v>2230</v>
      </c>
      <c r="B301" s="1" t="s">
        <v>960</v>
      </c>
      <c r="C301" s="1" t="s">
        <v>961</v>
      </c>
      <c r="D301" s="1" t="s">
        <v>962</v>
      </c>
      <c r="E301" s="1" t="s">
        <v>44</v>
      </c>
      <c r="F301" s="1" t="s">
        <v>63</v>
      </c>
      <c r="G301" s="5" t="s">
        <v>46</v>
      </c>
      <c r="H301" s="1" t="s">
        <v>27</v>
      </c>
      <c r="I301">
        <v>114300</v>
      </c>
      <c r="J301" s="1" t="s">
        <v>33</v>
      </c>
      <c r="K301">
        <v>0</v>
      </c>
      <c r="L301">
        <v>0</v>
      </c>
      <c r="M301">
        <v>0</v>
      </c>
      <c r="N301">
        <v>0</v>
      </c>
      <c r="O301">
        <v>114300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18">
        <v>6</v>
      </c>
      <c r="Y301" s="6"/>
      <c r="Z301" s="6"/>
      <c r="AA301" s="6"/>
      <c r="AB301" s="6"/>
      <c r="AC301" s="6">
        <v>19050</v>
      </c>
      <c r="AD301" s="6">
        <v>19050</v>
      </c>
      <c r="AE301" s="6">
        <v>19050</v>
      </c>
      <c r="AF301" s="6">
        <v>19050</v>
      </c>
      <c r="AG301" s="6">
        <v>19050</v>
      </c>
      <c r="AH301" s="6">
        <v>19050</v>
      </c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>
        <f t="shared" si="22"/>
        <v>6</v>
      </c>
      <c r="AX301" t="b">
        <f t="shared" si="23"/>
        <v>1</v>
      </c>
      <c r="AY301" s="21">
        <f t="shared" si="20"/>
        <v>114300</v>
      </c>
      <c r="AZ301" t="b">
        <f t="shared" si="21"/>
        <v>1</v>
      </c>
    </row>
    <row r="302" spans="1:52" x14ac:dyDescent="0.4">
      <c r="A302" s="6" t="s">
        <v>2230</v>
      </c>
      <c r="B302" s="1" t="s">
        <v>963</v>
      </c>
      <c r="C302" s="1" t="s">
        <v>964</v>
      </c>
      <c r="D302" s="1" t="s">
        <v>965</v>
      </c>
      <c r="E302" s="1" t="s">
        <v>44</v>
      </c>
      <c r="F302" s="1" t="s">
        <v>45</v>
      </c>
      <c r="G302" s="5" t="s">
        <v>46</v>
      </c>
      <c r="H302" s="1" t="s">
        <v>27</v>
      </c>
      <c r="I302">
        <v>114300</v>
      </c>
      <c r="J302" s="1" t="s">
        <v>33</v>
      </c>
      <c r="K302">
        <v>0</v>
      </c>
      <c r="L302">
        <v>0</v>
      </c>
      <c r="M302">
        <v>0</v>
      </c>
      <c r="N302">
        <v>0</v>
      </c>
      <c r="O302">
        <v>114300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18">
        <v>6</v>
      </c>
      <c r="Y302" s="6"/>
      <c r="Z302" s="6"/>
      <c r="AA302" s="6"/>
      <c r="AB302" s="6"/>
      <c r="AC302" s="6">
        <v>19050</v>
      </c>
      <c r="AD302" s="6">
        <v>19050</v>
      </c>
      <c r="AE302" s="6">
        <v>19050</v>
      </c>
      <c r="AF302" s="6">
        <v>19050</v>
      </c>
      <c r="AG302" s="6">
        <v>19050</v>
      </c>
      <c r="AH302" s="6">
        <v>19050</v>
      </c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>
        <f t="shared" si="22"/>
        <v>6</v>
      </c>
      <c r="AX302" t="b">
        <f t="shared" si="23"/>
        <v>1</v>
      </c>
      <c r="AY302" s="21">
        <f t="shared" si="20"/>
        <v>114300</v>
      </c>
      <c r="AZ302" t="b">
        <f t="shared" si="21"/>
        <v>1</v>
      </c>
    </row>
    <row r="303" spans="1:52" x14ac:dyDescent="0.4">
      <c r="A303" s="6" t="s">
        <v>2230</v>
      </c>
      <c r="B303" s="1" t="s">
        <v>966</v>
      </c>
      <c r="C303" s="1" t="s">
        <v>967</v>
      </c>
      <c r="D303" s="1" t="s">
        <v>968</v>
      </c>
      <c r="E303" s="1" t="s">
        <v>44</v>
      </c>
      <c r="F303" s="1" t="s">
        <v>63</v>
      </c>
      <c r="G303" s="5" t="s">
        <v>46</v>
      </c>
      <c r="H303" s="1" t="s">
        <v>27</v>
      </c>
      <c r="I303">
        <v>114300</v>
      </c>
      <c r="J303" s="1" t="s">
        <v>33</v>
      </c>
      <c r="K303">
        <v>0</v>
      </c>
      <c r="L303">
        <v>0</v>
      </c>
      <c r="M303">
        <v>0</v>
      </c>
      <c r="N303">
        <v>0</v>
      </c>
      <c r="O303">
        <v>114300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18">
        <v>6</v>
      </c>
      <c r="Y303" s="6"/>
      <c r="Z303" s="6"/>
      <c r="AA303" s="6"/>
      <c r="AB303" s="6"/>
      <c r="AC303" s="6">
        <v>19050</v>
      </c>
      <c r="AD303" s="6">
        <v>19050</v>
      </c>
      <c r="AE303" s="6">
        <v>19050</v>
      </c>
      <c r="AF303" s="6">
        <v>19050</v>
      </c>
      <c r="AG303" s="6">
        <v>19050</v>
      </c>
      <c r="AH303" s="6">
        <v>19050</v>
      </c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>
        <f t="shared" si="22"/>
        <v>6</v>
      </c>
      <c r="AX303" t="b">
        <f t="shared" si="23"/>
        <v>1</v>
      </c>
      <c r="AY303" s="21">
        <f t="shared" si="20"/>
        <v>114300</v>
      </c>
      <c r="AZ303" t="b">
        <f t="shared" si="21"/>
        <v>1</v>
      </c>
    </row>
    <row r="304" spans="1:52" x14ac:dyDescent="0.4">
      <c r="A304" s="6" t="s">
        <v>2230</v>
      </c>
      <c r="B304" s="1" t="s">
        <v>969</v>
      </c>
      <c r="C304" s="1" t="s">
        <v>970</v>
      </c>
      <c r="D304" s="1" t="s">
        <v>971</v>
      </c>
      <c r="E304" s="1" t="s">
        <v>44</v>
      </c>
      <c r="F304" s="1" t="s">
        <v>333</v>
      </c>
      <c r="G304" s="5" t="s">
        <v>46</v>
      </c>
      <c r="H304" s="1" t="s">
        <v>27</v>
      </c>
      <c r="I304">
        <v>114300</v>
      </c>
      <c r="J304" s="1" t="s">
        <v>33</v>
      </c>
      <c r="K304">
        <v>0</v>
      </c>
      <c r="L304">
        <v>0</v>
      </c>
      <c r="M304">
        <v>0</v>
      </c>
      <c r="N304">
        <v>0</v>
      </c>
      <c r="O304">
        <v>114300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s="18">
        <v>6</v>
      </c>
      <c r="Y304" s="6"/>
      <c r="Z304" s="6"/>
      <c r="AA304" s="6"/>
      <c r="AB304" s="6"/>
      <c r="AC304" s="6">
        <v>19050</v>
      </c>
      <c r="AD304" s="6">
        <v>19050</v>
      </c>
      <c r="AE304" s="6">
        <v>19050</v>
      </c>
      <c r="AF304" s="6">
        <v>19050</v>
      </c>
      <c r="AG304" s="6">
        <v>19050</v>
      </c>
      <c r="AH304" s="6">
        <v>19050</v>
      </c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>
        <f t="shared" si="22"/>
        <v>6</v>
      </c>
      <c r="AX304" t="b">
        <f t="shared" si="23"/>
        <v>1</v>
      </c>
      <c r="AY304" s="21">
        <f t="shared" si="20"/>
        <v>114300</v>
      </c>
      <c r="AZ304" t="b">
        <f t="shared" si="21"/>
        <v>1</v>
      </c>
    </row>
    <row r="305" spans="1:52" x14ac:dyDescent="0.4">
      <c r="A305" s="6" t="s">
        <v>2230</v>
      </c>
      <c r="B305" s="1" t="s">
        <v>972</v>
      </c>
      <c r="C305" s="1" t="s">
        <v>973</v>
      </c>
      <c r="D305" s="1" t="s">
        <v>974</v>
      </c>
      <c r="E305" s="1" t="s">
        <v>50</v>
      </c>
      <c r="F305" s="1" t="s">
        <v>178</v>
      </c>
      <c r="G305" s="5" t="s">
        <v>46</v>
      </c>
      <c r="H305" s="1" t="s">
        <v>52</v>
      </c>
      <c r="I305">
        <v>114300</v>
      </c>
      <c r="J305" s="1" t="s">
        <v>28</v>
      </c>
      <c r="K305">
        <v>0</v>
      </c>
      <c r="L305">
        <v>0</v>
      </c>
      <c r="M305">
        <v>0</v>
      </c>
      <c r="N305">
        <v>0</v>
      </c>
      <c r="O305">
        <v>114300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s="18">
        <v>6</v>
      </c>
      <c r="Y305" s="6"/>
      <c r="Z305" s="6"/>
      <c r="AA305" s="6"/>
      <c r="AB305" s="6"/>
      <c r="AC305" s="6">
        <v>19050</v>
      </c>
      <c r="AD305" s="6">
        <v>19050</v>
      </c>
      <c r="AE305" s="6">
        <v>19050</v>
      </c>
      <c r="AF305" s="6">
        <v>19050</v>
      </c>
      <c r="AG305" s="6">
        <v>19050</v>
      </c>
      <c r="AH305" s="6">
        <v>19050</v>
      </c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>
        <f t="shared" si="22"/>
        <v>6</v>
      </c>
      <c r="AX305" t="b">
        <f t="shared" si="23"/>
        <v>1</v>
      </c>
      <c r="AY305" s="21">
        <f t="shared" si="20"/>
        <v>114300</v>
      </c>
      <c r="AZ305" t="b">
        <f t="shared" si="21"/>
        <v>1</v>
      </c>
    </row>
    <row r="306" spans="1:52" x14ac:dyDescent="0.4">
      <c r="A306" s="6" t="s">
        <v>2230</v>
      </c>
      <c r="B306" s="1" t="s">
        <v>975</v>
      </c>
      <c r="C306" s="1" t="s">
        <v>976</v>
      </c>
      <c r="D306" s="1" t="s">
        <v>977</v>
      </c>
      <c r="E306" s="1" t="s">
        <v>44</v>
      </c>
      <c r="F306" s="1" t="s">
        <v>86</v>
      </c>
      <c r="G306" s="5" t="s">
        <v>46</v>
      </c>
      <c r="H306" s="1" t="s">
        <v>27</v>
      </c>
      <c r="I306">
        <v>114300</v>
      </c>
      <c r="J306" s="1" t="s">
        <v>33</v>
      </c>
      <c r="K306">
        <v>0</v>
      </c>
      <c r="L306">
        <v>0</v>
      </c>
      <c r="M306">
        <v>0</v>
      </c>
      <c r="N306">
        <v>0</v>
      </c>
      <c r="O306">
        <v>114300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s="18">
        <v>6</v>
      </c>
      <c r="Y306" s="6"/>
      <c r="Z306" s="6"/>
      <c r="AA306" s="6"/>
      <c r="AB306" s="6"/>
      <c r="AC306" s="6">
        <v>19050</v>
      </c>
      <c r="AD306" s="6">
        <v>19050</v>
      </c>
      <c r="AE306" s="6">
        <v>19050</v>
      </c>
      <c r="AF306" s="6">
        <v>19050</v>
      </c>
      <c r="AG306" s="6">
        <v>19050</v>
      </c>
      <c r="AH306" s="6">
        <v>19050</v>
      </c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>
        <f t="shared" si="22"/>
        <v>6</v>
      </c>
      <c r="AX306" t="b">
        <f t="shared" si="23"/>
        <v>1</v>
      </c>
      <c r="AY306" s="21">
        <f t="shared" si="20"/>
        <v>114300</v>
      </c>
      <c r="AZ306" t="b">
        <f t="shared" si="21"/>
        <v>1</v>
      </c>
    </row>
    <row r="307" spans="1:52" x14ac:dyDescent="0.4">
      <c r="A307" s="6" t="s">
        <v>2230</v>
      </c>
      <c r="B307" s="1" t="s">
        <v>978</v>
      </c>
      <c r="C307" s="1" t="s">
        <v>979</v>
      </c>
      <c r="D307" s="1" t="s">
        <v>980</v>
      </c>
      <c r="E307" s="1" t="s">
        <v>44</v>
      </c>
      <c r="F307" s="1" t="s">
        <v>56</v>
      </c>
      <c r="G307" s="5" t="s">
        <v>46</v>
      </c>
      <c r="H307" s="1" t="s">
        <v>27</v>
      </c>
      <c r="I307">
        <v>114300</v>
      </c>
      <c r="J307" s="1" t="s">
        <v>33</v>
      </c>
      <c r="K307">
        <v>0</v>
      </c>
      <c r="L307">
        <v>0</v>
      </c>
      <c r="M307">
        <v>0</v>
      </c>
      <c r="N307">
        <v>0</v>
      </c>
      <c r="O307">
        <v>114300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s="18">
        <v>6</v>
      </c>
      <c r="Y307" s="6"/>
      <c r="Z307" s="6"/>
      <c r="AA307" s="6"/>
      <c r="AB307" s="6"/>
      <c r="AC307" s="6">
        <v>19050</v>
      </c>
      <c r="AD307" s="6">
        <v>19050</v>
      </c>
      <c r="AE307" s="6">
        <v>19050</v>
      </c>
      <c r="AF307" s="6">
        <v>19050</v>
      </c>
      <c r="AG307" s="6">
        <v>19050</v>
      </c>
      <c r="AH307" s="6">
        <v>19050</v>
      </c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>
        <f t="shared" si="22"/>
        <v>6</v>
      </c>
      <c r="AX307" t="b">
        <f t="shared" si="23"/>
        <v>1</v>
      </c>
      <c r="AY307" s="21">
        <f t="shared" si="20"/>
        <v>114300</v>
      </c>
      <c r="AZ307" t="b">
        <f t="shared" si="21"/>
        <v>1</v>
      </c>
    </row>
    <row r="308" spans="1:52" x14ac:dyDescent="0.4">
      <c r="A308" s="6" t="s">
        <v>2230</v>
      </c>
      <c r="B308" s="1" t="s">
        <v>981</v>
      </c>
      <c r="C308" s="1" t="s">
        <v>982</v>
      </c>
      <c r="D308" s="1" t="s">
        <v>983</v>
      </c>
      <c r="E308" s="1" t="s">
        <v>44</v>
      </c>
      <c r="F308" s="1" t="s">
        <v>56</v>
      </c>
      <c r="G308" s="5" t="s">
        <v>46</v>
      </c>
      <c r="H308" s="1" t="s">
        <v>27</v>
      </c>
      <c r="I308">
        <v>114300</v>
      </c>
      <c r="J308" s="1" t="s">
        <v>33</v>
      </c>
      <c r="K308">
        <v>0</v>
      </c>
      <c r="L308">
        <v>0</v>
      </c>
      <c r="M308">
        <v>0</v>
      </c>
      <c r="N308">
        <v>0</v>
      </c>
      <c r="O308">
        <v>114300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s="18">
        <v>6</v>
      </c>
      <c r="Y308" s="6"/>
      <c r="Z308" s="6"/>
      <c r="AA308" s="6"/>
      <c r="AB308" s="6"/>
      <c r="AC308" s="6">
        <v>19050</v>
      </c>
      <c r="AD308" s="6">
        <v>19050</v>
      </c>
      <c r="AE308" s="6">
        <v>19050</v>
      </c>
      <c r="AF308" s="6">
        <v>19050</v>
      </c>
      <c r="AG308" s="6">
        <v>19050</v>
      </c>
      <c r="AH308" s="6">
        <v>19050</v>
      </c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>
        <f t="shared" si="22"/>
        <v>6</v>
      </c>
      <c r="AX308" t="b">
        <f t="shared" si="23"/>
        <v>1</v>
      </c>
      <c r="AY308" s="21">
        <f t="shared" si="20"/>
        <v>114300</v>
      </c>
      <c r="AZ308" t="b">
        <f t="shared" si="21"/>
        <v>1</v>
      </c>
    </row>
    <row r="309" spans="1:52" x14ac:dyDescent="0.4">
      <c r="A309" s="6" t="s">
        <v>2230</v>
      </c>
      <c r="B309" s="1" t="s">
        <v>984</v>
      </c>
      <c r="C309" s="1" t="s">
        <v>985</v>
      </c>
      <c r="D309" s="1" t="s">
        <v>986</v>
      </c>
      <c r="E309" s="1" t="s">
        <v>25</v>
      </c>
      <c r="F309" s="1" t="s">
        <v>37</v>
      </c>
      <c r="G309" s="5" t="s">
        <v>10</v>
      </c>
      <c r="H309" s="1" t="s">
        <v>27</v>
      </c>
      <c r="I309">
        <v>59400</v>
      </c>
      <c r="J309" s="1" t="s">
        <v>33</v>
      </c>
      <c r="K309">
        <v>0</v>
      </c>
      <c r="L309">
        <v>59400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18">
        <v>3</v>
      </c>
      <c r="Y309" s="6"/>
      <c r="Z309" s="6">
        <v>19800</v>
      </c>
      <c r="AA309" s="6">
        <v>19800</v>
      </c>
      <c r="AB309" s="6">
        <v>19800</v>
      </c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>
        <f t="shared" si="22"/>
        <v>3</v>
      </c>
      <c r="AX309" t="b">
        <f t="shared" si="23"/>
        <v>1</v>
      </c>
      <c r="AY309" s="21">
        <f t="shared" si="20"/>
        <v>59400</v>
      </c>
      <c r="AZ309" t="b">
        <f t="shared" si="21"/>
        <v>1</v>
      </c>
    </row>
    <row r="310" spans="1:52" x14ac:dyDescent="0.4">
      <c r="A310" s="6" t="s">
        <v>2230</v>
      </c>
      <c r="B310" s="1" t="s">
        <v>987</v>
      </c>
      <c r="C310" s="1" t="s">
        <v>988</v>
      </c>
      <c r="D310" s="1" t="s">
        <v>989</v>
      </c>
      <c r="E310" s="1" t="s">
        <v>50</v>
      </c>
      <c r="F310" s="1" t="s">
        <v>37</v>
      </c>
      <c r="G310" s="5" t="s">
        <v>46</v>
      </c>
      <c r="H310" s="1" t="s">
        <v>52</v>
      </c>
      <c r="I310">
        <v>114300</v>
      </c>
      <c r="J310" s="1" t="s">
        <v>28</v>
      </c>
      <c r="K310">
        <v>0</v>
      </c>
      <c r="L310">
        <v>0</v>
      </c>
      <c r="M310">
        <v>0</v>
      </c>
      <c r="N310">
        <v>0</v>
      </c>
      <c r="O310">
        <v>114300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18">
        <v>6</v>
      </c>
      <c r="Y310" s="6"/>
      <c r="Z310" s="6"/>
      <c r="AA310" s="6"/>
      <c r="AB310" s="6"/>
      <c r="AC310" s="6">
        <v>19050</v>
      </c>
      <c r="AD310" s="6">
        <v>19050</v>
      </c>
      <c r="AE310" s="6">
        <v>19050</v>
      </c>
      <c r="AF310" s="6">
        <v>19050</v>
      </c>
      <c r="AG310" s="6">
        <v>19050</v>
      </c>
      <c r="AH310" s="6">
        <v>19050</v>
      </c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>
        <f t="shared" si="22"/>
        <v>6</v>
      </c>
      <c r="AX310" t="b">
        <f t="shared" si="23"/>
        <v>1</v>
      </c>
      <c r="AY310" s="21">
        <f t="shared" si="20"/>
        <v>114300</v>
      </c>
      <c r="AZ310" t="b">
        <f t="shared" si="21"/>
        <v>1</v>
      </c>
    </row>
    <row r="311" spans="1:52" x14ac:dyDescent="0.4">
      <c r="A311" s="6" t="s">
        <v>2230</v>
      </c>
      <c r="B311" s="1" t="s">
        <v>990</v>
      </c>
      <c r="C311" s="1" t="s">
        <v>991</v>
      </c>
      <c r="D311" s="1" t="s">
        <v>992</v>
      </c>
      <c r="E311" s="1" t="s">
        <v>44</v>
      </c>
      <c r="F311" s="1" t="s">
        <v>32</v>
      </c>
      <c r="G311" s="5" t="s">
        <v>46</v>
      </c>
      <c r="H311" s="1" t="s">
        <v>27</v>
      </c>
      <c r="I311">
        <v>114300</v>
      </c>
      <c r="J311" s="1" t="s">
        <v>33</v>
      </c>
      <c r="K311">
        <v>0</v>
      </c>
      <c r="L311">
        <v>0</v>
      </c>
      <c r="M311">
        <v>0</v>
      </c>
      <c r="N311">
        <v>0</v>
      </c>
      <c r="O311">
        <v>114300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s="18">
        <v>6</v>
      </c>
      <c r="Y311" s="6"/>
      <c r="Z311" s="6"/>
      <c r="AA311" s="6"/>
      <c r="AB311" s="6"/>
      <c r="AC311" s="6">
        <v>19050</v>
      </c>
      <c r="AD311" s="6">
        <v>19050</v>
      </c>
      <c r="AE311" s="6">
        <v>19050</v>
      </c>
      <c r="AF311" s="6">
        <v>19050</v>
      </c>
      <c r="AG311" s="6">
        <v>19050</v>
      </c>
      <c r="AH311" s="6">
        <v>19050</v>
      </c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>
        <f t="shared" si="22"/>
        <v>6</v>
      </c>
      <c r="AX311" t="b">
        <f t="shared" si="23"/>
        <v>1</v>
      </c>
      <c r="AY311" s="21">
        <f t="shared" si="20"/>
        <v>114300</v>
      </c>
      <c r="AZ311" t="b">
        <f t="shared" si="21"/>
        <v>1</v>
      </c>
    </row>
    <row r="312" spans="1:52" x14ac:dyDescent="0.4">
      <c r="A312" s="6" t="s">
        <v>2230</v>
      </c>
      <c r="B312" s="1" t="s">
        <v>993</v>
      </c>
      <c r="C312" s="1" t="s">
        <v>994</v>
      </c>
      <c r="D312" s="1" t="s">
        <v>995</v>
      </c>
      <c r="E312" s="1" t="s">
        <v>44</v>
      </c>
      <c r="F312" s="1" t="s">
        <v>63</v>
      </c>
      <c r="G312" s="5" t="s">
        <v>46</v>
      </c>
      <c r="H312" s="1" t="s">
        <v>27</v>
      </c>
      <c r="I312">
        <v>114300</v>
      </c>
      <c r="J312" s="1" t="s">
        <v>33</v>
      </c>
      <c r="K312">
        <v>0</v>
      </c>
      <c r="L312">
        <v>0</v>
      </c>
      <c r="M312">
        <v>0</v>
      </c>
      <c r="N312">
        <v>0</v>
      </c>
      <c r="O312">
        <v>114300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s="18">
        <v>6</v>
      </c>
      <c r="Y312" s="6"/>
      <c r="Z312" s="6"/>
      <c r="AA312" s="6"/>
      <c r="AB312" s="6"/>
      <c r="AC312" s="6">
        <v>19050</v>
      </c>
      <c r="AD312" s="6">
        <v>19050</v>
      </c>
      <c r="AE312" s="6">
        <v>19050</v>
      </c>
      <c r="AF312" s="6">
        <v>19050</v>
      </c>
      <c r="AG312" s="6">
        <v>19050</v>
      </c>
      <c r="AH312" s="6">
        <v>19050</v>
      </c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>
        <f t="shared" si="22"/>
        <v>6</v>
      </c>
      <c r="AX312" t="b">
        <f t="shared" si="23"/>
        <v>1</v>
      </c>
      <c r="AY312" s="21">
        <f t="shared" si="20"/>
        <v>114300</v>
      </c>
      <c r="AZ312" t="b">
        <f t="shared" si="21"/>
        <v>1</v>
      </c>
    </row>
    <row r="313" spans="1:52" x14ac:dyDescent="0.4">
      <c r="A313" s="6" t="s">
        <v>2230</v>
      </c>
      <c r="B313" s="1" t="s">
        <v>996</v>
      </c>
      <c r="C313" s="1" t="s">
        <v>997</v>
      </c>
      <c r="D313" s="1" t="s">
        <v>998</v>
      </c>
      <c r="E313" s="1" t="s">
        <v>44</v>
      </c>
      <c r="F313" s="1" t="s">
        <v>90</v>
      </c>
      <c r="G313" s="5" t="s">
        <v>46</v>
      </c>
      <c r="H313" s="1" t="s">
        <v>27</v>
      </c>
      <c r="I313">
        <v>114300</v>
      </c>
      <c r="J313" s="1" t="s">
        <v>33</v>
      </c>
      <c r="K313">
        <v>0</v>
      </c>
      <c r="L313">
        <v>0</v>
      </c>
      <c r="M313">
        <v>0</v>
      </c>
      <c r="N313">
        <v>0</v>
      </c>
      <c r="O313">
        <v>114300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s="18">
        <v>6</v>
      </c>
      <c r="Y313" s="6"/>
      <c r="Z313" s="6"/>
      <c r="AA313" s="6"/>
      <c r="AB313" s="6"/>
      <c r="AC313" s="6">
        <v>19050</v>
      </c>
      <c r="AD313" s="6">
        <v>19050</v>
      </c>
      <c r="AE313" s="6">
        <v>19050</v>
      </c>
      <c r="AF313" s="6">
        <v>19050</v>
      </c>
      <c r="AG313" s="6">
        <v>19050</v>
      </c>
      <c r="AH313" s="6">
        <v>19050</v>
      </c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>
        <f t="shared" si="22"/>
        <v>6</v>
      </c>
      <c r="AX313" t="b">
        <f t="shared" si="23"/>
        <v>1</v>
      </c>
      <c r="AY313" s="21">
        <f t="shared" si="20"/>
        <v>114300</v>
      </c>
      <c r="AZ313" t="b">
        <f t="shared" si="21"/>
        <v>1</v>
      </c>
    </row>
    <row r="314" spans="1:52" x14ac:dyDescent="0.4">
      <c r="A314" s="6" t="s">
        <v>2230</v>
      </c>
      <c r="B314" s="1" t="s">
        <v>999</v>
      </c>
      <c r="C314" s="1" t="s">
        <v>1000</v>
      </c>
      <c r="D314" s="1" t="s">
        <v>1001</v>
      </c>
      <c r="E314" s="1" t="s">
        <v>25</v>
      </c>
      <c r="F314" s="1" t="s">
        <v>37</v>
      </c>
      <c r="G314" s="5" t="s">
        <v>10</v>
      </c>
      <c r="H314" s="1" t="s">
        <v>27</v>
      </c>
      <c r="I314">
        <v>59400</v>
      </c>
      <c r="J314" s="1" t="s">
        <v>33</v>
      </c>
      <c r="K314">
        <v>0</v>
      </c>
      <c r="L314">
        <v>59400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18">
        <v>3</v>
      </c>
      <c r="Y314" s="6"/>
      <c r="Z314" s="6">
        <v>19800</v>
      </c>
      <c r="AA314" s="6">
        <v>19800</v>
      </c>
      <c r="AB314" s="6">
        <v>19800</v>
      </c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>
        <f t="shared" si="22"/>
        <v>3</v>
      </c>
      <c r="AX314" t="b">
        <f t="shared" si="23"/>
        <v>1</v>
      </c>
      <c r="AY314" s="21">
        <f t="shared" si="20"/>
        <v>59400</v>
      </c>
      <c r="AZ314" t="b">
        <f t="shared" si="21"/>
        <v>1</v>
      </c>
    </row>
    <row r="315" spans="1:52" x14ac:dyDescent="0.4">
      <c r="A315" s="6" t="s">
        <v>2230</v>
      </c>
      <c r="B315" s="1" t="s">
        <v>1002</v>
      </c>
      <c r="C315" s="1" t="s">
        <v>1003</v>
      </c>
      <c r="D315" s="1" t="s">
        <v>1004</v>
      </c>
      <c r="E315" s="1" t="s">
        <v>44</v>
      </c>
      <c r="F315" s="1" t="s">
        <v>45</v>
      </c>
      <c r="G315" s="5" t="s">
        <v>46</v>
      </c>
      <c r="H315" s="1" t="s">
        <v>27</v>
      </c>
      <c r="I315">
        <v>114300</v>
      </c>
      <c r="J315" s="1" t="s">
        <v>33</v>
      </c>
      <c r="K315">
        <v>0</v>
      </c>
      <c r="L315">
        <v>0</v>
      </c>
      <c r="M315">
        <v>0</v>
      </c>
      <c r="N315">
        <v>0</v>
      </c>
      <c r="O315">
        <v>114300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s="18">
        <v>6</v>
      </c>
      <c r="Y315" s="6"/>
      <c r="Z315" s="6"/>
      <c r="AA315" s="6"/>
      <c r="AB315" s="6"/>
      <c r="AC315" s="6">
        <v>19050</v>
      </c>
      <c r="AD315" s="6">
        <v>19050</v>
      </c>
      <c r="AE315" s="6">
        <v>19050</v>
      </c>
      <c r="AF315" s="6">
        <v>19050</v>
      </c>
      <c r="AG315" s="6">
        <v>19050</v>
      </c>
      <c r="AH315" s="6">
        <v>19050</v>
      </c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>
        <f t="shared" si="22"/>
        <v>6</v>
      </c>
      <c r="AX315" t="b">
        <f t="shared" si="23"/>
        <v>1</v>
      </c>
      <c r="AY315" s="21">
        <f t="shared" si="20"/>
        <v>114300</v>
      </c>
      <c r="AZ315" t="b">
        <f t="shared" si="21"/>
        <v>1</v>
      </c>
    </row>
    <row r="316" spans="1:52" x14ac:dyDescent="0.4">
      <c r="A316" s="6" t="s">
        <v>2230</v>
      </c>
      <c r="B316" s="1" t="s">
        <v>1005</v>
      </c>
      <c r="C316" s="1" t="s">
        <v>1006</v>
      </c>
      <c r="D316" s="1" t="s">
        <v>1007</v>
      </c>
      <c r="E316" s="1" t="s">
        <v>50</v>
      </c>
      <c r="F316" s="1" t="s">
        <v>86</v>
      </c>
      <c r="G316" s="5" t="s">
        <v>46</v>
      </c>
      <c r="H316" s="1" t="s">
        <v>52</v>
      </c>
      <c r="I316">
        <v>114300</v>
      </c>
      <c r="J316" s="1" t="s">
        <v>28</v>
      </c>
      <c r="K316">
        <v>0</v>
      </c>
      <c r="L316">
        <v>0</v>
      </c>
      <c r="M316">
        <v>0</v>
      </c>
      <c r="N316">
        <v>0</v>
      </c>
      <c r="O316">
        <v>114300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s="18">
        <v>6</v>
      </c>
      <c r="Y316" s="6"/>
      <c r="Z316" s="6"/>
      <c r="AA316" s="6"/>
      <c r="AB316" s="6"/>
      <c r="AC316" s="6">
        <v>19050</v>
      </c>
      <c r="AD316" s="6">
        <v>19050</v>
      </c>
      <c r="AE316" s="6">
        <v>19050</v>
      </c>
      <c r="AF316" s="6">
        <v>19050</v>
      </c>
      <c r="AG316" s="6">
        <v>19050</v>
      </c>
      <c r="AH316" s="6">
        <v>19050</v>
      </c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>
        <f t="shared" si="22"/>
        <v>6</v>
      </c>
      <c r="AX316" t="b">
        <f t="shared" si="23"/>
        <v>1</v>
      </c>
      <c r="AY316" s="21">
        <f t="shared" si="20"/>
        <v>114300</v>
      </c>
      <c r="AZ316" t="b">
        <f t="shared" si="21"/>
        <v>1</v>
      </c>
    </row>
    <row r="317" spans="1:52" x14ac:dyDescent="0.4">
      <c r="A317" s="6" t="s">
        <v>2230</v>
      </c>
      <c r="B317" s="1" t="s">
        <v>1008</v>
      </c>
      <c r="C317" s="1" t="s">
        <v>1009</v>
      </c>
      <c r="D317" s="1" t="s">
        <v>1010</v>
      </c>
      <c r="E317" s="1" t="s">
        <v>44</v>
      </c>
      <c r="F317" s="1" t="s">
        <v>867</v>
      </c>
      <c r="G317" s="5" t="s">
        <v>479</v>
      </c>
      <c r="H317" s="1" t="s">
        <v>27</v>
      </c>
      <c r="I317">
        <v>114300</v>
      </c>
      <c r="J317" s="1" t="s">
        <v>868</v>
      </c>
      <c r="K317">
        <v>0</v>
      </c>
      <c r="L317">
        <v>0</v>
      </c>
      <c r="M317">
        <v>114300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s="18">
        <v>6</v>
      </c>
      <c r="Y317" s="6"/>
      <c r="Z317" s="6"/>
      <c r="AA317" s="6">
        <v>19050</v>
      </c>
      <c r="AB317" s="6">
        <v>19050</v>
      </c>
      <c r="AC317" s="6">
        <v>19050</v>
      </c>
      <c r="AD317" s="6">
        <v>19050</v>
      </c>
      <c r="AE317" s="6">
        <v>19050</v>
      </c>
      <c r="AF317" s="6">
        <v>19050</v>
      </c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>
        <f t="shared" si="22"/>
        <v>6</v>
      </c>
      <c r="AX317" t="b">
        <f t="shared" si="23"/>
        <v>1</v>
      </c>
      <c r="AY317" s="21">
        <f t="shared" si="20"/>
        <v>114300</v>
      </c>
      <c r="AZ317" t="b">
        <f t="shared" si="21"/>
        <v>1</v>
      </c>
    </row>
    <row r="318" spans="1:52" x14ac:dyDescent="0.4">
      <c r="A318" s="6" t="s">
        <v>2230</v>
      </c>
      <c r="B318" s="1" t="s">
        <v>1011</v>
      </c>
      <c r="C318" s="1" t="s">
        <v>1012</v>
      </c>
      <c r="D318" s="1" t="s">
        <v>1013</v>
      </c>
      <c r="E318" s="1" t="s">
        <v>44</v>
      </c>
      <c r="F318" s="1" t="s">
        <v>56</v>
      </c>
      <c r="G318" s="5" t="s">
        <v>46</v>
      </c>
      <c r="H318" s="1" t="s">
        <v>27</v>
      </c>
      <c r="I318">
        <v>114300</v>
      </c>
      <c r="J318" s="1" t="s">
        <v>33</v>
      </c>
      <c r="K318">
        <v>0</v>
      </c>
      <c r="L318">
        <v>0</v>
      </c>
      <c r="M318">
        <v>0</v>
      </c>
      <c r="N318">
        <v>0</v>
      </c>
      <c r="O318">
        <v>114300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s="18">
        <v>6</v>
      </c>
      <c r="Y318" s="6"/>
      <c r="Z318" s="6"/>
      <c r="AA318" s="6"/>
      <c r="AB318" s="6"/>
      <c r="AC318" s="6">
        <v>19050</v>
      </c>
      <c r="AD318" s="6">
        <v>19050</v>
      </c>
      <c r="AE318" s="6">
        <v>19050</v>
      </c>
      <c r="AF318" s="6">
        <v>19050</v>
      </c>
      <c r="AG318" s="6">
        <v>19050</v>
      </c>
      <c r="AH318" s="6">
        <v>19050</v>
      </c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>
        <f t="shared" si="22"/>
        <v>6</v>
      </c>
      <c r="AX318" t="b">
        <f t="shared" si="23"/>
        <v>1</v>
      </c>
      <c r="AY318" s="21">
        <f t="shared" si="20"/>
        <v>114300</v>
      </c>
      <c r="AZ318" t="b">
        <f t="shared" si="21"/>
        <v>1</v>
      </c>
    </row>
    <row r="319" spans="1:52" x14ac:dyDescent="0.4">
      <c r="A319" s="6" t="s">
        <v>2230</v>
      </c>
      <c r="B319" s="1" t="s">
        <v>1014</v>
      </c>
      <c r="C319" s="1" t="s">
        <v>1015</v>
      </c>
      <c r="D319" s="1" t="s">
        <v>1016</v>
      </c>
      <c r="E319" s="1" t="s">
        <v>44</v>
      </c>
      <c r="F319" s="1" t="s">
        <v>86</v>
      </c>
      <c r="G319" s="5" t="s">
        <v>46</v>
      </c>
      <c r="H319" s="1" t="s">
        <v>27</v>
      </c>
      <c r="I319">
        <v>114300</v>
      </c>
      <c r="J319" s="1" t="s">
        <v>33</v>
      </c>
      <c r="K319">
        <v>0</v>
      </c>
      <c r="L319">
        <v>0</v>
      </c>
      <c r="M319">
        <v>0</v>
      </c>
      <c r="N319">
        <v>0</v>
      </c>
      <c r="O319">
        <v>114300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s="18">
        <v>6</v>
      </c>
      <c r="Y319" s="6"/>
      <c r="Z319" s="6"/>
      <c r="AA319" s="6"/>
      <c r="AB319" s="6"/>
      <c r="AC319" s="6">
        <v>19050</v>
      </c>
      <c r="AD319" s="6">
        <v>19050</v>
      </c>
      <c r="AE319" s="6">
        <v>19050</v>
      </c>
      <c r="AF319" s="6">
        <v>19050</v>
      </c>
      <c r="AG319" s="6">
        <v>19050</v>
      </c>
      <c r="AH319" s="6">
        <v>19050</v>
      </c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>
        <f t="shared" si="22"/>
        <v>6</v>
      </c>
      <c r="AX319" t="b">
        <f t="shared" si="23"/>
        <v>1</v>
      </c>
      <c r="AY319" s="21">
        <f t="shared" si="20"/>
        <v>114300</v>
      </c>
      <c r="AZ319" t="b">
        <f t="shared" si="21"/>
        <v>1</v>
      </c>
    </row>
    <row r="320" spans="1:52" x14ac:dyDescent="0.4">
      <c r="A320" s="6" t="s">
        <v>2230</v>
      </c>
      <c r="B320" s="1" t="s">
        <v>1017</v>
      </c>
      <c r="C320" s="1" t="s">
        <v>1018</v>
      </c>
      <c r="D320" s="1" t="s">
        <v>1019</v>
      </c>
      <c r="E320" s="1" t="s">
        <v>44</v>
      </c>
      <c r="F320" s="1" t="s">
        <v>82</v>
      </c>
      <c r="G320" s="5" t="s">
        <v>46</v>
      </c>
      <c r="H320" s="1" t="s">
        <v>27</v>
      </c>
      <c r="I320">
        <v>114300</v>
      </c>
      <c r="J320" s="1" t="s">
        <v>33</v>
      </c>
      <c r="K320">
        <v>0</v>
      </c>
      <c r="L320">
        <v>0</v>
      </c>
      <c r="M320">
        <v>0</v>
      </c>
      <c r="N320">
        <v>0</v>
      </c>
      <c r="O320">
        <v>114300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s="18">
        <v>6</v>
      </c>
      <c r="Y320" s="6"/>
      <c r="Z320" s="6"/>
      <c r="AA320" s="6"/>
      <c r="AB320" s="6"/>
      <c r="AC320" s="6">
        <v>19050</v>
      </c>
      <c r="AD320" s="6">
        <v>19050</v>
      </c>
      <c r="AE320" s="6">
        <v>19050</v>
      </c>
      <c r="AF320" s="6">
        <v>19050</v>
      </c>
      <c r="AG320" s="6">
        <v>19050</v>
      </c>
      <c r="AH320" s="6">
        <v>19050</v>
      </c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>
        <f t="shared" si="22"/>
        <v>6</v>
      </c>
      <c r="AX320" t="b">
        <f t="shared" si="23"/>
        <v>1</v>
      </c>
      <c r="AY320" s="21">
        <f t="shared" si="20"/>
        <v>114300</v>
      </c>
      <c r="AZ320" t="b">
        <f t="shared" si="21"/>
        <v>1</v>
      </c>
    </row>
    <row r="321" spans="1:52" x14ac:dyDescent="0.4">
      <c r="A321" s="6" t="s">
        <v>2230</v>
      </c>
      <c r="B321" s="1" t="s">
        <v>1020</v>
      </c>
      <c r="C321" s="1" t="s">
        <v>1021</v>
      </c>
      <c r="D321" s="1" t="s">
        <v>1022</v>
      </c>
      <c r="E321" s="1" t="s">
        <v>44</v>
      </c>
      <c r="F321" s="1" t="s">
        <v>86</v>
      </c>
      <c r="G321" s="5" t="s">
        <v>46</v>
      </c>
      <c r="H321" s="1" t="s">
        <v>27</v>
      </c>
      <c r="I321">
        <v>114300</v>
      </c>
      <c r="J321" s="1" t="s">
        <v>33</v>
      </c>
      <c r="K321">
        <v>0</v>
      </c>
      <c r="L321">
        <v>0</v>
      </c>
      <c r="M321">
        <v>0</v>
      </c>
      <c r="N321">
        <v>0</v>
      </c>
      <c r="O321">
        <v>114300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s="18">
        <v>6</v>
      </c>
      <c r="Y321" s="6"/>
      <c r="Z321" s="6"/>
      <c r="AA321" s="6"/>
      <c r="AB321" s="6"/>
      <c r="AC321" s="6">
        <v>19050</v>
      </c>
      <c r="AD321" s="6">
        <v>19050</v>
      </c>
      <c r="AE321" s="6">
        <v>19050</v>
      </c>
      <c r="AF321" s="6">
        <v>19050</v>
      </c>
      <c r="AG321" s="6">
        <v>19050</v>
      </c>
      <c r="AH321" s="6">
        <v>19050</v>
      </c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>
        <f t="shared" si="22"/>
        <v>6</v>
      </c>
      <c r="AX321" t="b">
        <f t="shared" si="23"/>
        <v>1</v>
      </c>
      <c r="AY321" s="21">
        <f t="shared" si="20"/>
        <v>114300</v>
      </c>
      <c r="AZ321" t="b">
        <f t="shared" si="21"/>
        <v>1</v>
      </c>
    </row>
    <row r="322" spans="1:52" x14ac:dyDescent="0.4">
      <c r="A322" s="6" t="s">
        <v>2230</v>
      </c>
      <c r="B322" s="1" t="s">
        <v>1023</v>
      </c>
      <c r="C322" s="1" t="s">
        <v>1024</v>
      </c>
      <c r="D322" s="1" t="s">
        <v>1025</v>
      </c>
      <c r="E322" s="1" t="s">
        <v>44</v>
      </c>
      <c r="F322" s="1" t="s">
        <v>97</v>
      </c>
      <c r="G322" s="5" t="s">
        <v>46</v>
      </c>
      <c r="H322" s="1" t="s">
        <v>27</v>
      </c>
      <c r="I322">
        <v>114300</v>
      </c>
      <c r="J322" s="1" t="s">
        <v>33</v>
      </c>
      <c r="K322">
        <v>0</v>
      </c>
      <c r="L322">
        <v>0</v>
      </c>
      <c r="M322">
        <v>0</v>
      </c>
      <c r="N322">
        <v>0</v>
      </c>
      <c r="O322">
        <v>114300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s="18">
        <v>6</v>
      </c>
      <c r="Y322" s="6"/>
      <c r="Z322" s="6"/>
      <c r="AA322" s="6"/>
      <c r="AB322" s="6"/>
      <c r="AC322" s="6">
        <v>19050</v>
      </c>
      <c r="AD322" s="6">
        <v>19050</v>
      </c>
      <c r="AE322" s="6">
        <v>19050</v>
      </c>
      <c r="AF322" s="6">
        <v>19050</v>
      </c>
      <c r="AG322" s="6">
        <v>19050</v>
      </c>
      <c r="AH322" s="6">
        <v>19050</v>
      </c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>
        <f t="shared" si="22"/>
        <v>6</v>
      </c>
      <c r="AX322" t="b">
        <f t="shared" si="23"/>
        <v>1</v>
      </c>
      <c r="AY322" s="21">
        <f t="shared" si="20"/>
        <v>114300</v>
      </c>
      <c r="AZ322" t="b">
        <f t="shared" si="21"/>
        <v>1</v>
      </c>
    </row>
    <row r="323" spans="1:52" x14ac:dyDescent="0.4">
      <c r="A323" s="6" t="s">
        <v>2230</v>
      </c>
      <c r="B323" s="1" t="s">
        <v>1026</v>
      </c>
      <c r="C323" s="1" t="s">
        <v>1027</v>
      </c>
      <c r="D323" s="1" t="s">
        <v>1028</v>
      </c>
      <c r="E323" s="1" t="s">
        <v>25</v>
      </c>
      <c r="F323" s="1" t="s">
        <v>51</v>
      </c>
      <c r="G323" s="5" t="s">
        <v>10</v>
      </c>
      <c r="H323" s="1" t="s">
        <v>27</v>
      </c>
      <c r="I323">
        <v>59400</v>
      </c>
      <c r="J323" s="1" t="s">
        <v>33</v>
      </c>
      <c r="K323">
        <v>0</v>
      </c>
      <c r="L323">
        <v>59400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s="18">
        <v>3</v>
      </c>
      <c r="Y323" s="6"/>
      <c r="Z323" s="6">
        <v>19800</v>
      </c>
      <c r="AA323" s="6">
        <v>19800</v>
      </c>
      <c r="AB323" s="6">
        <v>19800</v>
      </c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>
        <f t="shared" si="22"/>
        <v>3</v>
      </c>
      <c r="AX323" t="b">
        <f t="shared" si="23"/>
        <v>1</v>
      </c>
      <c r="AY323" s="21">
        <f t="shared" si="20"/>
        <v>59400</v>
      </c>
      <c r="AZ323" t="b">
        <f t="shared" si="21"/>
        <v>1</v>
      </c>
    </row>
    <row r="324" spans="1:52" x14ac:dyDescent="0.4">
      <c r="A324" s="6" t="s">
        <v>2230</v>
      </c>
      <c r="B324" s="1" t="s">
        <v>1029</v>
      </c>
      <c r="C324" s="1" t="s">
        <v>1030</v>
      </c>
      <c r="D324" s="1" t="s">
        <v>1031</v>
      </c>
      <c r="E324" s="1" t="s">
        <v>44</v>
      </c>
      <c r="F324" s="1" t="s">
        <v>112</v>
      </c>
      <c r="G324" s="5" t="s">
        <v>46</v>
      </c>
      <c r="H324" s="1" t="s">
        <v>27</v>
      </c>
      <c r="I324">
        <v>114300</v>
      </c>
      <c r="J324" s="1" t="s">
        <v>33</v>
      </c>
      <c r="K324">
        <v>0</v>
      </c>
      <c r="L324">
        <v>0</v>
      </c>
      <c r="M324">
        <v>0</v>
      </c>
      <c r="N324">
        <v>0</v>
      </c>
      <c r="O324">
        <v>114300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s="18">
        <v>6</v>
      </c>
      <c r="Y324" s="6"/>
      <c r="Z324" s="6"/>
      <c r="AA324" s="6"/>
      <c r="AB324" s="6"/>
      <c r="AC324" s="6">
        <v>19050</v>
      </c>
      <c r="AD324" s="6">
        <v>19050</v>
      </c>
      <c r="AE324" s="6">
        <v>19050</v>
      </c>
      <c r="AF324" s="6">
        <v>19050</v>
      </c>
      <c r="AG324" s="6">
        <v>19050</v>
      </c>
      <c r="AH324" s="6">
        <v>19050</v>
      </c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>
        <f t="shared" si="22"/>
        <v>6</v>
      </c>
      <c r="AX324" t="b">
        <f t="shared" si="23"/>
        <v>1</v>
      </c>
      <c r="AY324" s="21">
        <f t="shared" si="20"/>
        <v>114300</v>
      </c>
      <c r="AZ324" t="b">
        <f t="shared" si="21"/>
        <v>1</v>
      </c>
    </row>
    <row r="325" spans="1:52" x14ac:dyDescent="0.4">
      <c r="A325" s="6" t="s">
        <v>2230</v>
      </c>
      <c r="B325" s="1" t="s">
        <v>1032</v>
      </c>
      <c r="C325" s="1" t="s">
        <v>1033</v>
      </c>
      <c r="D325" s="1" t="s">
        <v>1034</v>
      </c>
      <c r="E325" s="1" t="s">
        <v>44</v>
      </c>
      <c r="F325" s="1" t="s">
        <v>86</v>
      </c>
      <c r="G325" s="5" t="s">
        <v>46</v>
      </c>
      <c r="H325" s="1" t="s">
        <v>27</v>
      </c>
      <c r="I325">
        <v>114300</v>
      </c>
      <c r="J325" s="1" t="s">
        <v>33</v>
      </c>
      <c r="K325">
        <v>0</v>
      </c>
      <c r="L325">
        <v>0</v>
      </c>
      <c r="M325">
        <v>0</v>
      </c>
      <c r="N325">
        <v>0</v>
      </c>
      <c r="O325">
        <v>114300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18">
        <v>6</v>
      </c>
      <c r="Y325" s="6"/>
      <c r="Z325" s="6"/>
      <c r="AA325" s="6"/>
      <c r="AB325" s="6"/>
      <c r="AC325" s="6">
        <v>19050</v>
      </c>
      <c r="AD325" s="6">
        <v>19050</v>
      </c>
      <c r="AE325" s="6">
        <v>19050</v>
      </c>
      <c r="AF325" s="6">
        <v>19050</v>
      </c>
      <c r="AG325" s="6">
        <v>19050</v>
      </c>
      <c r="AH325" s="6">
        <v>19050</v>
      </c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>
        <f t="shared" si="22"/>
        <v>6</v>
      </c>
      <c r="AX325" t="b">
        <f t="shared" si="23"/>
        <v>1</v>
      </c>
      <c r="AY325" s="21">
        <f t="shared" si="20"/>
        <v>114300</v>
      </c>
      <c r="AZ325" t="b">
        <f t="shared" si="21"/>
        <v>1</v>
      </c>
    </row>
    <row r="326" spans="1:52" x14ac:dyDescent="0.4">
      <c r="A326" s="6" t="s">
        <v>2230</v>
      </c>
      <c r="B326" s="1" t="s">
        <v>1035</v>
      </c>
      <c r="C326" s="1" t="s">
        <v>1036</v>
      </c>
      <c r="D326" s="1" t="s">
        <v>1037</v>
      </c>
      <c r="E326" s="1" t="s">
        <v>44</v>
      </c>
      <c r="F326" s="1" t="s">
        <v>333</v>
      </c>
      <c r="G326" s="5" t="s">
        <v>46</v>
      </c>
      <c r="H326" s="1" t="s">
        <v>27</v>
      </c>
      <c r="I326">
        <v>114300</v>
      </c>
      <c r="J326" s="1" t="s">
        <v>33</v>
      </c>
      <c r="K326">
        <v>0</v>
      </c>
      <c r="L326">
        <v>0</v>
      </c>
      <c r="M326">
        <v>0</v>
      </c>
      <c r="N326">
        <v>0</v>
      </c>
      <c r="O326">
        <v>114300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18">
        <v>6</v>
      </c>
      <c r="Y326" s="6"/>
      <c r="Z326" s="6"/>
      <c r="AA326" s="6"/>
      <c r="AB326" s="6"/>
      <c r="AC326" s="6">
        <v>19050</v>
      </c>
      <c r="AD326" s="6">
        <v>19050</v>
      </c>
      <c r="AE326" s="6">
        <v>19050</v>
      </c>
      <c r="AF326" s="6">
        <v>19050</v>
      </c>
      <c r="AG326" s="6">
        <v>19050</v>
      </c>
      <c r="AH326" s="6">
        <v>19050</v>
      </c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>
        <f t="shared" si="22"/>
        <v>6</v>
      </c>
      <c r="AX326" t="b">
        <f t="shared" si="23"/>
        <v>1</v>
      </c>
      <c r="AY326" s="21">
        <f t="shared" si="20"/>
        <v>114300</v>
      </c>
      <c r="AZ326" t="b">
        <f t="shared" si="21"/>
        <v>1</v>
      </c>
    </row>
    <row r="327" spans="1:52" x14ac:dyDescent="0.4">
      <c r="A327" s="6" t="s">
        <v>2230</v>
      </c>
      <c r="B327" s="1" t="s">
        <v>1038</v>
      </c>
      <c r="C327" s="1" t="s">
        <v>1039</v>
      </c>
      <c r="D327" s="1" t="s">
        <v>1040</v>
      </c>
      <c r="E327" s="1" t="s">
        <v>44</v>
      </c>
      <c r="F327" s="1" t="s">
        <v>112</v>
      </c>
      <c r="G327" s="5" t="s">
        <v>46</v>
      </c>
      <c r="H327" s="1" t="s">
        <v>27</v>
      </c>
      <c r="I327">
        <v>114300</v>
      </c>
      <c r="J327" s="1" t="s">
        <v>33</v>
      </c>
      <c r="K327">
        <v>0</v>
      </c>
      <c r="L327">
        <v>0</v>
      </c>
      <c r="M327">
        <v>0</v>
      </c>
      <c r="N327">
        <v>0</v>
      </c>
      <c r="O327">
        <v>114300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s="18">
        <v>6</v>
      </c>
      <c r="Y327" s="6"/>
      <c r="Z327" s="6"/>
      <c r="AA327" s="6"/>
      <c r="AB327" s="6"/>
      <c r="AC327" s="6">
        <v>19050</v>
      </c>
      <c r="AD327" s="6">
        <v>19050</v>
      </c>
      <c r="AE327" s="6">
        <v>19050</v>
      </c>
      <c r="AF327" s="6">
        <v>19050</v>
      </c>
      <c r="AG327" s="6">
        <v>19050</v>
      </c>
      <c r="AH327" s="6">
        <v>19050</v>
      </c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>
        <f t="shared" si="22"/>
        <v>6</v>
      </c>
      <c r="AX327" t="b">
        <f t="shared" si="23"/>
        <v>1</v>
      </c>
      <c r="AY327" s="21">
        <f t="shared" ref="AY327:AY390" si="24">+SUM(Y327:AV327)</f>
        <v>114300</v>
      </c>
      <c r="AZ327" t="b">
        <f t="shared" ref="AZ327:AZ390" si="25">+I327=AY327</f>
        <v>1</v>
      </c>
    </row>
    <row r="328" spans="1:52" x14ac:dyDescent="0.4">
      <c r="A328" s="6" t="s">
        <v>2230</v>
      </c>
      <c r="B328" s="1" t="s">
        <v>1041</v>
      </c>
      <c r="C328" s="1" t="s">
        <v>1042</v>
      </c>
      <c r="D328" s="1" t="s">
        <v>1043</v>
      </c>
      <c r="E328" s="1" t="s">
        <v>44</v>
      </c>
      <c r="F328" s="1" t="s">
        <v>86</v>
      </c>
      <c r="G328" s="5" t="s">
        <v>46</v>
      </c>
      <c r="H328" s="1" t="s">
        <v>27</v>
      </c>
      <c r="I328">
        <v>114300</v>
      </c>
      <c r="J328" s="1" t="s">
        <v>33</v>
      </c>
      <c r="K328">
        <v>0</v>
      </c>
      <c r="L328">
        <v>0</v>
      </c>
      <c r="M328">
        <v>0</v>
      </c>
      <c r="N328">
        <v>0</v>
      </c>
      <c r="O328">
        <v>114300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s="18">
        <v>6</v>
      </c>
      <c r="Y328" s="6"/>
      <c r="Z328" s="6"/>
      <c r="AA328" s="6"/>
      <c r="AB328" s="6"/>
      <c r="AC328" s="6">
        <v>19050</v>
      </c>
      <c r="AD328" s="6">
        <v>19050</v>
      </c>
      <c r="AE328" s="6">
        <v>19050</v>
      </c>
      <c r="AF328" s="6">
        <v>19050</v>
      </c>
      <c r="AG328" s="6">
        <v>19050</v>
      </c>
      <c r="AH328" s="6">
        <v>19050</v>
      </c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>
        <f t="shared" si="22"/>
        <v>6</v>
      </c>
      <c r="AX328" t="b">
        <f t="shared" si="23"/>
        <v>1</v>
      </c>
      <c r="AY328" s="21">
        <f t="shared" si="24"/>
        <v>114300</v>
      </c>
      <c r="AZ328" t="b">
        <f t="shared" si="25"/>
        <v>1</v>
      </c>
    </row>
    <row r="329" spans="1:52" x14ac:dyDescent="0.4">
      <c r="A329" s="6" t="s">
        <v>2230</v>
      </c>
      <c r="B329" s="1" t="s">
        <v>1044</v>
      </c>
      <c r="C329" s="1" t="s">
        <v>1045</v>
      </c>
      <c r="D329" s="1" t="s">
        <v>1046</v>
      </c>
      <c r="E329" s="1" t="s">
        <v>44</v>
      </c>
      <c r="F329" s="1" t="s">
        <v>112</v>
      </c>
      <c r="G329" s="5" t="s">
        <v>46</v>
      </c>
      <c r="H329" s="1" t="s">
        <v>27</v>
      </c>
      <c r="I329">
        <v>114300</v>
      </c>
      <c r="J329" s="1" t="s">
        <v>33</v>
      </c>
      <c r="K329">
        <v>0</v>
      </c>
      <c r="L329">
        <v>0</v>
      </c>
      <c r="M329">
        <v>0</v>
      </c>
      <c r="N329">
        <v>0</v>
      </c>
      <c r="O329">
        <v>114300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s="18">
        <v>6</v>
      </c>
      <c r="Y329" s="6"/>
      <c r="Z329" s="6"/>
      <c r="AA329" s="6"/>
      <c r="AB329" s="6"/>
      <c r="AC329" s="6">
        <v>19050</v>
      </c>
      <c r="AD329" s="6">
        <v>19050</v>
      </c>
      <c r="AE329" s="6">
        <v>19050</v>
      </c>
      <c r="AF329" s="6">
        <v>19050</v>
      </c>
      <c r="AG329" s="6">
        <v>19050</v>
      </c>
      <c r="AH329" s="6">
        <v>19050</v>
      </c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>
        <f t="shared" si="22"/>
        <v>6</v>
      </c>
      <c r="AX329" t="b">
        <f t="shared" si="23"/>
        <v>1</v>
      </c>
      <c r="AY329" s="21">
        <f t="shared" si="24"/>
        <v>114300</v>
      </c>
      <c r="AZ329" t="b">
        <f t="shared" si="25"/>
        <v>1</v>
      </c>
    </row>
    <row r="330" spans="1:52" x14ac:dyDescent="0.4">
      <c r="A330" s="6" t="s">
        <v>2230</v>
      </c>
      <c r="B330" s="1" t="s">
        <v>1047</v>
      </c>
      <c r="C330" s="1" t="s">
        <v>1048</v>
      </c>
      <c r="D330" s="1" t="s">
        <v>1049</v>
      </c>
      <c r="E330" s="1" t="s">
        <v>44</v>
      </c>
      <c r="F330" s="1" t="s">
        <v>37</v>
      </c>
      <c r="G330" s="5" t="s">
        <v>46</v>
      </c>
      <c r="H330" s="1" t="s">
        <v>27</v>
      </c>
      <c r="I330">
        <v>114300</v>
      </c>
      <c r="J330" s="1" t="s">
        <v>33</v>
      </c>
      <c r="K330">
        <v>0</v>
      </c>
      <c r="L330">
        <v>0</v>
      </c>
      <c r="M330">
        <v>0</v>
      </c>
      <c r="N330">
        <v>0</v>
      </c>
      <c r="O330">
        <v>114300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s="18">
        <v>6</v>
      </c>
      <c r="Y330" s="6"/>
      <c r="Z330" s="6"/>
      <c r="AA330" s="6"/>
      <c r="AB330" s="6"/>
      <c r="AC330" s="6">
        <v>19050</v>
      </c>
      <c r="AD330" s="6">
        <v>19050</v>
      </c>
      <c r="AE330" s="6">
        <v>19050</v>
      </c>
      <c r="AF330" s="6">
        <v>19050</v>
      </c>
      <c r="AG330" s="6">
        <v>19050</v>
      </c>
      <c r="AH330" s="6">
        <v>19050</v>
      </c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>
        <f t="shared" si="22"/>
        <v>6</v>
      </c>
      <c r="AX330" t="b">
        <f t="shared" si="23"/>
        <v>1</v>
      </c>
      <c r="AY330" s="21">
        <f t="shared" si="24"/>
        <v>114300</v>
      </c>
      <c r="AZ330" t="b">
        <f t="shared" si="25"/>
        <v>1</v>
      </c>
    </row>
    <row r="331" spans="1:52" x14ac:dyDescent="0.4">
      <c r="A331" s="6" t="s">
        <v>2230</v>
      </c>
      <c r="B331" s="1" t="s">
        <v>1050</v>
      </c>
      <c r="C331" s="1" t="s">
        <v>1051</v>
      </c>
      <c r="D331" s="1" t="s">
        <v>1052</v>
      </c>
      <c r="E331" s="1" t="s">
        <v>44</v>
      </c>
      <c r="F331" s="1" t="s">
        <v>63</v>
      </c>
      <c r="G331" s="5" t="s">
        <v>46</v>
      </c>
      <c r="H331" s="1" t="s">
        <v>27</v>
      </c>
      <c r="I331">
        <v>114300</v>
      </c>
      <c r="J331" s="1" t="s">
        <v>33</v>
      </c>
      <c r="K331">
        <v>0</v>
      </c>
      <c r="L331">
        <v>0</v>
      </c>
      <c r="M331">
        <v>0</v>
      </c>
      <c r="N331">
        <v>0</v>
      </c>
      <c r="O331">
        <v>114300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s="18">
        <v>6</v>
      </c>
      <c r="Y331" s="6"/>
      <c r="Z331" s="6"/>
      <c r="AA331" s="6"/>
      <c r="AB331" s="6"/>
      <c r="AC331" s="6">
        <v>19050</v>
      </c>
      <c r="AD331" s="6">
        <v>19050</v>
      </c>
      <c r="AE331" s="6">
        <v>19050</v>
      </c>
      <c r="AF331" s="6">
        <v>19050</v>
      </c>
      <c r="AG331" s="6">
        <v>19050</v>
      </c>
      <c r="AH331" s="6">
        <v>19050</v>
      </c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>
        <f t="shared" si="22"/>
        <v>6</v>
      </c>
      <c r="AX331" t="b">
        <f t="shared" si="23"/>
        <v>1</v>
      </c>
      <c r="AY331" s="21">
        <f t="shared" si="24"/>
        <v>114300</v>
      </c>
      <c r="AZ331" t="b">
        <f t="shared" si="25"/>
        <v>1</v>
      </c>
    </row>
    <row r="332" spans="1:52" x14ac:dyDescent="0.4">
      <c r="A332" s="6" t="s">
        <v>2230</v>
      </c>
      <c r="B332" s="1" t="s">
        <v>1053</v>
      </c>
      <c r="C332" s="1" t="s">
        <v>1054</v>
      </c>
      <c r="D332" s="1" t="s">
        <v>1055</v>
      </c>
      <c r="E332" s="1" t="s">
        <v>44</v>
      </c>
      <c r="F332" s="1" t="s">
        <v>45</v>
      </c>
      <c r="G332" s="5" t="s">
        <v>46</v>
      </c>
      <c r="H332" s="1" t="s">
        <v>27</v>
      </c>
      <c r="I332">
        <v>114300</v>
      </c>
      <c r="J332" s="1" t="s">
        <v>33</v>
      </c>
      <c r="K332">
        <v>0</v>
      </c>
      <c r="L332">
        <v>0</v>
      </c>
      <c r="M332">
        <v>0</v>
      </c>
      <c r="N332">
        <v>0</v>
      </c>
      <c r="O332">
        <v>114300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s="18">
        <v>6</v>
      </c>
      <c r="Y332" s="6"/>
      <c r="Z332" s="6"/>
      <c r="AA332" s="6"/>
      <c r="AB332" s="6"/>
      <c r="AC332" s="6">
        <v>19050</v>
      </c>
      <c r="AD332" s="6">
        <v>19050</v>
      </c>
      <c r="AE332" s="6">
        <v>19050</v>
      </c>
      <c r="AF332" s="6">
        <v>19050</v>
      </c>
      <c r="AG332" s="6">
        <v>19050</v>
      </c>
      <c r="AH332" s="6">
        <v>19050</v>
      </c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>
        <f t="shared" si="22"/>
        <v>6</v>
      </c>
      <c r="AX332" t="b">
        <f t="shared" si="23"/>
        <v>1</v>
      </c>
      <c r="AY332" s="21">
        <f t="shared" si="24"/>
        <v>114300</v>
      </c>
      <c r="AZ332" t="b">
        <f t="shared" si="25"/>
        <v>1</v>
      </c>
    </row>
    <row r="333" spans="1:52" x14ac:dyDescent="0.4">
      <c r="A333" s="6" t="s">
        <v>2230</v>
      </c>
      <c r="B333" s="1" t="s">
        <v>1056</v>
      </c>
      <c r="C333" s="1" t="s">
        <v>1057</v>
      </c>
      <c r="D333" s="1" t="s">
        <v>1058</v>
      </c>
      <c r="E333" s="1" t="s">
        <v>44</v>
      </c>
      <c r="F333" s="1" t="s">
        <v>845</v>
      </c>
      <c r="G333" s="5" t="s">
        <v>46</v>
      </c>
      <c r="H333" s="1" t="s">
        <v>27</v>
      </c>
      <c r="I333">
        <v>114300</v>
      </c>
      <c r="J333" s="1" t="s">
        <v>33</v>
      </c>
      <c r="K333">
        <v>0</v>
      </c>
      <c r="L333">
        <v>0</v>
      </c>
      <c r="M333">
        <v>0</v>
      </c>
      <c r="N333">
        <v>0</v>
      </c>
      <c r="O333">
        <v>114300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18">
        <v>6</v>
      </c>
      <c r="Y333" s="6"/>
      <c r="Z333" s="6"/>
      <c r="AA333" s="6"/>
      <c r="AB333" s="6"/>
      <c r="AC333" s="6">
        <v>19050</v>
      </c>
      <c r="AD333" s="6">
        <v>19050</v>
      </c>
      <c r="AE333" s="6">
        <v>19050</v>
      </c>
      <c r="AF333" s="6">
        <v>19050</v>
      </c>
      <c r="AG333" s="6">
        <v>19050</v>
      </c>
      <c r="AH333" s="6">
        <v>19050</v>
      </c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>
        <f t="shared" si="22"/>
        <v>6</v>
      </c>
      <c r="AX333" t="b">
        <f t="shared" si="23"/>
        <v>1</v>
      </c>
      <c r="AY333" s="21">
        <f t="shared" si="24"/>
        <v>114300</v>
      </c>
      <c r="AZ333" t="b">
        <f t="shared" si="25"/>
        <v>1</v>
      </c>
    </row>
    <row r="334" spans="1:52" x14ac:dyDescent="0.4">
      <c r="A334" s="6" t="s">
        <v>2230</v>
      </c>
      <c r="B334" s="1" t="s">
        <v>1059</v>
      </c>
      <c r="C334" s="1" t="s">
        <v>1060</v>
      </c>
      <c r="D334" s="1" t="s">
        <v>1061</v>
      </c>
      <c r="E334" s="1" t="s">
        <v>25</v>
      </c>
      <c r="F334" s="1" t="s">
        <v>37</v>
      </c>
      <c r="G334" s="5" t="s">
        <v>10</v>
      </c>
      <c r="H334" s="1" t="s">
        <v>27</v>
      </c>
      <c r="I334">
        <v>59400</v>
      </c>
      <c r="J334" s="1" t="s">
        <v>33</v>
      </c>
      <c r="K334">
        <v>0</v>
      </c>
      <c r="L334">
        <v>59400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18">
        <v>3</v>
      </c>
      <c r="Y334" s="6"/>
      <c r="Z334" s="6">
        <v>19800</v>
      </c>
      <c r="AA334" s="6">
        <v>19800</v>
      </c>
      <c r="AB334" s="6">
        <v>19800</v>
      </c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>
        <f t="shared" si="22"/>
        <v>3</v>
      </c>
      <c r="AX334" t="b">
        <f t="shared" si="23"/>
        <v>1</v>
      </c>
      <c r="AY334" s="21">
        <f t="shared" si="24"/>
        <v>59400</v>
      </c>
      <c r="AZ334" t="b">
        <f t="shared" si="25"/>
        <v>1</v>
      </c>
    </row>
    <row r="335" spans="1:52" x14ac:dyDescent="0.4">
      <c r="A335" s="6" t="s">
        <v>2230</v>
      </c>
      <c r="B335" s="1" t="s">
        <v>1062</v>
      </c>
      <c r="C335" s="1" t="s">
        <v>1063</v>
      </c>
      <c r="D335" s="1" t="s">
        <v>1064</v>
      </c>
      <c r="E335" s="1" t="s">
        <v>44</v>
      </c>
      <c r="F335" s="1" t="s">
        <v>86</v>
      </c>
      <c r="G335" s="5" t="s">
        <v>46</v>
      </c>
      <c r="H335" s="1" t="s">
        <v>27</v>
      </c>
      <c r="I335">
        <v>114300</v>
      </c>
      <c r="J335" s="1" t="s">
        <v>33</v>
      </c>
      <c r="K335">
        <v>0</v>
      </c>
      <c r="L335">
        <v>0</v>
      </c>
      <c r="M335">
        <v>0</v>
      </c>
      <c r="N335">
        <v>0</v>
      </c>
      <c r="O335">
        <v>114300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s="18">
        <v>6</v>
      </c>
      <c r="Y335" s="6"/>
      <c r="Z335" s="6"/>
      <c r="AA335" s="6"/>
      <c r="AB335" s="6"/>
      <c r="AC335" s="6">
        <v>19050</v>
      </c>
      <c r="AD335" s="6">
        <v>19050</v>
      </c>
      <c r="AE335" s="6">
        <v>19050</v>
      </c>
      <c r="AF335" s="6">
        <v>19050</v>
      </c>
      <c r="AG335" s="6">
        <v>19050</v>
      </c>
      <c r="AH335" s="6">
        <v>19050</v>
      </c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>
        <f t="shared" si="22"/>
        <v>6</v>
      </c>
      <c r="AX335" t="b">
        <f t="shared" si="23"/>
        <v>1</v>
      </c>
      <c r="AY335" s="21">
        <f t="shared" si="24"/>
        <v>114300</v>
      </c>
      <c r="AZ335" t="b">
        <f t="shared" si="25"/>
        <v>1</v>
      </c>
    </row>
    <row r="336" spans="1:52" x14ac:dyDescent="0.4">
      <c r="A336" s="6" t="s">
        <v>2230</v>
      </c>
      <c r="B336" s="1" t="s">
        <v>1065</v>
      </c>
      <c r="C336" s="1" t="s">
        <v>1066</v>
      </c>
      <c r="D336" s="1" t="s">
        <v>1067</v>
      </c>
      <c r="E336" s="1" t="s">
        <v>44</v>
      </c>
      <c r="F336" s="1" t="s">
        <v>45</v>
      </c>
      <c r="G336" s="5" t="s">
        <v>46</v>
      </c>
      <c r="H336" s="1" t="s">
        <v>27</v>
      </c>
      <c r="I336">
        <v>114300</v>
      </c>
      <c r="J336" s="1" t="s">
        <v>33</v>
      </c>
      <c r="K336">
        <v>0</v>
      </c>
      <c r="L336">
        <v>0</v>
      </c>
      <c r="M336">
        <v>0</v>
      </c>
      <c r="N336">
        <v>0</v>
      </c>
      <c r="O336">
        <v>114300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s="18">
        <v>6</v>
      </c>
      <c r="Y336" s="6"/>
      <c r="Z336" s="6"/>
      <c r="AA336" s="6"/>
      <c r="AB336" s="6"/>
      <c r="AC336" s="6">
        <v>19050</v>
      </c>
      <c r="AD336" s="6">
        <v>19050</v>
      </c>
      <c r="AE336" s="6">
        <v>19050</v>
      </c>
      <c r="AF336" s="6">
        <v>19050</v>
      </c>
      <c r="AG336" s="6">
        <v>19050</v>
      </c>
      <c r="AH336" s="6">
        <v>19050</v>
      </c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>
        <f t="shared" ref="AW336:AW399" si="26">+COUNTA(Y336:AV336)</f>
        <v>6</v>
      </c>
      <c r="AX336" t="b">
        <f t="shared" ref="AX336:AX399" si="27">+AW336=X336</f>
        <v>1</v>
      </c>
      <c r="AY336" s="21">
        <f t="shared" si="24"/>
        <v>114300</v>
      </c>
      <c r="AZ336" t="b">
        <f t="shared" si="25"/>
        <v>1</v>
      </c>
    </row>
    <row r="337" spans="1:52" x14ac:dyDescent="0.4">
      <c r="A337" s="6" t="s">
        <v>2230</v>
      </c>
      <c r="B337" s="1" t="s">
        <v>1068</v>
      </c>
      <c r="C337" s="1" t="s">
        <v>1069</v>
      </c>
      <c r="D337" s="1" t="s">
        <v>1070</v>
      </c>
      <c r="E337" s="1" t="s">
        <v>25</v>
      </c>
      <c r="F337" s="1" t="s">
        <v>51</v>
      </c>
      <c r="G337" s="5" t="s">
        <v>10</v>
      </c>
      <c r="H337" s="1" t="s">
        <v>27</v>
      </c>
      <c r="I337">
        <v>59400</v>
      </c>
      <c r="J337" s="1" t="s">
        <v>33</v>
      </c>
      <c r="K337">
        <v>0</v>
      </c>
      <c r="L337">
        <v>59400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18">
        <v>3</v>
      </c>
      <c r="Y337" s="6"/>
      <c r="Z337" s="6">
        <v>19800</v>
      </c>
      <c r="AA337" s="6">
        <v>19800</v>
      </c>
      <c r="AB337" s="6">
        <v>19800</v>
      </c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>
        <f t="shared" si="26"/>
        <v>3</v>
      </c>
      <c r="AX337" t="b">
        <f t="shared" si="27"/>
        <v>1</v>
      </c>
      <c r="AY337" s="21">
        <f t="shared" si="24"/>
        <v>59400</v>
      </c>
      <c r="AZ337" t="b">
        <f t="shared" si="25"/>
        <v>1</v>
      </c>
    </row>
    <row r="338" spans="1:52" x14ac:dyDescent="0.4">
      <c r="A338" s="6" t="s">
        <v>2230</v>
      </c>
      <c r="B338" s="1" t="s">
        <v>1071</v>
      </c>
      <c r="C338" s="1" t="s">
        <v>1072</v>
      </c>
      <c r="D338" s="1" t="s">
        <v>1073</v>
      </c>
      <c r="E338" s="1" t="s">
        <v>25</v>
      </c>
      <c r="F338" s="1" t="s">
        <v>112</v>
      </c>
      <c r="G338" s="5" t="s">
        <v>10</v>
      </c>
      <c r="H338" s="1" t="s">
        <v>27</v>
      </c>
      <c r="I338">
        <v>59400</v>
      </c>
      <c r="J338" s="1" t="s">
        <v>33</v>
      </c>
      <c r="K338">
        <v>0</v>
      </c>
      <c r="L338">
        <v>59400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s="18">
        <v>3</v>
      </c>
      <c r="Y338" s="6"/>
      <c r="Z338" s="6">
        <v>19800</v>
      </c>
      <c r="AA338" s="6">
        <v>19800</v>
      </c>
      <c r="AB338" s="6">
        <v>19800</v>
      </c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>
        <f t="shared" si="26"/>
        <v>3</v>
      </c>
      <c r="AX338" t="b">
        <f t="shared" si="27"/>
        <v>1</v>
      </c>
      <c r="AY338" s="21">
        <f t="shared" si="24"/>
        <v>59400</v>
      </c>
      <c r="AZ338" t="b">
        <f t="shared" si="25"/>
        <v>1</v>
      </c>
    </row>
    <row r="339" spans="1:52" x14ac:dyDescent="0.4">
      <c r="A339" s="6" t="s">
        <v>2230</v>
      </c>
      <c r="B339" s="1" t="s">
        <v>1074</v>
      </c>
      <c r="C339" s="1" t="s">
        <v>1075</v>
      </c>
      <c r="D339" s="1" t="s">
        <v>1076</v>
      </c>
      <c r="E339" s="1" t="s">
        <v>44</v>
      </c>
      <c r="F339" s="1" t="s">
        <v>63</v>
      </c>
      <c r="G339" s="5" t="s">
        <v>46</v>
      </c>
      <c r="H339" s="1" t="s">
        <v>27</v>
      </c>
      <c r="I339">
        <v>114300</v>
      </c>
      <c r="J339" s="1" t="s">
        <v>33</v>
      </c>
      <c r="K339">
        <v>0</v>
      </c>
      <c r="L339">
        <v>0</v>
      </c>
      <c r="M339">
        <v>0</v>
      </c>
      <c r="N339">
        <v>0</v>
      </c>
      <c r="O339">
        <v>114300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s="18">
        <v>6</v>
      </c>
      <c r="Y339" s="6"/>
      <c r="Z339" s="6"/>
      <c r="AA339" s="6"/>
      <c r="AB339" s="6"/>
      <c r="AC339" s="6">
        <v>19050</v>
      </c>
      <c r="AD339" s="6">
        <v>19050</v>
      </c>
      <c r="AE339" s="6">
        <v>19050</v>
      </c>
      <c r="AF339" s="6">
        <v>19050</v>
      </c>
      <c r="AG339" s="6">
        <v>19050</v>
      </c>
      <c r="AH339" s="6">
        <v>19050</v>
      </c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>
        <f t="shared" si="26"/>
        <v>6</v>
      </c>
      <c r="AX339" t="b">
        <f t="shared" si="27"/>
        <v>1</v>
      </c>
      <c r="AY339" s="21">
        <f t="shared" si="24"/>
        <v>114300</v>
      </c>
      <c r="AZ339" t="b">
        <f t="shared" si="25"/>
        <v>1</v>
      </c>
    </row>
    <row r="340" spans="1:52" x14ac:dyDescent="0.4">
      <c r="A340" s="6" t="s">
        <v>2230</v>
      </c>
      <c r="B340" s="1" t="s">
        <v>1077</v>
      </c>
      <c r="C340" s="1" t="s">
        <v>1078</v>
      </c>
      <c r="D340" s="1" t="s">
        <v>1079</v>
      </c>
      <c r="E340" s="1" t="s">
        <v>44</v>
      </c>
      <c r="F340" s="1" t="s">
        <v>56</v>
      </c>
      <c r="G340" s="5" t="s">
        <v>46</v>
      </c>
      <c r="H340" s="1" t="s">
        <v>27</v>
      </c>
      <c r="I340">
        <v>114300</v>
      </c>
      <c r="J340" s="1" t="s">
        <v>33</v>
      </c>
      <c r="K340">
        <v>0</v>
      </c>
      <c r="L340">
        <v>0</v>
      </c>
      <c r="M340">
        <v>0</v>
      </c>
      <c r="N340">
        <v>0</v>
      </c>
      <c r="O340">
        <v>114300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18">
        <v>6</v>
      </c>
      <c r="Y340" s="6"/>
      <c r="Z340" s="6"/>
      <c r="AA340" s="6"/>
      <c r="AB340" s="6"/>
      <c r="AC340" s="6">
        <v>19050</v>
      </c>
      <c r="AD340" s="6">
        <v>19050</v>
      </c>
      <c r="AE340" s="6">
        <v>19050</v>
      </c>
      <c r="AF340" s="6">
        <v>19050</v>
      </c>
      <c r="AG340" s="6">
        <v>19050</v>
      </c>
      <c r="AH340" s="6">
        <v>19050</v>
      </c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>
        <f t="shared" si="26"/>
        <v>6</v>
      </c>
      <c r="AX340" t="b">
        <f t="shared" si="27"/>
        <v>1</v>
      </c>
      <c r="AY340" s="21">
        <f t="shared" si="24"/>
        <v>114300</v>
      </c>
      <c r="AZ340" t="b">
        <f t="shared" si="25"/>
        <v>1</v>
      </c>
    </row>
    <row r="341" spans="1:52" x14ac:dyDescent="0.4">
      <c r="A341" s="6" t="s">
        <v>2230</v>
      </c>
      <c r="B341" s="1" t="s">
        <v>1080</v>
      </c>
      <c r="C341" s="1" t="s">
        <v>1081</v>
      </c>
      <c r="D341" s="1" t="s">
        <v>1082</v>
      </c>
      <c r="E341" s="1" t="s">
        <v>44</v>
      </c>
      <c r="F341" s="1" t="s">
        <v>37</v>
      </c>
      <c r="G341" s="5" t="s">
        <v>46</v>
      </c>
      <c r="H341" s="1" t="s">
        <v>27</v>
      </c>
      <c r="I341">
        <v>114300</v>
      </c>
      <c r="J341" s="1" t="s">
        <v>33</v>
      </c>
      <c r="K341">
        <v>0</v>
      </c>
      <c r="L341">
        <v>0</v>
      </c>
      <c r="M341">
        <v>0</v>
      </c>
      <c r="N341">
        <v>0</v>
      </c>
      <c r="O341">
        <v>114300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s="18">
        <v>6</v>
      </c>
      <c r="Y341" s="6"/>
      <c r="Z341" s="6"/>
      <c r="AA341" s="6"/>
      <c r="AB341" s="6"/>
      <c r="AC341" s="6">
        <v>19050</v>
      </c>
      <c r="AD341" s="6">
        <v>19050</v>
      </c>
      <c r="AE341" s="6">
        <v>19050</v>
      </c>
      <c r="AF341" s="6">
        <v>19050</v>
      </c>
      <c r="AG341" s="6">
        <v>19050</v>
      </c>
      <c r="AH341" s="6">
        <v>19050</v>
      </c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>
        <f t="shared" si="26"/>
        <v>6</v>
      </c>
      <c r="AX341" t="b">
        <f t="shared" si="27"/>
        <v>1</v>
      </c>
      <c r="AY341" s="21">
        <f t="shared" si="24"/>
        <v>114300</v>
      </c>
      <c r="AZ341" t="b">
        <f t="shared" si="25"/>
        <v>1</v>
      </c>
    </row>
    <row r="342" spans="1:52" x14ac:dyDescent="0.4">
      <c r="A342" s="6" t="s">
        <v>2230</v>
      </c>
      <c r="B342" s="1" t="s">
        <v>1083</v>
      </c>
      <c r="C342" s="1" t="s">
        <v>1084</v>
      </c>
      <c r="D342" s="1" t="s">
        <v>1085</v>
      </c>
      <c r="E342" s="1" t="s">
        <v>25</v>
      </c>
      <c r="F342" s="1" t="s">
        <v>37</v>
      </c>
      <c r="G342" s="5" t="s">
        <v>10</v>
      </c>
      <c r="H342" s="1" t="s">
        <v>27</v>
      </c>
      <c r="I342">
        <v>59400</v>
      </c>
      <c r="J342" s="1" t="s">
        <v>33</v>
      </c>
      <c r="K342">
        <v>0</v>
      </c>
      <c r="L342">
        <v>59400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s="18">
        <v>3</v>
      </c>
      <c r="Y342" s="6"/>
      <c r="Z342" s="6">
        <v>19800</v>
      </c>
      <c r="AA342" s="6">
        <v>19800</v>
      </c>
      <c r="AB342" s="6">
        <v>19800</v>
      </c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>
        <f t="shared" si="26"/>
        <v>3</v>
      </c>
      <c r="AX342" t="b">
        <f t="shared" si="27"/>
        <v>1</v>
      </c>
      <c r="AY342" s="21">
        <f t="shared" si="24"/>
        <v>59400</v>
      </c>
      <c r="AZ342" t="b">
        <f t="shared" si="25"/>
        <v>1</v>
      </c>
    </row>
    <row r="343" spans="1:52" x14ac:dyDescent="0.4">
      <c r="A343" s="6" t="s">
        <v>2230</v>
      </c>
      <c r="B343" s="1" t="s">
        <v>1086</v>
      </c>
      <c r="C343" s="1" t="s">
        <v>1087</v>
      </c>
      <c r="D343" s="1" t="s">
        <v>1088</v>
      </c>
      <c r="E343" s="1" t="s">
        <v>44</v>
      </c>
      <c r="F343" s="1" t="s">
        <v>90</v>
      </c>
      <c r="G343" s="5" t="s">
        <v>46</v>
      </c>
      <c r="H343" s="1" t="s">
        <v>27</v>
      </c>
      <c r="I343">
        <v>114300</v>
      </c>
      <c r="J343" s="1" t="s">
        <v>33</v>
      </c>
      <c r="K343">
        <v>0</v>
      </c>
      <c r="L343">
        <v>0</v>
      </c>
      <c r="M343">
        <v>0</v>
      </c>
      <c r="N343">
        <v>0</v>
      </c>
      <c r="O343">
        <v>114300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s="18">
        <v>6</v>
      </c>
      <c r="Y343" s="6"/>
      <c r="Z343" s="6"/>
      <c r="AA343" s="6"/>
      <c r="AB343" s="6"/>
      <c r="AC343" s="6">
        <v>19050</v>
      </c>
      <c r="AD343" s="6">
        <v>19050</v>
      </c>
      <c r="AE343" s="6">
        <v>19050</v>
      </c>
      <c r="AF343" s="6">
        <v>19050</v>
      </c>
      <c r="AG343" s="6">
        <v>19050</v>
      </c>
      <c r="AH343" s="6">
        <v>19050</v>
      </c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>
        <f t="shared" si="26"/>
        <v>6</v>
      </c>
      <c r="AX343" t="b">
        <f t="shared" si="27"/>
        <v>1</v>
      </c>
      <c r="AY343" s="21">
        <f t="shared" si="24"/>
        <v>114300</v>
      </c>
      <c r="AZ343" t="b">
        <f t="shared" si="25"/>
        <v>1</v>
      </c>
    </row>
    <row r="344" spans="1:52" x14ac:dyDescent="0.4">
      <c r="A344" s="6" t="s">
        <v>2230</v>
      </c>
      <c r="B344" s="1" t="s">
        <v>1089</v>
      </c>
      <c r="C344" s="1" t="s">
        <v>1090</v>
      </c>
      <c r="D344" s="1" t="s">
        <v>1091</v>
      </c>
      <c r="E344" s="1" t="s">
        <v>25</v>
      </c>
      <c r="F344" s="1" t="s">
        <v>150</v>
      </c>
      <c r="G344" s="5" t="s">
        <v>10</v>
      </c>
      <c r="H344" s="1" t="s">
        <v>27</v>
      </c>
      <c r="I344">
        <v>59400</v>
      </c>
      <c r="J344" s="1" t="s">
        <v>33</v>
      </c>
      <c r="K344">
        <v>0</v>
      </c>
      <c r="L344">
        <v>59400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18">
        <v>3</v>
      </c>
      <c r="Y344" s="6"/>
      <c r="Z344" s="6">
        <v>19800</v>
      </c>
      <c r="AA344" s="6">
        <v>19800</v>
      </c>
      <c r="AB344" s="6">
        <v>19800</v>
      </c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>
        <f t="shared" si="26"/>
        <v>3</v>
      </c>
      <c r="AX344" t="b">
        <f t="shared" si="27"/>
        <v>1</v>
      </c>
      <c r="AY344" s="21">
        <f t="shared" si="24"/>
        <v>59400</v>
      </c>
      <c r="AZ344" t="b">
        <f t="shared" si="25"/>
        <v>1</v>
      </c>
    </row>
    <row r="345" spans="1:52" x14ac:dyDescent="0.4">
      <c r="A345" s="6" t="s">
        <v>2230</v>
      </c>
      <c r="B345" s="1" t="s">
        <v>1092</v>
      </c>
      <c r="C345" s="1" t="s">
        <v>1093</v>
      </c>
      <c r="D345" s="1" t="s">
        <v>1094</v>
      </c>
      <c r="E345" s="1" t="s">
        <v>25</v>
      </c>
      <c r="F345" s="1" t="s">
        <v>82</v>
      </c>
      <c r="G345" s="5" t="s">
        <v>10</v>
      </c>
      <c r="H345" s="1" t="s">
        <v>27</v>
      </c>
      <c r="I345">
        <v>59400</v>
      </c>
      <c r="J345" s="1" t="s">
        <v>33</v>
      </c>
      <c r="K345">
        <v>0</v>
      </c>
      <c r="L345">
        <v>59400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s="18">
        <v>3</v>
      </c>
      <c r="Y345" s="6"/>
      <c r="Z345" s="6">
        <v>19800</v>
      </c>
      <c r="AA345" s="6">
        <v>19800</v>
      </c>
      <c r="AB345" s="6">
        <v>19800</v>
      </c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>
        <f t="shared" si="26"/>
        <v>3</v>
      </c>
      <c r="AX345" t="b">
        <f t="shared" si="27"/>
        <v>1</v>
      </c>
      <c r="AY345" s="21">
        <f t="shared" si="24"/>
        <v>59400</v>
      </c>
      <c r="AZ345" t="b">
        <f t="shared" si="25"/>
        <v>1</v>
      </c>
    </row>
    <row r="346" spans="1:52" x14ac:dyDescent="0.4">
      <c r="A346" s="6" t="s">
        <v>2230</v>
      </c>
      <c r="B346" s="1" t="s">
        <v>1095</v>
      </c>
      <c r="C346" s="1" t="s">
        <v>1096</v>
      </c>
      <c r="D346" s="1" t="s">
        <v>1097</v>
      </c>
      <c r="E346" s="1" t="s">
        <v>44</v>
      </c>
      <c r="F346" s="1" t="s">
        <v>82</v>
      </c>
      <c r="G346" s="5" t="s">
        <v>46</v>
      </c>
      <c r="H346" s="1" t="s">
        <v>27</v>
      </c>
      <c r="I346">
        <v>114300</v>
      </c>
      <c r="J346" s="1" t="s">
        <v>33</v>
      </c>
      <c r="K346">
        <v>0</v>
      </c>
      <c r="L346">
        <v>0</v>
      </c>
      <c r="M346">
        <v>0</v>
      </c>
      <c r="N346">
        <v>0</v>
      </c>
      <c r="O346">
        <v>114300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18">
        <v>6</v>
      </c>
      <c r="Y346" s="6"/>
      <c r="Z346" s="6"/>
      <c r="AA346" s="6"/>
      <c r="AB346" s="6"/>
      <c r="AC346" s="6">
        <v>19050</v>
      </c>
      <c r="AD346" s="6">
        <v>19050</v>
      </c>
      <c r="AE346" s="6">
        <v>19050</v>
      </c>
      <c r="AF346" s="6">
        <v>19050</v>
      </c>
      <c r="AG346" s="6">
        <v>19050</v>
      </c>
      <c r="AH346" s="6">
        <v>19050</v>
      </c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>
        <f t="shared" si="26"/>
        <v>6</v>
      </c>
      <c r="AX346" t="b">
        <f t="shared" si="27"/>
        <v>1</v>
      </c>
      <c r="AY346" s="21">
        <f t="shared" si="24"/>
        <v>114300</v>
      </c>
      <c r="AZ346" t="b">
        <f t="shared" si="25"/>
        <v>1</v>
      </c>
    </row>
    <row r="347" spans="1:52" x14ac:dyDescent="0.4">
      <c r="A347" s="6" t="s">
        <v>2230</v>
      </c>
      <c r="B347" s="1" t="s">
        <v>1098</v>
      </c>
      <c r="C347" s="1" t="s">
        <v>1099</v>
      </c>
      <c r="D347" s="1" t="s">
        <v>1100</v>
      </c>
      <c r="E347" s="1" t="s">
        <v>25</v>
      </c>
      <c r="F347" s="1" t="s">
        <v>45</v>
      </c>
      <c r="G347" s="5" t="s">
        <v>10</v>
      </c>
      <c r="H347" s="1" t="s">
        <v>27</v>
      </c>
      <c r="I347">
        <v>59400</v>
      </c>
      <c r="J347" s="1" t="s">
        <v>33</v>
      </c>
      <c r="K347">
        <v>0</v>
      </c>
      <c r="L347">
        <v>59400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s="18">
        <v>3</v>
      </c>
      <c r="Y347" s="6"/>
      <c r="Z347" s="6">
        <v>19800</v>
      </c>
      <c r="AA347" s="6">
        <v>19800</v>
      </c>
      <c r="AB347" s="6">
        <v>19800</v>
      </c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>
        <f t="shared" si="26"/>
        <v>3</v>
      </c>
      <c r="AX347" t="b">
        <f t="shared" si="27"/>
        <v>1</v>
      </c>
      <c r="AY347" s="21">
        <f t="shared" si="24"/>
        <v>59400</v>
      </c>
      <c r="AZ347" t="b">
        <f t="shared" si="25"/>
        <v>1</v>
      </c>
    </row>
    <row r="348" spans="1:52" x14ac:dyDescent="0.4">
      <c r="A348" s="6" t="s">
        <v>2230</v>
      </c>
      <c r="B348" s="1" t="s">
        <v>1101</v>
      </c>
      <c r="C348" s="1" t="s">
        <v>1102</v>
      </c>
      <c r="D348" s="1" t="s">
        <v>1103</v>
      </c>
      <c r="E348" s="1" t="s">
        <v>44</v>
      </c>
      <c r="F348" s="1" t="s">
        <v>63</v>
      </c>
      <c r="G348" s="5" t="s">
        <v>46</v>
      </c>
      <c r="H348" s="1" t="s">
        <v>27</v>
      </c>
      <c r="I348">
        <v>114300</v>
      </c>
      <c r="J348" s="1" t="s">
        <v>33</v>
      </c>
      <c r="K348">
        <v>0</v>
      </c>
      <c r="L348">
        <v>0</v>
      </c>
      <c r="M348">
        <v>0</v>
      </c>
      <c r="N348">
        <v>0</v>
      </c>
      <c r="O348">
        <v>114300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s="18">
        <v>6</v>
      </c>
      <c r="Y348" s="6"/>
      <c r="Z348" s="6"/>
      <c r="AA348" s="6"/>
      <c r="AB348" s="6"/>
      <c r="AC348" s="6">
        <v>19050</v>
      </c>
      <c r="AD348" s="6">
        <v>19050</v>
      </c>
      <c r="AE348" s="6">
        <v>19050</v>
      </c>
      <c r="AF348" s="6">
        <v>19050</v>
      </c>
      <c r="AG348" s="6">
        <v>19050</v>
      </c>
      <c r="AH348" s="6">
        <v>19050</v>
      </c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>
        <f t="shared" si="26"/>
        <v>6</v>
      </c>
      <c r="AX348" t="b">
        <f t="shared" si="27"/>
        <v>1</v>
      </c>
      <c r="AY348" s="21">
        <f t="shared" si="24"/>
        <v>114300</v>
      </c>
      <c r="AZ348" t="b">
        <f t="shared" si="25"/>
        <v>1</v>
      </c>
    </row>
    <row r="349" spans="1:52" x14ac:dyDescent="0.4">
      <c r="A349" s="6" t="s">
        <v>2230</v>
      </c>
      <c r="B349" s="1" t="s">
        <v>1104</v>
      </c>
      <c r="C349" s="1" t="s">
        <v>1105</v>
      </c>
      <c r="D349" s="1" t="s">
        <v>1106</v>
      </c>
      <c r="E349" s="1" t="s">
        <v>25</v>
      </c>
      <c r="F349" s="1" t="s">
        <v>86</v>
      </c>
      <c r="G349" s="5" t="s">
        <v>10</v>
      </c>
      <c r="H349" s="1" t="s">
        <v>27</v>
      </c>
      <c r="I349">
        <v>59400</v>
      </c>
      <c r="J349" s="1" t="s">
        <v>33</v>
      </c>
      <c r="K349">
        <v>0</v>
      </c>
      <c r="L349">
        <v>59400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s="18">
        <v>3</v>
      </c>
      <c r="Y349" s="6"/>
      <c r="Z349" s="6">
        <v>19800</v>
      </c>
      <c r="AA349" s="6">
        <v>19800</v>
      </c>
      <c r="AB349" s="6">
        <v>19800</v>
      </c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>
        <f t="shared" si="26"/>
        <v>3</v>
      </c>
      <c r="AX349" t="b">
        <f t="shared" si="27"/>
        <v>1</v>
      </c>
      <c r="AY349" s="21">
        <f t="shared" si="24"/>
        <v>59400</v>
      </c>
      <c r="AZ349" t="b">
        <f t="shared" si="25"/>
        <v>1</v>
      </c>
    </row>
    <row r="350" spans="1:52" x14ac:dyDescent="0.4">
      <c r="A350" s="6" t="s">
        <v>2230</v>
      </c>
      <c r="B350" s="1" t="s">
        <v>1107</v>
      </c>
      <c r="C350" s="1" t="s">
        <v>1108</v>
      </c>
      <c r="D350" s="1" t="s">
        <v>1109</v>
      </c>
      <c r="E350" s="1" t="s">
        <v>44</v>
      </c>
      <c r="F350" s="1" t="s">
        <v>37</v>
      </c>
      <c r="G350" s="5" t="s">
        <v>46</v>
      </c>
      <c r="H350" s="1" t="s">
        <v>27</v>
      </c>
      <c r="I350">
        <v>114300</v>
      </c>
      <c r="J350" s="1" t="s">
        <v>33</v>
      </c>
      <c r="K350">
        <v>0</v>
      </c>
      <c r="L350">
        <v>0</v>
      </c>
      <c r="M350">
        <v>0</v>
      </c>
      <c r="N350">
        <v>0</v>
      </c>
      <c r="O350">
        <v>114300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s="18">
        <v>6</v>
      </c>
      <c r="Y350" s="6"/>
      <c r="Z350" s="6"/>
      <c r="AA350" s="6"/>
      <c r="AB350" s="6"/>
      <c r="AC350" s="6">
        <v>19050</v>
      </c>
      <c r="AD350" s="6">
        <v>19050</v>
      </c>
      <c r="AE350" s="6">
        <v>19050</v>
      </c>
      <c r="AF350" s="6">
        <v>19050</v>
      </c>
      <c r="AG350" s="6">
        <v>19050</v>
      </c>
      <c r="AH350" s="6">
        <v>19050</v>
      </c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>
        <f t="shared" si="26"/>
        <v>6</v>
      </c>
      <c r="AX350" t="b">
        <f t="shared" si="27"/>
        <v>1</v>
      </c>
      <c r="AY350" s="21">
        <f t="shared" si="24"/>
        <v>114300</v>
      </c>
      <c r="AZ350" t="b">
        <f t="shared" si="25"/>
        <v>1</v>
      </c>
    </row>
    <row r="351" spans="1:52" x14ac:dyDescent="0.4">
      <c r="A351" s="6" t="s">
        <v>2230</v>
      </c>
      <c r="B351" s="1" t="s">
        <v>1110</v>
      </c>
      <c r="C351" s="1" t="s">
        <v>1111</v>
      </c>
      <c r="D351" s="1" t="s">
        <v>1112</v>
      </c>
      <c r="E351" s="1" t="s">
        <v>44</v>
      </c>
      <c r="F351" s="1" t="s">
        <v>63</v>
      </c>
      <c r="G351" s="5" t="s">
        <v>46</v>
      </c>
      <c r="H351" s="1" t="s">
        <v>27</v>
      </c>
      <c r="I351">
        <v>114300</v>
      </c>
      <c r="J351" s="1" t="s">
        <v>33</v>
      </c>
      <c r="K351">
        <v>0</v>
      </c>
      <c r="L351">
        <v>0</v>
      </c>
      <c r="M351">
        <v>0</v>
      </c>
      <c r="N351">
        <v>0</v>
      </c>
      <c r="O351">
        <v>114300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s="18">
        <v>6</v>
      </c>
      <c r="Y351" s="6"/>
      <c r="Z351" s="6"/>
      <c r="AA351" s="6"/>
      <c r="AB351" s="6"/>
      <c r="AC351" s="6">
        <v>19050</v>
      </c>
      <c r="AD351" s="6">
        <v>19050</v>
      </c>
      <c r="AE351" s="6">
        <v>19050</v>
      </c>
      <c r="AF351" s="6">
        <v>19050</v>
      </c>
      <c r="AG351" s="6">
        <v>19050</v>
      </c>
      <c r="AH351" s="6">
        <v>19050</v>
      </c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>
        <f t="shared" si="26"/>
        <v>6</v>
      </c>
      <c r="AX351" t="b">
        <f t="shared" si="27"/>
        <v>1</v>
      </c>
      <c r="AY351" s="21">
        <f t="shared" si="24"/>
        <v>114300</v>
      </c>
      <c r="AZ351" t="b">
        <f t="shared" si="25"/>
        <v>1</v>
      </c>
    </row>
    <row r="352" spans="1:52" x14ac:dyDescent="0.4">
      <c r="A352" s="6" t="s">
        <v>2230</v>
      </c>
      <c r="B352" s="1" t="s">
        <v>1113</v>
      </c>
      <c r="C352" s="1" t="s">
        <v>1114</v>
      </c>
      <c r="D352" s="1" t="s">
        <v>1115</v>
      </c>
      <c r="E352" s="1" t="s">
        <v>25</v>
      </c>
      <c r="F352" s="1" t="s">
        <v>37</v>
      </c>
      <c r="G352" s="5" t="s">
        <v>10</v>
      </c>
      <c r="H352" s="1" t="s">
        <v>27</v>
      </c>
      <c r="I352">
        <v>59400</v>
      </c>
      <c r="J352" s="1" t="s">
        <v>33</v>
      </c>
      <c r="K352">
        <v>0</v>
      </c>
      <c r="L352">
        <v>59400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s="18">
        <v>3</v>
      </c>
      <c r="Y352" s="6"/>
      <c r="Z352" s="6">
        <v>19800</v>
      </c>
      <c r="AA352" s="6">
        <v>19800</v>
      </c>
      <c r="AB352" s="6">
        <v>19800</v>
      </c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>
        <f t="shared" si="26"/>
        <v>3</v>
      </c>
      <c r="AX352" t="b">
        <f t="shared" si="27"/>
        <v>1</v>
      </c>
      <c r="AY352" s="21">
        <f t="shared" si="24"/>
        <v>59400</v>
      </c>
      <c r="AZ352" t="b">
        <f t="shared" si="25"/>
        <v>1</v>
      </c>
    </row>
    <row r="353" spans="1:52" x14ac:dyDescent="0.4">
      <c r="A353" s="6" t="s">
        <v>2230</v>
      </c>
      <c r="B353" s="1" t="s">
        <v>1116</v>
      </c>
      <c r="C353" s="1" t="s">
        <v>1117</v>
      </c>
      <c r="D353" s="1" t="s">
        <v>1118</v>
      </c>
      <c r="E353" s="1" t="s">
        <v>44</v>
      </c>
      <c r="F353" s="1" t="s">
        <v>86</v>
      </c>
      <c r="G353" s="5" t="s">
        <v>46</v>
      </c>
      <c r="H353" s="1" t="s">
        <v>27</v>
      </c>
      <c r="I353">
        <v>114300</v>
      </c>
      <c r="J353" s="1" t="s">
        <v>33</v>
      </c>
      <c r="K353">
        <v>0</v>
      </c>
      <c r="L353">
        <v>0</v>
      </c>
      <c r="M353">
        <v>0</v>
      </c>
      <c r="N353">
        <v>0</v>
      </c>
      <c r="O353">
        <v>114300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s="18">
        <v>6</v>
      </c>
      <c r="Y353" s="6"/>
      <c r="Z353" s="6"/>
      <c r="AA353" s="6"/>
      <c r="AB353" s="6"/>
      <c r="AC353" s="6">
        <v>19050</v>
      </c>
      <c r="AD353" s="6">
        <v>19050</v>
      </c>
      <c r="AE353" s="6">
        <v>19050</v>
      </c>
      <c r="AF353" s="6">
        <v>19050</v>
      </c>
      <c r="AG353" s="6">
        <v>19050</v>
      </c>
      <c r="AH353" s="6">
        <v>19050</v>
      </c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>
        <f t="shared" si="26"/>
        <v>6</v>
      </c>
      <c r="AX353" t="b">
        <f t="shared" si="27"/>
        <v>1</v>
      </c>
      <c r="AY353" s="21">
        <f t="shared" si="24"/>
        <v>114300</v>
      </c>
      <c r="AZ353" t="b">
        <f t="shared" si="25"/>
        <v>1</v>
      </c>
    </row>
    <row r="354" spans="1:52" x14ac:dyDescent="0.4">
      <c r="A354" s="6" t="s">
        <v>2230</v>
      </c>
      <c r="B354" s="1" t="s">
        <v>1119</v>
      </c>
      <c r="C354" s="1" t="s">
        <v>1120</v>
      </c>
      <c r="D354" s="1" t="s">
        <v>1121</v>
      </c>
      <c r="E354" s="1" t="s">
        <v>44</v>
      </c>
      <c r="F354" s="1" t="s">
        <v>86</v>
      </c>
      <c r="G354" s="5" t="s">
        <v>46</v>
      </c>
      <c r="H354" s="1" t="s">
        <v>27</v>
      </c>
      <c r="I354">
        <v>114300</v>
      </c>
      <c r="J354" s="1" t="s">
        <v>33</v>
      </c>
      <c r="K354">
        <v>0</v>
      </c>
      <c r="L354">
        <v>0</v>
      </c>
      <c r="M354">
        <v>0</v>
      </c>
      <c r="N354">
        <v>0</v>
      </c>
      <c r="O354">
        <v>114300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s="18">
        <v>6</v>
      </c>
      <c r="Y354" s="6"/>
      <c r="Z354" s="6"/>
      <c r="AA354" s="6"/>
      <c r="AB354" s="6"/>
      <c r="AC354" s="6">
        <v>19050</v>
      </c>
      <c r="AD354" s="6">
        <v>19050</v>
      </c>
      <c r="AE354" s="6">
        <v>19050</v>
      </c>
      <c r="AF354" s="6">
        <v>19050</v>
      </c>
      <c r="AG354" s="6">
        <v>19050</v>
      </c>
      <c r="AH354" s="6">
        <v>19050</v>
      </c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>
        <f t="shared" si="26"/>
        <v>6</v>
      </c>
      <c r="AX354" t="b">
        <f t="shared" si="27"/>
        <v>1</v>
      </c>
      <c r="AY354" s="21">
        <f t="shared" si="24"/>
        <v>114300</v>
      </c>
      <c r="AZ354" t="b">
        <f t="shared" si="25"/>
        <v>1</v>
      </c>
    </row>
    <row r="355" spans="1:52" x14ac:dyDescent="0.4">
      <c r="A355" s="6" t="s">
        <v>2230</v>
      </c>
      <c r="B355" s="1" t="s">
        <v>1122</v>
      </c>
      <c r="C355" s="1" t="s">
        <v>1123</v>
      </c>
      <c r="D355" s="1" t="s">
        <v>1124</v>
      </c>
      <c r="E355" s="1" t="s">
        <v>50</v>
      </c>
      <c r="F355" s="1" t="s">
        <v>1125</v>
      </c>
      <c r="G355" s="5" t="s">
        <v>479</v>
      </c>
      <c r="H355" s="1" t="s">
        <v>52</v>
      </c>
      <c r="I355">
        <v>114300</v>
      </c>
      <c r="J355" s="1" t="s">
        <v>28</v>
      </c>
      <c r="K355">
        <v>0</v>
      </c>
      <c r="L355">
        <v>0</v>
      </c>
      <c r="M355">
        <v>114300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s="18">
        <v>6</v>
      </c>
      <c r="Y355" s="6"/>
      <c r="Z355" s="6"/>
      <c r="AA355" s="6">
        <v>19050</v>
      </c>
      <c r="AB355" s="6">
        <v>19050</v>
      </c>
      <c r="AC355" s="6">
        <v>19050</v>
      </c>
      <c r="AD355" s="6">
        <v>19050</v>
      </c>
      <c r="AE355" s="6">
        <v>19050</v>
      </c>
      <c r="AF355" s="6">
        <v>19050</v>
      </c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>
        <f t="shared" si="26"/>
        <v>6</v>
      </c>
      <c r="AX355" t="b">
        <f t="shared" si="27"/>
        <v>1</v>
      </c>
      <c r="AY355" s="21">
        <f t="shared" si="24"/>
        <v>114300</v>
      </c>
      <c r="AZ355" t="b">
        <f t="shared" si="25"/>
        <v>1</v>
      </c>
    </row>
    <row r="356" spans="1:52" x14ac:dyDescent="0.4">
      <c r="A356" s="6" t="s">
        <v>2230</v>
      </c>
      <c r="B356" s="1" t="s">
        <v>1126</v>
      </c>
      <c r="C356" s="1" t="s">
        <v>1127</v>
      </c>
      <c r="D356" s="1" t="s">
        <v>1128</v>
      </c>
      <c r="E356" s="1" t="s">
        <v>44</v>
      </c>
      <c r="F356" s="1" t="s">
        <v>1129</v>
      </c>
      <c r="G356" s="5" t="s">
        <v>1130</v>
      </c>
      <c r="H356" s="1" t="s">
        <v>27</v>
      </c>
      <c r="I356">
        <v>114300</v>
      </c>
      <c r="J356" s="1" t="s">
        <v>33</v>
      </c>
      <c r="K356">
        <v>0</v>
      </c>
      <c r="L356">
        <v>0</v>
      </c>
      <c r="M356">
        <v>0</v>
      </c>
      <c r="N356">
        <v>114300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s="18">
        <v>6</v>
      </c>
      <c r="Y356" s="6"/>
      <c r="Z356" s="6"/>
      <c r="AA356" s="6"/>
      <c r="AB356" s="6">
        <v>19050</v>
      </c>
      <c r="AC356" s="6">
        <v>19050</v>
      </c>
      <c r="AD356" s="6">
        <v>19050</v>
      </c>
      <c r="AE356" s="6">
        <v>19050</v>
      </c>
      <c r="AF356" s="6">
        <v>19050</v>
      </c>
      <c r="AG356" s="6">
        <v>19050</v>
      </c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>
        <f t="shared" si="26"/>
        <v>6</v>
      </c>
      <c r="AX356" t="b">
        <f t="shared" si="27"/>
        <v>1</v>
      </c>
      <c r="AY356" s="21">
        <f t="shared" si="24"/>
        <v>114300</v>
      </c>
      <c r="AZ356" t="b">
        <f t="shared" si="25"/>
        <v>1</v>
      </c>
    </row>
    <row r="357" spans="1:52" x14ac:dyDescent="0.4">
      <c r="A357" s="6" t="s">
        <v>2230</v>
      </c>
      <c r="B357" s="1" t="s">
        <v>1131</v>
      </c>
      <c r="C357" s="1" t="s">
        <v>1132</v>
      </c>
      <c r="D357" s="1" t="s">
        <v>1133</v>
      </c>
      <c r="E357" s="1" t="s">
        <v>44</v>
      </c>
      <c r="F357" s="1" t="s">
        <v>376</v>
      </c>
      <c r="G357" s="5" t="s">
        <v>46</v>
      </c>
      <c r="H357" s="1" t="s">
        <v>27</v>
      </c>
      <c r="I357">
        <v>114300</v>
      </c>
      <c r="J357" s="1" t="s">
        <v>33</v>
      </c>
      <c r="K357">
        <v>0</v>
      </c>
      <c r="L357">
        <v>0</v>
      </c>
      <c r="M357">
        <v>0</v>
      </c>
      <c r="N357">
        <v>0</v>
      </c>
      <c r="O357">
        <v>114300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s="18">
        <v>6</v>
      </c>
      <c r="Y357" s="6"/>
      <c r="Z357" s="6"/>
      <c r="AA357" s="6"/>
      <c r="AB357" s="6"/>
      <c r="AC357" s="6">
        <v>19050</v>
      </c>
      <c r="AD357" s="6">
        <v>19050</v>
      </c>
      <c r="AE357" s="6">
        <v>19050</v>
      </c>
      <c r="AF357" s="6">
        <v>19050</v>
      </c>
      <c r="AG357" s="6">
        <v>19050</v>
      </c>
      <c r="AH357" s="6">
        <v>19050</v>
      </c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>
        <f t="shared" si="26"/>
        <v>6</v>
      </c>
      <c r="AX357" t="b">
        <f t="shared" si="27"/>
        <v>1</v>
      </c>
      <c r="AY357" s="21">
        <f t="shared" si="24"/>
        <v>114300</v>
      </c>
      <c r="AZ357" t="b">
        <f t="shared" si="25"/>
        <v>1</v>
      </c>
    </row>
    <row r="358" spans="1:52" x14ac:dyDescent="0.4">
      <c r="A358" s="6" t="s">
        <v>2230</v>
      </c>
      <c r="B358" s="1" t="s">
        <v>1134</v>
      </c>
      <c r="C358" s="1" t="s">
        <v>1135</v>
      </c>
      <c r="D358" s="1" t="s">
        <v>1136</v>
      </c>
      <c r="E358" s="1" t="s">
        <v>44</v>
      </c>
      <c r="F358" s="1" t="s">
        <v>1137</v>
      </c>
      <c r="G358" s="5" t="s">
        <v>479</v>
      </c>
      <c r="H358" s="1" t="s">
        <v>27</v>
      </c>
      <c r="I358">
        <v>114300</v>
      </c>
      <c r="J358" s="1" t="s">
        <v>868</v>
      </c>
      <c r="K358">
        <v>0</v>
      </c>
      <c r="L358">
        <v>0</v>
      </c>
      <c r="M358">
        <v>114300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s="18">
        <v>6</v>
      </c>
      <c r="Y358" s="6"/>
      <c r="Z358" s="6"/>
      <c r="AA358" s="6">
        <v>19050</v>
      </c>
      <c r="AB358" s="6">
        <v>19050</v>
      </c>
      <c r="AC358" s="6">
        <v>19050</v>
      </c>
      <c r="AD358" s="6">
        <v>19050</v>
      </c>
      <c r="AE358" s="6">
        <v>19050</v>
      </c>
      <c r="AF358" s="6">
        <v>19050</v>
      </c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>
        <f t="shared" si="26"/>
        <v>6</v>
      </c>
      <c r="AX358" t="b">
        <f t="shared" si="27"/>
        <v>1</v>
      </c>
      <c r="AY358" s="21">
        <f t="shared" si="24"/>
        <v>114300</v>
      </c>
      <c r="AZ358" t="b">
        <f t="shared" si="25"/>
        <v>1</v>
      </c>
    </row>
    <row r="359" spans="1:52" x14ac:dyDescent="0.4">
      <c r="A359" s="6" t="s">
        <v>2230</v>
      </c>
      <c r="B359" s="1" t="s">
        <v>1138</v>
      </c>
      <c r="C359" s="1" t="s">
        <v>1139</v>
      </c>
      <c r="D359" s="1" t="s">
        <v>1140</v>
      </c>
      <c r="E359" s="1" t="s">
        <v>44</v>
      </c>
      <c r="F359" s="1" t="s">
        <v>1141</v>
      </c>
      <c r="G359" s="5" t="s">
        <v>479</v>
      </c>
      <c r="H359" s="1" t="s">
        <v>27</v>
      </c>
      <c r="I359">
        <v>114300</v>
      </c>
      <c r="J359" s="1" t="s">
        <v>868</v>
      </c>
      <c r="K359">
        <v>0</v>
      </c>
      <c r="L359">
        <v>0</v>
      </c>
      <c r="M359">
        <v>114300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s="18">
        <v>6</v>
      </c>
      <c r="Y359" s="6"/>
      <c r="Z359" s="6"/>
      <c r="AA359" s="6">
        <v>19050</v>
      </c>
      <c r="AB359" s="6">
        <v>19050</v>
      </c>
      <c r="AC359" s="6">
        <v>19050</v>
      </c>
      <c r="AD359" s="6">
        <v>19050</v>
      </c>
      <c r="AE359" s="6">
        <v>19050</v>
      </c>
      <c r="AF359" s="6">
        <v>19050</v>
      </c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>
        <f t="shared" si="26"/>
        <v>6</v>
      </c>
      <c r="AX359" t="b">
        <f t="shared" si="27"/>
        <v>1</v>
      </c>
      <c r="AY359" s="21">
        <f t="shared" si="24"/>
        <v>114300</v>
      </c>
      <c r="AZ359" t="b">
        <f t="shared" si="25"/>
        <v>1</v>
      </c>
    </row>
    <row r="360" spans="1:52" x14ac:dyDescent="0.4">
      <c r="A360" s="6" t="s">
        <v>2230</v>
      </c>
      <c r="B360" s="1" t="s">
        <v>1142</v>
      </c>
      <c r="C360" s="1" t="s">
        <v>1143</v>
      </c>
      <c r="D360" s="1" t="s">
        <v>1144</v>
      </c>
      <c r="E360" s="1" t="s">
        <v>44</v>
      </c>
      <c r="F360" s="1" t="s">
        <v>1137</v>
      </c>
      <c r="G360" s="5" t="s">
        <v>479</v>
      </c>
      <c r="H360" s="1" t="s">
        <v>27</v>
      </c>
      <c r="I360">
        <v>114300</v>
      </c>
      <c r="J360" s="1" t="s">
        <v>868</v>
      </c>
      <c r="K360">
        <v>0</v>
      </c>
      <c r="L360">
        <v>0</v>
      </c>
      <c r="M360">
        <v>114300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s="18">
        <v>6</v>
      </c>
      <c r="Y360" s="6"/>
      <c r="Z360" s="6"/>
      <c r="AA360" s="6">
        <v>19050</v>
      </c>
      <c r="AB360" s="6">
        <v>19050</v>
      </c>
      <c r="AC360" s="6">
        <v>19050</v>
      </c>
      <c r="AD360" s="6">
        <v>19050</v>
      </c>
      <c r="AE360" s="6">
        <v>19050</v>
      </c>
      <c r="AF360" s="6">
        <v>19050</v>
      </c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>
        <f t="shared" si="26"/>
        <v>6</v>
      </c>
      <c r="AX360" t="b">
        <f t="shared" si="27"/>
        <v>1</v>
      </c>
      <c r="AY360" s="21">
        <f t="shared" si="24"/>
        <v>114300</v>
      </c>
      <c r="AZ360" t="b">
        <f t="shared" si="25"/>
        <v>1</v>
      </c>
    </row>
    <row r="361" spans="1:52" x14ac:dyDescent="0.4">
      <c r="A361" s="6" t="s">
        <v>2230</v>
      </c>
      <c r="B361" s="1" t="s">
        <v>1145</v>
      </c>
      <c r="C361" s="1" t="s">
        <v>1146</v>
      </c>
      <c r="D361" s="1" t="s">
        <v>1147</v>
      </c>
      <c r="E361" s="1" t="s">
        <v>44</v>
      </c>
      <c r="F361" s="1" t="s">
        <v>45</v>
      </c>
      <c r="G361" s="5" t="s">
        <v>46</v>
      </c>
      <c r="H361" s="1" t="s">
        <v>27</v>
      </c>
      <c r="I361">
        <v>114300</v>
      </c>
      <c r="J361" s="1" t="s">
        <v>33</v>
      </c>
      <c r="K361">
        <v>0</v>
      </c>
      <c r="L361">
        <v>0</v>
      </c>
      <c r="M361">
        <v>0</v>
      </c>
      <c r="N361">
        <v>0</v>
      </c>
      <c r="O361">
        <v>114300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s="18">
        <v>6</v>
      </c>
      <c r="Y361" s="6"/>
      <c r="Z361" s="6"/>
      <c r="AA361" s="6"/>
      <c r="AB361" s="6"/>
      <c r="AC361" s="6">
        <v>19050</v>
      </c>
      <c r="AD361" s="6">
        <v>19050</v>
      </c>
      <c r="AE361" s="6">
        <v>19050</v>
      </c>
      <c r="AF361" s="6">
        <v>19050</v>
      </c>
      <c r="AG361" s="6">
        <v>19050</v>
      </c>
      <c r="AH361" s="6">
        <v>19050</v>
      </c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>
        <f t="shared" si="26"/>
        <v>6</v>
      </c>
      <c r="AX361" t="b">
        <f t="shared" si="27"/>
        <v>1</v>
      </c>
      <c r="AY361" s="21">
        <f t="shared" si="24"/>
        <v>114300</v>
      </c>
      <c r="AZ361" t="b">
        <f t="shared" si="25"/>
        <v>1</v>
      </c>
    </row>
    <row r="362" spans="1:52" x14ac:dyDescent="0.4">
      <c r="A362" s="6" t="s">
        <v>2230</v>
      </c>
      <c r="B362" s="1" t="s">
        <v>1148</v>
      </c>
      <c r="C362" s="1" t="s">
        <v>1149</v>
      </c>
      <c r="D362" s="1" t="s">
        <v>1150</v>
      </c>
      <c r="E362" s="1" t="s">
        <v>25</v>
      </c>
      <c r="F362" s="1" t="s">
        <v>51</v>
      </c>
      <c r="G362" s="5" t="s">
        <v>10</v>
      </c>
      <c r="H362" s="1" t="s">
        <v>27</v>
      </c>
      <c r="I362">
        <v>59400</v>
      </c>
      <c r="J362" s="1" t="s">
        <v>33</v>
      </c>
      <c r="K362">
        <v>0</v>
      </c>
      <c r="L362">
        <v>59400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s="18">
        <v>3</v>
      </c>
      <c r="Y362" s="6"/>
      <c r="Z362" s="6">
        <v>19800</v>
      </c>
      <c r="AA362" s="6">
        <v>19800</v>
      </c>
      <c r="AB362" s="6">
        <v>19800</v>
      </c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>
        <f t="shared" si="26"/>
        <v>3</v>
      </c>
      <c r="AX362" t="b">
        <f t="shared" si="27"/>
        <v>1</v>
      </c>
      <c r="AY362" s="21">
        <f t="shared" si="24"/>
        <v>59400</v>
      </c>
      <c r="AZ362" t="b">
        <f t="shared" si="25"/>
        <v>1</v>
      </c>
    </row>
    <row r="363" spans="1:52" x14ac:dyDescent="0.4">
      <c r="A363" s="6" t="s">
        <v>2230</v>
      </c>
      <c r="B363" s="1" t="s">
        <v>1151</v>
      </c>
      <c r="C363" s="1" t="s">
        <v>1152</v>
      </c>
      <c r="D363" s="1" t="s">
        <v>1153</v>
      </c>
      <c r="E363" s="1" t="s">
        <v>44</v>
      </c>
      <c r="F363" s="1" t="s">
        <v>1137</v>
      </c>
      <c r="G363" s="5" t="s">
        <v>479</v>
      </c>
      <c r="H363" s="1" t="s">
        <v>27</v>
      </c>
      <c r="I363">
        <v>114300</v>
      </c>
      <c r="J363" s="1" t="s">
        <v>868</v>
      </c>
      <c r="K363">
        <v>0</v>
      </c>
      <c r="L363">
        <v>0</v>
      </c>
      <c r="M363">
        <v>114300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s="18">
        <v>6</v>
      </c>
      <c r="Y363" s="6"/>
      <c r="Z363" s="6"/>
      <c r="AA363" s="6">
        <v>19050</v>
      </c>
      <c r="AB363" s="6">
        <v>19050</v>
      </c>
      <c r="AC363" s="6">
        <v>19050</v>
      </c>
      <c r="AD363" s="6">
        <v>19050</v>
      </c>
      <c r="AE363" s="6">
        <v>19050</v>
      </c>
      <c r="AF363" s="6">
        <v>19050</v>
      </c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>
        <f t="shared" si="26"/>
        <v>6</v>
      </c>
      <c r="AX363" t="b">
        <f t="shared" si="27"/>
        <v>1</v>
      </c>
      <c r="AY363" s="21">
        <f t="shared" si="24"/>
        <v>114300</v>
      </c>
      <c r="AZ363" t="b">
        <f t="shared" si="25"/>
        <v>1</v>
      </c>
    </row>
    <row r="364" spans="1:52" x14ac:dyDescent="0.4">
      <c r="A364" s="6" t="s">
        <v>2230</v>
      </c>
      <c r="B364" s="1" t="s">
        <v>1154</v>
      </c>
      <c r="C364" s="1" t="s">
        <v>1155</v>
      </c>
      <c r="D364" s="1" t="s">
        <v>1156</v>
      </c>
      <c r="E364" s="1" t="s">
        <v>44</v>
      </c>
      <c r="F364" s="1" t="s">
        <v>1157</v>
      </c>
      <c r="G364" s="5" t="s">
        <v>479</v>
      </c>
      <c r="H364" s="1" t="s">
        <v>27</v>
      </c>
      <c r="I364">
        <v>114300</v>
      </c>
      <c r="J364" s="1" t="s">
        <v>868</v>
      </c>
      <c r="K364">
        <v>0</v>
      </c>
      <c r="L364">
        <v>0</v>
      </c>
      <c r="M364">
        <v>114300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s="18">
        <v>6</v>
      </c>
      <c r="Y364" s="6"/>
      <c r="Z364" s="6"/>
      <c r="AA364" s="6">
        <v>19050</v>
      </c>
      <c r="AB364" s="6">
        <v>19050</v>
      </c>
      <c r="AC364" s="6">
        <v>19050</v>
      </c>
      <c r="AD364" s="6">
        <v>19050</v>
      </c>
      <c r="AE364" s="6">
        <v>19050</v>
      </c>
      <c r="AF364" s="6">
        <v>19050</v>
      </c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>
        <f t="shared" si="26"/>
        <v>6</v>
      </c>
      <c r="AX364" t="b">
        <f t="shared" si="27"/>
        <v>1</v>
      </c>
      <c r="AY364" s="21">
        <f t="shared" si="24"/>
        <v>114300</v>
      </c>
      <c r="AZ364" t="b">
        <f t="shared" si="25"/>
        <v>1</v>
      </c>
    </row>
    <row r="365" spans="1:52" x14ac:dyDescent="0.4">
      <c r="A365" s="6" t="s">
        <v>2230</v>
      </c>
      <c r="B365" s="1" t="s">
        <v>1158</v>
      </c>
      <c r="C365" s="1" t="s">
        <v>1159</v>
      </c>
      <c r="D365" s="1" t="s">
        <v>1160</v>
      </c>
      <c r="E365" s="1" t="s">
        <v>44</v>
      </c>
      <c r="F365" s="1" t="s">
        <v>1161</v>
      </c>
      <c r="G365" s="5" t="s">
        <v>479</v>
      </c>
      <c r="H365" s="1" t="s">
        <v>27</v>
      </c>
      <c r="I365">
        <v>114300</v>
      </c>
      <c r="J365" s="1" t="s">
        <v>868</v>
      </c>
      <c r="K365">
        <v>0</v>
      </c>
      <c r="L365">
        <v>0</v>
      </c>
      <c r="M365">
        <v>114300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s="18">
        <v>6</v>
      </c>
      <c r="Y365" s="6"/>
      <c r="Z365" s="6"/>
      <c r="AA365" s="6">
        <v>19050</v>
      </c>
      <c r="AB365" s="6">
        <v>19050</v>
      </c>
      <c r="AC365" s="6">
        <v>19050</v>
      </c>
      <c r="AD365" s="6">
        <v>19050</v>
      </c>
      <c r="AE365" s="6">
        <v>19050</v>
      </c>
      <c r="AF365" s="6">
        <v>19050</v>
      </c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>
        <f t="shared" si="26"/>
        <v>6</v>
      </c>
      <c r="AX365" t="b">
        <f t="shared" si="27"/>
        <v>1</v>
      </c>
      <c r="AY365" s="21">
        <f t="shared" si="24"/>
        <v>114300</v>
      </c>
      <c r="AZ365" t="b">
        <f t="shared" si="25"/>
        <v>1</v>
      </c>
    </row>
    <row r="366" spans="1:52" x14ac:dyDescent="0.4">
      <c r="A366" s="6" t="s">
        <v>2230</v>
      </c>
      <c r="B366" s="1" t="s">
        <v>1162</v>
      </c>
      <c r="C366" s="1" t="s">
        <v>1163</v>
      </c>
      <c r="D366" s="1" t="s">
        <v>1164</v>
      </c>
      <c r="E366" s="1" t="s">
        <v>25</v>
      </c>
      <c r="F366" s="1" t="s">
        <v>101</v>
      </c>
      <c r="G366" s="5" t="s">
        <v>10</v>
      </c>
      <c r="H366" s="1" t="s">
        <v>27</v>
      </c>
      <c r="I366">
        <v>59400</v>
      </c>
      <c r="J366" s="1" t="s">
        <v>33</v>
      </c>
      <c r="K366">
        <v>0</v>
      </c>
      <c r="L366">
        <v>59400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s="18">
        <v>3</v>
      </c>
      <c r="Y366" s="6"/>
      <c r="Z366" s="6">
        <v>19800</v>
      </c>
      <c r="AA366" s="6">
        <v>19800</v>
      </c>
      <c r="AB366" s="6">
        <v>19800</v>
      </c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>
        <f t="shared" si="26"/>
        <v>3</v>
      </c>
      <c r="AX366" t="b">
        <f t="shared" si="27"/>
        <v>1</v>
      </c>
      <c r="AY366" s="21">
        <f t="shared" si="24"/>
        <v>59400</v>
      </c>
      <c r="AZ366" t="b">
        <f t="shared" si="25"/>
        <v>1</v>
      </c>
    </row>
    <row r="367" spans="1:52" x14ac:dyDescent="0.4">
      <c r="A367" s="6" t="s">
        <v>2230</v>
      </c>
      <c r="B367" s="1" t="s">
        <v>1165</v>
      </c>
      <c r="C367" s="1" t="s">
        <v>1166</v>
      </c>
      <c r="D367" s="1" t="s">
        <v>1167</v>
      </c>
      <c r="E367" s="1" t="s">
        <v>44</v>
      </c>
      <c r="F367" s="1" t="s">
        <v>1168</v>
      </c>
      <c r="G367" s="5" t="s">
        <v>46</v>
      </c>
      <c r="H367" s="1" t="s">
        <v>27</v>
      </c>
      <c r="I367">
        <v>114300</v>
      </c>
      <c r="J367" s="1" t="s">
        <v>33</v>
      </c>
      <c r="K367">
        <v>0</v>
      </c>
      <c r="L367">
        <v>0</v>
      </c>
      <c r="M367">
        <v>0</v>
      </c>
      <c r="N367">
        <v>0</v>
      </c>
      <c r="O367">
        <v>114300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s="18">
        <v>6</v>
      </c>
      <c r="Y367" s="6"/>
      <c r="Z367" s="6"/>
      <c r="AA367" s="6"/>
      <c r="AB367" s="6"/>
      <c r="AC367" s="6">
        <v>19050</v>
      </c>
      <c r="AD367" s="6">
        <v>19050</v>
      </c>
      <c r="AE367" s="6">
        <v>19050</v>
      </c>
      <c r="AF367" s="6">
        <v>19050</v>
      </c>
      <c r="AG367" s="6">
        <v>19050</v>
      </c>
      <c r="AH367" s="6">
        <v>19050</v>
      </c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>
        <f t="shared" si="26"/>
        <v>6</v>
      </c>
      <c r="AX367" t="b">
        <f t="shared" si="27"/>
        <v>1</v>
      </c>
      <c r="AY367" s="21">
        <f t="shared" si="24"/>
        <v>114300</v>
      </c>
      <c r="AZ367" t="b">
        <f t="shared" si="25"/>
        <v>1</v>
      </c>
    </row>
    <row r="368" spans="1:52" x14ac:dyDescent="0.4">
      <c r="A368" s="6" t="s">
        <v>2230</v>
      </c>
      <c r="B368" s="1" t="s">
        <v>1169</v>
      </c>
      <c r="C368" s="1" t="s">
        <v>1170</v>
      </c>
      <c r="D368" s="1" t="s">
        <v>1171</v>
      </c>
      <c r="E368" s="1" t="s">
        <v>25</v>
      </c>
      <c r="F368" s="1" t="s">
        <v>1172</v>
      </c>
      <c r="G368" s="5" t="s">
        <v>479</v>
      </c>
      <c r="H368" s="1" t="s">
        <v>27</v>
      </c>
      <c r="I368">
        <v>59400</v>
      </c>
      <c r="J368" s="1" t="s">
        <v>28</v>
      </c>
      <c r="K368">
        <v>0</v>
      </c>
      <c r="L368">
        <v>0</v>
      </c>
      <c r="M368">
        <v>59400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s="18">
        <v>3</v>
      </c>
      <c r="Y368" s="6"/>
      <c r="Z368" s="6"/>
      <c r="AA368" s="6">
        <v>19800</v>
      </c>
      <c r="AB368" s="6">
        <v>19800</v>
      </c>
      <c r="AC368" s="6">
        <v>19800</v>
      </c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>
        <f t="shared" si="26"/>
        <v>3</v>
      </c>
      <c r="AX368" t="b">
        <f t="shared" si="27"/>
        <v>1</v>
      </c>
      <c r="AY368" s="21">
        <f t="shared" si="24"/>
        <v>59400</v>
      </c>
      <c r="AZ368" t="b">
        <f t="shared" si="25"/>
        <v>1</v>
      </c>
    </row>
    <row r="369" spans="1:52" x14ac:dyDescent="0.4">
      <c r="A369" s="6" t="s">
        <v>2230</v>
      </c>
      <c r="B369" s="1" t="s">
        <v>1173</v>
      </c>
      <c r="C369" s="1" t="s">
        <v>1174</v>
      </c>
      <c r="D369" s="1" t="s">
        <v>1175</v>
      </c>
      <c r="E369" s="1" t="s">
        <v>44</v>
      </c>
      <c r="F369" s="1" t="s">
        <v>920</v>
      </c>
      <c r="G369" s="5" t="s">
        <v>479</v>
      </c>
      <c r="H369" s="1" t="s">
        <v>27</v>
      </c>
      <c r="I369">
        <v>114300</v>
      </c>
      <c r="J369" s="1" t="s">
        <v>868</v>
      </c>
      <c r="K369">
        <v>0</v>
      </c>
      <c r="L369">
        <v>0</v>
      </c>
      <c r="M369">
        <v>114300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s="18">
        <v>6</v>
      </c>
      <c r="Y369" s="6"/>
      <c r="Z369" s="6"/>
      <c r="AA369" s="6">
        <v>19050</v>
      </c>
      <c r="AB369" s="6">
        <v>19050</v>
      </c>
      <c r="AC369" s="6">
        <v>19050</v>
      </c>
      <c r="AD369" s="6">
        <v>19050</v>
      </c>
      <c r="AE369" s="6">
        <v>19050</v>
      </c>
      <c r="AF369" s="6">
        <v>19050</v>
      </c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>
        <f t="shared" si="26"/>
        <v>6</v>
      </c>
      <c r="AX369" t="b">
        <f t="shared" si="27"/>
        <v>1</v>
      </c>
      <c r="AY369" s="21">
        <f t="shared" si="24"/>
        <v>114300</v>
      </c>
      <c r="AZ369" t="b">
        <f t="shared" si="25"/>
        <v>1</v>
      </c>
    </row>
    <row r="370" spans="1:52" x14ac:dyDescent="0.4">
      <c r="A370" s="6" t="s">
        <v>2230</v>
      </c>
      <c r="B370" s="1" t="s">
        <v>1176</v>
      </c>
      <c r="C370" s="1" t="s">
        <v>1177</v>
      </c>
      <c r="D370" s="1" t="s">
        <v>1178</v>
      </c>
      <c r="E370" s="1" t="s">
        <v>25</v>
      </c>
      <c r="F370" s="1" t="s">
        <v>932</v>
      </c>
      <c r="G370" s="5" t="s">
        <v>479</v>
      </c>
      <c r="H370" s="1" t="s">
        <v>27</v>
      </c>
      <c r="I370">
        <v>59400</v>
      </c>
      <c r="J370" s="1" t="s">
        <v>28</v>
      </c>
      <c r="K370">
        <v>0</v>
      </c>
      <c r="L370">
        <v>0</v>
      </c>
      <c r="M370">
        <v>59400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s="18">
        <v>3</v>
      </c>
      <c r="Y370" s="6"/>
      <c r="Z370" s="6"/>
      <c r="AA370" s="6">
        <v>19800</v>
      </c>
      <c r="AB370" s="6">
        <v>19800</v>
      </c>
      <c r="AC370" s="6">
        <v>19800</v>
      </c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>
        <f t="shared" si="26"/>
        <v>3</v>
      </c>
      <c r="AX370" t="b">
        <f t="shared" si="27"/>
        <v>1</v>
      </c>
      <c r="AY370" s="21">
        <f t="shared" si="24"/>
        <v>59400</v>
      </c>
      <c r="AZ370" t="b">
        <f t="shared" si="25"/>
        <v>1</v>
      </c>
    </row>
    <row r="371" spans="1:52" x14ac:dyDescent="0.4">
      <c r="A371" s="6" t="s">
        <v>2230</v>
      </c>
      <c r="B371" s="1" t="s">
        <v>1179</v>
      </c>
      <c r="C371" s="1" t="s">
        <v>1180</v>
      </c>
      <c r="D371" s="1" t="s">
        <v>1181</v>
      </c>
      <c r="E371" s="1" t="s">
        <v>44</v>
      </c>
      <c r="F371" s="1" t="s">
        <v>924</v>
      </c>
      <c r="G371" s="5" t="s">
        <v>479</v>
      </c>
      <c r="H371" s="1" t="s">
        <v>27</v>
      </c>
      <c r="I371">
        <v>114300</v>
      </c>
      <c r="J371" s="1" t="s">
        <v>868</v>
      </c>
      <c r="K371">
        <v>0</v>
      </c>
      <c r="L371">
        <v>0</v>
      </c>
      <c r="M371">
        <v>114300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s="18">
        <v>6</v>
      </c>
      <c r="Y371" s="6"/>
      <c r="Z371" s="6"/>
      <c r="AA371" s="6">
        <v>19050</v>
      </c>
      <c r="AB371" s="6">
        <v>19050</v>
      </c>
      <c r="AC371" s="6">
        <v>19050</v>
      </c>
      <c r="AD371" s="6">
        <v>19050</v>
      </c>
      <c r="AE371" s="6">
        <v>19050</v>
      </c>
      <c r="AF371" s="6">
        <v>19050</v>
      </c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>
        <f t="shared" si="26"/>
        <v>6</v>
      </c>
      <c r="AX371" t="b">
        <f t="shared" si="27"/>
        <v>1</v>
      </c>
      <c r="AY371" s="21">
        <f t="shared" si="24"/>
        <v>114300</v>
      </c>
      <c r="AZ371" t="b">
        <f t="shared" si="25"/>
        <v>1</v>
      </c>
    </row>
    <row r="372" spans="1:52" x14ac:dyDescent="0.4">
      <c r="A372" s="6" t="s">
        <v>2230</v>
      </c>
      <c r="B372" s="1" t="s">
        <v>1182</v>
      </c>
      <c r="C372" s="1" t="s">
        <v>1183</v>
      </c>
      <c r="D372" s="1" t="s">
        <v>1184</v>
      </c>
      <c r="E372" s="1" t="s">
        <v>44</v>
      </c>
      <c r="F372" s="1" t="s">
        <v>920</v>
      </c>
      <c r="G372" s="5" t="s">
        <v>479</v>
      </c>
      <c r="H372" s="1" t="s">
        <v>27</v>
      </c>
      <c r="I372">
        <v>114300</v>
      </c>
      <c r="J372" s="1" t="s">
        <v>868</v>
      </c>
      <c r="K372">
        <v>0</v>
      </c>
      <c r="L372">
        <v>0</v>
      </c>
      <c r="M372">
        <v>114300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s="18">
        <v>6</v>
      </c>
      <c r="Y372" s="6"/>
      <c r="Z372" s="6"/>
      <c r="AA372" s="6">
        <v>19050</v>
      </c>
      <c r="AB372" s="6">
        <v>19050</v>
      </c>
      <c r="AC372" s="6">
        <v>19050</v>
      </c>
      <c r="AD372" s="6">
        <v>19050</v>
      </c>
      <c r="AE372" s="6">
        <v>19050</v>
      </c>
      <c r="AF372" s="6">
        <v>19050</v>
      </c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>
        <f t="shared" si="26"/>
        <v>6</v>
      </c>
      <c r="AX372" t="b">
        <f t="shared" si="27"/>
        <v>1</v>
      </c>
      <c r="AY372" s="21">
        <f t="shared" si="24"/>
        <v>114300</v>
      </c>
      <c r="AZ372" t="b">
        <f t="shared" si="25"/>
        <v>1</v>
      </c>
    </row>
    <row r="373" spans="1:52" x14ac:dyDescent="0.4">
      <c r="A373" s="6" t="s">
        <v>2230</v>
      </c>
      <c r="B373" s="1" t="s">
        <v>1185</v>
      </c>
      <c r="C373" s="1" t="s">
        <v>1186</v>
      </c>
      <c r="D373" s="1" t="s">
        <v>1187</v>
      </c>
      <c r="E373" s="1" t="s">
        <v>44</v>
      </c>
      <c r="F373" s="1" t="s">
        <v>1188</v>
      </c>
      <c r="G373" s="5" t="s">
        <v>479</v>
      </c>
      <c r="H373" s="1" t="s">
        <v>27</v>
      </c>
      <c r="I373">
        <v>114300</v>
      </c>
      <c r="J373" s="1" t="s">
        <v>868</v>
      </c>
      <c r="K373">
        <v>0</v>
      </c>
      <c r="L373">
        <v>0</v>
      </c>
      <c r="M373">
        <v>114300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s="18">
        <v>6</v>
      </c>
      <c r="Y373" s="6"/>
      <c r="Z373" s="6"/>
      <c r="AA373" s="6">
        <v>19050</v>
      </c>
      <c r="AB373" s="6">
        <v>19050</v>
      </c>
      <c r="AC373" s="6">
        <v>19050</v>
      </c>
      <c r="AD373" s="6">
        <v>19050</v>
      </c>
      <c r="AE373" s="6">
        <v>19050</v>
      </c>
      <c r="AF373" s="6">
        <v>19050</v>
      </c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>
        <f t="shared" si="26"/>
        <v>6</v>
      </c>
      <c r="AX373" t="b">
        <f t="shared" si="27"/>
        <v>1</v>
      </c>
      <c r="AY373" s="21">
        <f t="shared" si="24"/>
        <v>114300</v>
      </c>
      <c r="AZ373" t="b">
        <f t="shared" si="25"/>
        <v>1</v>
      </c>
    </row>
    <row r="374" spans="1:52" x14ac:dyDescent="0.4">
      <c r="A374" s="6" t="s">
        <v>2230</v>
      </c>
      <c r="B374" s="1" t="s">
        <v>1189</v>
      </c>
      <c r="C374" s="1" t="s">
        <v>1190</v>
      </c>
      <c r="D374" s="1" t="s">
        <v>1191</v>
      </c>
      <c r="E374" s="1" t="s">
        <v>44</v>
      </c>
      <c r="F374" s="1" t="s">
        <v>924</v>
      </c>
      <c r="G374" s="5" t="s">
        <v>479</v>
      </c>
      <c r="H374" s="1" t="s">
        <v>27</v>
      </c>
      <c r="I374">
        <v>114300</v>
      </c>
      <c r="J374" s="1" t="s">
        <v>868</v>
      </c>
      <c r="K374">
        <v>0</v>
      </c>
      <c r="L374">
        <v>0</v>
      </c>
      <c r="M374">
        <v>114300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s="18">
        <v>6</v>
      </c>
      <c r="Y374" s="6"/>
      <c r="Z374" s="6"/>
      <c r="AA374" s="6">
        <v>19050</v>
      </c>
      <c r="AB374" s="6">
        <v>19050</v>
      </c>
      <c r="AC374" s="6">
        <v>19050</v>
      </c>
      <c r="AD374" s="6">
        <v>19050</v>
      </c>
      <c r="AE374" s="6">
        <v>19050</v>
      </c>
      <c r="AF374" s="6">
        <v>19050</v>
      </c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>
        <f t="shared" si="26"/>
        <v>6</v>
      </c>
      <c r="AX374" t="b">
        <f t="shared" si="27"/>
        <v>1</v>
      </c>
      <c r="AY374" s="21">
        <f t="shared" si="24"/>
        <v>114300</v>
      </c>
      <c r="AZ374" t="b">
        <f t="shared" si="25"/>
        <v>1</v>
      </c>
    </row>
    <row r="375" spans="1:52" x14ac:dyDescent="0.4">
      <c r="A375" s="6" t="s">
        <v>2230</v>
      </c>
      <c r="B375" s="1" t="s">
        <v>1192</v>
      </c>
      <c r="C375" s="1" t="s">
        <v>1193</v>
      </c>
      <c r="D375" s="1" t="s">
        <v>1194</v>
      </c>
      <c r="E375" s="1" t="s">
        <v>44</v>
      </c>
      <c r="F375" s="1" t="s">
        <v>1195</v>
      </c>
      <c r="G375" s="5" t="s">
        <v>479</v>
      </c>
      <c r="H375" s="1" t="s">
        <v>27</v>
      </c>
      <c r="I375">
        <v>114300</v>
      </c>
      <c r="J375" s="1" t="s">
        <v>868</v>
      </c>
      <c r="K375">
        <v>0</v>
      </c>
      <c r="L375">
        <v>0</v>
      </c>
      <c r="M375">
        <v>114300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s="18">
        <v>6</v>
      </c>
      <c r="Y375" s="6"/>
      <c r="Z375" s="6"/>
      <c r="AA375" s="6">
        <v>19050</v>
      </c>
      <c r="AB375" s="6">
        <v>19050</v>
      </c>
      <c r="AC375" s="6">
        <v>19050</v>
      </c>
      <c r="AD375" s="6">
        <v>19050</v>
      </c>
      <c r="AE375" s="6">
        <v>19050</v>
      </c>
      <c r="AF375" s="6">
        <v>19050</v>
      </c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>
        <f t="shared" si="26"/>
        <v>6</v>
      </c>
      <c r="AX375" t="b">
        <f t="shared" si="27"/>
        <v>1</v>
      </c>
      <c r="AY375" s="21">
        <f t="shared" si="24"/>
        <v>114300</v>
      </c>
      <c r="AZ375" t="b">
        <f t="shared" si="25"/>
        <v>1</v>
      </c>
    </row>
    <row r="376" spans="1:52" x14ac:dyDescent="0.4">
      <c r="A376" s="6" t="s">
        <v>2230</v>
      </c>
      <c r="B376" s="1" t="s">
        <v>1196</v>
      </c>
      <c r="C376" s="1" t="s">
        <v>1197</v>
      </c>
      <c r="D376" s="1" t="s">
        <v>1198</v>
      </c>
      <c r="E376" s="1" t="s">
        <v>44</v>
      </c>
      <c r="F376" s="1" t="s">
        <v>1199</v>
      </c>
      <c r="G376" s="5" t="s">
        <v>75</v>
      </c>
      <c r="H376" s="1" t="s">
        <v>27</v>
      </c>
      <c r="I376">
        <v>114300</v>
      </c>
      <c r="J376" s="1" t="s">
        <v>28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114300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s="18">
        <v>6</v>
      </c>
      <c r="Y376" s="6"/>
      <c r="Z376" s="6"/>
      <c r="AA376" s="6"/>
      <c r="AB376" s="6"/>
      <c r="AC376" s="6"/>
      <c r="AD376" s="6">
        <v>19050</v>
      </c>
      <c r="AE376" s="6">
        <v>19050</v>
      </c>
      <c r="AF376" s="6">
        <v>19050</v>
      </c>
      <c r="AG376" s="6">
        <v>19050</v>
      </c>
      <c r="AH376" s="6">
        <v>19050</v>
      </c>
      <c r="AI376" s="6">
        <v>19050</v>
      </c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>
        <f t="shared" si="26"/>
        <v>6</v>
      </c>
      <c r="AX376" t="b">
        <f t="shared" si="27"/>
        <v>1</v>
      </c>
      <c r="AY376" s="21">
        <f t="shared" si="24"/>
        <v>114300</v>
      </c>
      <c r="AZ376" t="b">
        <f t="shared" si="25"/>
        <v>1</v>
      </c>
    </row>
    <row r="377" spans="1:52" x14ac:dyDescent="0.4">
      <c r="A377" s="6" t="s">
        <v>2230</v>
      </c>
      <c r="B377" s="1" t="s">
        <v>1200</v>
      </c>
      <c r="C377" s="1" t="s">
        <v>1201</v>
      </c>
      <c r="D377" s="1" t="s">
        <v>1202</v>
      </c>
      <c r="E377" s="1" t="s">
        <v>44</v>
      </c>
      <c r="F377" s="1" t="s">
        <v>1203</v>
      </c>
      <c r="G377" s="5" t="s">
        <v>479</v>
      </c>
      <c r="H377" s="1" t="s">
        <v>27</v>
      </c>
      <c r="I377">
        <v>114300</v>
      </c>
      <c r="J377" s="1" t="s">
        <v>868</v>
      </c>
      <c r="K377">
        <v>0</v>
      </c>
      <c r="L377">
        <v>0</v>
      </c>
      <c r="M377">
        <v>114300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s="18">
        <v>6</v>
      </c>
      <c r="Y377" s="6"/>
      <c r="Z377" s="6"/>
      <c r="AA377" s="6">
        <v>19050</v>
      </c>
      <c r="AB377" s="6">
        <v>19050</v>
      </c>
      <c r="AC377" s="6">
        <v>19050</v>
      </c>
      <c r="AD377" s="6">
        <v>19050</v>
      </c>
      <c r="AE377" s="6">
        <v>19050</v>
      </c>
      <c r="AF377" s="6">
        <v>19050</v>
      </c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>
        <f t="shared" si="26"/>
        <v>6</v>
      </c>
      <c r="AX377" t="b">
        <f t="shared" si="27"/>
        <v>1</v>
      </c>
      <c r="AY377" s="21">
        <f t="shared" si="24"/>
        <v>114300</v>
      </c>
      <c r="AZ377" t="b">
        <f t="shared" si="25"/>
        <v>1</v>
      </c>
    </row>
    <row r="378" spans="1:52" x14ac:dyDescent="0.4">
      <c r="A378" s="6" t="s">
        <v>2230</v>
      </c>
      <c r="B378" s="1" t="s">
        <v>1204</v>
      </c>
      <c r="C378" s="1" t="s">
        <v>1205</v>
      </c>
      <c r="D378" s="1" t="s">
        <v>1206</v>
      </c>
      <c r="E378" s="1" t="s">
        <v>25</v>
      </c>
      <c r="F378" s="1" t="s">
        <v>1207</v>
      </c>
      <c r="G378" s="5" t="s">
        <v>479</v>
      </c>
      <c r="H378" s="1" t="s">
        <v>27</v>
      </c>
      <c r="I378">
        <v>59400</v>
      </c>
      <c r="J378" s="1" t="s">
        <v>28</v>
      </c>
      <c r="K378">
        <v>0</v>
      </c>
      <c r="L378">
        <v>0</v>
      </c>
      <c r="M378">
        <v>59400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s="18">
        <v>3</v>
      </c>
      <c r="Y378" s="6"/>
      <c r="Z378" s="6"/>
      <c r="AA378" s="6">
        <v>19800</v>
      </c>
      <c r="AB378" s="6">
        <v>19800</v>
      </c>
      <c r="AC378" s="6">
        <v>19800</v>
      </c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>
        <f t="shared" si="26"/>
        <v>3</v>
      </c>
      <c r="AX378" t="b">
        <f t="shared" si="27"/>
        <v>1</v>
      </c>
      <c r="AY378" s="21">
        <f t="shared" si="24"/>
        <v>59400</v>
      </c>
      <c r="AZ378" t="b">
        <f t="shared" si="25"/>
        <v>1</v>
      </c>
    </row>
    <row r="379" spans="1:52" x14ac:dyDescent="0.4">
      <c r="A379" s="6" t="s">
        <v>2230</v>
      </c>
      <c r="B379" s="1" t="s">
        <v>1208</v>
      </c>
      <c r="C379" s="1" t="s">
        <v>1209</v>
      </c>
      <c r="D379" s="1" t="s">
        <v>1210</v>
      </c>
      <c r="E379" s="1" t="s">
        <v>44</v>
      </c>
      <c r="F379" s="1" t="s">
        <v>1211</v>
      </c>
      <c r="G379" s="5" t="s">
        <v>479</v>
      </c>
      <c r="H379" s="1" t="s">
        <v>27</v>
      </c>
      <c r="I379">
        <v>114300</v>
      </c>
      <c r="J379" s="1" t="s">
        <v>868</v>
      </c>
      <c r="K379">
        <v>0</v>
      </c>
      <c r="L379">
        <v>0</v>
      </c>
      <c r="M379">
        <v>114300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18">
        <v>6</v>
      </c>
      <c r="Y379" s="6"/>
      <c r="Z379" s="6"/>
      <c r="AA379" s="6">
        <v>19050</v>
      </c>
      <c r="AB379" s="6">
        <v>19050</v>
      </c>
      <c r="AC379" s="6">
        <v>19050</v>
      </c>
      <c r="AD379" s="6">
        <v>19050</v>
      </c>
      <c r="AE379" s="6">
        <v>19050</v>
      </c>
      <c r="AF379" s="6">
        <v>19050</v>
      </c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>
        <f t="shared" si="26"/>
        <v>6</v>
      </c>
      <c r="AX379" t="b">
        <f t="shared" si="27"/>
        <v>1</v>
      </c>
      <c r="AY379" s="21">
        <f t="shared" si="24"/>
        <v>114300</v>
      </c>
      <c r="AZ379" t="b">
        <f t="shared" si="25"/>
        <v>1</v>
      </c>
    </row>
    <row r="380" spans="1:52" x14ac:dyDescent="0.4">
      <c r="A380" s="6" t="s">
        <v>2230</v>
      </c>
      <c r="B380" s="1" t="s">
        <v>1212</v>
      </c>
      <c r="C380" s="1" t="s">
        <v>1213</v>
      </c>
      <c r="D380" s="1" t="s">
        <v>1214</v>
      </c>
      <c r="E380" s="1" t="s">
        <v>44</v>
      </c>
      <c r="F380" s="1" t="s">
        <v>1215</v>
      </c>
      <c r="G380" s="5" t="s">
        <v>479</v>
      </c>
      <c r="H380" s="1" t="s">
        <v>27</v>
      </c>
      <c r="I380">
        <v>114300</v>
      </c>
      <c r="J380" s="1" t="s">
        <v>868</v>
      </c>
      <c r="K380">
        <v>0</v>
      </c>
      <c r="L380">
        <v>0</v>
      </c>
      <c r="M380">
        <v>114300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s="18">
        <v>6</v>
      </c>
      <c r="Y380" s="6"/>
      <c r="Z380" s="6"/>
      <c r="AA380" s="6">
        <v>19050</v>
      </c>
      <c r="AB380" s="6">
        <v>19050</v>
      </c>
      <c r="AC380" s="6">
        <v>19050</v>
      </c>
      <c r="AD380" s="6">
        <v>19050</v>
      </c>
      <c r="AE380" s="6">
        <v>19050</v>
      </c>
      <c r="AF380" s="6">
        <v>19050</v>
      </c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>
        <f t="shared" si="26"/>
        <v>6</v>
      </c>
      <c r="AX380" t="b">
        <f t="shared" si="27"/>
        <v>1</v>
      </c>
      <c r="AY380" s="21">
        <f t="shared" si="24"/>
        <v>114300</v>
      </c>
      <c r="AZ380" t="b">
        <f t="shared" si="25"/>
        <v>1</v>
      </c>
    </row>
    <row r="381" spans="1:52" x14ac:dyDescent="0.4">
      <c r="A381" s="6" t="s">
        <v>2230</v>
      </c>
      <c r="B381" s="1" t="s">
        <v>1216</v>
      </c>
      <c r="C381" s="1" t="s">
        <v>1217</v>
      </c>
      <c r="D381" s="1" t="s">
        <v>1218</v>
      </c>
      <c r="E381" s="1" t="s">
        <v>44</v>
      </c>
      <c r="F381" s="1" t="s">
        <v>867</v>
      </c>
      <c r="G381" s="5" t="s">
        <v>479</v>
      </c>
      <c r="H381" s="1" t="s">
        <v>27</v>
      </c>
      <c r="I381">
        <v>114300</v>
      </c>
      <c r="J381" s="1" t="s">
        <v>868</v>
      </c>
      <c r="K381">
        <v>0</v>
      </c>
      <c r="L381">
        <v>0</v>
      </c>
      <c r="M381">
        <v>114300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s="18">
        <v>6</v>
      </c>
      <c r="Y381" s="6"/>
      <c r="Z381" s="6"/>
      <c r="AA381" s="6">
        <v>19050</v>
      </c>
      <c r="AB381" s="6">
        <v>19050</v>
      </c>
      <c r="AC381" s="6">
        <v>19050</v>
      </c>
      <c r="AD381" s="6">
        <v>19050</v>
      </c>
      <c r="AE381" s="6">
        <v>19050</v>
      </c>
      <c r="AF381" s="6">
        <v>19050</v>
      </c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>
        <f t="shared" si="26"/>
        <v>6</v>
      </c>
      <c r="AX381" t="b">
        <f t="shared" si="27"/>
        <v>1</v>
      </c>
      <c r="AY381" s="21">
        <f t="shared" si="24"/>
        <v>114300</v>
      </c>
      <c r="AZ381" t="b">
        <f t="shared" si="25"/>
        <v>1</v>
      </c>
    </row>
    <row r="382" spans="1:52" x14ac:dyDescent="0.4">
      <c r="A382" s="6" t="s">
        <v>2230</v>
      </c>
      <c r="B382" s="1" t="s">
        <v>1219</v>
      </c>
      <c r="C382" s="1" t="s">
        <v>1220</v>
      </c>
      <c r="D382" s="1" t="s">
        <v>1221</v>
      </c>
      <c r="E382" s="1" t="s">
        <v>25</v>
      </c>
      <c r="F382" s="1" t="s">
        <v>1207</v>
      </c>
      <c r="G382" s="5" t="s">
        <v>479</v>
      </c>
      <c r="H382" s="1" t="s">
        <v>27</v>
      </c>
      <c r="I382">
        <v>59400</v>
      </c>
      <c r="J382" s="1" t="s">
        <v>28</v>
      </c>
      <c r="K382">
        <v>0</v>
      </c>
      <c r="L382">
        <v>0</v>
      </c>
      <c r="M382">
        <v>59400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s="18">
        <v>3</v>
      </c>
      <c r="Y382" s="6"/>
      <c r="Z382" s="6"/>
      <c r="AA382" s="6">
        <v>19800</v>
      </c>
      <c r="AB382" s="6">
        <v>19800</v>
      </c>
      <c r="AC382" s="6">
        <v>19800</v>
      </c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>
        <f t="shared" si="26"/>
        <v>3</v>
      </c>
      <c r="AX382" t="b">
        <f t="shared" si="27"/>
        <v>1</v>
      </c>
      <c r="AY382" s="21">
        <f t="shared" si="24"/>
        <v>59400</v>
      </c>
      <c r="AZ382" t="b">
        <f t="shared" si="25"/>
        <v>1</v>
      </c>
    </row>
    <row r="383" spans="1:52" x14ac:dyDescent="0.4">
      <c r="A383" s="6" t="s">
        <v>2230</v>
      </c>
      <c r="B383" s="1" t="s">
        <v>1222</v>
      </c>
      <c r="C383" s="1" t="s">
        <v>1223</v>
      </c>
      <c r="D383" s="1" t="s">
        <v>1224</v>
      </c>
      <c r="E383" s="1" t="s">
        <v>44</v>
      </c>
      <c r="F383" s="1" t="s">
        <v>867</v>
      </c>
      <c r="G383" s="5" t="s">
        <v>479</v>
      </c>
      <c r="H383" s="1" t="s">
        <v>27</v>
      </c>
      <c r="I383">
        <v>114300</v>
      </c>
      <c r="J383" s="1" t="s">
        <v>868</v>
      </c>
      <c r="K383">
        <v>0</v>
      </c>
      <c r="L383">
        <v>0</v>
      </c>
      <c r="M383">
        <v>114300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s="18">
        <v>6</v>
      </c>
      <c r="Y383" s="6"/>
      <c r="Z383" s="6"/>
      <c r="AA383" s="6">
        <v>19050</v>
      </c>
      <c r="AB383" s="6">
        <v>19050</v>
      </c>
      <c r="AC383" s="6">
        <v>19050</v>
      </c>
      <c r="AD383" s="6">
        <v>19050</v>
      </c>
      <c r="AE383" s="6">
        <v>19050</v>
      </c>
      <c r="AF383" s="6">
        <v>19050</v>
      </c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>
        <f t="shared" si="26"/>
        <v>6</v>
      </c>
      <c r="AX383" t="b">
        <f t="shared" si="27"/>
        <v>1</v>
      </c>
      <c r="AY383" s="21">
        <f t="shared" si="24"/>
        <v>114300</v>
      </c>
      <c r="AZ383" t="b">
        <f t="shared" si="25"/>
        <v>1</v>
      </c>
    </row>
    <row r="384" spans="1:52" x14ac:dyDescent="0.4">
      <c r="A384" s="6" t="s">
        <v>2230</v>
      </c>
      <c r="B384" s="1" t="s">
        <v>1225</v>
      </c>
      <c r="C384" s="1" t="s">
        <v>1226</v>
      </c>
      <c r="D384" s="1" t="s">
        <v>1227</v>
      </c>
      <c r="E384" s="1" t="s">
        <v>44</v>
      </c>
      <c r="F384" s="1" t="s">
        <v>920</v>
      </c>
      <c r="G384" s="5" t="s">
        <v>479</v>
      </c>
      <c r="H384" s="1" t="s">
        <v>27</v>
      </c>
      <c r="I384">
        <v>114300</v>
      </c>
      <c r="J384" s="1" t="s">
        <v>868</v>
      </c>
      <c r="K384">
        <v>0</v>
      </c>
      <c r="L384">
        <v>0</v>
      </c>
      <c r="M384">
        <v>114300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s="18">
        <v>6</v>
      </c>
      <c r="Y384" s="6"/>
      <c r="Z384" s="6"/>
      <c r="AA384" s="6">
        <v>19050</v>
      </c>
      <c r="AB384" s="6">
        <v>19050</v>
      </c>
      <c r="AC384" s="6">
        <v>19050</v>
      </c>
      <c r="AD384" s="6">
        <v>19050</v>
      </c>
      <c r="AE384" s="6">
        <v>19050</v>
      </c>
      <c r="AF384" s="6">
        <v>19050</v>
      </c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>
        <f t="shared" si="26"/>
        <v>6</v>
      </c>
      <c r="AX384" t="b">
        <f t="shared" si="27"/>
        <v>1</v>
      </c>
      <c r="AY384" s="21">
        <f t="shared" si="24"/>
        <v>114300</v>
      </c>
      <c r="AZ384" t="b">
        <f t="shared" si="25"/>
        <v>1</v>
      </c>
    </row>
    <row r="385" spans="1:52" x14ac:dyDescent="0.4">
      <c r="A385" s="6" t="s">
        <v>2230</v>
      </c>
      <c r="B385" s="1" t="s">
        <v>1228</v>
      </c>
      <c r="C385" s="1" t="s">
        <v>1229</v>
      </c>
      <c r="D385" s="1" t="s">
        <v>1230</v>
      </c>
      <c r="E385" s="1" t="s">
        <v>50</v>
      </c>
      <c r="F385" s="1" t="s">
        <v>1231</v>
      </c>
      <c r="G385" s="5" t="s">
        <v>479</v>
      </c>
      <c r="H385" s="1" t="s">
        <v>52</v>
      </c>
      <c r="I385">
        <v>114300</v>
      </c>
      <c r="J385" s="1" t="s">
        <v>28</v>
      </c>
      <c r="K385">
        <v>0</v>
      </c>
      <c r="L385">
        <v>0</v>
      </c>
      <c r="M385">
        <v>114300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s="18">
        <v>6</v>
      </c>
      <c r="Y385" s="6"/>
      <c r="Z385" s="6"/>
      <c r="AA385" s="6">
        <v>19050</v>
      </c>
      <c r="AB385" s="6">
        <v>19050</v>
      </c>
      <c r="AC385" s="6">
        <v>19050</v>
      </c>
      <c r="AD385" s="6">
        <v>19050</v>
      </c>
      <c r="AE385" s="6">
        <v>19050</v>
      </c>
      <c r="AF385" s="6">
        <v>19050</v>
      </c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>
        <f t="shared" si="26"/>
        <v>6</v>
      </c>
      <c r="AX385" t="b">
        <f t="shared" si="27"/>
        <v>1</v>
      </c>
      <c r="AY385" s="21">
        <f t="shared" si="24"/>
        <v>114300</v>
      </c>
      <c r="AZ385" t="b">
        <f t="shared" si="25"/>
        <v>1</v>
      </c>
    </row>
    <row r="386" spans="1:52" x14ac:dyDescent="0.4">
      <c r="A386" s="6" t="s">
        <v>2230</v>
      </c>
      <c r="B386" s="1" t="s">
        <v>1232</v>
      </c>
      <c r="C386" s="1" t="s">
        <v>1233</v>
      </c>
      <c r="D386" s="1" t="s">
        <v>1234</v>
      </c>
      <c r="E386" s="1" t="s">
        <v>44</v>
      </c>
      <c r="F386" s="1" t="s">
        <v>1141</v>
      </c>
      <c r="G386" s="5" t="s">
        <v>479</v>
      </c>
      <c r="H386" s="1" t="s">
        <v>27</v>
      </c>
      <c r="I386">
        <v>114300</v>
      </c>
      <c r="J386" s="1" t="s">
        <v>868</v>
      </c>
      <c r="K386">
        <v>0</v>
      </c>
      <c r="L386">
        <v>0</v>
      </c>
      <c r="M386">
        <v>114300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s="18">
        <v>6</v>
      </c>
      <c r="Y386" s="6"/>
      <c r="Z386" s="6"/>
      <c r="AA386" s="6">
        <v>19050</v>
      </c>
      <c r="AB386" s="6">
        <v>19050</v>
      </c>
      <c r="AC386" s="6">
        <v>19050</v>
      </c>
      <c r="AD386" s="6">
        <v>19050</v>
      </c>
      <c r="AE386" s="6">
        <v>19050</v>
      </c>
      <c r="AF386" s="6">
        <v>19050</v>
      </c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>
        <f t="shared" si="26"/>
        <v>6</v>
      </c>
      <c r="AX386" t="b">
        <f t="shared" si="27"/>
        <v>1</v>
      </c>
      <c r="AY386" s="21">
        <f t="shared" si="24"/>
        <v>114300</v>
      </c>
      <c r="AZ386" t="b">
        <f t="shared" si="25"/>
        <v>1</v>
      </c>
    </row>
    <row r="387" spans="1:52" x14ac:dyDescent="0.4">
      <c r="A387" s="6" t="s">
        <v>2230</v>
      </c>
      <c r="B387" s="1" t="s">
        <v>1235</v>
      </c>
      <c r="C387" s="1" t="s">
        <v>1236</v>
      </c>
      <c r="D387" s="1" t="s">
        <v>1237</v>
      </c>
      <c r="E387" s="1" t="s">
        <v>44</v>
      </c>
      <c r="F387" s="1" t="s">
        <v>1238</v>
      </c>
      <c r="G387" s="5" t="s">
        <v>479</v>
      </c>
      <c r="H387" s="1" t="s">
        <v>27</v>
      </c>
      <c r="I387">
        <v>114300</v>
      </c>
      <c r="J387" s="1" t="s">
        <v>868</v>
      </c>
      <c r="K387">
        <v>0</v>
      </c>
      <c r="L387">
        <v>0</v>
      </c>
      <c r="M387">
        <v>114300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s="18">
        <v>6</v>
      </c>
      <c r="Y387" s="6"/>
      <c r="Z387" s="6"/>
      <c r="AA387" s="6">
        <v>19050</v>
      </c>
      <c r="AB387" s="6">
        <v>19050</v>
      </c>
      <c r="AC387" s="6">
        <v>19050</v>
      </c>
      <c r="AD387" s="6">
        <v>19050</v>
      </c>
      <c r="AE387" s="6">
        <v>19050</v>
      </c>
      <c r="AF387" s="6">
        <v>19050</v>
      </c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>
        <f t="shared" si="26"/>
        <v>6</v>
      </c>
      <c r="AX387" t="b">
        <f t="shared" si="27"/>
        <v>1</v>
      </c>
      <c r="AY387" s="21">
        <f t="shared" si="24"/>
        <v>114300</v>
      </c>
      <c r="AZ387" t="b">
        <f t="shared" si="25"/>
        <v>1</v>
      </c>
    </row>
    <row r="388" spans="1:52" x14ac:dyDescent="0.4">
      <c r="A388" s="6" t="s">
        <v>2230</v>
      </c>
      <c r="B388" s="1" t="s">
        <v>1239</v>
      </c>
      <c r="C388" s="1" t="s">
        <v>1240</v>
      </c>
      <c r="D388" s="1" t="s">
        <v>1241</v>
      </c>
      <c r="E388" s="1" t="s">
        <v>25</v>
      </c>
      <c r="F388" s="1" t="s">
        <v>1242</v>
      </c>
      <c r="G388" s="5" t="s">
        <v>479</v>
      </c>
      <c r="H388" s="1" t="s">
        <v>27</v>
      </c>
      <c r="I388">
        <v>59400</v>
      </c>
      <c r="J388" s="1" t="s">
        <v>28</v>
      </c>
      <c r="K388">
        <v>0</v>
      </c>
      <c r="L388">
        <v>0</v>
      </c>
      <c r="M388">
        <v>59400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s="18">
        <v>3</v>
      </c>
      <c r="Y388" s="6"/>
      <c r="Z388" s="6"/>
      <c r="AA388" s="6">
        <v>19800</v>
      </c>
      <c r="AB388" s="6">
        <v>19800</v>
      </c>
      <c r="AC388" s="6">
        <v>19800</v>
      </c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>
        <f t="shared" si="26"/>
        <v>3</v>
      </c>
      <c r="AX388" t="b">
        <f t="shared" si="27"/>
        <v>1</v>
      </c>
      <c r="AY388" s="21">
        <f t="shared" si="24"/>
        <v>59400</v>
      </c>
      <c r="AZ388" t="b">
        <f t="shared" si="25"/>
        <v>1</v>
      </c>
    </row>
    <row r="389" spans="1:52" x14ac:dyDescent="0.4">
      <c r="A389" s="6" t="s">
        <v>2230</v>
      </c>
      <c r="B389" s="1" t="s">
        <v>1243</v>
      </c>
      <c r="C389" s="1" t="s">
        <v>1244</v>
      </c>
      <c r="D389" s="1" t="s">
        <v>1245</v>
      </c>
      <c r="E389" s="1" t="s">
        <v>44</v>
      </c>
      <c r="F389" s="1" t="s">
        <v>867</v>
      </c>
      <c r="G389" s="5" t="s">
        <v>479</v>
      </c>
      <c r="H389" s="1" t="s">
        <v>27</v>
      </c>
      <c r="I389">
        <v>114300</v>
      </c>
      <c r="J389" s="1" t="s">
        <v>868</v>
      </c>
      <c r="K389">
        <v>0</v>
      </c>
      <c r="L389">
        <v>0</v>
      </c>
      <c r="M389">
        <v>114300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s="18">
        <v>6</v>
      </c>
      <c r="Y389" s="6"/>
      <c r="Z389" s="6"/>
      <c r="AA389" s="6">
        <v>19050</v>
      </c>
      <c r="AB389" s="6">
        <v>19050</v>
      </c>
      <c r="AC389" s="6">
        <v>19050</v>
      </c>
      <c r="AD389" s="6">
        <v>19050</v>
      </c>
      <c r="AE389" s="6">
        <v>19050</v>
      </c>
      <c r="AF389" s="6">
        <v>19050</v>
      </c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>
        <f t="shared" si="26"/>
        <v>6</v>
      </c>
      <c r="AX389" t="b">
        <f t="shared" si="27"/>
        <v>1</v>
      </c>
      <c r="AY389" s="21">
        <f t="shared" si="24"/>
        <v>114300</v>
      </c>
      <c r="AZ389" t="b">
        <f t="shared" si="25"/>
        <v>1</v>
      </c>
    </row>
    <row r="390" spans="1:52" x14ac:dyDescent="0.4">
      <c r="A390" s="6" t="s">
        <v>2230</v>
      </c>
      <c r="B390" s="1" t="s">
        <v>1246</v>
      </c>
      <c r="C390" s="1" t="s">
        <v>1247</v>
      </c>
      <c r="D390" s="1" t="s">
        <v>1248</v>
      </c>
      <c r="E390" s="1" t="s">
        <v>44</v>
      </c>
      <c r="F390" s="1" t="s">
        <v>37</v>
      </c>
      <c r="G390" s="5" t="s">
        <v>46</v>
      </c>
      <c r="H390" s="1" t="s">
        <v>27</v>
      </c>
      <c r="I390">
        <v>114300</v>
      </c>
      <c r="J390" s="1" t="s">
        <v>33</v>
      </c>
      <c r="K390">
        <v>0</v>
      </c>
      <c r="L390">
        <v>0</v>
      </c>
      <c r="M390">
        <v>0</v>
      </c>
      <c r="N390">
        <v>0</v>
      </c>
      <c r="O390">
        <v>114300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s="18">
        <v>6</v>
      </c>
      <c r="Y390" s="6"/>
      <c r="Z390" s="6"/>
      <c r="AA390" s="6"/>
      <c r="AB390" s="6"/>
      <c r="AC390" s="6">
        <v>19050</v>
      </c>
      <c r="AD390" s="6">
        <v>19050</v>
      </c>
      <c r="AE390" s="6">
        <v>19050</v>
      </c>
      <c r="AF390" s="6">
        <v>19050</v>
      </c>
      <c r="AG390" s="6">
        <v>19050</v>
      </c>
      <c r="AH390" s="6">
        <v>19050</v>
      </c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>
        <f t="shared" si="26"/>
        <v>6</v>
      </c>
      <c r="AX390" t="b">
        <f t="shared" si="27"/>
        <v>1</v>
      </c>
      <c r="AY390" s="21">
        <f t="shared" si="24"/>
        <v>114300</v>
      </c>
      <c r="AZ390" t="b">
        <f t="shared" si="25"/>
        <v>1</v>
      </c>
    </row>
    <row r="391" spans="1:52" x14ac:dyDescent="0.4">
      <c r="A391" s="6" t="s">
        <v>2230</v>
      </c>
      <c r="B391" s="1" t="s">
        <v>1249</v>
      </c>
      <c r="C391" s="1" t="s">
        <v>1250</v>
      </c>
      <c r="D391" s="1" t="s">
        <v>1251</v>
      </c>
      <c r="E391" s="1" t="s">
        <v>50</v>
      </c>
      <c r="F391" s="1" t="s">
        <v>1252</v>
      </c>
      <c r="G391" s="5" t="s">
        <v>479</v>
      </c>
      <c r="H391" s="1" t="s">
        <v>52</v>
      </c>
      <c r="I391">
        <v>114300</v>
      </c>
      <c r="J391" s="1" t="s">
        <v>28</v>
      </c>
      <c r="K391">
        <v>0</v>
      </c>
      <c r="L391">
        <v>0</v>
      </c>
      <c r="M391">
        <v>114300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s="18">
        <v>6</v>
      </c>
      <c r="Y391" s="6"/>
      <c r="Z391" s="6"/>
      <c r="AA391" s="6">
        <v>19050</v>
      </c>
      <c r="AB391" s="6">
        <v>19050</v>
      </c>
      <c r="AC391" s="6">
        <v>19050</v>
      </c>
      <c r="AD391" s="6">
        <v>19050</v>
      </c>
      <c r="AE391" s="6">
        <v>19050</v>
      </c>
      <c r="AF391" s="6">
        <v>19050</v>
      </c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>
        <f t="shared" si="26"/>
        <v>6</v>
      </c>
      <c r="AX391" t="b">
        <f t="shared" si="27"/>
        <v>1</v>
      </c>
      <c r="AY391" s="21">
        <f t="shared" ref="AY391:AY454" si="28">+SUM(Y391:AV391)</f>
        <v>114300</v>
      </c>
      <c r="AZ391" t="b">
        <f t="shared" ref="AZ391:AZ454" si="29">+I391=AY391</f>
        <v>1</v>
      </c>
    </row>
    <row r="392" spans="1:52" x14ac:dyDescent="0.4">
      <c r="A392" s="6" t="s">
        <v>2230</v>
      </c>
      <c r="B392" s="1" t="s">
        <v>1253</v>
      </c>
      <c r="C392" s="1" t="s">
        <v>1254</v>
      </c>
      <c r="D392" s="1" t="s">
        <v>1255</v>
      </c>
      <c r="E392" s="1" t="s">
        <v>44</v>
      </c>
      <c r="F392" s="1" t="s">
        <v>928</v>
      </c>
      <c r="G392" s="5" t="s">
        <v>479</v>
      </c>
      <c r="H392" s="1" t="s">
        <v>27</v>
      </c>
      <c r="I392">
        <v>114300</v>
      </c>
      <c r="J392" s="1" t="s">
        <v>868</v>
      </c>
      <c r="K392">
        <v>0</v>
      </c>
      <c r="L392">
        <v>0</v>
      </c>
      <c r="M392">
        <v>114300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s="18">
        <v>6</v>
      </c>
      <c r="Y392" s="6"/>
      <c r="Z392" s="6"/>
      <c r="AA392" s="6">
        <v>19050</v>
      </c>
      <c r="AB392" s="6">
        <v>19050</v>
      </c>
      <c r="AC392" s="6">
        <v>19050</v>
      </c>
      <c r="AD392" s="6">
        <v>19050</v>
      </c>
      <c r="AE392" s="6">
        <v>19050</v>
      </c>
      <c r="AF392" s="6">
        <v>19050</v>
      </c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>
        <f t="shared" si="26"/>
        <v>6</v>
      </c>
      <c r="AX392" t="b">
        <f t="shared" si="27"/>
        <v>1</v>
      </c>
      <c r="AY392" s="21">
        <f t="shared" si="28"/>
        <v>114300</v>
      </c>
      <c r="AZ392" t="b">
        <f t="shared" si="29"/>
        <v>1</v>
      </c>
    </row>
    <row r="393" spans="1:52" x14ac:dyDescent="0.4">
      <c r="A393" s="6" t="s">
        <v>2230</v>
      </c>
      <c r="B393" s="1" t="s">
        <v>1256</v>
      </c>
      <c r="C393" s="1" t="s">
        <v>1257</v>
      </c>
      <c r="D393" s="1" t="s">
        <v>1258</v>
      </c>
      <c r="E393" s="1" t="s">
        <v>44</v>
      </c>
      <c r="F393" s="1" t="s">
        <v>1211</v>
      </c>
      <c r="G393" s="5" t="s">
        <v>479</v>
      </c>
      <c r="H393" s="1" t="s">
        <v>27</v>
      </c>
      <c r="I393">
        <v>114300</v>
      </c>
      <c r="J393" s="1" t="s">
        <v>868</v>
      </c>
      <c r="K393">
        <v>0</v>
      </c>
      <c r="L393">
        <v>0</v>
      </c>
      <c r="M393">
        <v>114300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s="18">
        <v>6</v>
      </c>
      <c r="Y393" s="6"/>
      <c r="Z393" s="6"/>
      <c r="AA393" s="6">
        <v>19050</v>
      </c>
      <c r="AB393" s="6">
        <v>19050</v>
      </c>
      <c r="AC393" s="6">
        <v>19050</v>
      </c>
      <c r="AD393" s="6">
        <v>19050</v>
      </c>
      <c r="AE393" s="6">
        <v>19050</v>
      </c>
      <c r="AF393" s="6">
        <v>19050</v>
      </c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>
        <f t="shared" si="26"/>
        <v>6</v>
      </c>
      <c r="AX393" t="b">
        <f t="shared" si="27"/>
        <v>1</v>
      </c>
      <c r="AY393" s="21">
        <f t="shared" si="28"/>
        <v>114300</v>
      </c>
      <c r="AZ393" t="b">
        <f t="shared" si="29"/>
        <v>1</v>
      </c>
    </row>
    <row r="394" spans="1:52" x14ac:dyDescent="0.4">
      <c r="A394" s="6" t="s">
        <v>2230</v>
      </c>
      <c r="B394" s="1" t="s">
        <v>1259</v>
      </c>
      <c r="C394" s="1" t="s">
        <v>1260</v>
      </c>
      <c r="D394" s="1" t="s">
        <v>1261</v>
      </c>
      <c r="E394" s="1" t="s">
        <v>44</v>
      </c>
      <c r="F394" s="1" t="s">
        <v>920</v>
      </c>
      <c r="G394" s="5" t="s">
        <v>479</v>
      </c>
      <c r="H394" s="1" t="s">
        <v>27</v>
      </c>
      <c r="I394">
        <v>114300</v>
      </c>
      <c r="J394" s="1" t="s">
        <v>868</v>
      </c>
      <c r="K394">
        <v>0</v>
      </c>
      <c r="L394">
        <v>0</v>
      </c>
      <c r="M394">
        <v>114300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s="18">
        <v>6</v>
      </c>
      <c r="Y394" s="6"/>
      <c r="Z394" s="6"/>
      <c r="AA394" s="6">
        <v>19050</v>
      </c>
      <c r="AB394" s="6">
        <v>19050</v>
      </c>
      <c r="AC394" s="6">
        <v>19050</v>
      </c>
      <c r="AD394" s="6">
        <v>19050</v>
      </c>
      <c r="AE394" s="6">
        <v>19050</v>
      </c>
      <c r="AF394" s="6">
        <v>19050</v>
      </c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>
        <f t="shared" si="26"/>
        <v>6</v>
      </c>
      <c r="AX394" t="b">
        <f t="shared" si="27"/>
        <v>1</v>
      </c>
      <c r="AY394" s="21">
        <f t="shared" si="28"/>
        <v>114300</v>
      </c>
      <c r="AZ394" t="b">
        <f t="shared" si="29"/>
        <v>1</v>
      </c>
    </row>
    <row r="395" spans="1:52" x14ac:dyDescent="0.4">
      <c r="A395" s="6" t="s">
        <v>2230</v>
      </c>
      <c r="B395" s="1" t="s">
        <v>1262</v>
      </c>
      <c r="C395" s="1" t="s">
        <v>1263</v>
      </c>
      <c r="D395" s="1" t="s">
        <v>1264</v>
      </c>
      <c r="E395" s="1" t="s">
        <v>44</v>
      </c>
      <c r="F395" s="1" t="s">
        <v>1157</v>
      </c>
      <c r="G395" s="5" t="s">
        <v>479</v>
      </c>
      <c r="H395" s="1" t="s">
        <v>27</v>
      </c>
      <c r="I395">
        <v>114300</v>
      </c>
      <c r="J395" s="1" t="s">
        <v>868</v>
      </c>
      <c r="K395">
        <v>0</v>
      </c>
      <c r="L395">
        <v>0</v>
      </c>
      <c r="M395">
        <v>114300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s="18">
        <v>6</v>
      </c>
      <c r="Y395" s="6"/>
      <c r="Z395" s="6"/>
      <c r="AA395" s="6">
        <v>19050</v>
      </c>
      <c r="AB395" s="6">
        <v>19050</v>
      </c>
      <c r="AC395" s="6">
        <v>19050</v>
      </c>
      <c r="AD395" s="6">
        <v>19050</v>
      </c>
      <c r="AE395" s="6">
        <v>19050</v>
      </c>
      <c r="AF395" s="6">
        <v>19050</v>
      </c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>
        <f t="shared" si="26"/>
        <v>6</v>
      </c>
      <c r="AX395" t="b">
        <f t="shared" si="27"/>
        <v>1</v>
      </c>
      <c r="AY395" s="21">
        <f t="shared" si="28"/>
        <v>114300</v>
      </c>
      <c r="AZ395" t="b">
        <f t="shared" si="29"/>
        <v>1</v>
      </c>
    </row>
    <row r="396" spans="1:52" x14ac:dyDescent="0.4">
      <c r="A396" s="6" t="s">
        <v>2230</v>
      </c>
      <c r="B396" s="1" t="s">
        <v>1265</v>
      </c>
      <c r="C396" s="1" t="s">
        <v>1266</v>
      </c>
      <c r="D396" s="1" t="s">
        <v>1267</v>
      </c>
      <c r="E396" s="1" t="s">
        <v>44</v>
      </c>
      <c r="F396" s="1" t="s">
        <v>1141</v>
      </c>
      <c r="G396" s="5" t="s">
        <v>479</v>
      </c>
      <c r="H396" s="1" t="s">
        <v>27</v>
      </c>
      <c r="I396">
        <v>114300</v>
      </c>
      <c r="J396" s="1" t="s">
        <v>868</v>
      </c>
      <c r="K396">
        <v>0</v>
      </c>
      <c r="L396">
        <v>0</v>
      </c>
      <c r="M396">
        <v>114300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s="18">
        <v>6</v>
      </c>
      <c r="Y396" s="6"/>
      <c r="Z396" s="6"/>
      <c r="AA396" s="6">
        <v>19050</v>
      </c>
      <c r="AB396" s="6">
        <v>19050</v>
      </c>
      <c r="AC396" s="6">
        <v>19050</v>
      </c>
      <c r="AD396" s="6">
        <v>19050</v>
      </c>
      <c r="AE396" s="6">
        <v>19050</v>
      </c>
      <c r="AF396" s="6">
        <v>19050</v>
      </c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>
        <f t="shared" si="26"/>
        <v>6</v>
      </c>
      <c r="AX396" t="b">
        <f t="shared" si="27"/>
        <v>1</v>
      </c>
      <c r="AY396" s="21">
        <f t="shared" si="28"/>
        <v>114300</v>
      </c>
      <c r="AZ396" t="b">
        <f t="shared" si="29"/>
        <v>1</v>
      </c>
    </row>
    <row r="397" spans="1:52" x14ac:dyDescent="0.4">
      <c r="A397" s="6" t="s">
        <v>2230</v>
      </c>
      <c r="B397" s="1" t="s">
        <v>1268</v>
      </c>
      <c r="C397" s="1" t="s">
        <v>1269</v>
      </c>
      <c r="D397" s="1" t="s">
        <v>1270</v>
      </c>
      <c r="E397" s="1" t="s">
        <v>44</v>
      </c>
      <c r="F397" s="1" t="s">
        <v>867</v>
      </c>
      <c r="G397" s="5" t="s">
        <v>479</v>
      </c>
      <c r="H397" s="1" t="s">
        <v>27</v>
      </c>
      <c r="I397">
        <v>114300</v>
      </c>
      <c r="J397" s="1" t="s">
        <v>868</v>
      </c>
      <c r="K397">
        <v>0</v>
      </c>
      <c r="L397">
        <v>0</v>
      </c>
      <c r="M397">
        <v>114300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s="18">
        <v>6</v>
      </c>
      <c r="Y397" s="6"/>
      <c r="Z397" s="6"/>
      <c r="AA397" s="6">
        <v>19050</v>
      </c>
      <c r="AB397" s="6">
        <v>19050</v>
      </c>
      <c r="AC397" s="6">
        <v>19050</v>
      </c>
      <c r="AD397" s="6">
        <v>19050</v>
      </c>
      <c r="AE397" s="6">
        <v>19050</v>
      </c>
      <c r="AF397" s="6">
        <v>19050</v>
      </c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>
        <f t="shared" si="26"/>
        <v>6</v>
      </c>
      <c r="AX397" t="b">
        <f t="shared" si="27"/>
        <v>1</v>
      </c>
      <c r="AY397" s="21">
        <f t="shared" si="28"/>
        <v>114300</v>
      </c>
      <c r="AZ397" t="b">
        <f t="shared" si="29"/>
        <v>1</v>
      </c>
    </row>
    <row r="398" spans="1:52" x14ac:dyDescent="0.4">
      <c r="A398" s="6" t="s">
        <v>2230</v>
      </c>
      <c r="B398" s="1" t="s">
        <v>1271</v>
      </c>
      <c r="C398" s="1" t="s">
        <v>1272</v>
      </c>
      <c r="D398" s="1" t="s">
        <v>1273</v>
      </c>
      <c r="E398" s="1" t="s">
        <v>44</v>
      </c>
      <c r="F398" s="1" t="s">
        <v>928</v>
      </c>
      <c r="G398" s="5" t="s">
        <v>479</v>
      </c>
      <c r="H398" s="1" t="s">
        <v>27</v>
      </c>
      <c r="I398">
        <v>114300</v>
      </c>
      <c r="J398" s="1" t="s">
        <v>868</v>
      </c>
      <c r="K398">
        <v>0</v>
      </c>
      <c r="L398">
        <v>0</v>
      </c>
      <c r="M398">
        <v>114300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s="18">
        <v>6</v>
      </c>
      <c r="Y398" s="6"/>
      <c r="Z398" s="6"/>
      <c r="AA398" s="6">
        <v>19050</v>
      </c>
      <c r="AB398" s="6">
        <v>19050</v>
      </c>
      <c r="AC398" s="6">
        <v>19050</v>
      </c>
      <c r="AD398" s="6">
        <v>19050</v>
      </c>
      <c r="AE398" s="6">
        <v>19050</v>
      </c>
      <c r="AF398" s="6">
        <v>19050</v>
      </c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>
        <f t="shared" si="26"/>
        <v>6</v>
      </c>
      <c r="AX398" t="b">
        <f t="shared" si="27"/>
        <v>1</v>
      </c>
      <c r="AY398" s="21">
        <f t="shared" si="28"/>
        <v>114300</v>
      </c>
      <c r="AZ398" t="b">
        <f t="shared" si="29"/>
        <v>1</v>
      </c>
    </row>
    <row r="399" spans="1:52" x14ac:dyDescent="0.4">
      <c r="A399" s="6" t="s">
        <v>2230</v>
      </c>
      <c r="B399" s="1" t="s">
        <v>1274</v>
      </c>
      <c r="C399" s="1" t="s">
        <v>1275</v>
      </c>
      <c r="D399" s="1" t="s">
        <v>1276</v>
      </c>
      <c r="E399" s="1" t="s">
        <v>50</v>
      </c>
      <c r="F399" s="1" t="s">
        <v>1277</v>
      </c>
      <c r="G399" s="5" t="s">
        <v>479</v>
      </c>
      <c r="H399" s="1" t="s">
        <v>52</v>
      </c>
      <c r="I399">
        <v>114300</v>
      </c>
      <c r="J399" s="1" t="s">
        <v>28</v>
      </c>
      <c r="K399">
        <v>0</v>
      </c>
      <c r="L399">
        <v>0</v>
      </c>
      <c r="M399">
        <v>114300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s="18">
        <v>6</v>
      </c>
      <c r="Y399" s="6"/>
      <c r="Z399" s="6"/>
      <c r="AA399" s="6">
        <v>19050</v>
      </c>
      <c r="AB399" s="6">
        <v>19050</v>
      </c>
      <c r="AC399" s="6">
        <v>19050</v>
      </c>
      <c r="AD399" s="6">
        <v>19050</v>
      </c>
      <c r="AE399" s="6">
        <v>19050</v>
      </c>
      <c r="AF399" s="6">
        <v>19050</v>
      </c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>
        <f t="shared" si="26"/>
        <v>6</v>
      </c>
      <c r="AX399" t="b">
        <f t="shared" si="27"/>
        <v>1</v>
      </c>
      <c r="AY399" s="21">
        <f t="shared" si="28"/>
        <v>114300</v>
      </c>
      <c r="AZ399" t="b">
        <f t="shared" si="29"/>
        <v>1</v>
      </c>
    </row>
    <row r="400" spans="1:52" x14ac:dyDescent="0.4">
      <c r="A400" s="6" t="s">
        <v>2230</v>
      </c>
      <c r="B400" s="1" t="s">
        <v>1278</v>
      </c>
      <c r="C400" s="1" t="s">
        <v>1279</v>
      </c>
      <c r="D400" s="1" t="s">
        <v>1280</v>
      </c>
      <c r="E400" s="1" t="s">
        <v>44</v>
      </c>
      <c r="F400" s="1" t="s">
        <v>1141</v>
      </c>
      <c r="G400" s="5" t="s">
        <v>479</v>
      </c>
      <c r="H400" s="1" t="s">
        <v>27</v>
      </c>
      <c r="I400">
        <v>114300</v>
      </c>
      <c r="J400" s="1" t="s">
        <v>868</v>
      </c>
      <c r="K400">
        <v>0</v>
      </c>
      <c r="L400">
        <v>0</v>
      </c>
      <c r="M400">
        <v>114300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s="18">
        <v>6</v>
      </c>
      <c r="Y400" s="6"/>
      <c r="Z400" s="6"/>
      <c r="AA400" s="6">
        <v>19050</v>
      </c>
      <c r="AB400" s="6">
        <v>19050</v>
      </c>
      <c r="AC400" s="6">
        <v>19050</v>
      </c>
      <c r="AD400" s="6">
        <v>19050</v>
      </c>
      <c r="AE400" s="6">
        <v>19050</v>
      </c>
      <c r="AF400" s="6">
        <v>19050</v>
      </c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>
        <f t="shared" ref="AW400:AW463" si="30">+COUNTA(Y400:AV400)</f>
        <v>6</v>
      </c>
      <c r="AX400" t="b">
        <f t="shared" ref="AX400:AX463" si="31">+AW400=X400</f>
        <v>1</v>
      </c>
      <c r="AY400" s="21">
        <f t="shared" si="28"/>
        <v>114300</v>
      </c>
      <c r="AZ400" t="b">
        <f t="shared" si="29"/>
        <v>1</v>
      </c>
    </row>
    <row r="401" spans="1:52" x14ac:dyDescent="0.4">
      <c r="A401" s="6" t="s">
        <v>2230</v>
      </c>
      <c r="B401" s="1" t="s">
        <v>1281</v>
      </c>
      <c r="C401" s="1" t="s">
        <v>1282</v>
      </c>
      <c r="D401" s="1" t="s">
        <v>1283</v>
      </c>
      <c r="E401" s="1" t="s">
        <v>44</v>
      </c>
      <c r="F401" s="1" t="s">
        <v>1231</v>
      </c>
      <c r="G401" s="5" t="s">
        <v>479</v>
      </c>
      <c r="H401" s="1" t="s">
        <v>27</v>
      </c>
      <c r="I401">
        <v>114300</v>
      </c>
      <c r="J401" s="1" t="s">
        <v>868</v>
      </c>
      <c r="K401">
        <v>0</v>
      </c>
      <c r="L401">
        <v>0</v>
      </c>
      <c r="M401">
        <v>114300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s="18">
        <v>6</v>
      </c>
      <c r="Y401" s="6"/>
      <c r="Z401" s="6"/>
      <c r="AA401" s="6">
        <v>19050</v>
      </c>
      <c r="AB401" s="6">
        <v>19050</v>
      </c>
      <c r="AC401" s="6">
        <v>19050</v>
      </c>
      <c r="AD401" s="6">
        <v>19050</v>
      </c>
      <c r="AE401" s="6">
        <v>19050</v>
      </c>
      <c r="AF401" s="6">
        <v>19050</v>
      </c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>
        <f t="shared" si="30"/>
        <v>6</v>
      </c>
      <c r="AX401" t="b">
        <f t="shared" si="31"/>
        <v>1</v>
      </c>
      <c r="AY401" s="21">
        <f t="shared" si="28"/>
        <v>114300</v>
      </c>
      <c r="AZ401" t="b">
        <f t="shared" si="29"/>
        <v>1</v>
      </c>
    </row>
    <row r="402" spans="1:52" x14ac:dyDescent="0.4">
      <c r="A402" s="6" t="s">
        <v>2230</v>
      </c>
      <c r="B402" s="1" t="s">
        <v>1284</v>
      </c>
      <c r="C402" s="1" t="s">
        <v>1285</v>
      </c>
      <c r="D402" s="1" t="s">
        <v>1286</v>
      </c>
      <c r="E402" s="1" t="s">
        <v>44</v>
      </c>
      <c r="F402" s="1" t="s">
        <v>928</v>
      </c>
      <c r="G402" s="5" t="s">
        <v>479</v>
      </c>
      <c r="H402" s="1" t="s">
        <v>27</v>
      </c>
      <c r="I402">
        <v>114300</v>
      </c>
      <c r="J402" s="1" t="s">
        <v>868</v>
      </c>
      <c r="K402">
        <v>0</v>
      </c>
      <c r="L402">
        <v>0</v>
      </c>
      <c r="M402">
        <v>114300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s="18">
        <v>6</v>
      </c>
      <c r="Y402" s="6"/>
      <c r="Z402" s="6"/>
      <c r="AA402" s="6">
        <v>19050</v>
      </c>
      <c r="AB402" s="6">
        <v>19050</v>
      </c>
      <c r="AC402" s="6">
        <v>19050</v>
      </c>
      <c r="AD402" s="6">
        <v>19050</v>
      </c>
      <c r="AE402" s="6">
        <v>19050</v>
      </c>
      <c r="AF402" s="6">
        <v>19050</v>
      </c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>
        <f t="shared" si="30"/>
        <v>6</v>
      </c>
      <c r="AX402" t="b">
        <f t="shared" si="31"/>
        <v>1</v>
      </c>
      <c r="AY402" s="21">
        <f t="shared" si="28"/>
        <v>114300</v>
      </c>
      <c r="AZ402" t="b">
        <f t="shared" si="29"/>
        <v>1</v>
      </c>
    </row>
    <row r="403" spans="1:52" x14ac:dyDescent="0.4">
      <c r="A403" s="6" t="s">
        <v>2230</v>
      </c>
      <c r="B403" s="1" t="s">
        <v>1287</v>
      </c>
      <c r="C403" s="1" t="s">
        <v>1288</v>
      </c>
      <c r="D403" s="1" t="s">
        <v>1289</v>
      </c>
      <c r="E403" s="1" t="s">
        <v>44</v>
      </c>
      <c r="F403" s="1" t="s">
        <v>867</v>
      </c>
      <c r="G403" s="5" t="s">
        <v>479</v>
      </c>
      <c r="H403" s="1" t="s">
        <v>27</v>
      </c>
      <c r="I403">
        <v>114300</v>
      </c>
      <c r="J403" s="1" t="s">
        <v>868</v>
      </c>
      <c r="K403">
        <v>0</v>
      </c>
      <c r="L403">
        <v>0</v>
      </c>
      <c r="M403">
        <v>114300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s="18">
        <v>6</v>
      </c>
      <c r="Y403" s="6"/>
      <c r="Z403" s="6"/>
      <c r="AA403" s="6">
        <v>19050</v>
      </c>
      <c r="AB403" s="6">
        <v>19050</v>
      </c>
      <c r="AC403" s="6">
        <v>19050</v>
      </c>
      <c r="AD403" s="6">
        <v>19050</v>
      </c>
      <c r="AE403" s="6">
        <v>19050</v>
      </c>
      <c r="AF403" s="6">
        <v>19050</v>
      </c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>
        <f t="shared" si="30"/>
        <v>6</v>
      </c>
      <c r="AX403" t="b">
        <f t="shared" si="31"/>
        <v>1</v>
      </c>
      <c r="AY403" s="21">
        <f t="shared" si="28"/>
        <v>114300</v>
      </c>
      <c r="AZ403" t="b">
        <f t="shared" si="29"/>
        <v>1</v>
      </c>
    </row>
    <row r="404" spans="1:52" x14ac:dyDescent="0.4">
      <c r="A404" s="6" t="s">
        <v>2230</v>
      </c>
      <c r="B404" s="1" t="s">
        <v>1290</v>
      </c>
      <c r="C404" s="1" t="s">
        <v>1291</v>
      </c>
      <c r="D404" s="1" t="s">
        <v>1292</v>
      </c>
      <c r="E404" s="1" t="s">
        <v>44</v>
      </c>
      <c r="F404" s="1" t="s">
        <v>1293</v>
      </c>
      <c r="G404" s="5" t="s">
        <v>75</v>
      </c>
      <c r="H404" s="1" t="s">
        <v>27</v>
      </c>
      <c r="I404">
        <v>114300</v>
      </c>
      <c r="J404" s="1" t="s">
        <v>28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114300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s="18">
        <v>6</v>
      </c>
      <c r="Y404" s="6"/>
      <c r="Z404" s="6"/>
      <c r="AA404" s="6"/>
      <c r="AB404" s="6"/>
      <c r="AC404" s="6"/>
      <c r="AD404" s="6">
        <v>19050</v>
      </c>
      <c r="AE404" s="6">
        <v>19050</v>
      </c>
      <c r="AF404" s="6">
        <v>19050</v>
      </c>
      <c r="AG404" s="6">
        <v>19050</v>
      </c>
      <c r="AH404" s="6">
        <v>19050</v>
      </c>
      <c r="AI404" s="6">
        <v>19050</v>
      </c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>
        <f t="shared" si="30"/>
        <v>6</v>
      </c>
      <c r="AX404" t="b">
        <f t="shared" si="31"/>
        <v>1</v>
      </c>
      <c r="AY404" s="21">
        <f t="shared" si="28"/>
        <v>114300</v>
      </c>
      <c r="AZ404" t="b">
        <f t="shared" si="29"/>
        <v>1</v>
      </c>
    </row>
    <row r="405" spans="1:52" x14ac:dyDescent="0.4">
      <c r="A405" s="6" t="s">
        <v>2230</v>
      </c>
      <c r="B405" s="1" t="s">
        <v>1294</v>
      </c>
      <c r="C405" s="1" t="s">
        <v>1295</v>
      </c>
      <c r="D405" s="1" t="s">
        <v>1296</v>
      </c>
      <c r="E405" s="1" t="s">
        <v>44</v>
      </c>
      <c r="F405" s="1" t="s">
        <v>1137</v>
      </c>
      <c r="G405" s="5" t="s">
        <v>479</v>
      </c>
      <c r="H405" s="1" t="s">
        <v>27</v>
      </c>
      <c r="I405">
        <v>114300</v>
      </c>
      <c r="J405" s="1" t="s">
        <v>868</v>
      </c>
      <c r="K405">
        <v>0</v>
      </c>
      <c r="L405">
        <v>0</v>
      </c>
      <c r="M405">
        <v>114300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s="18">
        <v>6</v>
      </c>
      <c r="Y405" s="6"/>
      <c r="Z405" s="6"/>
      <c r="AA405" s="6">
        <v>19050</v>
      </c>
      <c r="AB405" s="6">
        <v>19050</v>
      </c>
      <c r="AC405" s="6">
        <v>19050</v>
      </c>
      <c r="AD405" s="6">
        <v>19050</v>
      </c>
      <c r="AE405" s="6">
        <v>19050</v>
      </c>
      <c r="AF405" s="6">
        <v>19050</v>
      </c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>
        <f t="shared" si="30"/>
        <v>6</v>
      </c>
      <c r="AX405" t="b">
        <f t="shared" si="31"/>
        <v>1</v>
      </c>
      <c r="AY405" s="21">
        <f t="shared" si="28"/>
        <v>114300</v>
      </c>
      <c r="AZ405" t="b">
        <f t="shared" si="29"/>
        <v>1</v>
      </c>
    </row>
    <row r="406" spans="1:52" x14ac:dyDescent="0.4">
      <c r="A406" s="6" t="s">
        <v>2230</v>
      </c>
      <c r="B406" s="1" t="s">
        <v>1297</v>
      </c>
      <c r="C406" s="1" t="s">
        <v>1298</v>
      </c>
      <c r="D406" s="1" t="s">
        <v>1299</v>
      </c>
      <c r="E406" s="1" t="s">
        <v>44</v>
      </c>
      <c r="F406" s="1" t="s">
        <v>867</v>
      </c>
      <c r="G406" s="5" t="s">
        <v>479</v>
      </c>
      <c r="H406" s="1" t="s">
        <v>27</v>
      </c>
      <c r="I406">
        <v>114300</v>
      </c>
      <c r="J406" s="1" t="s">
        <v>868</v>
      </c>
      <c r="K406">
        <v>0</v>
      </c>
      <c r="L406">
        <v>0</v>
      </c>
      <c r="M406">
        <v>114300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s="18">
        <v>6</v>
      </c>
      <c r="Y406" s="6"/>
      <c r="Z406" s="6"/>
      <c r="AA406" s="6">
        <v>19050</v>
      </c>
      <c r="AB406" s="6">
        <v>19050</v>
      </c>
      <c r="AC406" s="6">
        <v>19050</v>
      </c>
      <c r="AD406" s="6">
        <v>19050</v>
      </c>
      <c r="AE406" s="6">
        <v>19050</v>
      </c>
      <c r="AF406" s="6">
        <v>19050</v>
      </c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>
        <f t="shared" si="30"/>
        <v>6</v>
      </c>
      <c r="AX406" t="b">
        <f t="shared" si="31"/>
        <v>1</v>
      </c>
      <c r="AY406" s="21">
        <f t="shared" si="28"/>
        <v>114300</v>
      </c>
      <c r="AZ406" t="b">
        <f t="shared" si="29"/>
        <v>1</v>
      </c>
    </row>
    <row r="407" spans="1:52" x14ac:dyDescent="0.4">
      <c r="A407" s="6" t="s">
        <v>2230</v>
      </c>
      <c r="B407" s="1" t="s">
        <v>1300</v>
      </c>
      <c r="C407" s="1" t="s">
        <v>1301</v>
      </c>
      <c r="D407" s="1" t="s">
        <v>1302</v>
      </c>
      <c r="E407" s="1" t="s">
        <v>44</v>
      </c>
      <c r="F407" s="1" t="s">
        <v>867</v>
      </c>
      <c r="G407" s="5" t="s">
        <v>479</v>
      </c>
      <c r="H407" s="1" t="s">
        <v>27</v>
      </c>
      <c r="I407">
        <v>114300</v>
      </c>
      <c r="J407" s="1" t="s">
        <v>868</v>
      </c>
      <c r="K407">
        <v>0</v>
      </c>
      <c r="L407">
        <v>0</v>
      </c>
      <c r="M407">
        <v>114300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s="18">
        <v>6</v>
      </c>
      <c r="Y407" s="6"/>
      <c r="Z407" s="6"/>
      <c r="AA407" s="6">
        <v>19050</v>
      </c>
      <c r="AB407" s="6">
        <v>19050</v>
      </c>
      <c r="AC407" s="6">
        <v>19050</v>
      </c>
      <c r="AD407" s="6">
        <v>19050</v>
      </c>
      <c r="AE407" s="6">
        <v>19050</v>
      </c>
      <c r="AF407" s="6">
        <v>19050</v>
      </c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>
        <f t="shared" si="30"/>
        <v>6</v>
      </c>
      <c r="AX407" t="b">
        <f t="shared" si="31"/>
        <v>1</v>
      </c>
      <c r="AY407" s="21">
        <f t="shared" si="28"/>
        <v>114300</v>
      </c>
      <c r="AZ407" t="b">
        <f t="shared" si="29"/>
        <v>1</v>
      </c>
    </row>
    <row r="408" spans="1:52" x14ac:dyDescent="0.4">
      <c r="A408" s="6" t="s">
        <v>2230</v>
      </c>
      <c r="B408" s="1" t="s">
        <v>1303</v>
      </c>
      <c r="C408" s="1" t="s">
        <v>1304</v>
      </c>
      <c r="D408" s="1" t="s">
        <v>1305</v>
      </c>
      <c r="E408" s="1" t="s">
        <v>44</v>
      </c>
      <c r="F408" s="1" t="s">
        <v>867</v>
      </c>
      <c r="G408" s="5" t="s">
        <v>479</v>
      </c>
      <c r="H408" s="1" t="s">
        <v>27</v>
      </c>
      <c r="I408">
        <v>114300</v>
      </c>
      <c r="J408" s="1" t="s">
        <v>868</v>
      </c>
      <c r="K408">
        <v>0</v>
      </c>
      <c r="L408">
        <v>0</v>
      </c>
      <c r="M408">
        <v>114300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s="18">
        <v>6</v>
      </c>
      <c r="Y408" s="6"/>
      <c r="Z408" s="6"/>
      <c r="AA408" s="6">
        <v>19050</v>
      </c>
      <c r="AB408" s="6">
        <v>19050</v>
      </c>
      <c r="AC408" s="6">
        <v>19050</v>
      </c>
      <c r="AD408" s="6">
        <v>19050</v>
      </c>
      <c r="AE408" s="6">
        <v>19050</v>
      </c>
      <c r="AF408" s="6">
        <v>19050</v>
      </c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>
        <f t="shared" si="30"/>
        <v>6</v>
      </c>
      <c r="AX408" t="b">
        <f t="shared" si="31"/>
        <v>1</v>
      </c>
      <c r="AY408" s="21">
        <f t="shared" si="28"/>
        <v>114300</v>
      </c>
      <c r="AZ408" t="b">
        <f t="shared" si="29"/>
        <v>1</v>
      </c>
    </row>
    <row r="409" spans="1:52" x14ac:dyDescent="0.4">
      <c r="A409" s="6" t="s">
        <v>2230</v>
      </c>
      <c r="B409" s="1" t="s">
        <v>1306</v>
      </c>
      <c r="C409" s="1" t="s">
        <v>1307</v>
      </c>
      <c r="D409" s="1" t="s">
        <v>1308</v>
      </c>
      <c r="E409" s="1" t="s">
        <v>25</v>
      </c>
      <c r="F409" s="1" t="s">
        <v>1309</v>
      </c>
      <c r="G409" s="5" t="s">
        <v>479</v>
      </c>
      <c r="H409" s="1" t="s">
        <v>27</v>
      </c>
      <c r="I409">
        <v>59400</v>
      </c>
      <c r="J409" s="1" t="s">
        <v>28</v>
      </c>
      <c r="K409">
        <v>0</v>
      </c>
      <c r="L409">
        <v>0</v>
      </c>
      <c r="M409">
        <v>59400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s="18">
        <v>3</v>
      </c>
      <c r="Y409" s="6"/>
      <c r="Z409" s="6"/>
      <c r="AA409" s="6">
        <v>19800</v>
      </c>
      <c r="AB409" s="6">
        <v>19800</v>
      </c>
      <c r="AC409" s="6">
        <v>19800</v>
      </c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>
        <f t="shared" si="30"/>
        <v>3</v>
      </c>
      <c r="AX409" t="b">
        <f t="shared" si="31"/>
        <v>1</v>
      </c>
      <c r="AY409" s="21">
        <f t="shared" si="28"/>
        <v>59400</v>
      </c>
      <c r="AZ409" t="b">
        <f t="shared" si="29"/>
        <v>1</v>
      </c>
    </row>
    <row r="410" spans="1:52" x14ac:dyDescent="0.4">
      <c r="A410" s="6" t="s">
        <v>2230</v>
      </c>
      <c r="B410" s="1" t="s">
        <v>1310</v>
      </c>
      <c r="C410" s="1" t="s">
        <v>1311</v>
      </c>
      <c r="D410" s="1" t="s">
        <v>1312</v>
      </c>
      <c r="E410" s="1" t="s">
        <v>44</v>
      </c>
      <c r="F410" s="1" t="s">
        <v>867</v>
      </c>
      <c r="G410" s="5" t="s">
        <v>479</v>
      </c>
      <c r="H410" s="1" t="s">
        <v>27</v>
      </c>
      <c r="I410">
        <v>114300</v>
      </c>
      <c r="J410" s="1" t="s">
        <v>868</v>
      </c>
      <c r="K410">
        <v>0</v>
      </c>
      <c r="L410">
        <v>0</v>
      </c>
      <c r="M410">
        <v>114300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s="18">
        <v>6</v>
      </c>
      <c r="Y410" s="6"/>
      <c r="Z410" s="6"/>
      <c r="AA410" s="6">
        <v>19050</v>
      </c>
      <c r="AB410" s="6">
        <v>19050</v>
      </c>
      <c r="AC410" s="6">
        <v>19050</v>
      </c>
      <c r="AD410" s="6">
        <v>19050</v>
      </c>
      <c r="AE410" s="6">
        <v>19050</v>
      </c>
      <c r="AF410" s="6">
        <v>19050</v>
      </c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>
        <f t="shared" si="30"/>
        <v>6</v>
      </c>
      <c r="AX410" t="b">
        <f t="shared" si="31"/>
        <v>1</v>
      </c>
      <c r="AY410" s="21">
        <f t="shared" si="28"/>
        <v>114300</v>
      </c>
      <c r="AZ410" t="b">
        <f t="shared" si="29"/>
        <v>1</v>
      </c>
    </row>
    <row r="411" spans="1:52" x14ac:dyDescent="0.4">
      <c r="A411" s="6" t="s">
        <v>2230</v>
      </c>
      <c r="B411" s="1" t="s">
        <v>1313</v>
      </c>
      <c r="C411" s="1" t="s">
        <v>1314</v>
      </c>
      <c r="D411" s="1" t="s">
        <v>1315</v>
      </c>
      <c r="E411" s="1" t="s">
        <v>25</v>
      </c>
      <c r="F411" s="1" t="s">
        <v>1215</v>
      </c>
      <c r="G411" s="5" t="s">
        <v>479</v>
      </c>
      <c r="H411" s="1" t="s">
        <v>27</v>
      </c>
      <c r="I411">
        <v>59400</v>
      </c>
      <c r="J411" s="1" t="s">
        <v>28</v>
      </c>
      <c r="K411">
        <v>0</v>
      </c>
      <c r="L411">
        <v>0</v>
      </c>
      <c r="M411">
        <v>59400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s="18">
        <v>3</v>
      </c>
      <c r="Y411" s="6"/>
      <c r="Z411" s="6"/>
      <c r="AA411" s="6">
        <v>19800</v>
      </c>
      <c r="AB411" s="6">
        <v>19800</v>
      </c>
      <c r="AC411" s="6">
        <v>19800</v>
      </c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>
        <f t="shared" si="30"/>
        <v>3</v>
      </c>
      <c r="AX411" t="b">
        <f t="shared" si="31"/>
        <v>1</v>
      </c>
      <c r="AY411" s="21">
        <f t="shared" si="28"/>
        <v>59400</v>
      </c>
      <c r="AZ411" t="b">
        <f t="shared" si="29"/>
        <v>1</v>
      </c>
    </row>
    <row r="412" spans="1:52" x14ac:dyDescent="0.4">
      <c r="A412" s="6" t="s">
        <v>2230</v>
      </c>
      <c r="B412" s="1" t="s">
        <v>1316</v>
      </c>
      <c r="C412" s="1" t="s">
        <v>1317</v>
      </c>
      <c r="D412" s="1" t="s">
        <v>1318</v>
      </c>
      <c r="E412" s="1" t="s">
        <v>44</v>
      </c>
      <c r="F412" s="1" t="s">
        <v>932</v>
      </c>
      <c r="G412" s="5" t="s">
        <v>479</v>
      </c>
      <c r="H412" s="1" t="s">
        <v>27</v>
      </c>
      <c r="I412">
        <v>114300</v>
      </c>
      <c r="J412" s="1" t="s">
        <v>868</v>
      </c>
      <c r="K412">
        <v>0</v>
      </c>
      <c r="L412">
        <v>0</v>
      </c>
      <c r="M412">
        <v>114300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s="18">
        <v>6</v>
      </c>
      <c r="Y412" s="6"/>
      <c r="Z412" s="6"/>
      <c r="AA412" s="6">
        <v>19050</v>
      </c>
      <c r="AB412" s="6">
        <v>19050</v>
      </c>
      <c r="AC412" s="6">
        <v>19050</v>
      </c>
      <c r="AD412" s="6">
        <v>19050</v>
      </c>
      <c r="AE412" s="6">
        <v>19050</v>
      </c>
      <c r="AF412" s="6">
        <v>19050</v>
      </c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>
        <f t="shared" si="30"/>
        <v>6</v>
      </c>
      <c r="AX412" t="b">
        <f t="shared" si="31"/>
        <v>1</v>
      </c>
      <c r="AY412" s="21">
        <f t="shared" si="28"/>
        <v>114300</v>
      </c>
      <c r="AZ412" t="b">
        <f t="shared" si="29"/>
        <v>1</v>
      </c>
    </row>
    <row r="413" spans="1:52" x14ac:dyDescent="0.4">
      <c r="A413" s="6" t="s">
        <v>2230</v>
      </c>
      <c r="B413" s="1" t="s">
        <v>1319</v>
      </c>
      <c r="C413" s="1" t="s">
        <v>1320</v>
      </c>
      <c r="D413" s="1" t="s">
        <v>1321</v>
      </c>
      <c r="E413" s="1" t="s">
        <v>44</v>
      </c>
      <c r="F413" s="1" t="s">
        <v>928</v>
      </c>
      <c r="G413" s="5" t="s">
        <v>479</v>
      </c>
      <c r="H413" s="1" t="s">
        <v>27</v>
      </c>
      <c r="I413">
        <v>114300</v>
      </c>
      <c r="J413" s="1" t="s">
        <v>868</v>
      </c>
      <c r="K413">
        <v>0</v>
      </c>
      <c r="L413">
        <v>0</v>
      </c>
      <c r="M413">
        <v>114300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s="18">
        <v>6</v>
      </c>
      <c r="Y413" s="6"/>
      <c r="Z413" s="6"/>
      <c r="AA413" s="6">
        <v>19050</v>
      </c>
      <c r="AB413" s="6">
        <v>19050</v>
      </c>
      <c r="AC413" s="6">
        <v>19050</v>
      </c>
      <c r="AD413" s="6">
        <v>19050</v>
      </c>
      <c r="AE413" s="6">
        <v>19050</v>
      </c>
      <c r="AF413" s="6">
        <v>19050</v>
      </c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>
        <f t="shared" si="30"/>
        <v>6</v>
      </c>
      <c r="AX413" t="b">
        <f t="shared" si="31"/>
        <v>1</v>
      </c>
      <c r="AY413" s="21">
        <f t="shared" si="28"/>
        <v>114300</v>
      </c>
      <c r="AZ413" t="b">
        <f t="shared" si="29"/>
        <v>1</v>
      </c>
    </row>
    <row r="414" spans="1:52" x14ac:dyDescent="0.4">
      <c r="A414" s="6" t="s">
        <v>2230</v>
      </c>
      <c r="B414" s="1" t="s">
        <v>1322</v>
      </c>
      <c r="C414" s="1" t="s">
        <v>1323</v>
      </c>
      <c r="D414" s="1" t="s">
        <v>1324</v>
      </c>
      <c r="E414" s="1" t="s">
        <v>44</v>
      </c>
      <c r="F414" s="1" t="s">
        <v>37</v>
      </c>
      <c r="G414" s="5" t="s">
        <v>46</v>
      </c>
      <c r="H414" s="1" t="s">
        <v>27</v>
      </c>
      <c r="I414">
        <v>114300</v>
      </c>
      <c r="J414" s="1" t="s">
        <v>33</v>
      </c>
      <c r="K414">
        <v>0</v>
      </c>
      <c r="L414">
        <v>0</v>
      </c>
      <c r="M414">
        <v>0</v>
      </c>
      <c r="N414">
        <v>0</v>
      </c>
      <c r="O414">
        <v>114300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s="18">
        <v>6</v>
      </c>
      <c r="Y414" s="6"/>
      <c r="Z414" s="6"/>
      <c r="AA414" s="6"/>
      <c r="AB414" s="6"/>
      <c r="AC414" s="6">
        <v>19050</v>
      </c>
      <c r="AD414" s="6">
        <v>19050</v>
      </c>
      <c r="AE414" s="6">
        <v>19050</v>
      </c>
      <c r="AF414" s="6">
        <v>19050</v>
      </c>
      <c r="AG414" s="6">
        <v>19050</v>
      </c>
      <c r="AH414" s="6">
        <v>19050</v>
      </c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>
        <f t="shared" si="30"/>
        <v>6</v>
      </c>
      <c r="AX414" t="b">
        <f t="shared" si="31"/>
        <v>1</v>
      </c>
      <c r="AY414" s="21">
        <f t="shared" si="28"/>
        <v>114300</v>
      </c>
      <c r="AZ414" t="b">
        <f t="shared" si="29"/>
        <v>1</v>
      </c>
    </row>
    <row r="415" spans="1:52" x14ac:dyDescent="0.4">
      <c r="A415" s="6" t="s">
        <v>2230</v>
      </c>
      <c r="B415" s="1" t="s">
        <v>1325</v>
      </c>
      <c r="C415" s="1" t="s">
        <v>1326</v>
      </c>
      <c r="D415" s="1" t="s">
        <v>1327</v>
      </c>
      <c r="E415" s="1" t="s">
        <v>44</v>
      </c>
      <c r="F415" s="1" t="s">
        <v>867</v>
      </c>
      <c r="G415" s="5" t="s">
        <v>479</v>
      </c>
      <c r="H415" s="1" t="s">
        <v>27</v>
      </c>
      <c r="I415">
        <v>114300</v>
      </c>
      <c r="J415" s="1" t="s">
        <v>868</v>
      </c>
      <c r="K415">
        <v>0</v>
      </c>
      <c r="L415">
        <v>0</v>
      </c>
      <c r="M415">
        <v>114300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s="18">
        <v>6</v>
      </c>
      <c r="Y415" s="6"/>
      <c r="Z415" s="6"/>
      <c r="AA415" s="6">
        <v>19050</v>
      </c>
      <c r="AB415" s="6">
        <v>19050</v>
      </c>
      <c r="AC415" s="6">
        <v>19050</v>
      </c>
      <c r="AD415" s="6">
        <v>19050</v>
      </c>
      <c r="AE415" s="6">
        <v>19050</v>
      </c>
      <c r="AF415" s="6">
        <v>19050</v>
      </c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>
        <f t="shared" si="30"/>
        <v>6</v>
      </c>
      <c r="AX415" t="b">
        <f t="shared" si="31"/>
        <v>1</v>
      </c>
      <c r="AY415" s="21">
        <f t="shared" si="28"/>
        <v>114300</v>
      </c>
      <c r="AZ415" t="b">
        <f t="shared" si="29"/>
        <v>1</v>
      </c>
    </row>
    <row r="416" spans="1:52" x14ac:dyDescent="0.4">
      <c r="A416" s="6" t="s">
        <v>2230</v>
      </c>
      <c r="B416" s="1" t="s">
        <v>1328</v>
      </c>
      <c r="C416" s="1" t="s">
        <v>1329</v>
      </c>
      <c r="D416" s="1" t="s">
        <v>1330</v>
      </c>
      <c r="E416" s="1" t="s">
        <v>44</v>
      </c>
      <c r="F416" s="1" t="s">
        <v>1137</v>
      </c>
      <c r="G416" s="5" t="s">
        <v>479</v>
      </c>
      <c r="H416" s="1" t="s">
        <v>27</v>
      </c>
      <c r="I416">
        <v>114300</v>
      </c>
      <c r="J416" s="1" t="s">
        <v>868</v>
      </c>
      <c r="K416">
        <v>0</v>
      </c>
      <c r="L416">
        <v>0</v>
      </c>
      <c r="M416">
        <v>114300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s="18">
        <v>6</v>
      </c>
      <c r="Y416" s="6"/>
      <c r="Z416" s="6"/>
      <c r="AA416" s="6">
        <v>19050</v>
      </c>
      <c r="AB416" s="6">
        <v>19050</v>
      </c>
      <c r="AC416" s="6">
        <v>19050</v>
      </c>
      <c r="AD416" s="6">
        <v>19050</v>
      </c>
      <c r="AE416" s="6">
        <v>19050</v>
      </c>
      <c r="AF416" s="6">
        <v>19050</v>
      </c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>
        <f t="shared" si="30"/>
        <v>6</v>
      </c>
      <c r="AX416" t="b">
        <f t="shared" si="31"/>
        <v>1</v>
      </c>
      <c r="AY416" s="21">
        <f t="shared" si="28"/>
        <v>114300</v>
      </c>
      <c r="AZ416" t="b">
        <f t="shared" si="29"/>
        <v>1</v>
      </c>
    </row>
    <row r="417" spans="1:52" x14ac:dyDescent="0.4">
      <c r="A417" s="6" t="s">
        <v>2230</v>
      </c>
      <c r="B417" s="1" t="s">
        <v>1331</v>
      </c>
      <c r="C417" s="1" t="s">
        <v>1332</v>
      </c>
      <c r="D417" s="1" t="s">
        <v>1333</v>
      </c>
      <c r="E417" s="1" t="s">
        <v>44</v>
      </c>
      <c r="F417" s="1" t="s">
        <v>867</v>
      </c>
      <c r="G417" s="5" t="s">
        <v>479</v>
      </c>
      <c r="H417" s="1" t="s">
        <v>27</v>
      </c>
      <c r="I417">
        <v>114300</v>
      </c>
      <c r="J417" s="1" t="s">
        <v>868</v>
      </c>
      <c r="K417">
        <v>0</v>
      </c>
      <c r="L417">
        <v>0</v>
      </c>
      <c r="M417">
        <v>114300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s="18">
        <v>6</v>
      </c>
      <c r="Y417" s="6"/>
      <c r="Z417" s="6"/>
      <c r="AA417" s="6">
        <v>19050</v>
      </c>
      <c r="AB417" s="6">
        <v>19050</v>
      </c>
      <c r="AC417" s="6">
        <v>19050</v>
      </c>
      <c r="AD417" s="6">
        <v>19050</v>
      </c>
      <c r="AE417" s="6">
        <v>19050</v>
      </c>
      <c r="AF417" s="6">
        <v>19050</v>
      </c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>
        <f t="shared" si="30"/>
        <v>6</v>
      </c>
      <c r="AX417" t="b">
        <f t="shared" si="31"/>
        <v>1</v>
      </c>
      <c r="AY417" s="21">
        <f t="shared" si="28"/>
        <v>114300</v>
      </c>
      <c r="AZ417" t="b">
        <f t="shared" si="29"/>
        <v>1</v>
      </c>
    </row>
    <row r="418" spans="1:52" x14ac:dyDescent="0.4">
      <c r="A418" s="6" t="s">
        <v>2230</v>
      </c>
      <c r="B418" s="1" t="s">
        <v>1334</v>
      </c>
      <c r="C418" s="1" t="s">
        <v>1335</v>
      </c>
      <c r="D418" s="1" t="s">
        <v>1336</v>
      </c>
      <c r="E418" s="1" t="s">
        <v>44</v>
      </c>
      <c r="F418" s="1" t="s">
        <v>867</v>
      </c>
      <c r="G418" s="5" t="s">
        <v>479</v>
      </c>
      <c r="H418" s="1" t="s">
        <v>27</v>
      </c>
      <c r="I418">
        <v>114300</v>
      </c>
      <c r="J418" s="1" t="s">
        <v>868</v>
      </c>
      <c r="K418">
        <v>0</v>
      </c>
      <c r="L418">
        <v>0</v>
      </c>
      <c r="M418">
        <v>114300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s="18">
        <v>6</v>
      </c>
      <c r="Y418" s="6"/>
      <c r="Z418" s="6"/>
      <c r="AA418" s="6">
        <v>19050</v>
      </c>
      <c r="AB418" s="6">
        <v>19050</v>
      </c>
      <c r="AC418" s="6">
        <v>19050</v>
      </c>
      <c r="AD418" s="6">
        <v>19050</v>
      </c>
      <c r="AE418" s="6">
        <v>19050</v>
      </c>
      <c r="AF418" s="6">
        <v>19050</v>
      </c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>
        <f t="shared" si="30"/>
        <v>6</v>
      </c>
      <c r="AX418" t="b">
        <f t="shared" si="31"/>
        <v>1</v>
      </c>
      <c r="AY418" s="21">
        <f t="shared" si="28"/>
        <v>114300</v>
      </c>
      <c r="AZ418" t="b">
        <f t="shared" si="29"/>
        <v>1</v>
      </c>
    </row>
    <row r="419" spans="1:52" x14ac:dyDescent="0.4">
      <c r="A419" s="6" t="s">
        <v>2230</v>
      </c>
      <c r="B419" s="1" t="s">
        <v>1337</v>
      </c>
      <c r="C419" s="1" t="s">
        <v>1338</v>
      </c>
      <c r="D419" s="1" t="s">
        <v>1339</v>
      </c>
      <c r="E419" s="1" t="s">
        <v>44</v>
      </c>
      <c r="F419" s="1" t="s">
        <v>1141</v>
      </c>
      <c r="G419" s="5" t="s">
        <v>479</v>
      </c>
      <c r="H419" s="1" t="s">
        <v>27</v>
      </c>
      <c r="I419">
        <v>114300</v>
      </c>
      <c r="J419" s="1" t="s">
        <v>868</v>
      </c>
      <c r="K419">
        <v>0</v>
      </c>
      <c r="L419">
        <v>0</v>
      </c>
      <c r="M419">
        <v>114300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s="18">
        <v>6</v>
      </c>
      <c r="Y419" s="6"/>
      <c r="Z419" s="6"/>
      <c r="AA419" s="6">
        <v>19050</v>
      </c>
      <c r="AB419" s="6">
        <v>19050</v>
      </c>
      <c r="AC419" s="6">
        <v>19050</v>
      </c>
      <c r="AD419" s="6">
        <v>19050</v>
      </c>
      <c r="AE419" s="6">
        <v>19050</v>
      </c>
      <c r="AF419" s="6">
        <v>19050</v>
      </c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>
        <f t="shared" si="30"/>
        <v>6</v>
      </c>
      <c r="AX419" t="b">
        <f t="shared" si="31"/>
        <v>1</v>
      </c>
      <c r="AY419" s="21">
        <f t="shared" si="28"/>
        <v>114300</v>
      </c>
      <c r="AZ419" t="b">
        <f t="shared" si="29"/>
        <v>1</v>
      </c>
    </row>
    <row r="420" spans="1:52" x14ac:dyDescent="0.4">
      <c r="A420" s="6" t="s">
        <v>2230</v>
      </c>
      <c r="B420" s="1" t="s">
        <v>1340</v>
      </c>
      <c r="C420" s="1" t="s">
        <v>1341</v>
      </c>
      <c r="D420" s="1" t="s">
        <v>1342</v>
      </c>
      <c r="E420" s="1" t="s">
        <v>44</v>
      </c>
      <c r="F420" s="1" t="s">
        <v>928</v>
      </c>
      <c r="G420" s="5" t="s">
        <v>479</v>
      </c>
      <c r="H420" s="1" t="s">
        <v>27</v>
      </c>
      <c r="I420">
        <v>114300</v>
      </c>
      <c r="J420" s="1" t="s">
        <v>868</v>
      </c>
      <c r="K420">
        <v>0</v>
      </c>
      <c r="L420">
        <v>0</v>
      </c>
      <c r="M420">
        <v>114300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s="18">
        <v>6</v>
      </c>
      <c r="Y420" s="6"/>
      <c r="Z420" s="6"/>
      <c r="AA420" s="6">
        <v>19050</v>
      </c>
      <c r="AB420" s="6">
        <v>19050</v>
      </c>
      <c r="AC420" s="6">
        <v>19050</v>
      </c>
      <c r="AD420" s="6">
        <v>19050</v>
      </c>
      <c r="AE420" s="6">
        <v>19050</v>
      </c>
      <c r="AF420" s="6">
        <v>19050</v>
      </c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>
        <f t="shared" si="30"/>
        <v>6</v>
      </c>
      <c r="AX420" t="b">
        <f t="shared" si="31"/>
        <v>1</v>
      </c>
      <c r="AY420" s="21">
        <f t="shared" si="28"/>
        <v>114300</v>
      </c>
      <c r="AZ420" t="b">
        <f t="shared" si="29"/>
        <v>1</v>
      </c>
    </row>
    <row r="421" spans="1:52" x14ac:dyDescent="0.4">
      <c r="A421" s="6" t="s">
        <v>2230</v>
      </c>
      <c r="B421" s="1" t="s">
        <v>1343</v>
      </c>
      <c r="C421" s="1" t="s">
        <v>1344</v>
      </c>
      <c r="D421" s="1" t="s">
        <v>1345</v>
      </c>
      <c r="E421" s="1" t="s">
        <v>25</v>
      </c>
      <c r="F421" s="1" t="s">
        <v>26</v>
      </c>
      <c r="G421" s="5" t="s">
        <v>479</v>
      </c>
      <c r="H421" s="1" t="s">
        <v>27</v>
      </c>
      <c r="I421">
        <v>59400</v>
      </c>
      <c r="J421" s="1" t="s">
        <v>28</v>
      </c>
      <c r="K421">
        <v>0</v>
      </c>
      <c r="L421">
        <v>0</v>
      </c>
      <c r="M421">
        <v>59400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s="18">
        <v>3</v>
      </c>
      <c r="Y421" s="6"/>
      <c r="Z421" s="6"/>
      <c r="AA421" s="6">
        <v>19800</v>
      </c>
      <c r="AB421" s="6">
        <v>19800</v>
      </c>
      <c r="AC421" s="6">
        <v>19800</v>
      </c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>
        <f t="shared" si="30"/>
        <v>3</v>
      </c>
      <c r="AX421" t="b">
        <f t="shared" si="31"/>
        <v>1</v>
      </c>
      <c r="AY421" s="21">
        <f t="shared" si="28"/>
        <v>59400</v>
      </c>
      <c r="AZ421" t="b">
        <f t="shared" si="29"/>
        <v>1</v>
      </c>
    </row>
    <row r="422" spans="1:52" x14ac:dyDescent="0.4">
      <c r="A422" s="6" t="s">
        <v>2230</v>
      </c>
      <c r="B422" s="1" t="s">
        <v>1346</v>
      </c>
      <c r="C422" s="1" t="s">
        <v>1347</v>
      </c>
      <c r="D422" s="1" t="s">
        <v>1348</v>
      </c>
      <c r="E422" s="1" t="s">
        <v>25</v>
      </c>
      <c r="F422" s="1" t="s">
        <v>1188</v>
      </c>
      <c r="G422" s="5" t="s">
        <v>479</v>
      </c>
      <c r="H422" s="1" t="s">
        <v>27</v>
      </c>
      <c r="I422">
        <v>59400</v>
      </c>
      <c r="J422" s="1" t="s">
        <v>28</v>
      </c>
      <c r="K422">
        <v>0</v>
      </c>
      <c r="L422">
        <v>0</v>
      </c>
      <c r="M422">
        <v>59400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s="18">
        <v>3</v>
      </c>
      <c r="Y422" s="6"/>
      <c r="Z422" s="6"/>
      <c r="AA422" s="6">
        <v>19800</v>
      </c>
      <c r="AB422" s="6">
        <v>19800</v>
      </c>
      <c r="AC422" s="6">
        <v>19800</v>
      </c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>
        <f t="shared" si="30"/>
        <v>3</v>
      </c>
      <c r="AX422" t="b">
        <f t="shared" si="31"/>
        <v>1</v>
      </c>
      <c r="AY422" s="21">
        <f t="shared" si="28"/>
        <v>59400</v>
      </c>
      <c r="AZ422" t="b">
        <f t="shared" si="29"/>
        <v>1</v>
      </c>
    </row>
    <row r="423" spans="1:52" x14ac:dyDescent="0.4">
      <c r="A423" s="6" t="s">
        <v>2230</v>
      </c>
      <c r="B423" s="1" t="s">
        <v>1349</v>
      </c>
      <c r="C423" s="1" t="s">
        <v>1350</v>
      </c>
      <c r="D423" s="1" t="s">
        <v>1351</v>
      </c>
      <c r="E423" s="1" t="s">
        <v>44</v>
      </c>
      <c r="F423" s="1" t="s">
        <v>1231</v>
      </c>
      <c r="G423" s="5" t="s">
        <v>479</v>
      </c>
      <c r="H423" s="1" t="s">
        <v>27</v>
      </c>
      <c r="I423">
        <v>114300</v>
      </c>
      <c r="J423" s="1" t="s">
        <v>868</v>
      </c>
      <c r="K423">
        <v>0</v>
      </c>
      <c r="L423">
        <v>0</v>
      </c>
      <c r="M423">
        <v>114300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s="18">
        <v>6</v>
      </c>
      <c r="Y423" s="6"/>
      <c r="Z423" s="6"/>
      <c r="AA423" s="6">
        <v>19050</v>
      </c>
      <c r="AB423" s="6">
        <v>19050</v>
      </c>
      <c r="AC423" s="6">
        <v>19050</v>
      </c>
      <c r="AD423" s="6">
        <v>19050</v>
      </c>
      <c r="AE423" s="6">
        <v>19050</v>
      </c>
      <c r="AF423" s="6">
        <v>19050</v>
      </c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>
        <f t="shared" si="30"/>
        <v>6</v>
      </c>
      <c r="AX423" t="b">
        <f t="shared" si="31"/>
        <v>1</v>
      </c>
      <c r="AY423" s="21">
        <f t="shared" si="28"/>
        <v>114300</v>
      </c>
      <c r="AZ423" t="b">
        <f t="shared" si="29"/>
        <v>1</v>
      </c>
    </row>
    <row r="424" spans="1:52" x14ac:dyDescent="0.4">
      <c r="A424" s="6" t="s">
        <v>2230</v>
      </c>
      <c r="B424" s="1" t="s">
        <v>1352</v>
      </c>
      <c r="C424" s="1" t="s">
        <v>1353</v>
      </c>
      <c r="D424" s="1" t="s">
        <v>1354</v>
      </c>
      <c r="E424" s="1" t="s">
        <v>44</v>
      </c>
      <c r="F424" s="1" t="s">
        <v>1355</v>
      </c>
      <c r="G424" s="5" t="s">
        <v>75</v>
      </c>
      <c r="H424" s="1" t="s">
        <v>27</v>
      </c>
      <c r="I424">
        <v>114300</v>
      </c>
      <c r="J424" s="1" t="s">
        <v>28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114300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s="18">
        <v>6</v>
      </c>
      <c r="Y424" s="6"/>
      <c r="Z424" s="6"/>
      <c r="AA424" s="6"/>
      <c r="AB424" s="6"/>
      <c r="AC424" s="6"/>
      <c r="AD424" s="6">
        <v>19050</v>
      </c>
      <c r="AE424" s="6">
        <v>19050</v>
      </c>
      <c r="AF424" s="6">
        <v>19050</v>
      </c>
      <c r="AG424" s="6">
        <v>19050</v>
      </c>
      <c r="AH424" s="6">
        <v>19050</v>
      </c>
      <c r="AI424" s="6">
        <v>19050</v>
      </c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>
        <f t="shared" si="30"/>
        <v>6</v>
      </c>
      <c r="AX424" t="b">
        <f t="shared" si="31"/>
        <v>1</v>
      </c>
      <c r="AY424" s="21">
        <f t="shared" si="28"/>
        <v>114300</v>
      </c>
      <c r="AZ424" t="b">
        <f t="shared" si="29"/>
        <v>1</v>
      </c>
    </row>
    <row r="425" spans="1:52" x14ac:dyDescent="0.4">
      <c r="A425" s="6" t="s">
        <v>2230</v>
      </c>
      <c r="B425" s="1" t="s">
        <v>1356</v>
      </c>
      <c r="C425" s="1" t="s">
        <v>1357</v>
      </c>
      <c r="D425" s="1" t="s">
        <v>1358</v>
      </c>
      <c r="E425" s="1" t="s">
        <v>44</v>
      </c>
      <c r="F425" s="1" t="s">
        <v>45</v>
      </c>
      <c r="G425" s="5" t="s">
        <v>46</v>
      </c>
      <c r="H425" s="1" t="s">
        <v>27</v>
      </c>
      <c r="I425">
        <v>114300</v>
      </c>
      <c r="J425" s="1" t="s">
        <v>33</v>
      </c>
      <c r="K425">
        <v>0</v>
      </c>
      <c r="L425">
        <v>0</v>
      </c>
      <c r="M425">
        <v>0</v>
      </c>
      <c r="N425">
        <v>0</v>
      </c>
      <c r="O425">
        <v>114300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s="18">
        <v>6</v>
      </c>
      <c r="Y425" s="6"/>
      <c r="Z425" s="6"/>
      <c r="AA425" s="6"/>
      <c r="AB425" s="6"/>
      <c r="AC425" s="6">
        <v>19050</v>
      </c>
      <c r="AD425" s="6">
        <v>19050</v>
      </c>
      <c r="AE425" s="6">
        <v>19050</v>
      </c>
      <c r="AF425" s="6">
        <v>19050</v>
      </c>
      <c r="AG425" s="6">
        <v>19050</v>
      </c>
      <c r="AH425" s="6">
        <v>19050</v>
      </c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>
        <f t="shared" si="30"/>
        <v>6</v>
      </c>
      <c r="AX425" t="b">
        <f t="shared" si="31"/>
        <v>1</v>
      </c>
      <c r="AY425" s="21">
        <f t="shared" si="28"/>
        <v>114300</v>
      </c>
      <c r="AZ425" t="b">
        <f t="shared" si="29"/>
        <v>1</v>
      </c>
    </row>
    <row r="426" spans="1:52" x14ac:dyDescent="0.4">
      <c r="A426" s="6" t="s">
        <v>2230</v>
      </c>
      <c r="B426" s="1" t="s">
        <v>1359</v>
      </c>
      <c r="C426" s="1" t="s">
        <v>1360</v>
      </c>
      <c r="D426" s="1" t="s">
        <v>1361</v>
      </c>
      <c r="E426" s="1" t="s">
        <v>25</v>
      </c>
      <c r="F426" s="1" t="s">
        <v>920</v>
      </c>
      <c r="G426" s="5" t="s">
        <v>479</v>
      </c>
      <c r="H426" s="1" t="s">
        <v>27</v>
      </c>
      <c r="I426">
        <v>59400</v>
      </c>
      <c r="J426" s="1" t="s">
        <v>28</v>
      </c>
      <c r="K426">
        <v>0</v>
      </c>
      <c r="L426">
        <v>0</v>
      </c>
      <c r="M426">
        <v>59400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s="18">
        <v>3</v>
      </c>
      <c r="Y426" s="6"/>
      <c r="Z426" s="6"/>
      <c r="AA426" s="6">
        <v>19800</v>
      </c>
      <c r="AB426" s="6">
        <v>19800</v>
      </c>
      <c r="AC426" s="6">
        <v>19800</v>
      </c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>
        <f t="shared" si="30"/>
        <v>3</v>
      </c>
      <c r="AX426" t="b">
        <f t="shared" si="31"/>
        <v>1</v>
      </c>
      <c r="AY426" s="21">
        <f t="shared" si="28"/>
        <v>59400</v>
      </c>
      <c r="AZ426" t="b">
        <f t="shared" si="29"/>
        <v>1</v>
      </c>
    </row>
    <row r="427" spans="1:52" x14ac:dyDescent="0.4">
      <c r="A427" s="6" t="s">
        <v>2230</v>
      </c>
      <c r="B427" s="1" t="s">
        <v>1362</v>
      </c>
      <c r="C427" s="1" t="s">
        <v>1363</v>
      </c>
      <c r="D427" s="1" t="s">
        <v>1364</v>
      </c>
      <c r="E427" s="1" t="s">
        <v>44</v>
      </c>
      <c r="F427" s="1" t="s">
        <v>56</v>
      </c>
      <c r="G427" s="5" t="s">
        <v>46</v>
      </c>
      <c r="H427" s="1" t="s">
        <v>27</v>
      </c>
      <c r="I427">
        <v>114300</v>
      </c>
      <c r="J427" s="1" t="s">
        <v>33</v>
      </c>
      <c r="K427">
        <v>0</v>
      </c>
      <c r="L427">
        <v>0</v>
      </c>
      <c r="M427">
        <v>0</v>
      </c>
      <c r="N427">
        <v>0</v>
      </c>
      <c r="O427">
        <v>114300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s="18">
        <v>6</v>
      </c>
      <c r="Y427" s="6"/>
      <c r="Z427" s="6"/>
      <c r="AA427" s="6"/>
      <c r="AB427" s="6"/>
      <c r="AC427" s="6">
        <v>19050</v>
      </c>
      <c r="AD427" s="6">
        <v>19050</v>
      </c>
      <c r="AE427" s="6">
        <v>19050</v>
      </c>
      <c r="AF427" s="6">
        <v>19050</v>
      </c>
      <c r="AG427" s="6">
        <v>19050</v>
      </c>
      <c r="AH427" s="6">
        <v>19050</v>
      </c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>
        <f t="shared" si="30"/>
        <v>6</v>
      </c>
      <c r="AX427" t="b">
        <f t="shared" si="31"/>
        <v>1</v>
      </c>
      <c r="AY427" s="21">
        <f t="shared" si="28"/>
        <v>114300</v>
      </c>
      <c r="AZ427" t="b">
        <f t="shared" si="29"/>
        <v>1</v>
      </c>
    </row>
    <row r="428" spans="1:52" x14ac:dyDescent="0.4">
      <c r="A428" s="6" t="s">
        <v>2230</v>
      </c>
      <c r="B428" s="1" t="s">
        <v>1365</v>
      </c>
      <c r="C428" s="1" t="s">
        <v>1366</v>
      </c>
      <c r="D428" s="1" t="s">
        <v>1367</v>
      </c>
      <c r="E428" s="1" t="s">
        <v>44</v>
      </c>
      <c r="F428" s="1" t="s">
        <v>867</v>
      </c>
      <c r="G428" s="5" t="s">
        <v>479</v>
      </c>
      <c r="H428" s="1" t="s">
        <v>27</v>
      </c>
      <c r="I428">
        <v>114300</v>
      </c>
      <c r="J428" s="1" t="s">
        <v>868</v>
      </c>
      <c r="K428">
        <v>0</v>
      </c>
      <c r="L428">
        <v>0</v>
      </c>
      <c r="M428">
        <v>114300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s="18">
        <v>6</v>
      </c>
      <c r="Y428" s="6"/>
      <c r="Z428" s="6"/>
      <c r="AA428" s="6">
        <v>19050</v>
      </c>
      <c r="AB428" s="6">
        <v>19050</v>
      </c>
      <c r="AC428" s="6">
        <v>19050</v>
      </c>
      <c r="AD428" s="6">
        <v>19050</v>
      </c>
      <c r="AE428" s="6">
        <v>19050</v>
      </c>
      <c r="AF428" s="6">
        <v>19050</v>
      </c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>
        <f t="shared" si="30"/>
        <v>6</v>
      </c>
      <c r="AX428" t="b">
        <f t="shared" si="31"/>
        <v>1</v>
      </c>
      <c r="AY428" s="21">
        <f t="shared" si="28"/>
        <v>114300</v>
      </c>
      <c r="AZ428" t="b">
        <f t="shared" si="29"/>
        <v>1</v>
      </c>
    </row>
    <row r="429" spans="1:52" x14ac:dyDescent="0.4">
      <c r="A429" s="6" t="s">
        <v>2230</v>
      </c>
      <c r="B429" s="1" t="s">
        <v>1368</v>
      </c>
      <c r="C429" s="1" t="s">
        <v>1369</v>
      </c>
      <c r="D429" s="1" t="s">
        <v>1370</v>
      </c>
      <c r="E429" s="1" t="s">
        <v>44</v>
      </c>
      <c r="F429" s="1" t="s">
        <v>63</v>
      </c>
      <c r="G429" s="5" t="s">
        <v>46</v>
      </c>
      <c r="H429" s="1" t="s">
        <v>27</v>
      </c>
      <c r="I429">
        <v>114300</v>
      </c>
      <c r="J429" s="1" t="s">
        <v>33</v>
      </c>
      <c r="K429">
        <v>0</v>
      </c>
      <c r="L429">
        <v>0</v>
      </c>
      <c r="M429">
        <v>0</v>
      </c>
      <c r="N429">
        <v>0</v>
      </c>
      <c r="O429">
        <v>114300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s="18">
        <v>6</v>
      </c>
      <c r="Y429" s="6"/>
      <c r="Z429" s="6"/>
      <c r="AA429" s="6"/>
      <c r="AB429" s="6"/>
      <c r="AC429" s="6">
        <v>19050</v>
      </c>
      <c r="AD429" s="6">
        <v>19050</v>
      </c>
      <c r="AE429" s="6">
        <v>19050</v>
      </c>
      <c r="AF429" s="6">
        <v>19050</v>
      </c>
      <c r="AG429" s="6">
        <v>19050</v>
      </c>
      <c r="AH429" s="6">
        <v>19050</v>
      </c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>
        <f t="shared" si="30"/>
        <v>6</v>
      </c>
      <c r="AX429" t="b">
        <f t="shared" si="31"/>
        <v>1</v>
      </c>
      <c r="AY429" s="21">
        <f t="shared" si="28"/>
        <v>114300</v>
      </c>
      <c r="AZ429" t="b">
        <f t="shared" si="29"/>
        <v>1</v>
      </c>
    </row>
    <row r="430" spans="1:52" x14ac:dyDescent="0.4">
      <c r="A430" s="6" t="s">
        <v>2230</v>
      </c>
      <c r="B430" s="1" t="s">
        <v>1371</v>
      </c>
      <c r="C430" s="1" t="s">
        <v>1372</v>
      </c>
      <c r="D430" s="1" t="s">
        <v>1373</v>
      </c>
      <c r="E430" s="1" t="s">
        <v>44</v>
      </c>
      <c r="F430" s="1" t="s">
        <v>1374</v>
      </c>
      <c r="G430" s="5" t="s">
        <v>479</v>
      </c>
      <c r="H430" s="1" t="s">
        <v>27</v>
      </c>
      <c r="I430">
        <v>114300</v>
      </c>
      <c r="J430" s="1" t="s">
        <v>868</v>
      </c>
      <c r="K430">
        <v>0</v>
      </c>
      <c r="L430">
        <v>0</v>
      </c>
      <c r="M430">
        <v>114300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s="18">
        <v>6</v>
      </c>
      <c r="Y430" s="6"/>
      <c r="Z430" s="6"/>
      <c r="AA430" s="6">
        <v>19050</v>
      </c>
      <c r="AB430" s="6">
        <v>19050</v>
      </c>
      <c r="AC430" s="6">
        <v>19050</v>
      </c>
      <c r="AD430" s="6">
        <v>19050</v>
      </c>
      <c r="AE430" s="6">
        <v>19050</v>
      </c>
      <c r="AF430" s="6">
        <v>19050</v>
      </c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>
        <f t="shared" si="30"/>
        <v>6</v>
      </c>
      <c r="AX430" t="b">
        <f t="shared" si="31"/>
        <v>1</v>
      </c>
      <c r="AY430" s="21">
        <f t="shared" si="28"/>
        <v>114300</v>
      </c>
      <c r="AZ430" t="b">
        <f t="shared" si="29"/>
        <v>1</v>
      </c>
    </row>
    <row r="431" spans="1:52" x14ac:dyDescent="0.4">
      <c r="A431" s="6" t="s">
        <v>2230</v>
      </c>
      <c r="B431" s="1" t="s">
        <v>1375</v>
      </c>
      <c r="C431" s="1" t="s">
        <v>1376</v>
      </c>
      <c r="D431" s="1" t="s">
        <v>1377</v>
      </c>
      <c r="E431" s="1" t="s">
        <v>44</v>
      </c>
      <c r="F431" s="1" t="s">
        <v>37</v>
      </c>
      <c r="G431" s="5" t="s">
        <v>46</v>
      </c>
      <c r="H431" s="1" t="s">
        <v>27</v>
      </c>
      <c r="I431">
        <v>114300</v>
      </c>
      <c r="J431" s="1" t="s">
        <v>33</v>
      </c>
      <c r="K431">
        <v>0</v>
      </c>
      <c r="L431">
        <v>0</v>
      </c>
      <c r="M431">
        <v>0</v>
      </c>
      <c r="N431">
        <v>0</v>
      </c>
      <c r="O431">
        <v>114300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s="18">
        <v>6</v>
      </c>
      <c r="Y431" s="6"/>
      <c r="Z431" s="6"/>
      <c r="AA431" s="6"/>
      <c r="AB431" s="6"/>
      <c r="AC431" s="6">
        <v>19050</v>
      </c>
      <c r="AD431" s="6">
        <v>19050</v>
      </c>
      <c r="AE431" s="6">
        <v>19050</v>
      </c>
      <c r="AF431" s="6">
        <v>19050</v>
      </c>
      <c r="AG431" s="6">
        <v>19050</v>
      </c>
      <c r="AH431" s="6">
        <v>19050</v>
      </c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>
        <f t="shared" si="30"/>
        <v>6</v>
      </c>
      <c r="AX431" t="b">
        <f t="shared" si="31"/>
        <v>1</v>
      </c>
      <c r="AY431" s="21">
        <f t="shared" si="28"/>
        <v>114300</v>
      </c>
      <c r="AZ431" t="b">
        <f t="shared" si="29"/>
        <v>1</v>
      </c>
    </row>
    <row r="432" spans="1:52" x14ac:dyDescent="0.4">
      <c r="A432" s="6" t="s">
        <v>2230</v>
      </c>
      <c r="B432" s="1" t="s">
        <v>1378</v>
      </c>
      <c r="C432" s="1" t="s">
        <v>1379</v>
      </c>
      <c r="D432" s="1" t="s">
        <v>1380</v>
      </c>
      <c r="E432" s="1" t="s">
        <v>44</v>
      </c>
      <c r="F432" s="1" t="s">
        <v>1309</v>
      </c>
      <c r="G432" s="5" t="s">
        <v>479</v>
      </c>
      <c r="H432" s="1" t="s">
        <v>27</v>
      </c>
      <c r="I432">
        <v>114300</v>
      </c>
      <c r="J432" s="1" t="s">
        <v>868</v>
      </c>
      <c r="K432">
        <v>0</v>
      </c>
      <c r="L432">
        <v>0</v>
      </c>
      <c r="M432">
        <v>114300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s="18">
        <v>6</v>
      </c>
      <c r="Y432" s="6"/>
      <c r="Z432" s="6"/>
      <c r="AA432" s="6">
        <v>19050</v>
      </c>
      <c r="AB432" s="6">
        <v>19050</v>
      </c>
      <c r="AC432" s="6">
        <v>19050</v>
      </c>
      <c r="AD432" s="6">
        <v>19050</v>
      </c>
      <c r="AE432" s="6">
        <v>19050</v>
      </c>
      <c r="AF432" s="6">
        <v>19050</v>
      </c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>
        <f t="shared" si="30"/>
        <v>6</v>
      </c>
      <c r="AX432" t="b">
        <f t="shared" si="31"/>
        <v>1</v>
      </c>
      <c r="AY432" s="21">
        <f t="shared" si="28"/>
        <v>114300</v>
      </c>
      <c r="AZ432" t="b">
        <f t="shared" si="29"/>
        <v>1</v>
      </c>
    </row>
    <row r="433" spans="1:52" x14ac:dyDescent="0.4">
      <c r="A433" s="6" t="s">
        <v>2230</v>
      </c>
      <c r="B433" s="1" t="s">
        <v>1381</v>
      </c>
      <c r="C433" s="1" t="s">
        <v>1382</v>
      </c>
      <c r="D433" s="1" t="s">
        <v>1383</v>
      </c>
      <c r="E433" s="1" t="s">
        <v>44</v>
      </c>
      <c r="F433" s="1" t="s">
        <v>376</v>
      </c>
      <c r="G433" s="5" t="s">
        <v>46</v>
      </c>
      <c r="H433" s="1" t="s">
        <v>27</v>
      </c>
      <c r="I433">
        <v>114300</v>
      </c>
      <c r="J433" s="1" t="s">
        <v>33</v>
      </c>
      <c r="K433">
        <v>0</v>
      </c>
      <c r="L433">
        <v>0</v>
      </c>
      <c r="M433">
        <v>0</v>
      </c>
      <c r="N433">
        <v>0</v>
      </c>
      <c r="O433">
        <v>114300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s="18">
        <v>6</v>
      </c>
      <c r="Y433" s="6"/>
      <c r="Z433" s="6"/>
      <c r="AA433" s="6"/>
      <c r="AB433" s="6"/>
      <c r="AC433" s="6">
        <v>19050</v>
      </c>
      <c r="AD433" s="6">
        <v>19050</v>
      </c>
      <c r="AE433" s="6">
        <v>19050</v>
      </c>
      <c r="AF433" s="6">
        <v>19050</v>
      </c>
      <c r="AG433" s="6">
        <v>19050</v>
      </c>
      <c r="AH433" s="6">
        <v>19050</v>
      </c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>
        <f t="shared" si="30"/>
        <v>6</v>
      </c>
      <c r="AX433" t="b">
        <f t="shared" si="31"/>
        <v>1</v>
      </c>
      <c r="AY433" s="21">
        <f t="shared" si="28"/>
        <v>114300</v>
      </c>
      <c r="AZ433" t="b">
        <f t="shared" si="29"/>
        <v>1</v>
      </c>
    </row>
    <row r="434" spans="1:52" x14ac:dyDescent="0.4">
      <c r="A434" s="6" t="s">
        <v>2230</v>
      </c>
      <c r="B434" s="1" t="s">
        <v>1384</v>
      </c>
      <c r="C434" s="1" t="s">
        <v>1385</v>
      </c>
      <c r="D434" s="1" t="s">
        <v>1386</v>
      </c>
      <c r="E434" s="1" t="s">
        <v>44</v>
      </c>
      <c r="F434" s="1" t="s">
        <v>227</v>
      </c>
      <c r="G434" s="5" t="s">
        <v>46</v>
      </c>
      <c r="H434" s="1" t="s">
        <v>27</v>
      </c>
      <c r="I434">
        <v>114300</v>
      </c>
      <c r="J434" s="1" t="s">
        <v>33</v>
      </c>
      <c r="K434">
        <v>0</v>
      </c>
      <c r="L434">
        <v>0</v>
      </c>
      <c r="M434">
        <v>0</v>
      </c>
      <c r="N434">
        <v>0</v>
      </c>
      <c r="O434">
        <v>114300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s="18">
        <v>6</v>
      </c>
      <c r="Y434" s="6"/>
      <c r="Z434" s="6"/>
      <c r="AA434" s="6"/>
      <c r="AB434" s="6"/>
      <c r="AC434" s="6">
        <v>19050</v>
      </c>
      <c r="AD434" s="6">
        <v>19050</v>
      </c>
      <c r="AE434" s="6">
        <v>19050</v>
      </c>
      <c r="AF434" s="6">
        <v>19050</v>
      </c>
      <c r="AG434" s="6">
        <v>19050</v>
      </c>
      <c r="AH434" s="6">
        <v>19050</v>
      </c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>
        <f t="shared" si="30"/>
        <v>6</v>
      </c>
      <c r="AX434" t="b">
        <f t="shared" si="31"/>
        <v>1</v>
      </c>
      <c r="AY434" s="21">
        <f t="shared" si="28"/>
        <v>114300</v>
      </c>
      <c r="AZ434" t="b">
        <f t="shared" si="29"/>
        <v>1</v>
      </c>
    </row>
    <row r="435" spans="1:52" x14ac:dyDescent="0.4">
      <c r="A435" s="6" t="s">
        <v>2230</v>
      </c>
      <c r="B435" s="1" t="s">
        <v>1387</v>
      </c>
      <c r="C435" s="1" t="s">
        <v>1388</v>
      </c>
      <c r="D435" s="1" t="s">
        <v>1389</v>
      </c>
      <c r="E435" s="1" t="s">
        <v>44</v>
      </c>
      <c r="F435" s="1" t="s">
        <v>37</v>
      </c>
      <c r="G435" s="5" t="s">
        <v>46</v>
      </c>
      <c r="H435" s="1" t="s">
        <v>27</v>
      </c>
      <c r="I435">
        <v>114300</v>
      </c>
      <c r="J435" s="1" t="s">
        <v>33</v>
      </c>
      <c r="K435">
        <v>0</v>
      </c>
      <c r="L435">
        <v>0</v>
      </c>
      <c r="M435">
        <v>0</v>
      </c>
      <c r="N435">
        <v>0</v>
      </c>
      <c r="O435">
        <v>114300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s="18">
        <v>6</v>
      </c>
      <c r="Y435" s="6"/>
      <c r="Z435" s="6"/>
      <c r="AA435" s="6"/>
      <c r="AB435" s="6"/>
      <c r="AC435" s="6">
        <v>19050</v>
      </c>
      <c r="AD435" s="6">
        <v>19050</v>
      </c>
      <c r="AE435" s="6">
        <v>19050</v>
      </c>
      <c r="AF435" s="6">
        <v>19050</v>
      </c>
      <c r="AG435" s="6">
        <v>19050</v>
      </c>
      <c r="AH435" s="6">
        <v>19050</v>
      </c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>
        <f t="shared" si="30"/>
        <v>6</v>
      </c>
      <c r="AX435" t="b">
        <f t="shared" si="31"/>
        <v>1</v>
      </c>
      <c r="AY435" s="21">
        <f t="shared" si="28"/>
        <v>114300</v>
      </c>
      <c r="AZ435" t="b">
        <f t="shared" si="29"/>
        <v>1</v>
      </c>
    </row>
    <row r="436" spans="1:52" x14ac:dyDescent="0.4">
      <c r="A436" s="6" t="s">
        <v>2230</v>
      </c>
      <c r="B436" s="1" t="s">
        <v>1390</v>
      </c>
      <c r="C436" s="1" t="s">
        <v>1391</v>
      </c>
      <c r="D436" s="1" t="s">
        <v>1392</v>
      </c>
      <c r="E436" s="1" t="s">
        <v>44</v>
      </c>
      <c r="F436" s="1" t="s">
        <v>86</v>
      </c>
      <c r="G436" s="5" t="s">
        <v>46</v>
      </c>
      <c r="H436" s="1" t="s">
        <v>27</v>
      </c>
      <c r="I436">
        <v>114300</v>
      </c>
      <c r="J436" s="1" t="s">
        <v>33</v>
      </c>
      <c r="K436">
        <v>0</v>
      </c>
      <c r="L436">
        <v>0</v>
      </c>
      <c r="M436">
        <v>0</v>
      </c>
      <c r="N436">
        <v>0</v>
      </c>
      <c r="O436">
        <v>114300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s="18">
        <v>6</v>
      </c>
      <c r="Y436" s="6"/>
      <c r="Z436" s="6"/>
      <c r="AA436" s="6"/>
      <c r="AB436" s="6"/>
      <c r="AC436" s="6">
        <v>19050</v>
      </c>
      <c r="AD436" s="6">
        <v>19050</v>
      </c>
      <c r="AE436" s="6">
        <v>19050</v>
      </c>
      <c r="AF436" s="6">
        <v>19050</v>
      </c>
      <c r="AG436" s="6">
        <v>19050</v>
      </c>
      <c r="AH436" s="6">
        <v>19050</v>
      </c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>
        <f t="shared" si="30"/>
        <v>6</v>
      </c>
      <c r="AX436" t="b">
        <f t="shared" si="31"/>
        <v>1</v>
      </c>
      <c r="AY436" s="21">
        <f t="shared" si="28"/>
        <v>114300</v>
      </c>
      <c r="AZ436" t="b">
        <f t="shared" si="29"/>
        <v>1</v>
      </c>
    </row>
    <row r="437" spans="1:52" x14ac:dyDescent="0.4">
      <c r="A437" s="6" t="s">
        <v>2230</v>
      </c>
      <c r="B437" s="1" t="s">
        <v>1393</v>
      </c>
      <c r="C437" s="1" t="s">
        <v>1394</v>
      </c>
      <c r="D437" s="1" t="s">
        <v>1395</v>
      </c>
      <c r="E437" s="1" t="s">
        <v>44</v>
      </c>
      <c r="F437" s="1" t="s">
        <v>1161</v>
      </c>
      <c r="G437" s="5" t="s">
        <v>479</v>
      </c>
      <c r="H437" s="1" t="s">
        <v>27</v>
      </c>
      <c r="I437">
        <v>114300</v>
      </c>
      <c r="J437" s="1" t="s">
        <v>868</v>
      </c>
      <c r="K437">
        <v>0</v>
      </c>
      <c r="L437">
        <v>0</v>
      </c>
      <c r="M437">
        <v>114300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s="18">
        <v>6</v>
      </c>
      <c r="Y437" s="6"/>
      <c r="Z437" s="6"/>
      <c r="AA437" s="6">
        <v>19050</v>
      </c>
      <c r="AB437" s="6">
        <v>19050</v>
      </c>
      <c r="AC437" s="6">
        <v>19050</v>
      </c>
      <c r="AD437" s="6">
        <v>19050</v>
      </c>
      <c r="AE437" s="6">
        <v>19050</v>
      </c>
      <c r="AF437" s="6">
        <v>19050</v>
      </c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>
        <f t="shared" si="30"/>
        <v>6</v>
      </c>
      <c r="AX437" t="b">
        <f t="shared" si="31"/>
        <v>1</v>
      </c>
      <c r="AY437" s="21">
        <f t="shared" si="28"/>
        <v>114300</v>
      </c>
      <c r="AZ437" t="b">
        <f t="shared" si="29"/>
        <v>1</v>
      </c>
    </row>
    <row r="438" spans="1:52" x14ac:dyDescent="0.4">
      <c r="A438" s="6" t="s">
        <v>2230</v>
      </c>
      <c r="B438" s="1" t="s">
        <v>1396</v>
      </c>
      <c r="C438" s="1" t="s">
        <v>1397</v>
      </c>
      <c r="D438" s="1" t="s">
        <v>1398</v>
      </c>
      <c r="E438" s="1" t="s">
        <v>44</v>
      </c>
      <c r="F438" s="1" t="s">
        <v>86</v>
      </c>
      <c r="G438" s="5" t="s">
        <v>46</v>
      </c>
      <c r="H438" s="1" t="s">
        <v>27</v>
      </c>
      <c r="I438">
        <v>114300</v>
      </c>
      <c r="J438" s="1" t="s">
        <v>33</v>
      </c>
      <c r="K438">
        <v>0</v>
      </c>
      <c r="L438">
        <v>0</v>
      </c>
      <c r="M438">
        <v>0</v>
      </c>
      <c r="N438">
        <v>0</v>
      </c>
      <c r="O438">
        <v>114300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s="18">
        <v>6</v>
      </c>
      <c r="Y438" s="6"/>
      <c r="Z438" s="6"/>
      <c r="AA438" s="6"/>
      <c r="AB438" s="6"/>
      <c r="AC438" s="6">
        <v>19050</v>
      </c>
      <c r="AD438" s="6">
        <v>19050</v>
      </c>
      <c r="AE438" s="6">
        <v>19050</v>
      </c>
      <c r="AF438" s="6">
        <v>19050</v>
      </c>
      <c r="AG438" s="6">
        <v>19050</v>
      </c>
      <c r="AH438" s="6">
        <v>19050</v>
      </c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>
        <f t="shared" si="30"/>
        <v>6</v>
      </c>
      <c r="AX438" t="b">
        <f t="shared" si="31"/>
        <v>1</v>
      </c>
      <c r="AY438" s="21">
        <f t="shared" si="28"/>
        <v>114300</v>
      </c>
      <c r="AZ438" t="b">
        <f t="shared" si="29"/>
        <v>1</v>
      </c>
    </row>
    <row r="439" spans="1:52" x14ac:dyDescent="0.4">
      <c r="A439" s="6" t="s">
        <v>2230</v>
      </c>
      <c r="B439" s="1" t="s">
        <v>1399</v>
      </c>
      <c r="C439" s="1" t="s">
        <v>1400</v>
      </c>
      <c r="D439" s="1" t="s">
        <v>1401</v>
      </c>
      <c r="E439" s="1" t="s">
        <v>25</v>
      </c>
      <c r="F439" s="1" t="s">
        <v>1402</v>
      </c>
      <c r="G439" s="5" t="s">
        <v>479</v>
      </c>
      <c r="H439" s="1" t="s">
        <v>27</v>
      </c>
      <c r="I439">
        <v>59400</v>
      </c>
      <c r="J439" s="1" t="s">
        <v>28</v>
      </c>
      <c r="K439">
        <v>0</v>
      </c>
      <c r="L439">
        <v>0</v>
      </c>
      <c r="M439">
        <v>59400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s="18">
        <v>3</v>
      </c>
      <c r="Y439" s="6"/>
      <c r="Z439" s="6"/>
      <c r="AA439" s="6">
        <v>19800</v>
      </c>
      <c r="AB439" s="6">
        <v>19800</v>
      </c>
      <c r="AC439" s="6">
        <v>19800</v>
      </c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>
        <f t="shared" si="30"/>
        <v>3</v>
      </c>
      <c r="AX439" t="b">
        <f t="shared" si="31"/>
        <v>1</v>
      </c>
      <c r="AY439" s="21">
        <f t="shared" si="28"/>
        <v>59400</v>
      </c>
      <c r="AZ439" t="b">
        <f t="shared" si="29"/>
        <v>1</v>
      </c>
    </row>
    <row r="440" spans="1:52" x14ac:dyDescent="0.4">
      <c r="A440" s="6" t="s">
        <v>2230</v>
      </c>
      <c r="B440" s="1" t="s">
        <v>1403</v>
      </c>
      <c r="C440" s="1" t="s">
        <v>1404</v>
      </c>
      <c r="D440" s="1" t="s">
        <v>1405</v>
      </c>
      <c r="E440" s="1" t="s">
        <v>44</v>
      </c>
      <c r="F440" s="1" t="s">
        <v>1137</v>
      </c>
      <c r="G440" s="5" t="s">
        <v>479</v>
      </c>
      <c r="H440" s="1" t="s">
        <v>27</v>
      </c>
      <c r="I440">
        <v>114300</v>
      </c>
      <c r="J440" s="1" t="s">
        <v>868</v>
      </c>
      <c r="K440">
        <v>0</v>
      </c>
      <c r="L440">
        <v>0</v>
      </c>
      <c r="M440">
        <v>114300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s="18">
        <v>6</v>
      </c>
      <c r="Y440" s="6"/>
      <c r="Z440" s="6"/>
      <c r="AA440" s="6">
        <v>19050</v>
      </c>
      <c r="AB440" s="6">
        <v>19050</v>
      </c>
      <c r="AC440" s="6">
        <v>19050</v>
      </c>
      <c r="AD440" s="6">
        <v>19050</v>
      </c>
      <c r="AE440" s="6">
        <v>19050</v>
      </c>
      <c r="AF440" s="6">
        <v>19050</v>
      </c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>
        <f t="shared" si="30"/>
        <v>6</v>
      </c>
      <c r="AX440" t="b">
        <f t="shared" si="31"/>
        <v>1</v>
      </c>
      <c r="AY440" s="21">
        <f t="shared" si="28"/>
        <v>114300</v>
      </c>
      <c r="AZ440" t="b">
        <f t="shared" si="29"/>
        <v>1</v>
      </c>
    </row>
    <row r="441" spans="1:52" x14ac:dyDescent="0.4">
      <c r="A441" s="6" t="s">
        <v>2230</v>
      </c>
      <c r="B441" s="1" t="s">
        <v>1406</v>
      </c>
      <c r="C441" s="1" t="s">
        <v>1407</v>
      </c>
      <c r="D441" s="1" t="s">
        <v>1408</v>
      </c>
      <c r="E441" s="1" t="s">
        <v>44</v>
      </c>
      <c r="F441" s="1" t="s">
        <v>97</v>
      </c>
      <c r="G441" s="5" t="s">
        <v>46</v>
      </c>
      <c r="H441" s="1" t="s">
        <v>27</v>
      </c>
      <c r="I441">
        <v>114300</v>
      </c>
      <c r="J441" s="1" t="s">
        <v>33</v>
      </c>
      <c r="K441">
        <v>0</v>
      </c>
      <c r="L441">
        <v>0</v>
      </c>
      <c r="M441">
        <v>0</v>
      </c>
      <c r="N441">
        <v>0</v>
      </c>
      <c r="O441">
        <v>114300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s="18">
        <v>6</v>
      </c>
      <c r="Y441" s="6"/>
      <c r="Z441" s="6"/>
      <c r="AA441" s="6"/>
      <c r="AB441" s="6"/>
      <c r="AC441" s="6">
        <v>19050</v>
      </c>
      <c r="AD441" s="6">
        <v>19050</v>
      </c>
      <c r="AE441" s="6">
        <v>19050</v>
      </c>
      <c r="AF441" s="6">
        <v>19050</v>
      </c>
      <c r="AG441" s="6">
        <v>19050</v>
      </c>
      <c r="AH441" s="6">
        <v>19050</v>
      </c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>
        <f t="shared" si="30"/>
        <v>6</v>
      </c>
      <c r="AX441" t="b">
        <f t="shared" si="31"/>
        <v>1</v>
      </c>
      <c r="AY441" s="21">
        <f t="shared" si="28"/>
        <v>114300</v>
      </c>
      <c r="AZ441" t="b">
        <f t="shared" si="29"/>
        <v>1</v>
      </c>
    </row>
    <row r="442" spans="1:52" x14ac:dyDescent="0.4">
      <c r="A442" s="6" t="s">
        <v>2230</v>
      </c>
      <c r="B442" s="1" t="s">
        <v>1409</v>
      </c>
      <c r="C442" s="1" t="s">
        <v>1410</v>
      </c>
      <c r="D442" s="1" t="s">
        <v>1411</v>
      </c>
      <c r="E442" s="1" t="s">
        <v>44</v>
      </c>
      <c r="F442" s="1" t="s">
        <v>867</v>
      </c>
      <c r="G442" s="5" t="s">
        <v>479</v>
      </c>
      <c r="H442" s="1" t="s">
        <v>27</v>
      </c>
      <c r="I442">
        <v>114300</v>
      </c>
      <c r="J442" s="1" t="s">
        <v>868</v>
      </c>
      <c r="K442">
        <v>0</v>
      </c>
      <c r="L442">
        <v>0</v>
      </c>
      <c r="M442">
        <v>114300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18">
        <v>6</v>
      </c>
      <c r="Y442" s="6"/>
      <c r="Z442" s="6"/>
      <c r="AA442" s="6">
        <v>19050</v>
      </c>
      <c r="AB442" s="6">
        <v>19050</v>
      </c>
      <c r="AC442" s="6">
        <v>19050</v>
      </c>
      <c r="AD442" s="6">
        <v>19050</v>
      </c>
      <c r="AE442" s="6">
        <v>19050</v>
      </c>
      <c r="AF442" s="6">
        <v>19050</v>
      </c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>
        <f t="shared" si="30"/>
        <v>6</v>
      </c>
      <c r="AX442" t="b">
        <f t="shared" si="31"/>
        <v>1</v>
      </c>
      <c r="AY442" s="21">
        <f t="shared" si="28"/>
        <v>114300</v>
      </c>
      <c r="AZ442" t="b">
        <f t="shared" si="29"/>
        <v>1</v>
      </c>
    </row>
    <row r="443" spans="1:52" x14ac:dyDescent="0.4">
      <c r="A443" s="6" t="s">
        <v>2230</v>
      </c>
      <c r="B443" s="1" t="s">
        <v>1412</v>
      </c>
      <c r="C443" s="1" t="s">
        <v>1413</v>
      </c>
      <c r="D443" s="1" t="s">
        <v>1414</v>
      </c>
      <c r="E443" s="1" t="s">
        <v>44</v>
      </c>
      <c r="F443" s="1" t="s">
        <v>97</v>
      </c>
      <c r="G443" s="5" t="s">
        <v>46</v>
      </c>
      <c r="H443" s="1" t="s">
        <v>27</v>
      </c>
      <c r="I443">
        <v>114300</v>
      </c>
      <c r="J443" s="1" t="s">
        <v>33</v>
      </c>
      <c r="K443">
        <v>0</v>
      </c>
      <c r="L443">
        <v>0</v>
      </c>
      <c r="M443">
        <v>0</v>
      </c>
      <c r="N443">
        <v>0</v>
      </c>
      <c r="O443">
        <v>114300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s="18">
        <v>6</v>
      </c>
      <c r="Y443" s="6"/>
      <c r="Z443" s="6"/>
      <c r="AA443" s="6"/>
      <c r="AB443" s="6"/>
      <c r="AC443" s="6">
        <v>19050</v>
      </c>
      <c r="AD443" s="6">
        <v>19050</v>
      </c>
      <c r="AE443" s="6">
        <v>19050</v>
      </c>
      <c r="AF443" s="6">
        <v>19050</v>
      </c>
      <c r="AG443" s="6">
        <v>19050</v>
      </c>
      <c r="AH443" s="6">
        <v>19050</v>
      </c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>
        <f t="shared" si="30"/>
        <v>6</v>
      </c>
      <c r="AX443" t="b">
        <f t="shared" si="31"/>
        <v>1</v>
      </c>
      <c r="AY443" s="21">
        <f t="shared" si="28"/>
        <v>114300</v>
      </c>
      <c r="AZ443" t="b">
        <f t="shared" si="29"/>
        <v>1</v>
      </c>
    </row>
    <row r="444" spans="1:52" x14ac:dyDescent="0.4">
      <c r="A444" s="6" t="s">
        <v>2230</v>
      </c>
      <c r="B444" s="1" t="s">
        <v>1415</v>
      </c>
      <c r="C444" s="1" t="s">
        <v>1416</v>
      </c>
      <c r="D444" s="1" t="s">
        <v>1417</v>
      </c>
      <c r="E444" s="1" t="s">
        <v>44</v>
      </c>
      <c r="F444" s="1" t="s">
        <v>227</v>
      </c>
      <c r="G444" s="5" t="s">
        <v>46</v>
      </c>
      <c r="H444" s="1" t="s">
        <v>27</v>
      </c>
      <c r="I444">
        <v>114300</v>
      </c>
      <c r="J444" s="1" t="s">
        <v>33</v>
      </c>
      <c r="K444">
        <v>0</v>
      </c>
      <c r="L444">
        <v>0</v>
      </c>
      <c r="M444">
        <v>0</v>
      </c>
      <c r="N444">
        <v>0</v>
      </c>
      <c r="O444">
        <v>114300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s="18">
        <v>6</v>
      </c>
      <c r="Y444" s="6"/>
      <c r="Z444" s="6"/>
      <c r="AA444" s="6"/>
      <c r="AB444" s="6"/>
      <c r="AC444" s="6">
        <v>19050</v>
      </c>
      <c r="AD444" s="6">
        <v>19050</v>
      </c>
      <c r="AE444" s="6">
        <v>19050</v>
      </c>
      <c r="AF444" s="6">
        <v>19050</v>
      </c>
      <c r="AG444" s="6">
        <v>19050</v>
      </c>
      <c r="AH444" s="6">
        <v>19050</v>
      </c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>
        <f t="shared" si="30"/>
        <v>6</v>
      </c>
      <c r="AX444" t="b">
        <f t="shared" si="31"/>
        <v>1</v>
      </c>
      <c r="AY444" s="21">
        <f t="shared" si="28"/>
        <v>114300</v>
      </c>
      <c r="AZ444" t="b">
        <f t="shared" si="29"/>
        <v>1</v>
      </c>
    </row>
    <row r="445" spans="1:52" x14ac:dyDescent="0.4">
      <c r="A445" s="6" t="s">
        <v>2230</v>
      </c>
      <c r="B445" s="1" t="s">
        <v>1418</v>
      </c>
      <c r="C445" s="1" t="s">
        <v>1419</v>
      </c>
      <c r="D445" s="1" t="s">
        <v>1420</v>
      </c>
      <c r="E445" s="1" t="s">
        <v>44</v>
      </c>
      <c r="F445" s="1" t="s">
        <v>90</v>
      </c>
      <c r="G445" s="5" t="s">
        <v>46</v>
      </c>
      <c r="H445" s="1" t="s">
        <v>27</v>
      </c>
      <c r="I445">
        <v>114300</v>
      </c>
      <c r="J445" s="1" t="s">
        <v>33</v>
      </c>
      <c r="K445">
        <v>0</v>
      </c>
      <c r="L445">
        <v>0</v>
      </c>
      <c r="M445">
        <v>0</v>
      </c>
      <c r="N445">
        <v>0</v>
      </c>
      <c r="O445">
        <v>114300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s="18">
        <v>6</v>
      </c>
      <c r="Y445" s="6"/>
      <c r="Z445" s="6"/>
      <c r="AA445" s="6"/>
      <c r="AB445" s="6"/>
      <c r="AC445" s="6">
        <v>19050</v>
      </c>
      <c r="AD445" s="6">
        <v>19050</v>
      </c>
      <c r="AE445" s="6">
        <v>19050</v>
      </c>
      <c r="AF445" s="6">
        <v>19050</v>
      </c>
      <c r="AG445" s="6">
        <v>19050</v>
      </c>
      <c r="AH445" s="6">
        <v>19050</v>
      </c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>
        <f t="shared" si="30"/>
        <v>6</v>
      </c>
      <c r="AX445" t="b">
        <f t="shared" si="31"/>
        <v>1</v>
      </c>
      <c r="AY445" s="21">
        <f t="shared" si="28"/>
        <v>114300</v>
      </c>
      <c r="AZ445" t="b">
        <f t="shared" si="29"/>
        <v>1</v>
      </c>
    </row>
    <row r="446" spans="1:52" x14ac:dyDescent="0.4">
      <c r="A446" s="6" t="s">
        <v>2230</v>
      </c>
      <c r="B446" s="1" t="s">
        <v>1421</v>
      </c>
      <c r="C446" s="1" t="s">
        <v>1422</v>
      </c>
      <c r="D446" s="1" t="s">
        <v>1423</v>
      </c>
      <c r="E446" s="1" t="s">
        <v>25</v>
      </c>
      <c r="F446" s="1" t="s">
        <v>1238</v>
      </c>
      <c r="G446" s="5" t="s">
        <v>479</v>
      </c>
      <c r="H446" s="1" t="s">
        <v>27</v>
      </c>
      <c r="I446">
        <v>59400</v>
      </c>
      <c r="J446" s="1" t="s">
        <v>28</v>
      </c>
      <c r="K446">
        <v>0</v>
      </c>
      <c r="L446">
        <v>0</v>
      </c>
      <c r="M446">
        <v>59400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s="18">
        <v>3</v>
      </c>
      <c r="Y446" s="6"/>
      <c r="Z446" s="6"/>
      <c r="AA446" s="6">
        <v>19800</v>
      </c>
      <c r="AB446" s="6">
        <v>19800</v>
      </c>
      <c r="AC446" s="6">
        <v>19800</v>
      </c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>
        <f t="shared" si="30"/>
        <v>3</v>
      </c>
      <c r="AX446" t="b">
        <f t="shared" si="31"/>
        <v>1</v>
      </c>
      <c r="AY446" s="21">
        <f t="shared" si="28"/>
        <v>59400</v>
      </c>
      <c r="AZ446" t="b">
        <f t="shared" si="29"/>
        <v>1</v>
      </c>
    </row>
    <row r="447" spans="1:52" x14ac:dyDescent="0.4">
      <c r="A447" s="6" t="s">
        <v>2230</v>
      </c>
      <c r="B447" s="1" t="s">
        <v>1424</v>
      </c>
      <c r="C447" s="1" t="s">
        <v>1425</v>
      </c>
      <c r="D447" s="1" t="s">
        <v>1426</v>
      </c>
      <c r="E447" s="1" t="s">
        <v>25</v>
      </c>
      <c r="F447" s="1" t="s">
        <v>37</v>
      </c>
      <c r="G447" s="5" t="s">
        <v>10</v>
      </c>
      <c r="H447" s="1" t="s">
        <v>27</v>
      </c>
      <c r="I447">
        <v>59400</v>
      </c>
      <c r="J447" s="1" t="s">
        <v>33</v>
      </c>
      <c r="K447">
        <v>0</v>
      </c>
      <c r="L447">
        <v>59400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s="18">
        <v>3</v>
      </c>
      <c r="Y447" s="6"/>
      <c r="Z447" s="6">
        <v>19800</v>
      </c>
      <c r="AA447" s="6">
        <v>19800</v>
      </c>
      <c r="AB447" s="6">
        <v>19800</v>
      </c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>
        <f t="shared" si="30"/>
        <v>3</v>
      </c>
      <c r="AX447" t="b">
        <f t="shared" si="31"/>
        <v>1</v>
      </c>
      <c r="AY447" s="21">
        <f t="shared" si="28"/>
        <v>59400</v>
      </c>
      <c r="AZ447" t="b">
        <f t="shared" si="29"/>
        <v>1</v>
      </c>
    </row>
    <row r="448" spans="1:52" x14ac:dyDescent="0.4">
      <c r="A448" s="6" t="s">
        <v>2230</v>
      </c>
      <c r="B448" s="1" t="s">
        <v>1427</v>
      </c>
      <c r="C448" s="1" t="s">
        <v>1428</v>
      </c>
      <c r="D448" s="1" t="s">
        <v>1429</v>
      </c>
      <c r="E448" s="1" t="s">
        <v>44</v>
      </c>
      <c r="F448" s="1" t="s">
        <v>924</v>
      </c>
      <c r="G448" s="5" t="s">
        <v>479</v>
      </c>
      <c r="H448" s="1" t="s">
        <v>27</v>
      </c>
      <c r="I448">
        <v>114300</v>
      </c>
      <c r="J448" s="1" t="s">
        <v>868</v>
      </c>
      <c r="K448">
        <v>0</v>
      </c>
      <c r="L448">
        <v>0</v>
      </c>
      <c r="M448">
        <v>114300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s="18">
        <v>6</v>
      </c>
      <c r="Y448" s="6"/>
      <c r="Z448" s="6"/>
      <c r="AA448" s="6">
        <v>19050</v>
      </c>
      <c r="AB448" s="6">
        <v>19050</v>
      </c>
      <c r="AC448" s="6">
        <v>19050</v>
      </c>
      <c r="AD448" s="6">
        <v>19050</v>
      </c>
      <c r="AE448" s="6">
        <v>19050</v>
      </c>
      <c r="AF448" s="6">
        <v>19050</v>
      </c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>
        <f t="shared" si="30"/>
        <v>6</v>
      </c>
      <c r="AX448" t="b">
        <f t="shared" si="31"/>
        <v>1</v>
      </c>
      <c r="AY448" s="21">
        <f t="shared" si="28"/>
        <v>114300</v>
      </c>
      <c r="AZ448" t="b">
        <f t="shared" si="29"/>
        <v>1</v>
      </c>
    </row>
    <row r="449" spans="1:52" x14ac:dyDescent="0.4">
      <c r="A449" s="6" t="s">
        <v>2230</v>
      </c>
      <c r="B449" s="1" t="s">
        <v>1430</v>
      </c>
      <c r="C449" s="1" t="s">
        <v>1431</v>
      </c>
      <c r="D449" s="1" t="s">
        <v>1432</v>
      </c>
      <c r="E449" s="1" t="s">
        <v>44</v>
      </c>
      <c r="F449" s="1" t="s">
        <v>1207</v>
      </c>
      <c r="G449" s="5" t="s">
        <v>479</v>
      </c>
      <c r="H449" s="1" t="s">
        <v>27</v>
      </c>
      <c r="I449">
        <v>114300</v>
      </c>
      <c r="J449" s="1" t="s">
        <v>868</v>
      </c>
      <c r="K449">
        <v>0</v>
      </c>
      <c r="L449">
        <v>0</v>
      </c>
      <c r="M449">
        <v>114300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s="18">
        <v>6</v>
      </c>
      <c r="Y449" s="6"/>
      <c r="Z449" s="6"/>
      <c r="AA449" s="6">
        <v>19050</v>
      </c>
      <c r="AB449" s="6">
        <v>19050</v>
      </c>
      <c r="AC449" s="6">
        <v>19050</v>
      </c>
      <c r="AD449" s="6">
        <v>19050</v>
      </c>
      <c r="AE449" s="6">
        <v>19050</v>
      </c>
      <c r="AF449" s="6">
        <v>19050</v>
      </c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>
        <f t="shared" si="30"/>
        <v>6</v>
      </c>
      <c r="AX449" t="b">
        <f t="shared" si="31"/>
        <v>1</v>
      </c>
      <c r="AY449" s="21">
        <f t="shared" si="28"/>
        <v>114300</v>
      </c>
      <c r="AZ449" t="b">
        <f t="shared" si="29"/>
        <v>1</v>
      </c>
    </row>
    <row r="450" spans="1:52" x14ac:dyDescent="0.4">
      <c r="A450" s="6" t="s">
        <v>2230</v>
      </c>
      <c r="B450" s="1" t="s">
        <v>1433</v>
      </c>
      <c r="C450" s="1" t="s">
        <v>1434</v>
      </c>
      <c r="D450" s="1" t="s">
        <v>1435</v>
      </c>
      <c r="E450" s="1" t="s">
        <v>44</v>
      </c>
      <c r="F450" s="1" t="s">
        <v>1172</v>
      </c>
      <c r="G450" s="5" t="s">
        <v>479</v>
      </c>
      <c r="H450" s="1" t="s">
        <v>27</v>
      </c>
      <c r="I450">
        <v>114300</v>
      </c>
      <c r="J450" s="1" t="s">
        <v>868</v>
      </c>
      <c r="K450">
        <v>0</v>
      </c>
      <c r="L450">
        <v>0</v>
      </c>
      <c r="M450">
        <v>114300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s="18">
        <v>6</v>
      </c>
      <c r="Y450" s="6"/>
      <c r="Z450" s="6"/>
      <c r="AA450" s="6">
        <v>19050</v>
      </c>
      <c r="AB450" s="6">
        <v>19050</v>
      </c>
      <c r="AC450" s="6">
        <v>19050</v>
      </c>
      <c r="AD450" s="6">
        <v>19050</v>
      </c>
      <c r="AE450" s="6">
        <v>19050</v>
      </c>
      <c r="AF450" s="6">
        <v>19050</v>
      </c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>
        <f t="shared" si="30"/>
        <v>6</v>
      </c>
      <c r="AX450" t="b">
        <f t="shared" si="31"/>
        <v>1</v>
      </c>
      <c r="AY450" s="21">
        <f t="shared" si="28"/>
        <v>114300</v>
      </c>
      <c r="AZ450" t="b">
        <f t="shared" si="29"/>
        <v>1</v>
      </c>
    </row>
    <row r="451" spans="1:52" x14ac:dyDescent="0.4">
      <c r="A451" s="6" t="s">
        <v>2230</v>
      </c>
      <c r="B451" s="1" t="s">
        <v>1436</v>
      </c>
      <c r="C451" s="1" t="s">
        <v>1437</v>
      </c>
      <c r="D451" s="1" t="s">
        <v>1438</v>
      </c>
      <c r="E451" s="1" t="s">
        <v>44</v>
      </c>
      <c r="F451" s="1" t="s">
        <v>867</v>
      </c>
      <c r="G451" s="5" t="s">
        <v>479</v>
      </c>
      <c r="H451" s="1" t="s">
        <v>27</v>
      </c>
      <c r="I451">
        <v>114300</v>
      </c>
      <c r="J451" s="1" t="s">
        <v>868</v>
      </c>
      <c r="K451">
        <v>0</v>
      </c>
      <c r="L451">
        <v>0</v>
      </c>
      <c r="M451">
        <v>114300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s="18">
        <v>6</v>
      </c>
      <c r="Y451" s="6"/>
      <c r="Z451" s="6"/>
      <c r="AA451" s="6">
        <v>19050</v>
      </c>
      <c r="AB451" s="6">
        <v>19050</v>
      </c>
      <c r="AC451" s="6">
        <v>19050</v>
      </c>
      <c r="AD451" s="6">
        <v>19050</v>
      </c>
      <c r="AE451" s="6">
        <v>19050</v>
      </c>
      <c r="AF451" s="6">
        <v>19050</v>
      </c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>
        <f t="shared" si="30"/>
        <v>6</v>
      </c>
      <c r="AX451" t="b">
        <f t="shared" si="31"/>
        <v>1</v>
      </c>
      <c r="AY451" s="21">
        <f t="shared" si="28"/>
        <v>114300</v>
      </c>
      <c r="AZ451" t="b">
        <f t="shared" si="29"/>
        <v>1</v>
      </c>
    </row>
    <row r="452" spans="1:52" x14ac:dyDescent="0.4">
      <c r="A452" s="6" t="s">
        <v>2230</v>
      </c>
      <c r="B452" s="1" t="s">
        <v>1439</v>
      </c>
      <c r="C452" s="1" t="s">
        <v>1440</v>
      </c>
      <c r="D452" s="1" t="s">
        <v>1441</v>
      </c>
      <c r="E452" s="1" t="s">
        <v>44</v>
      </c>
      <c r="F452" s="1" t="s">
        <v>140</v>
      </c>
      <c r="G452" s="5" t="s">
        <v>46</v>
      </c>
      <c r="H452" s="1" t="s">
        <v>27</v>
      </c>
      <c r="I452">
        <v>114300</v>
      </c>
      <c r="J452" s="1" t="s">
        <v>33</v>
      </c>
      <c r="K452">
        <v>0</v>
      </c>
      <c r="L452">
        <v>0</v>
      </c>
      <c r="M452">
        <v>0</v>
      </c>
      <c r="N452">
        <v>0</v>
      </c>
      <c r="O452">
        <v>114300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s="18">
        <v>6</v>
      </c>
      <c r="Y452" s="6"/>
      <c r="Z452" s="6"/>
      <c r="AA452" s="6"/>
      <c r="AB452" s="6"/>
      <c r="AC452" s="6">
        <v>19050</v>
      </c>
      <c r="AD452" s="6">
        <v>19050</v>
      </c>
      <c r="AE452" s="6">
        <v>19050</v>
      </c>
      <c r="AF452" s="6">
        <v>19050</v>
      </c>
      <c r="AG452" s="6">
        <v>19050</v>
      </c>
      <c r="AH452" s="6">
        <v>19050</v>
      </c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>
        <f t="shared" si="30"/>
        <v>6</v>
      </c>
      <c r="AX452" t="b">
        <f t="shared" si="31"/>
        <v>1</v>
      </c>
      <c r="AY452" s="21">
        <f t="shared" si="28"/>
        <v>114300</v>
      </c>
      <c r="AZ452" t="b">
        <f t="shared" si="29"/>
        <v>1</v>
      </c>
    </row>
    <row r="453" spans="1:52" x14ac:dyDescent="0.4">
      <c r="A453" s="6" t="s">
        <v>2230</v>
      </c>
      <c r="B453" s="1" t="s">
        <v>1442</v>
      </c>
      <c r="C453" s="1" t="s">
        <v>1443</v>
      </c>
      <c r="D453" s="1" t="s">
        <v>1444</v>
      </c>
      <c r="E453" s="1" t="s">
        <v>44</v>
      </c>
      <c r="F453" s="1" t="s">
        <v>86</v>
      </c>
      <c r="G453" s="5" t="s">
        <v>46</v>
      </c>
      <c r="H453" s="1" t="s">
        <v>27</v>
      </c>
      <c r="I453">
        <v>114300</v>
      </c>
      <c r="J453" s="1" t="s">
        <v>33</v>
      </c>
      <c r="K453">
        <v>0</v>
      </c>
      <c r="L453">
        <v>0</v>
      </c>
      <c r="M453">
        <v>0</v>
      </c>
      <c r="N453">
        <v>0</v>
      </c>
      <c r="O453">
        <v>114300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s="18">
        <v>6</v>
      </c>
      <c r="Y453" s="6"/>
      <c r="Z453" s="6"/>
      <c r="AA453" s="6"/>
      <c r="AB453" s="6"/>
      <c r="AC453" s="6">
        <v>19050</v>
      </c>
      <c r="AD453" s="6">
        <v>19050</v>
      </c>
      <c r="AE453" s="6">
        <v>19050</v>
      </c>
      <c r="AF453" s="6">
        <v>19050</v>
      </c>
      <c r="AG453" s="6">
        <v>19050</v>
      </c>
      <c r="AH453" s="6">
        <v>19050</v>
      </c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>
        <f t="shared" si="30"/>
        <v>6</v>
      </c>
      <c r="AX453" t="b">
        <f t="shared" si="31"/>
        <v>1</v>
      </c>
      <c r="AY453" s="21">
        <f t="shared" si="28"/>
        <v>114300</v>
      </c>
      <c r="AZ453" t="b">
        <f t="shared" si="29"/>
        <v>1</v>
      </c>
    </row>
    <row r="454" spans="1:52" x14ac:dyDescent="0.4">
      <c r="A454" s="6" t="s">
        <v>2230</v>
      </c>
      <c r="B454" s="1" t="s">
        <v>1445</v>
      </c>
      <c r="C454" s="1" t="s">
        <v>1446</v>
      </c>
      <c r="D454" s="1" t="s">
        <v>1447</v>
      </c>
      <c r="E454" s="1" t="s">
        <v>44</v>
      </c>
      <c r="F454" s="1" t="s">
        <v>101</v>
      </c>
      <c r="G454" s="5" t="s">
        <v>46</v>
      </c>
      <c r="H454" s="1" t="s">
        <v>27</v>
      </c>
      <c r="I454">
        <v>114300</v>
      </c>
      <c r="J454" s="1" t="s">
        <v>33</v>
      </c>
      <c r="K454">
        <v>0</v>
      </c>
      <c r="L454">
        <v>0</v>
      </c>
      <c r="M454">
        <v>0</v>
      </c>
      <c r="N454">
        <v>0</v>
      </c>
      <c r="O454">
        <v>114300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s="18">
        <v>6</v>
      </c>
      <c r="Y454" s="6"/>
      <c r="Z454" s="6"/>
      <c r="AA454" s="6"/>
      <c r="AB454" s="6"/>
      <c r="AC454" s="6">
        <v>19050</v>
      </c>
      <c r="AD454" s="6">
        <v>19050</v>
      </c>
      <c r="AE454" s="6">
        <v>19050</v>
      </c>
      <c r="AF454" s="6">
        <v>19050</v>
      </c>
      <c r="AG454" s="6">
        <v>19050</v>
      </c>
      <c r="AH454" s="6">
        <v>19050</v>
      </c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>
        <f t="shared" si="30"/>
        <v>6</v>
      </c>
      <c r="AX454" t="b">
        <f t="shared" si="31"/>
        <v>1</v>
      </c>
      <c r="AY454" s="21">
        <f t="shared" si="28"/>
        <v>114300</v>
      </c>
      <c r="AZ454" t="b">
        <f t="shared" si="29"/>
        <v>1</v>
      </c>
    </row>
    <row r="455" spans="1:52" x14ac:dyDescent="0.4">
      <c r="A455" s="6" t="s">
        <v>2230</v>
      </c>
      <c r="B455" s="1" t="s">
        <v>1448</v>
      </c>
      <c r="C455" s="1" t="s">
        <v>1449</v>
      </c>
      <c r="D455" s="1" t="s">
        <v>1450</v>
      </c>
      <c r="E455" s="1" t="s">
        <v>25</v>
      </c>
      <c r="F455" s="1" t="s">
        <v>26</v>
      </c>
      <c r="G455" s="5" t="s">
        <v>479</v>
      </c>
      <c r="H455" s="1" t="s">
        <v>27</v>
      </c>
      <c r="I455">
        <v>59400</v>
      </c>
      <c r="J455" s="1" t="s">
        <v>28</v>
      </c>
      <c r="K455">
        <v>0</v>
      </c>
      <c r="L455">
        <v>0</v>
      </c>
      <c r="M455">
        <v>59400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s="18">
        <v>3</v>
      </c>
      <c r="Y455" s="6"/>
      <c r="Z455" s="6"/>
      <c r="AA455" s="6">
        <v>19800</v>
      </c>
      <c r="AB455" s="6">
        <v>19800</v>
      </c>
      <c r="AC455" s="6">
        <v>19800</v>
      </c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>
        <f t="shared" si="30"/>
        <v>3</v>
      </c>
      <c r="AX455" t="b">
        <f t="shared" si="31"/>
        <v>1</v>
      </c>
      <c r="AY455" s="21">
        <f t="shared" ref="AY455:AY518" si="32">+SUM(Y455:AV455)</f>
        <v>59400</v>
      </c>
      <c r="AZ455" t="b">
        <f t="shared" ref="AZ455:AZ518" si="33">+I455=AY455</f>
        <v>1</v>
      </c>
    </row>
    <row r="456" spans="1:52" x14ac:dyDescent="0.4">
      <c r="A456" s="6" t="s">
        <v>2230</v>
      </c>
      <c r="B456" s="1" t="s">
        <v>1451</v>
      </c>
      <c r="C456" s="1" t="s">
        <v>1452</v>
      </c>
      <c r="D456" s="1" t="s">
        <v>1453</v>
      </c>
      <c r="E456" s="1" t="s">
        <v>44</v>
      </c>
      <c r="F456" s="1" t="s">
        <v>1454</v>
      </c>
      <c r="G456" s="5" t="s">
        <v>1130</v>
      </c>
      <c r="H456" s="1" t="s">
        <v>27</v>
      </c>
      <c r="I456">
        <v>114300</v>
      </c>
      <c r="J456" s="1" t="s">
        <v>1455</v>
      </c>
      <c r="K456">
        <v>0</v>
      </c>
      <c r="L456">
        <v>0</v>
      </c>
      <c r="M456">
        <v>0</v>
      </c>
      <c r="N456">
        <v>114300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s="18">
        <v>6</v>
      </c>
      <c r="Y456" s="6"/>
      <c r="Z456" s="6"/>
      <c r="AA456" s="6"/>
      <c r="AB456" s="6">
        <v>19050</v>
      </c>
      <c r="AC456" s="6">
        <v>19050</v>
      </c>
      <c r="AD456" s="6">
        <v>19050</v>
      </c>
      <c r="AE456" s="6">
        <v>19050</v>
      </c>
      <c r="AF456" s="6">
        <v>19050</v>
      </c>
      <c r="AG456" s="6">
        <v>19050</v>
      </c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>
        <f t="shared" si="30"/>
        <v>6</v>
      </c>
      <c r="AX456" t="b">
        <f t="shared" si="31"/>
        <v>1</v>
      </c>
      <c r="AY456" s="21">
        <f t="shared" si="32"/>
        <v>114300</v>
      </c>
      <c r="AZ456" t="b">
        <f t="shared" si="33"/>
        <v>1</v>
      </c>
    </row>
    <row r="457" spans="1:52" x14ac:dyDescent="0.4">
      <c r="A457" s="6" t="s">
        <v>2230</v>
      </c>
      <c r="B457" s="1" t="s">
        <v>1456</v>
      </c>
      <c r="C457" s="1" t="s">
        <v>1457</v>
      </c>
      <c r="D457" s="1" t="s">
        <v>1458</v>
      </c>
      <c r="E457" s="1" t="s">
        <v>44</v>
      </c>
      <c r="F457" s="1" t="s">
        <v>867</v>
      </c>
      <c r="G457" s="5" t="s">
        <v>479</v>
      </c>
      <c r="H457" s="1" t="s">
        <v>27</v>
      </c>
      <c r="I457">
        <v>114300</v>
      </c>
      <c r="J457" s="1" t="s">
        <v>868</v>
      </c>
      <c r="K457">
        <v>0</v>
      </c>
      <c r="L457">
        <v>0</v>
      </c>
      <c r="M457">
        <v>114300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s="18">
        <v>6</v>
      </c>
      <c r="Y457" s="6"/>
      <c r="Z457" s="6"/>
      <c r="AA457" s="6">
        <v>19050</v>
      </c>
      <c r="AB457" s="6">
        <v>19050</v>
      </c>
      <c r="AC457" s="6">
        <v>19050</v>
      </c>
      <c r="AD457" s="6">
        <v>19050</v>
      </c>
      <c r="AE457" s="6">
        <v>19050</v>
      </c>
      <c r="AF457" s="6">
        <v>19050</v>
      </c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>
        <f t="shared" si="30"/>
        <v>6</v>
      </c>
      <c r="AX457" t="b">
        <f t="shared" si="31"/>
        <v>1</v>
      </c>
      <c r="AY457" s="21">
        <f t="shared" si="32"/>
        <v>114300</v>
      </c>
      <c r="AZ457" t="b">
        <f t="shared" si="33"/>
        <v>1</v>
      </c>
    </row>
    <row r="458" spans="1:52" x14ac:dyDescent="0.4">
      <c r="A458" s="6" t="s">
        <v>2230</v>
      </c>
      <c r="B458" s="1" t="s">
        <v>1459</v>
      </c>
      <c r="C458" s="1" t="s">
        <v>1460</v>
      </c>
      <c r="D458" s="1" t="s">
        <v>1461</v>
      </c>
      <c r="E458" s="1" t="s">
        <v>44</v>
      </c>
      <c r="F458" s="1" t="s">
        <v>1141</v>
      </c>
      <c r="G458" s="5" t="s">
        <v>479</v>
      </c>
      <c r="H458" s="1" t="s">
        <v>27</v>
      </c>
      <c r="I458">
        <v>114300</v>
      </c>
      <c r="J458" s="1" t="s">
        <v>868</v>
      </c>
      <c r="K458">
        <v>0</v>
      </c>
      <c r="L458">
        <v>0</v>
      </c>
      <c r="M458">
        <v>114300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s="18">
        <v>6</v>
      </c>
      <c r="Y458" s="6"/>
      <c r="Z458" s="6"/>
      <c r="AA458" s="6">
        <v>19050</v>
      </c>
      <c r="AB458" s="6">
        <v>19050</v>
      </c>
      <c r="AC458" s="6">
        <v>19050</v>
      </c>
      <c r="AD458" s="6">
        <v>19050</v>
      </c>
      <c r="AE458" s="6">
        <v>19050</v>
      </c>
      <c r="AF458" s="6">
        <v>19050</v>
      </c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>
        <f t="shared" si="30"/>
        <v>6</v>
      </c>
      <c r="AX458" t="b">
        <f t="shared" si="31"/>
        <v>1</v>
      </c>
      <c r="AY458" s="21">
        <f t="shared" si="32"/>
        <v>114300</v>
      </c>
      <c r="AZ458" t="b">
        <f t="shared" si="33"/>
        <v>1</v>
      </c>
    </row>
    <row r="459" spans="1:52" x14ac:dyDescent="0.4">
      <c r="A459" s="6" t="s">
        <v>2230</v>
      </c>
      <c r="B459" s="1" t="s">
        <v>1462</v>
      </c>
      <c r="C459" s="1" t="s">
        <v>1463</v>
      </c>
      <c r="D459" s="1" t="s">
        <v>1464</v>
      </c>
      <c r="E459" s="1" t="s">
        <v>44</v>
      </c>
      <c r="F459" s="1" t="s">
        <v>90</v>
      </c>
      <c r="G459" s="5" t="s">
        <v>46</v>
      </c>
      <c r="H459" s="1" t="s">
        <v>27</v>
      </c>
      <c r="I459">
        <v>114300</v>
      </c>
      <c r="J459" s="1" t="s">
        <v>33</v>
      </c>
      <c r="K459">
        <v>0</v>
      </c>
      <c r="L459">
        <v>0</v>
      </c>
      <c r="M459">
        <v>0</v>
      </c>
      <c r="N459">
        <v>0</v>
      </c>
      <c r="O459">
        <v>114300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s="18">
        <v>6</v>
      </c>
      <c r="Y459" s="6"/>
      <c r="Z459" s="6"/>
      <c r="AA459" s="6"/>
      <c r="AB459" s="6"/>
      <c r="AC459" s="6">
        <v>19050</v>
      </c>
      <c r="AD459" s="6">
        <v>19050</v>
      </c>
      <c r="AE459" s="6">
        <v>19050</v>
      </c>
      <c r="AF459" s="6">
        <v>19050</v>
      </c>
      <c r="AG459" s="6">
        <v>19050</v>
      </c>
      <c r="AH459" s="6">
        <v>19050</v>
      </c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>
        <f t="shared" si="30"/>
        <v>6</v>
      </c>
      <c r="AX459" t="b">
        <f t="shared" si="31"/>
        <v>1</v>
      </c>
      <c r="AY459" s="21">
        <f t="shared" si="32"/>
        <v>114300</v>
      </c>
      <c r="AZ459" t="b">
        <f t="shared" si="33"/>
        <v>1</v>
      </c>
    </row>
    <row r="460" spans="1:52" x14ac:dyDescent="0.4">
      <c r="A460" s="6" t="s">
        <v>2230</v>
      </c>
      <c r="B460" s="1" t="s">
        <v>1465</v>
      </c>
      <c r="C460" s="1" t="s">
        <v>1466</v>
      </c>
      <c r="D460" s="1" t="s">
        <v>1467</v>
      </c>
      <c r="E460" s="1" t="s">
        <v>44</v>
      </c>
      <c r="F460" s="1" t="s">
        <v>32</v>
      </c>
      <c r="G460" s="5" t="s">
        <v>46</v>
      </c>
      <c r="H460" s="1" t="s">
        <v>27</v>
      </c>
      <c r="I460">
        <v>114300</v>
      </c>
      <c r="J460" s="1" t="s">
        <v>33</v>
      </c>
      <c r="K460">
        <v>0</v>
      </c>
      <c r="L460">
        <v>0</v>
      </c>
      <c r="M460">
        <v>0</v>
      </c>
      <c r="N460">
        <v>0</v>
      </c>
      <c r="O460">
        <v>114300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s="18">
        <v>6</v>
      </c>
      <c r="Y460" s="6"/>
      <c r="Z460" s="6"/>
      <c r="AA460" s="6"/>
      <c r="AB460" s="6"/>
      <c r="AC460" s="6">
        <v>19050</v>
      </c>
      <c r="AD460" s="6">
        <v>19050</v>
      </c>
      <c r="AE460" s="6">
        <v>19050</v>
      </c>
      <c r="AF460" s="6">
        <v>19050</v>
      </c>
      <c r="AG460" s="6">
        <v>19050</v>
      </c>
      <c r="AH460" s="6">
        <v>19050</v>
      </c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>
        <f t="shared" si="30"/>
        <v>6</v>
      </c>
      <c r="AX460" t="b">
        <f t="shared" si="31"/>
        <v>1</v>
      </c>
      <c r="AY460" s="21">
        <f t="shared" si="32"/>
        <v>114300</v>
      </c>
      <c r="AZ460" t="b">
        <f t="shared" si="33"/>
        <v>1</v>
      </c>
    </row>
    <row r="461" spans="1:52" x14ac:dyDescent="0.4">
      <c r="A461" s="6" t="s">
        <v>2230</v>
      </c>
      <c r="B461" s="1" t="s">
        <v>1468</v>
      </c>
      <c r="C461" s="1" t="s">
        <v>1469</v>
      </c>
      <c r="D461" s="1" t="s">
        <v>1470</v>
      </c>
      <c r="E461" s="1" t="s">
        <v>25</v>
      </c>
      <c r="F461" s="1" t="s">
        <v>1195</v>
      </c>
      <c r="G461" s="5" t="s">
        <v>479</v>
      </c>
      <c r="H461" s="1" t="s">
        <v>27</v>
      </c>
      <c r="I461">
        <v>59400</v>
      </c>
      <c r="J461" s="1" t="s">
        <v>28</v>
      </c>
      <c r="K461">
        <v>0</v>
      </c>
      <c r="L461">
        <v>0</v>
      </c>
      <c r="M461">
        <v>59400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s="18">
        <v>3</v>
      </c>
      <c r="Y461" s="6"/>
      <c r="Z461" s="6"/>
      <c r="AA461" s="6">
        <v>19800</v>
      </c>
      <c r="AB461" s="6">
        <v>19800</v>
      </c>
      <c r="AC461" s="6">
        <v>19800</v>
      </c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>
        <f t="shared" si="30"/>
        <v>3</v>
      </c>
      <c r="AX461" t="b">
        <f t="shared" si="31"/>
        <v>1</v>
      </c>
      <c r="AY461" s="21">
        <f t="shared" si="32"/>
        <v>59400</v>
      </c>
      <c r="AZ461" t="b">
        <f t="shared" si="33"/>
        <v>1</v>
      </c>
    </row>
    <row r="462" spans="1:52" x14ac:dyDescent="0.4">
      <c r="A462" s="6" t="s">
        <v>2230</v>
      </c>
      <c r="B462" s="1" t="s">
        <v>1471</v>
      </c>
      <c r="C462" s="1" t="s">
        <v>1472</v>
      </c>
      <c r="D462" s="1" t="s">
        <v>1473</v>
      </c>
      <c r="E462" s="1" t="s">
        <v>44</v>
      </c>
      <c r="F462" s="1" t="s">
        <v>56</v>
      </c>
      <c r="G462" s="5" t="s">
        <v>46</v>
      </c>
      <c r="H462" s="1" t="s">
        <v>27</v>
      </c>
      <c r="I462">
        <v>114300</v>
      </c>
      <c r="J462" s="1" t="s">
        <v>33</v>
      </c>
      <c r="K462">
        <v>0</v>
      </c>
      <c r="L462">
        <v>0</v>
      </c>
      <c r="M462">
        <v>0</v>
      </c>
      <c r="N462">
        <v>0</v>
      </c>
      <c r="O462">
        <v>114300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s="18">
        <v>6</v>
      </c>
      <c r="Y462" s="6"/>
      <c r="Z462" s="6"/>
      <c r="AA462" s="6"/>
      <c r="AB462" s="6"/>
      <c r="AC462" s="6">
        <v>19050</v>
      </c>
      <c r="AD462" s="6">
        <v>19050</v>
      </c>
      <c r="AE462" s="6">
        <v>19050</v>
      </c>
      <c r="AF462" s="6">
        <v>19050</v>
      </c>
      <c r="AG462" s="6">
        <v>19050</v>
      </c>
      <c r="AH462" s="6">
        <v>19050</v>
      </c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>
        <f t="shared" si="30"/>
        <v>6</v>
      </c>
      <c r="AX462" t="b">
        <f t="shared" si="31"/>
        <v>1</v>
      </c>
      <c r="AY462" s="21">
        <f t="shared" si="32"/>
        <v>114300</v>
      </c>
      <c r="AZ462" t="b">
        <f t="shared" si="33"/>
        <v>1</v>
      </c>
    </row>
    <row r="463" spans="1:52" x14ac:dyDescent="0.4">
      <c r="A463" s="6" t="s">
        <v>2230</v>
      </c>
      <c r="B463" s="1" t="s">
        <v>1474</v>
      </c>
      <c r="C463" s="1" t="s">
        <v>1475</v>
      </c>
      <c r="D463" s="1" t="s">
        <v>1476</v>
      </c>
      <c r="E463" s="1" t="s">
        <v>44</v>
      </c>
      <c r="F463" s="1" t="s">
        <v>32</v>
      </c>
      <c r="G463" s="5" t="s">
        <v>46</v>
      </c>
      <c r="H463" s="1" t="s">
        <v>27</v>
      </c>
      <c r="I463">
        <v>114300</v>
      </c>
      <c r="J463" s="1" t="s">
        <v>33</v>
      </c>
      <c r="K463">
        <v>0</v>
      </c>
      <c r="L463">
        <v>0</v>
      </c>
      <c r="M463">
        <v>0</v>
      </c>
      <c r="N463">
        <v>0</v>
      </c>
      <c r="O463">
        <v>114300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s="18">
        <v>6</v>
      </c>
      <c r="Y463" s="6"/>
      <c r="Z463" s="6"/>
      <c r="AA463" s="6"/>
      <c r="AB463" s="6"/>
      <c r="AC463" s="6">
        <v>19050</v>
      </c>
      <c r="AD463" s="6">
        <v>19050</v>
      </c>
      <c r="AE463" s="6">
        <v>19050</v>
      </c>
      <c r="AF463" s="6">
        <v>19050</v>
      </c>
      <c r="AG463" s="6">
        <v>19050</v>
      </c>
      <c r="AH463" s="6">
        <v>19050</v>
      </c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>
        <f t="shared" si="30"/>
        <v>6</v>
      </c>
      <c r="AX463" t="b">
        <f t="shared" si="31"/>
        <v>1</v>
      </c>
      <c r="AY463" s="21">
        <f t="shared" si="32"/>
        <v>114300</v>
      </c>
      <c r="AZ463" t="b">
        <f t="shared" si="33"/>
        <v>1</v>
      </c>
    </row>
    <row r="464" spans="1:52" x14ac:dyDescent="0.4">
      <c r="A464" s="6" t="s">
        <v>2230</v>
      </c>
      <c r="B464" s="1" t="s">
        <v>1477</v>
      </c>
      <c r="C464" s="1" t="s">
        <v>1478</v>
      </c>
      <c r="D464" s="1" t="s">
        <v>1479</v>
      </c>
      <c r="E464" s="1" t="s">
        <v>44</v>
      </c>
      <c r="F464" s="1" t="s">
        <v>90</v>
      </c>
      <c r="G464" s="5" t="s">
        <v>46</v>
      </c>
      <c r="H464" s="1" t="s">
        <v>27</v>
      </c>
      <c r="I464">
        <v>114300</v>
      </c>
      <c r="J464" s="1" t="s">
        <v>33</v>
      </c>
      <c r="K464">
        <v>0</v>
      </c>
      <c r="L464">
        <v>0</v>
      </c>
      <c r="M464">
        <v>0</v>
      </c>
      <c r="N464">
        <v>0</v>
      </c>
      <c r="O464">
        <v>114300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s="18">
        <v>6</v>
      </c>
      <c r="Y464" s="6"/>
      <c r="Z464" s="6"/>
      <c r="AA464" s="6"/>
      <c r="AB464" s="6"/>
      <c r="AC464" s="6">
        <v>19050</v>
      </c>
      <c r="AD464" s="6">
        <v>19050</v>
      </c>
      <c r="AE464" s="6">
        <v>19050</v>
      </c>
      <c r="AF464" s="6">
        <v>19050</v>
      </c>
      <c r="AG464" s="6">
        <v>19050</v>
      </c>
      <c r="AH464" s="6">
        <v>19050</v>
      </c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>
        <f t="shared" ref="AW464:AW527" si="34">+COUNTA(Y464:AV464)</f>
        <v>6</v>
      </c>
      <c r="AX464" t="b">
        <f t="shared" ref="AX464:AX527" si="35">+AW464=X464</f>
        <v>1</v>
      </c>
      <c r="AY464" s="21">
        <f t="shared" si="32"/>
        <v>114300</v>
      </c>
      <c r="AZ464" t="b">
        <f t="shared" si="33"/>
        <v>1</v>
      </c>
    </row>
    <row r="465" spans="1:52" x14ac:dyDescent="0.4">
      <c r="A465" s="6" t="s">
        <v>2230</v>
      </c>
      <c r="B465" s="1" t="s">
        <v>1480</v>
      </c>
      <c r="C465" s="1" t="s">
        <v>1481</v>
      </c>
      <c r="D465" s="1" t="s">
        <v>1482</v>
      </c>
      <c r="E465" s="1" t="s">
        <v>44</v>
      </c>
      <c r="F465" s="1" t="s">
        <v>82</v>
      </c>
      <c r="G465" s="5" t="s">
        <v>46</v>
      </c>
      <c r="H465" s="1" t="s">
        <v>27</v>
      </c>
      <c r="I465">
        <v>114300</v>
      </c>
      <c r="J465" s="1" t="s">
        <v>33</v>
      </c>
      <c r="K465">
        <v>0</v>
      </c>
      <c r="L465">
        <v>0</v>
      </c>
      <c r="M465">
        <v>0</v>
      </c>
      <c r="N465">
        <v>0</v>
      </c>
      <c r="O465">
        <v>114300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s="18">
        <v>6</v>
      </c>
      <c r="Y465" s="6"/>
      <c r="Z465" s="6"/>
      <c r="AA465" s="6"/>
      <c r="AB465" s="6"/>
      <c r="AC465" s="6">
        <v>19050</v>
      </c>
      <c r="AD465" s="6">
        <v>19050</v>
      </c>
      <c r="AE465" s="6">
        <v>19050</v>
      </c>
      <c r="AF465" s="6">
        <v>19050</v>
      </c>
      <c r="AG465" s="6">
        <v>19050</v>
      </c>
      <c r="AH465" s="6">
        <v>19050</v>
      </c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>
        <f t="shared" si="34"/>
        <v>6</v>
      </c>
      <c r="AX465" t="b">
        <f t="shared" si="35"/>
        <v>1</v>
      </c>
      <c r="AY465" s="21">
        <f t="shared" si="32"/>
        <v>114300</v>
      </c>
      <c r="AZ465" t="b">
        <f t="shared" si="33"/>
        <v>1</v>
      </c>
    </row>
    <row r="466" spans="1:52" x14ac:dyDescent="0.4">
      <c r="A466" s="6" t="s">
        <v>2230</v>
      </c>
      <c r="B466" s="1" t="s">
        <v>1483</v>
      </c>
      <c r="C466" s="1" t="s">
        <v>1484</v>
      </c>
      <c r="D466" s="1" t="s">
        <v>1485</v>
      </c>
      <c r="E466" s="1" t="s">
        <v>44</v>
      </c>
      <c r="F466" s="1" t="s">
        <v>924</v>
      </c>
      <c r="G466" s="5" t="s">
        <v>479</v>
      </c>
      <c r="H466" s="1" t="s">
        <v>27</v>
      </c>
      <c r="I466">
        <v>114300</v>
      </c>
      <c r="J466" s="1" t="s">
        <v>868</v>
      </c>
      <c r="K466">
        <v>0</v>
      </c>
      <c r="L466">
        <v>0</v>
      </c>
      <c r="M466">
        <v>114300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s="18">
        <v>6</v>
      </c>
      <c r="Y466" s="6"/>
      <c r="Z466" s="6"/>
      <c r="AA466" s="6">
        <v>19050</v>
      </c>
      <c r="AB466" s="6">
        <v>19050</v>
      </c>
      <c r="AC466" s="6">
        <v>19050</v>
      </c>
      <c r="AD466" s="6">
        <v>19050</v>
      </c>
      <c r="AE466" s="6">
        <v>19050</v>
      </c>
      <c r="AF466" s="6">
        <v>19050</v>
      </c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>
        <f t="shared" si="34"/>
        <v>6</v>
      </c>
      <c r="AX466" t="b">
        <f t="shared" si="35"/>
        <v>1</v>
      </c>
      <c r="AY466" s="21">
        <f t="shared" si="32"/>
        <v>114300</v>
      </c>
      <c r="AZ466" t="b">
        <f t="shared" si="33"/>
        <v>1</v>
      </c>
    </row>
    <row r="467" spans="1:52" x14ac:dyDescent="0.4">
      <c r="A467" s="6" t="s">
        <v>2230</v>
      </c>
      <c r="B467" s="1" t="s">
        <v>1486</v>
      </c>
      <c r="C467" s="1" t="s">
        <v>1487</v>
      </c>
      <c r="D467" s="1" t="s">
        <v>1488</v>
      </c>
      <c r="E467" s="1" t="s">
        <v>44</v>
      </c>
      <c r="F467" s="1" t="s">
        <v>86</v>
      </c>
      <c r="G467" s="5" t="s">
        <v>46</v>
      </c>
      <c r="H467" s="1" t="s">
        <v>27</v>
      </c>
      <c r="I467">
        <v>114300</v>
      </c>
      <c r="J467" s="1" t="s">
        <v>33</v>
      </c>
      <c r="K467">
        <v>0</v>
      </c>
      <c r="L467">
        <v>0</v>
      </c>
      <c r="M467">
        <v>0</v>
      </c>
      <c r="N467">
        <v>0</v>
      </c>
      <c r="O467">
        <v>114300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s="18">
        <v>6</v>
      </c>
      <c r="Y467" s="6"/>
      <c r="Z467" s="6"/>
      <c r="AA467" s="6"/>
      <c r="AB467" s="6"/>
      <c r="AC467" s="6">
        <v>19050</v>
      </c>
      <c r="AD467" s="6">
        <v>19050</v>
      </c>
      <c r="AE467" s="6">
        <v>19050</v>
      </c>
      <c r="AF467" s="6">
        <v>19050</v>
      </c>
      <c r="AG467" s="6">
        <v>19050</v>
      </c>
      <c r="AH467" s="6">
        <v>19050</v>
      </c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>
        <f t="shared" si="34"/>
        <v>6</v>
      </c>
      <c r="AX467" t="b">
        <f t="shared" si="35"/>
        <v>1</v>
      </c>
      <c r="AY467" s="21">
        <f t="shared" si="32"/>
        <v>114300</v>
      </c>
      <c r="AZ467" t="b">
        <f t="shared" si="33"/>
        <v>1</v>
      </c>
    </row>
    <row r="468" spans="1:52" x14ac:dyDescent="0.4">
      <c r="A468" s="6" t="s">
        <v>2230</v>
      </c>
      <c r="B468" s="1" t="s">
        <v>1489</v>
      </c>
      <c r="C468" s="1" t="s">
        <v>1490</v>
      </c>
      <c r="D468" s="1" t="s">
        <v>1491</v>
      </c>
      <c r="E468" s="1" t="s">
        <v>44</v>
      </c>
      <c r="F468" s="1" t="s">
        <v>63</v>
      </c>
      <c r="G468" s="5" t="s">
        <v>46</v>
      </c>
      <c r="H468" s="1" t="s">
        <v>27</v>
      </c>
      <c r="I468">
        <v>114300</v>
      </c>
      <c r="J468" s="1" t="s">
        <v>33</v>
      </c>
      <c r="K468">
        <v>0</v>
      </c>
      <c r="L468">
        <v>0</v>
      </c>
      <c r="M468">
        <v>0</v>
      </c>
      <c r="N468">
        <v>0</v>
      </c>
      <c r="O468">
        <v>114300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s="18">
        <v>6</v>
      </c>
      <c r="Y468" s="6"/>
      <c r="Z468" s="6"/>
      <c r="AA468" s="6"/>
      <c r="AB468" s="6"/>
      <c r="AC468" s="6">
        <v>19050</v>
      </c>
      <c r="AD468" s="6">
        <v>19050</v>
      </c>
      <c r="AE468" s="6">
        <v>19050</v>
      </c>
      <c r="AF468" s="6">
        <v>19050</v>
      </c>
      <c r="AG468" s="6">
        <v>19050</v>
      </c>
      <c r="AH468" s="6">
        <v>19050</v>
      </c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>
        <f t="shared" si="34"/>
        <v>6</v>
      </c>
      <c r="AX468" t="b">
        <f t="shared" si="35"/>
        <v>1</v>
      </c>
      <c r="AY468" s="21">
        <f t="shared" si="32"/>
        <v>114300</v>
      </c>
      <c r="AZ468" t="b">
        <f t="shared" si="33"/>
        <v>1</v>
      </c>
    </row>
    <row r="469" spans="1:52" x14ac:dyDescent="0.4">
      <c r="A469" s="6" t="s">
        <v>2230</v>
      </c>
      <c r="B469" s="1" t="s">
        <v>1492</v>
      </c>
      <c r="C469" s="1" t="s">
        <v>1493</v>
      </c>
      <c r="D469" s="1" t="s">
        <v>1494</v>
      </c>
      <c r="E469" s="1" t="s">
        <v>44</v>
      </c>
      <c r="F469" s="1" t="s">
        <v>86</v>
      </c>
      <c r="G469" s="5" t="s">
        <v>46</v>
      </c>
      <c r="H469" s="1" t="s">
        <v>27</v>
      </c>
      <c r="I469">
        <v>114300</v>
      </c>
      <c r="J469" s="1" t="s">
        <v>33</v>
      </c>
      <c r="K469">
        <v>0</v>
      </c>
      <c r="L469">
        <v>0</v>
      </c>
      <c r="M469">
        <v>0</v>
      </c>
      <c r="N469">
        <v>0</v>
      </c>
      <c r="O469">
        <v>114300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s="18">
        <v>6</v>
      </c>
      <c r="Y469" s="6"/>
      <c r="Z469" s="6"/>
      <c r="AA469" s="6"/>
      <c r="AB469" s="6"/>
      <c r="AC469" s="6">
        <v>19050</v>
      </c>
      <c r="AD469" s="6">
        <v>19050</v>
      </c>
      <c r="AE469" s="6">
        <v>19050</v>
      </c>
      <c r="AF469" s="6">
        <v>19050</v>
      </c>
      <c r="AG469" s="6">
        <v>19050</v>
      </c>
      <c r="AH469" s="6">
        <v>19050</v>
      </c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>
        <f t="shared" si="34"/>
        <v>6</v>
      </c>
      <c r="AX469" t="b">
        <f t="shared" si="35"/>
        <v>1</v>
      </c>
      <c r="AY469" s="21">
        <f t="shared" si="32"/>
        <v>114300</v>
      </c>
      <c r="AZ469" t="b">
        <f t="shared" si="33"/>
        <v>1</v>
      </c>
    </row>
    <row r="470" spans="1:52" x14ac:dyDescent="0.4">
      <c r="A470" s="6" t="s">
        <v>2230</v>
      </c>
      <c r="B470" s="1" t="s">
        <v>1495</v>
      </c>
      <c r="C470" s="1" t="s">
        <v>1496</v>
      </c>
      <c r="D470" s="1" t="s">
        <v>1497</v>
      </c>
      <c r="E470" s="1" t="s">
        <v>44</v>
      </c>
      <c r="F470" s="1" t="s">
        <v>867</v>
      </c>
      <c r="G470" s="5" t="s">
        <v>479</v>
      </c>
      <c r="H470" s="1" t="s">
        <v>27</v>
      </c>
      <c r="I470">
        <v>114300</v>
      </c>
      <c r="J470" s="1" t="s">
        <v>868</v>
      </c>
      <c r="K470">
        <v>0</v>
      </c>
      <c r="L470">
        <v>0</v>
      </c>
      <c r="M470">
        <v>114300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s="18">
        <v>6</v>
      </c>
      <c r="Y470" s="6"/>
      <c r="Z470" s="6"/>
      <c r="AA470" s="6">
        <v>19050</v>
      </c>
      <c r="AB470" s="6">
        <v>19050</v>
      </c>
      <c r="AC470" s="6">
        <v>19050</v>
      </c>
      <c r="AD470" s="6">
        <v>19050</v>
      </c>
      <c r="AE470" s="6">
        <v>19050</v>
      </c>
      <c r="AF470" s="6">
        <v>19050</v>
      </c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>
        <f t="shared" si="34"/>
        <v>6</v>
      </c>
      <c r="AX470" t="b">
        <f t="shared" si="35"/>
        <v>1</v>
      </c>
      <c r="AY470" s="21">
        <f t="shared" si="32"/>
        <v>114300</v>
      </c>
      <c r="AZ470" t="b">
        <f t="shared" si="33"/>
        <v>1</v>
      </c>
    </row>
    <row r="471" spans="1:52" x14ac:dyDescent="0.4">
      <c r="A471" s="6" t="s">
        <v>2230</v>
      </c>
      <c r="B471" s="1" t="s">
        <v>1498</v>
      </c>
      <c r="C471" s="1" t="s">
        <v>1499</v>
      </c>
      <c r="D471" s="1" t="s">
        <v>1500</v>
      </c>
      <c r="E471" s="1" t="s">
        <v>44</v>
      </c>
      <c r="F471" s="1" t="s">
        <v>1309</v>
      </c>
      <c r="G471" s="5" t="s">
        <v>479</v>
      </c>
      <c r="H471" s="1" t="s">
        <v>27</v>
      </c>
      <c r="I471">
        <v>114300</v>
      </c>
      <c r="J471" s="1" t="s">
        <v>868</v>
      </c>
      <c r="K471">
        <v>0</v>
      </c>
      <c r="L471">
        <v>0</v>
      </c>
      <c r="M471">
        <v>114300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s="18">
        <v>6</v>
      </c>
      <c r="Y471" s="6"/>
      <c r="Z471" s="6"/>
      <c r="AA471" s="6">
        <v>19050</v>
      </c>
      <c r="AB471" s="6">
        <v>19050</v>
      </c>
      <c r="AC471" s="6">
        <v>19050</v>
      </c>
      <c r="AD471" s="6">
        <v>19050</v>
      </c>
      <c r="AE471" s="6">
        <v>19050</v>
      </c>
      <c r="AF471" s="6">
        <v>19050</v>
      </c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>
        <f t="shared" si="34"/>
        <v>6</v>
      </c>
      <c r="AX471" t="b">
        <f t="shared" si="35"/>
        <v>1</v>
      </c>
      <c r="AY471" s="21">
        <f t="shared" si="32"/>
        <v>114300</v>
      </c>
      <c r="AZ471" t="b">
        <f t="shared" si="33"/>
        <v>1</v>
      </c>
    </row>
    <row r="472" spans="1:52" x14ac:dyDescent="0.4">
      <c r="A472" s="6" t="s">
        <v>2230</v>
      </c>
      <c r="B472" s="1" t="s">
        <v>1501</v>
      </c>
      <c r="C472" s="1" t="s">
        <v>1502</v>
      </c>
      <c r="D472" s="1" t="s">
        <v>1503</v>
      </c>
      <c r="E472" s="1" t="s">
        <v>44</v>
      </c>
      <c r="F472" s="1" t="s">
        <v>932</v>
      </c>
      <c r="G472" s="5" t="s">
        <v>479</v>
      </c>
      <c r="H472" s="1" t="s">
        <v>27</v>
      </c>
      <c r="I472">
        <v>114300</v>
      </c>
      <c r="J472" s="1" t="s">
        <v>868</v>
      </c>
      <c r="K472">
        <v>0</v>
      </c>
      <c r="L472">
        <v>0</v>
      </c>
      <c r="M472">
        <v>114300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s="18">
        <v>6</v>
      </c>
      <c r="Y472" s="6"/>
      <c r="Z472" s="6"/>
      <c r="AA472" s="6">
        <v>19050</v>
      </c>
      <c r="AB472" s="6">
        <v>19050</v>
      </c>
      <c r="AC472" s="6">
        <v>19050</v>
      </c>
      <c r="AD472" s="6">
        <v>19050</v>
      </c>
      <c r="AE472" s="6">
        <v>19050</v>
      </c>
      <c r="AF472" s="6">
        <v>19050</v>
      </c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>
        <f t="shared" si="34"/>
        <v>6</v>
      </c>
      <c r="AX472" t="b">
        <f t="shared" si="35"/>
        <v>1</v>
      </c>
      <c r="AY472" s="21">
        <f t="shared" si="32"/>
        <v>114300</v>
      </c>
      <c r="AZ472" t="b">
        <f t="shared" si="33"/>
        <v>1</v>
      </c>
    </row>
    <row r="473" spans="1:52" x14ac:dyDescent="0.4">
      <c r="A473" s="6" t="s">
        <v>2230</v>
      </c>
      <c r="B473" s="1" t="s">
        <v>1504</v>
      </c>
      <c r="C473" s="1" t="s">
        <v>1505</v>
      </c>
      <c r="D473" s="1" t="s">
        <v>1506</v>
      </c>
      <c r="E473" s="1" t="s">
        <v>44</v>
      </c>
      <c r="F473" s="1" t="s">
        <v>1195</v>
      </c>
      <c r="G473" s="5" t="s">
        <v>479</v>
      </c>
      <c r="H473" s="1" t="s">
        <v>27</v>
      </c>
      <c r="I473">
        <v>114300</v>
      </c>
      <c r="J473" s="1" t="s">
        <v>868</v>
      </c>
      <c r="K473">
        <v>0</v>
      </c>
      <c r="L473">
        <v>0</v>
      </c>
      <c r="M473">
        <v>114300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s="18">
        <v>6</v>
      </c>
      <c r="Y473" s="6"/>
      <c r="Z473" s="6"/>
      <c r="AA473" s="6">
        <v>19050</v>
      </c>
      <c r="AB473" s="6">
        <v>19050</v>
      </c>
      <c r="AC473" s="6">
        <v>19050</v>
      </c>
      <c r="AD473" s="6">
        <v>19050</v>
      </c>
      <c r="AE473" s="6">
        <v>19050</v>
      </c>
      <c r="AF473" s="6">
        <v>19050</v>
      </c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>
        <f t="shared" si="34"/>
        <v>6</v>
      </c>
      <c r="AX473" t="b">
        <f t="shared" si="35"/>
        <v>1</v>
      </c>
      <c r="AY473" s="21">
        <f t="shared" si="32"/>
        <v>114300</v>
      </c>
      <c r="AZ473" t="b">
        <f t="shared" si="33"/>
        <v>1</v>
      </c>
    </row>
    <row r="474" spans="1:52" x14ac:dyDescent="0.4">
      <c r="A474" s="6" t="s">
        <v>2230</v>
      </c>
      <c r="B474" s="1" t="s">
        <v>1507</v>
      </c>
      <c r="C474" s="1" t="s">
        <v>1508</v>
      </c>
      <c r="D474" s="1" t="s">
        <v>1509</v>
      </c>
      <c r="E474" s="1" t="s">
        <v>44</v>
      </c>
      <c r="F474" s="1" t="s">
        <v>1195</v>
      </c>
      <c r="G474" s="5" t="s">
        <v>479</v>
      </c>
      <c r="H474" s="1" t="s">
        <v>27</v>
      </c>
      <c r="I474">
        <v>114300</v>
      </c>
      <c r="J474" s="1" t="s">
        <v>868</v>
      </c>
      <c r="K474">
        <v>0</v>
      </c>
      <c r="L474">
        <v>0</v>
      </c>
      <c r="M474">
        <v>114300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s="18">
        <v>6</v>
      </c>
      <c r="Y474" s="6"/>
      <c r="Z474" s="6"/>
      <c r="AA474" s="6">
        <v>19050</v>
      </c>
      <c r="AB474" s="6">
        <v>19050</v>
      </c>
      <c r="AC474" s="6">
        <v>19050</v>
      </c>
      <c r="AD474" s="6">
        <v>19050</v>
      </c>
      <c r="AE474" s="6">
        <v>19050</v>
      </c>
      <c r="AF474" s="6">
        <v>19050</v>
      </c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>
        <f t="shared" si="34"/>
        <v>6</v>
      </c>
      <c r="AX474" t="b">
        <f t="shared" si="35"/>
        <v>1</v>
      </c>
      <c r="AY474" s="21">
        <f t="shared" si="32"/>
        <v>114300</v>
      </c>
      <c r="AZ474" t="b">
        <f t="shared" si="33"/>
        <v>1</v>
      </c>
    </row>
    <row r="475" spans="1:52" x14ac:dyDescent="0.4">
      <c r="A475" s="6" t="s">
        <v>2230</v>
      </c>
      <c r="B475" s="1" t="s">
        <v>1510</v>
      </c>
      <c r="C475" s="1" t="s">
        <v>1511</v>
      </c>
      <c r="D475" s="1" t="s">
        <v>1512</v>
      </c>
      <c r="E475" s="1" t="s">
        <v>70</v>
      </c>
      <c r="F475" s="1" t="s">
        <v>37</v>
      </c>
      <c r="G475" s="5" t="s">
        <v>10</v>
      </c>
      <c r="H475" s="1" t="s">
        <v>52</v>
      </c>
      <c r="I475">
        <v>59400</v>
      </c>
      <c r="J475" s="1" t="s">
        <v>28</v>
      </c>
      <c r="K475">
        <v>0</v>
      </c>
      <c r="L475">
        <v>59400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s="18">
        <v>3</v>
      </c>
      <c r="Y475" s="6"/>
      <c r="Z475" s="6">
        <v>19800</v>
      </c>
      <c r="AA475" s="6">
        <v>19800</v>
      </c>
      <c r="AB475" s="6">
        <v>19800</v>
      </c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>
        <f t="shared" si="34"/>
        <v>3</v>
      </c>
      <c r="AX475" t="b">
        <f t="shared" si="35"/>
        <v>1</v>
      </c>
      <c r="AY475" s="21">
        <f t="shared" si="32"/>
        <v>59400</v>
      </c>
      <c r="AZ475" t="b">
        <f t="shared" si="33"/>
        <v>1</v>
      </c>
    </row>
    <row r="476" spans="1:52" x14ac:dyDescent="0.4">
      <c r="A476" s="6" t="s">
        <v>2230</v>
      </c>
      <c r="B476" s="1" t="s">
        <v>1513</v>
      </c>
      <c r="C476" s="1" t="s">
        <v>1514</v>
      </c>
      <c r="D476" s="1" t="s">
        <v>1515</v>
      </c>
      <c r="E476" s="1" t="s">
        <v>44</v>
      </c>
      <c r="F476" s="1" t="s">
        <v>932</v>
      </c>
      <c r="G476" s="5" t="s">
        <v>479</v>
      </c>
      <c r="H476" s="1" t="s">
        <v>27</v>
      </c>
      <c r="I476">
        <v>114300</v>
      </c>
      <c r="J476" s="1" t="s">
        <v>868</v>
      </c>
      <c r="K476">
        <v>0</v>
      </c>
      <c r="L476">
        <v>0</v>
      </c>
      <c r="M476">
        <v>114300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s="18">
        <v>6</v>
      </c>
      <c r="Y476" s="6"/>
      <c r="Z476" s="6"/>
      <c r="AA476" s="6">
        <v>19050</v>
      </c>
      <c r="AB476" s="6">
        <v>19050</v>
      </c>
      <c r="AC476" s="6">
        <v>19050</v>
      </c>
      <c r="AD476" s="6">
        <v>19050</v>
      </c>
      <c r="AE476" s="6">
        <v>19050</v>
      </c>
      <c r="AF476" s="6">
        <v>19050</v>
      </c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>
        <f t="shared" si="34"/>
        <v>6</v>
      </c>
      <c r="AX476" t="b">
        <f t="shared" si="35"/>
        <v>1</v>
      </c>
      <c r="AY476" s="21">
        <f t="shared" si="32"/>
        <v>114300</v>
      </c>
      <c r="AZ476" t="b">
        <f t="shared" si="33"/>
        <v>1</v>
      </c>
    </row>
    <row r="477" spans="1:52" x14ac:dyDescent="0.4">
      <c r="A477" s="6" t="s">
        <v>2230</v>
      </c>
      <c r="B477" s="1" t="s">
        <v>1516</v>
      </c>
      <c r="C477" s="1" t="s">
        <v>1517</v>
      </c>
      <c r="D477" s="1" t="s">
        <v>1518</v>
      </c>
      <c r="E477" s="1" t="s">
        <v>44</v>
      </c>
      <c r="F477" s="1" t="s">
        <v>920</v>
      </c>
      <c r="G477" s="5" t="s">
        <v>479</v>
      </c>
      <c r="H477" s="1" t="s">
        <v>27</v>
      </c>
      <c r="I477">
        <v>114300</v>
      </c>
      <c r="J477" s="1" t="s">
        <v>868</v>
      </c>
      <c r="K477">
        <v>0</v>
      </c>
      <c r="L477">
        <v>0</v>
      </c>
      <c r="M477">
        <v>114300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s="18">
        <v>6</v>
      </c>
      <c r="Y477" s="6"/>
      <c r="Z477" s="6"/>
      <c r="AA477" s="6">
        <v>19050</v>
      </c>
      <c r="AB477" s="6">
        <v>19050</v>
      </c>
      <c r="AC477" s="6">
        <v>19050</v>
      </c>
      <c r="AD477" s="6">
        <v>19050</v>
      </c>
      <c r="AE477" s="6">
        <v>19050</v>
      </c>
      <c r="AF477" s="6">
        <v>19050</v>
      </c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>
        <f t="shared" si="34"/>
        <v>6</v>
      </c>
      <c r="AX477" t="b">
        <f t="shared" si="35"/>
        <v>1</v>
      </c>
      <c r="AY477" s="21">
        <f t="shared" si="32"/>
        <v>114300</v>
      </c>
      <c r="AZ477" t="b">
        <f t="shared" si="33"/>
        <v>1</v>
      </c>
    </row>
    <row r="478" spans="1:52" x14ac:dyDescent="0.4">
      <c r="A478" s="6" t="s">
        <v>2230</v>
      </c>
      <c r="B478" s="1" t="s">
        <v>1519</v>
      </c>
      <c r="C478" s="1" t="s">
        <v>1520</v>
      </c>
      <c r="D478" s="1" t="s">
        <v>1521</v>
      </c>
      <c r="E478" s="1" t="s">
        <v>44</v>
      </c>
      <c r="F478" s="1" t="s">
        <v>56</v>
      </c>
      <c r="G478" s="5" t="s">
        <v>46</v>
      </c>
      <c r="H478" s="1" t="s">
        <v>27</v>
      </c>
      <c r="I478">
        <v>114300</v>
      </c>
      <c r="J478" s="1" t="s">
        <v>33</v>
      </c>
      <c r="K478">
        <v>0</v>
      </c>
      <c r="L478">
        <v>0</v>
      </c>
      <c r="M478">
        <v>0</v>
      </c>
      <c r="N478">
        <v>0</v>
      </c>
      <c r="O478">
        <v>114300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s="18">
        <v>6</v>
      </c>
      <c r="Y478" s="6"/>
      <c r="Z478" s="6"/>
      <c r="AA478" s="6"/>
      <c r="AB478" s="6"/>
      <c r="AC478" s="6">
        <v>19050</v>
      </c>
      <c r="AD478" s="6">
        <v>19050</v>
      </c>
      <c r="AE478" s="6">
        <v>19050</v>
      </c>
      <c r="AF478" s="6">
        <v>19050</v>
      </c>
      <c r="AG478" s="6">
        <v>19050</v>
      </c>
      <c r="AH478" s="6">
        <v>19050</v>
      </c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>
        <f t="shared" si="34"/>
        <v>6</v>
      </c>
      <c r="AX478" t="b">
        <f t="shared" si="35"/>
        <v>1</v>
      </c>
      <c r="AY478" s="21">
        <f t="shared" si="32"/>
        <v>114300</v>
      </c>
      <c r="AZ478" t="b">
        <f t="shared" si="33"/>
        <v>1</v>
      </c>
    </row>
    <row r="479" spans="1:52" x14ac:dyDescent="0.4">
      <c r="A479" s="6" t="s">
        <v>2230</v>
      </c>
      <c r="B479" s="1" t="s">
        <v>1522</v>
      </c>
      <c r="C479" s="1" t="s">
        <v>1523</v>
      </c>
      <c r="D479" s="1" t="s">
        <v>1524</v>
      </c>
      <c r="E479" s="1" t="s">
        <v>44</v>
      </c>
      <c r="F479" s="1" t="s">
        <v>1141</v>
      </c>
      <c r="G479" s="5" t="s">
        <v>479</v>
      </c>
      <c r="H479" s="1" t="s">
        <v>27</v>
      </c>
      <c r="I479">
        <v>114300</v>
      </c>
      <c r="J479" s="1" t="s">
        <v>868</v>
      </c>
      <c r="K479">
        <v>0</v>
      </c>
      <c r="L479">
        <v>0</v>
      </c>
      <c r="M479">
        <v>114300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s="18">
        <v>6</v>
      </c>
      <c r="Y479" s="6"/>
      <c r="Z479" s="6"/>
      <c r="AA479" s="6">
        <v>19050</v>
      </c>
      <c r="AB479" s="6">
        <v>19050</v>
      </c>
      <c r="AC479" s="6">
        <v>19050</v>
      </c>
      <c r="AD479" s="6">
        <v>19050</v>
      </c>
      <c r="AE479" s="6">
        <v>19050</v>
      </c>
      <c r="AF479" s="6">
        <v>19050</v>
      </c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>
        <f t="shared" si="34"/>
        <v>6</v>
      </c>
      <c r="AX479" t="b">
        <f t="shared" si="35"/>
        <v>1</v>
      </c>
      <c r="AY479" s="21">
        <f t="shared" si="32"/>
        <v>114300</v>
      </c>
      <c r="AZ479" t="b">
        <f t="shared" si="33"/>
        <v>1</v>
      </c>
    </row>
    <row r="480" spans="1:52" x14ac:dyDescent="0.4">
      <c r="A480" s="6" t="s">
        <v>2230</v>
      </c>
      <c r="B480" s="1" t="s">
        <v>1525</v>
      </c>
      <c r="C480" s="1" t="s">
        <v>1526</v>
      </c>
      <c r="D480" s="1" t="s">
        <v>1527</v>
      </c>
      <c r="E480" s="1" t="s">
        <v>44</v>
      </c>
      <c r="F480" s="1" t="s">
        <v>924</v>
      </c>
      <c r="G480" s="5" t="s">
        <v>479</v>
      </c>
      <c r="H480" s="1" t="s">
        <v>27</v>
      </c>
      <c r="I480">
        <v>114300</v>
      </c>
      <c r="J480" s="1" t="s">
        <v>868</v>
      </c>
      <c r="K480">
        <v>0</v>
      </c>
      <c r="L480">
        <v>0</v>
      </c>
      <c r="M480">
        <v>114300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s="18">
        <v>6</v>
      </c>
      <c r="Y480" s="6"/>
      <c r="Z480" s="6"/>
      <c r="AA480" s="6">
        <v>19050</v>
      </c>
      <c r="AB480" s="6">
        <v>19050</v>
      </c>
      <c r="AC480" s="6">
        <v>19050</v>
      </c>
      <c r="AD480" s="6">
        <v>19050</v>
      </c>
      <c r="AE480" s="6">
        <v>19050</v>
      </c>
      <c r="AF480" s="6">
        <v>19050</v>
      </c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>
        <f t="shared" si="34"/>
        <v>6</v>
      </c>
      <c r="AX480" t="b">
        <f t="shared" si="35"/>
        <v>1</v>
      </c>
      <c r="AY480" s="21">
        <f t="shared" si="32"/>
        <v>114300</v>
      </c>
      <c r="AZ480" t="b">
        <f t="shared" si="33"/>
        <v>1</v>
      </c>
    </row>
    <row r="481" spans="1:52" x14ac:dyDescent="0.4">
      <c r="A481" s="6" t="s">
        <v>2230</v>
      </c>
      <c r="B481" s="1" t="s">
        <v>1528</v>
      </c>
      <c r="C481" s="1" t="s">
        <v>1529</v>
      </c>
      <c r="D481" s="1" t="s">
        <v>1530</v>
      </c>
      <c r="E481" s="1" t="s">
        <v>44</v>
      </c>
      <c r="F481" s="1" t="s">
        <v>97</v>
      </c>
      <c r="G481" s="5" t="s">
        <v>46</v>
      </c>
      <c r="H481" s="1" t="s">
        <v>27</v>
      </c>
      <c r="I481">
        <v>114300</v>
      </c>
      <c r="J481" s="1" t="s">
        <v>33</v>
      </c>
      <c r="K481">
        <v>0</v>
      </c>
      <c r="L481">
        <v>0</v>
      </c>
      <c r="M481">
        <v>0</v>
      </c>
      <c r="N481">
        <v>0</v>
      </c>
      <c r="O481">
        <v>114300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s="18">
        <v>6</v>
      </c>
      <c r="Y481" s="6"/>
      <c r="Z481" s="6"/>
      <c r="AA481" s="6"/>
      <c r="AB481" s="6"/>
      <c r="AC481" s="6">
        <v>19050</v>
      </c>
      <c r="AD481" s="6">
        <v>19050</v>
      </c>
      <c r="AE481" s="6">
        <v>19050</v>
      </c>
      <c r="AF481" s="6">
        <v>19050</v>
      </c>
      <c r="AG481" s="6">
        <v>19050</v>
      </c>
      <c r="AH481" s="6">
        <v>19050</v>
      </c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>
        <f t="shared" si="34"/>
        <v>6</v>
      </c>
      <c r="AX481" t="b">
        <f t="shared" si="35"/>
        <v>1</v>
      </c>
      <c r="AY481" s="21">
        <f t="shared" si="32"/>
        <v>114300</v>
      </c>
      <c r="AZ481" t="b">
        <f t="shared" si="33"/>
        <v>1</v>
      </c>
    </row>
    <row r="482" spans="1:52" x14ac:dyDescent="0.4">
      <c r="A482" s="6" t="s">
        <v>2230</v>
      </c>
      <c r="B482" s="1" t="s">
        <v>1531</v>
      </c>
      <c r="C482" s="1" t="s">
        <v>1532</v>
      </c>
      <c r="D482" s="1" t="s">
        <v>1533</v>
      </c>
      <c r="E482" s="1" t="s">
        <v>70</v>
      </c>
      <c r="F482" s="1" t="s">
        <v>82</v>
      </c>
      <c r="G482" s="5" t="s">
        <v>10</v>
      </c>
      <c r="H482" s="1" t="s">
        <v>52</v>
      </c>
      <c r="I482">
        <v>59400</v>
      </c>
      <c r="J482" s="1" t="s">
        <v>28</v>
      </c>
      <c r="K482">
        <v>0</v>
      </c>
      <c r="L482">
        <v>59400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s="18">
        <v>3</v>
      </c>
      <c r="Y482" s="6"/>
      <c r="Z482" s="6">
        <v>19800</v>
      </c>
      <c r="AA482" s="6">
        <v>19800</v>
      </c>
      <c r="AB482" s="6">
        <v>19800</v>
      </c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>
        <f t="shared" si="34"/>
        <v>3</v>
      </c>
      <c r="AX482" t="b">
        <f t="shared" si="35"/>
        <v>1</v>
      </c>
      <c r="AY482" s="21">
        <f t="shared" si="32"/>
        <v>59400</v>
      </c>
      <c r="AZ482" t="b">
        <f t="shared" si="33"/>
        <v>1</v>
      </c>
    </row>
    <row r="483" spans="1:52" x14ac:dyDescent="0.4">
      <c r="A483" s="6" t="s">
        <v>2230</v>
      </c>
      <c r="B483" s="1" t="s">
        <v>1534</v>
      </c>
      <c r="C483" s="1" t="s">
        <v>1535</v>
      </c>
      <c r="D483" s="1" t="s">
        <v>1536</v>
      </c>
      <c r="E483" s="1" t="s">
        <v>25</v>
      </c>
      <c r="F483" s="1" t="s">
        <v>37</v>
      </c>
      <c r="G483" s="5" t="s">
        <v>10</v>
      </c>
      <c r="H483" s="1" t="s">
        <v>27</v>
      </c>
      <c r="I483">
        <v>59400</v>
      </c>
      <c r="J483" s="1" t="s">
        <v>33</v>
      </c>
      <c r="K483">
        <v>0</v>
      </c>
      <c r="L483">
        <v>59400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s="18">
        <v>3</v>
      </c>
      <c r="Y483" s="6"/>
      <c r="Z483" s="6">
        <v>19800</v>
      </c>
      <c r="AA483" s="6">
        <v>19800</v>
      </c>
      <c r="AB483" s="6">
        <v>19800</v>
      </c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>
        <f t="shared" si="34"/>
        <v>3</v>
      </c>
      <c r="AX483" t="b">
        <f t="shared" si="35"/>
        <v>1</v>
      </c>
      <c r="AY483" s="21">
        <f t="shared" si="32"/>
        <v>59400</v>
      </c>
      <c r="AZ483" t="b">
        <f t="shared" si="33"/>
        <v>1</v>
      </c>
    </row>
    <row r="484" spans="1:52" x14ac:dyDescent="0.4">
      <c r="A484" s="6" t="s">
        <v>2230</v>
      </c>
      <c r="B484" s="1" t="s">
        <v>1537</v>
      </c>
      <c r="C484" s="1" t="s">
        <v>1538</v>
      </c>
      <c r="D484" s="1" t="s">
        <v>1539</v>
      </c>
      <c r="E484" s="1" t="s">
        <v>44</v>
      </c>
      <c r="F484" s="1" t="s">
        <v>867</v>
      </c>
      <c r="G484" s="5" t="s">
        <v>479</v>
      </c>
      <c r="H484" s="1" t="s">
        <v>27</v>
      </c>
      <c r="I484">
        <v>114300</v>
      </c>
      <c r="J484" s="1" t="s">
        <v>868</v>
      </c>
      <c r="K484">
        <v>0</v>
      </c>
      <c r="L484">
        <v>0</v>
      </c>
      <c r="M484">
        <v>114300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s="18">
        <v>6</v>
      </c>
      <c r="Y484" s="6"/>
      <c r="Z484" s="6"/>
      <c r="AA484" s="6">
        <v>19050</v>
      </c>
      <c r="AB484" s="6">
        <v>19050</v>
      </c>
      <c r="AC484" s="6">
        <v>19050</v>
      </c>
      <c r="AD484" s="6">
        <v>19050</v>
      </c>
      <c r="AE484" s="6">
        <v>19050</v>
      </c>
      <c r="AF484" s="6">
        <v>19050</v>
      </c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>
        <f t="shared" si="34"/>
        <v>6</v>
      </c>
      <c r="AX484" t="b">
        <f t="shared" si="35"/>
        <v>1</v>
      </c>
      <c r="AY484" s="21">
        <f t="shared" si="32"/>
        <v>114300</v>
      </c>
      <c r="AZ484" t="b">
        <f t="shared" si="33"/>
        <v>1</v>
      </c>
    </row>
    <row r="485" spans="1:52" x14ac:dyDescent="0.4">
      <c r="A485" s="6" t="s">
        <v>2230</v>
      </c>
      <c r="B485" s="1" t="s">
        <v>1540</v>
      </c>
      <c r="C485" s="1" t="s">
        <v>1541</v>
      </c>
      <c r="D485" s="1" t="s">
        <v>1542</v>
      </c>
      <c r="E485" s="1" t="s">
        <v>44</v>
      </c>
      <c r="F485" s="1" t="s">
        <v>1309</v>
      </c>
      <c r="G485" s="5" t="s">
        <v>479</v>
      </c>
      <c r="H485" s="1" t="s">
        <v>27</v>
      </c>
      <c r="I485">
        <v>114300</v>
      </c>
      <c r="J485" s="1" t="s">
        <v>868</v>
      </c>
      <c r="K485">
        <v>0</v>
      </c>
      <c r="L485">
        <v>0</v>
      </c>
      <c r="M485">
        <v>114300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s="18">
        <v>6</v>
      </c>
      <c r="Y485" s="6"/>
      <c r="Z485" s="6"/>
      <c r="AA485" s="6">
        <v>19050</v>
      </c>
      <c r="AB485" s="6">
        <v>19050</v>
      </c>
      <c r="AC485" s="6">
        <v>19050</v>
      </c>
      <c r="AD485" s="6">
        <v>19050</v>
      </c>
      <c r="AE485" s="6">
        <v>19050</v>
      </c>
      <c r="AF485" s="6">
        <v>19050</v>
      </c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>
        <f t="shared" si="34"/>
        <v>6</v>
      </c>
      <c r="AX485" t="b">
        <f t="shared" si="35"/>
        <v>1</v>
      </c>
      <c r="AY485" s="21">
        <f t="shared" si="32"/>
        <v>114300</v>
      </c>
      <c r="AZ485" t="b">
        <f t="shared" si="33"/>
        <v>1</v>
      </c>
    </row>
    <row r="486" spans="1:52" x14ac:dyDescent="0.4">
      <c r="A486" s="6" t="s">
        <v>2230</v>
      </c>
      <c r="B486" s="1" t="s">
        <v>1543</v>
      </c>
      <c r="C486" s="1" t="s">
        <v>1544</v>
      </c>
      <c r="D486" s="1" t="s">
        <v>1545</v>
      </c>
      <c r="E486" s="1" t="s">
        <v>50</v>
      </c>
      <c r="F486" s="1" t="s">
        <v>140</v>
      </c>
      <c r="G486" s="5" t="s">
        <v>46</v>
      </c>
      <c r="H486" s="1" t="s">
        <v>52</v>
      </c>
      <c r="I486">
        <v>114300</v>
      </c>
      <c r="J486" s="1" t="s">
        <v>28</v>
      </c>
      <c r="K486">
        <v>0</v>
      </c>
      <c r="L486">
        <v>0</v>
      </c>
      <c r="M486">
        <v>0</v>
      </c>
      <c r="N486">
        <v>0</v>
      </c>
      <c r="O486">
        <v>114300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s="18">
        <v>6</v>
      </c>
      <c r="Y486" s="6"/>
      <c r="Z486" s="6"/>
      <c r="AA486" s="6"/>
      <c r="AB486" s="6"/>
      <c r="AC486" s="6">
        <v>19050</v>
      </c>
      <c r="AD486" s="6">
        <v>19050</v>
      </c>
      <c r="AE486" s="6">
        <v>19050</v>
      </c>
      <c r="AF486" s="6">
        <v>19050</v>
      </c>
      <c r="AG486" s="6">
        <v>19050</v>
      </c>
      <c r="AH486" s="6">
        <v>19050</v>
      </c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>
        <f t="shared" si="34"/>
        <v>6</v>
      </c>
      <c r="AX486" t="b">
        <f t="shared" si="35"/>
        <v>1</v>
      </c>
      <c r="AY486" s="21">
        <f t="shared" si="32"/>
        <v>114300</v>
      </c>
      <c r="AZ486" t="b">
        <f t="shared" si="33"/>
        <v>1</v>
      </c>
    </row>
    <row r="487" spans="1:52" x14ac:dyDescent="0.4">
      <c r="A487" s="6" t="s">
        <v>2230</v>
      </c>
      <c r="B487" s="1" t="s">
        <v>1546</v>
      </c>
      <c r="C487" s="1" t="s">
        <v>1547</v>
      </c>
      <c r="D487" s="1" t="s">
        <v>1548</v>
      </c>
      <c r="E487" s="1" t="s">
        <v>44</v>
      </c>
      <c r="F487" s="1" t="s">
        <v>1242</v>
      </c>
      <c r="G487" s="5" t="s">
        <v>479</v>
      </c>
      <c r="H487" s="1" t="s">
        <v>27</v>
      </c>
      <c r="I487">
        <v>114300</v>
      </c>
      <c r="J487" s="1" t="s">
        <v>868</v>
      </c>
      <c r="K487">
        <v>0</v>
      </c>
      <c r="L487">
        <v>0</v>
      </c>
      <c r="M487">
        <v>114300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s="18">
        <v>6</v>
      </c>
      <c r="Y487" s="6"/>
      <c r="Z487" s="6"/>
      <c r="AA487" s="6">
        <v>19050</v>
      </c>
      <c r="AB487" s="6">
        <v>19050</v>
      </c>
      <c r="AC487" s="6">
        <v>19050</v>
      </c>
      <c r="AD487" s="6">
        <v>19050</v>
      </c>
      <c r="AE487" s="6">
        <v>19050</v>
      </c>
      <c r="AF487" s="6">
        <v>19050</v>
      </c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>
        <f t="shared" si="34"/>
        <v>6</v>
      </c>
      <c r="AX487" t="b">
        <f t="shared" si="35"/>
        <v>1</v>
      </c>
      <c r="AY487" s="21">
        <f t="shared" si="32"/>
        <v>114300</v>
      </c>
      <c r="AZ487" t="b">
        <f t="shared" si="33"/>
        <v>1</v>
      </c>
    </row>
    <row r="488" spans="1:52" x14ac:dyDescent="0.4">
      <c r="A488" s="6" t="s">
        <v>2230</v>
      </c>
      <c r="B488" s="1" t="s">
        <v>1549</v>
      </c>
      <c r="C488" s="1" t="s">
        <v>1550</v>
      </c>
      <c r="D488" s="1" t="s">
        <v>1551</v>
      </c>
      <c r="E488" s="1" t="s">
        <v>44</v>
      </c>
      <c r="F488" s="1" t="s">
        <v>1252</v>
      </c>
      <c r="G488" s="5" t="s">
        <v>479</v>
      </c>
      <c r="H488" s="1" t="s">
        <v>27</v>
      </c>
      <c r="I488">
        <v>114300</v>
      </c>
      <c r="J488" s="1" t="s">
        <v>868</v>
      </c>
      <c r="K488">
        <v>0</v>
      </c>
      <c r="L488">
        <v>0</v>
      </c>
      <c r="M488">
        <v>114300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s="18">
        <v>6</v>
      </c>
      <c r="Y488" s="6"/>
      <c r="Z488" s="6"/>
      <c r="AA488" s="6">
        <v>19050</v>
      </c>
      <c r="AB488" s="6">
        <v>19050</v>
      </c>
      <c r="AC488" s="6">
        <v>19050</v>
      </c>
      <c r="AD488" s="6">
        <v>19050</v>
      </c>
      <c r="AE488" s="6">
        <v>19050</v>
      </c>
      <c r="AF488" s="6">
        <v>19050</v>
      </c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>
        <f t="shared" si="34"/>
        <v>6</v>
      </c>
      <c r="AX488" t="b">
        <f t="shared" si="35"/>
        <v>1</v>
      </c>
      <c r="AY488" s="21">
        <f t="shared" si="32"/>
        <v>114300</v>
      </c>
      <c r="AZ488" t="b">
        <f t="shared" si="33"/>
        <v>1</v>
      </c>
    </row>
    <row r="489" spans="1:52" x14ac:dyDescent="0.4">
      <c r="A489" s="6" t="s">
        <v>2230</v>
      </c>
      <c r="B489" s="1" t="s">
        <v>1552</v>
      </c>
      <c r="C489" s="1" t="s">
        <v>1553</v>
      </c>
      <c r="D489" s="1" t="s">
        <v>1554</v>
      </c>
      <c r="E489" s="1" t="s">
        <v>44</v>
      </c>
      <c r="F489" s="1" t="s">
        <v>1195</v>
      </c>
      <c r="G489" s="5" t="s">
        <v>479</v>
      </c>
      <c r="H489" s="1" t="s">
        <v>27</v>
      </c>
      <c r="I489">
        <v>114300</v>
      </c>
      <c r="J489" s="1" t="s">
        <v>868</v>
      </c>
      <c r="K489">
        <v>0</v>
      </c>
      <c r="L489">
        <v>0</v>
      </c>
      <c r="M489">
        <v>114300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s="18">
        <v>6</v>
      </c>
      <c r="Y489" s="6"/>
      <c r="Z489" s="6"/>
      <c r="AA489" s="6">
        <v>19050</v>
      </c>
      <c r="AB489" s="6">
        <v>19050</v>
      </c>
      <c r="AC489" s="6">
        <v>19050</v>
      </c>
      <c r="AD489" s="6">
        <v>19050</v>
      </c>
      <c r="AE489" s="6">
        <v>19050</v>
      </c>
      <c r="AF489" s="6">
        <v>19050</v>
      </c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>
        <f t="shared" si="34"/>
        <v>6</v>
      </c>
      <c r="AX489" t="b">
        <f t="shared" si="35"/>
        <v>1</v>
      </c>
      <c r="AY489" s="21">
        <f t="shared" si="32"/>
        <v>114300</v>
      </c>
      <c r="AZ489" t="b">
        <f t="shared" si="33"/>
        <v>1</v>
      </c>
    </row>
    <row r="490" spans="1:52" x14ac:dyDescent="0.4">
      <c r="A490" s="6" t="s">
        <v>2230</v>
      </c>
      <c r="B490" s="1" t="s">
        <v>1555</v>
      </c>
      <c r="C490" s="1" t="s">
        <v>1556</v>
      </c>
      <c r="D490" s="1" t="s">
        <v>1557</v>
      </c>
      <c r="E490" s="1" t="s">
        <v>25</v>
      </c>
      <c r="F490" s="1" t="s">
        <v>101</v>
      </c>
      <c r="G490" s="5" t="s">
        <v>10</v>
      </c>
      <c r="H490" s="1" t="s">
        <v>27</v>
      </c>
      <c r="I490">
        <v>59400</v>
      </c>
      <c r="J490" s="1" t="s">
        <v>33</v>
      </c>
      <c r="K490">
        <v>0</v>
      </c>
      <c r="L490">
        <v>59400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s="18">
        <v>3</v>
      </c>
      <c r="Y490" s="6"/>
      <c r="Z490" s="6">
        <v>19800</v>
      </c>
      <c r="AA490" s="6">
        <v>19800</v>
      </c>
      <c r="AB490" s="6">
        <v>19800</v>
      </c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>
        <f t="shared" si="34"/>
        <v>3</v>
      </c>
      <c r="AX490" t="b">
        <f t="shared" si="35"/>
        <v>1</v>
      </c>
      <c r="AY490" s="21">
        <f t="shared" si="32"/>
        <v>59400</v>
      </c>
      <c r="AZ490" t="b">
        <f t="shared" si="33"/>
        <v>1</v>
      </c>
    </row>
    <row r="491" spans="1:52" x14ac:dyDescent="0.4">
      <c r="A491" s="6" t="s">
        <v>2230</v>
      </c>
      <c r="B491" s="1" t="s">
        <v>1558</v>
      </c>
      <c r="C491" s="1" t="s">
        <v>1559</v>
      </c>
      <c r="D491" s="1" t="s">
        <v>1560</v>
      </c>
      <c r="E491" s="1" t="s">
        <v>25</v>
      </c>
      <c r="F491" s="1" t="s">
        <v>32</v>
      </c>
      <c r="G491" s="5" t="s">
        <v>10</v>
      </c>
      <c r="H491" s="1" t="s">
        <v>27</v>
      </c>
      <c r="I491">
        <v>59400</v>
      </c>
      <c r="J491" s="1" t="s">
        <v>33</v>
      </c>
      <c r="K491">
        <v>0</v>
      </c>
      <c r="L491">
        <v>59400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s="18">
        <v>3</v>
      </c>
      <c r="Y491" s="6"/>
      <c r="Z491" s="6">
        <v>19800</v>
      </c>
      <c r="AA491" s="6">
        <v>19800</v>
      </c>
      <c r="AB491" s="6">
        <v>19800</v>
      </c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>
        <f t="shared" si="34"/>
        <v>3</v>
      </c>
      <c r="AX491" t="b">
        <f t="shared" si="35"/>
        <v>1</v>
      </c>
      <c r="AY491" s="21">
        <f t="shared" si="32"/>
        <v>59400</v>
      </c>
      <c r="AZ491" t="b">
        <f t="shared" si="33"/>
        <v>1</v>
      </c>
    </row>
    <row r="492" spans="1:52" x14ac:dyDescent="0.4">
      <c r="A492" s="6" t="s">
        <v>2230</v>
      </c>
      <c r="B492" s="1" t="s">
        <v>1561</v>
      </c>
      <c r="C492" s="1" t="s">
        <v>1562</v>
      </c>
      <c r="D492" s="1" t="s">
        <v>1563</v>
      </c>
      <c r="E492" s="1" t="s">
        <v>44</v>
      </c>
      <c r="F492" s="1" t="s">
        <v>1402</v>
      </c>
      <c r="G492" s="5" t="s">
        <v>479</v>
      </c>
      <c r="H492" s="1" t="s">
        <v>27</v>
      </c>
      <c r="I492">
        <v>114300</v>
      </c>
      <c r="J492" s="1" t="s">
        <v>1455</v>
      </c>
      <c r="K492">
        <v>0</v>
      </c>
      <c r="L492">
        <v>0</v>
      </c>
      <c r="M492">
        <v>114300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s="18">
        <v>6</v>
      </c>
      <c r="Y492" s="6"/>
      <c r="Z492" s="6"/>
      <c r="AA492" s="6">
        <v>19050</v>
      </c>
      <c r="AB492" s="6">
        <v>19050</v>
      </c>
      <c r="AC492" s="6">
        <v>19050</v>
      </c>
      <c r="AD492" s="6">
        <v>19050</v>
      </c>
      <c r="AE492" s="6">
        <v>19050</v>
      </c>
      <c r="AF492" s="6">
        <v>19050</v>
      </c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>
        <f t="shared" si="34"/>
        <v>6</v>
      </c>
      <c r="AX492" t="b">
        <f t="shared" si="35"/>
        <v>1</v>
      </c>
      <c r="AY492" s="21">
        <f t="shared" si="32"/>
        <v>114300</v>
      </c>
      <c r="AZ492" t="b">
        <f t="shared" si="33"/>
        <v>1</v>
      </c>
    </row>
    <row r="493" spans="1:52" x14ac:dyDescent="0.4">
      <c r="A493" s="6" t="s">
        <v>2230</v>
      </c>
      <c r="B493" s="1" t="s">
        <v>1564</v>
      </c>
      <c r="C493" s="1" t="s">
        <v>1565</v>
      </c>
      <c r="D493" s="1" t="s">
        <v>1566</v>
      </c>
      <c r="E493" s="1" t="s">
        <v>44</v>
      </c>
      <c r="F493" s="1" t="s">
        <v>1252</v>
      </c>
      <c r="G493" s="5" t="s">
        <v>479</v>
      </c>
      <c r="H493" s="1" t="s">
        <v>27</v>
      </c>
      <c r="I493">
        <v>114300</v>
      </c>
      <c r="J493" s="1" t="s">
        <v>868</v>
      </c>
      <c r="K493">
        <v>0</v>
      </c>
      <c r="L493">
        <v>0</v>
      </c>
      <c r="M493">
        <v>114300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s="18">
        <v>6</v>
      </c>
      <c r="Y493" s="6"/>
      <c r="Z493" s="6"/>
      <c r="AA493" s="6">
        <v>19050</v>
      </c>
      <c r="AB493" s="6">
        <v>19050</v>
      </c>
      <c r="AC493" s="6">
        <v>19050</v>
      </c>
      <c r="AD493" s="6">
        <v>19050</v>
      </c>
      <c r="AE493" s="6">
        <v>19050</v>
      </c>
      <c r="AF493" s="6">
        <v>19050</v>
      </c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>
        <f t="shared" si="34"/>
        <v>6</v>
      </c>
      <c r="AX493" t="b">
        <f t="shared" si="35"/>
        <v>1</v>
      </c>
      <c r="AY493" s="21">
        <f t="shared" si="32"/>
        <v>114300</v>
      </c>
      <c r="AZ493" t="b">
        <f t="shared" si="33"/>
        <v>1</v>
      </c>
    </row>
    <row r="494" spans="1:52" x14ac:dyDescent="0.4">
      <c r="A494" s="6" t="s">
        <v>2230</v>
      </c>
      <c r="B494" s="1" t="s">
        <v>1567</v>
      </c>
      <c r="C494" s="1" t="s">
        <v>1568</v>
      </c>
      <c r="D494" s="1" t="s">
        <v>1569</v>
      </c>
      <c r="E494" s="1" t="s">
        <v>44</v>
      </c>
      <c r="F494" s="1" t="s">
        <v>86</v>
      </c>
      <c r="G494" s="5" t="s">
        <v>46</v>
      </c>
      <c r="H494" s="1" t="s">
        <v>27</v>
      </c>
      <c r="I494">
        <v>114300</v>
      </c>
      <c r="J494" s="1" t="s">
        <v>33</v>
      </c>
      <c r="K494">
        <v>0</v>
      </c>
      <c r="L494">
        <v>0</v>
      </c>
      <c r="M494">
        <v>0</v>
      </c>
      <c r="N494">
        <v>0</v>
      </c>
      <c r="O494">
        <v>114300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s="18">
        <v>6</v>
      </c>
      <c r="Y494" s="6"/>
      <c r="Z494" s="6"/>
      <c r="AA494" s="6"/>
      <c r="AB494" s="6"/>
      <c r="AC494" s="6">
        <v>19050</v>
      </c>
      <c r="AD494" s="6">
        <v>19050</v>
      </c>
      <c r="AE494" s="6">
        <v>19050</v>
      </c>
      <c r="AF494" s="6">
        <v>19050</v>
      </c>
      <c r="AG494" s="6">
        <v>19050</v>
      </c>
      <c r="AH494" s="6">
        <v>19050</v>
      </c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>
        <f t="shared" si="34"/>
        <v>6</v>
      </c>
      <c r="AX494" t="b">
        <f t="shared" si="35"/>
        <v>1</v>
      </c>
      <c r="AY494" s="21">
        <f t="shared" si="32"/>
        <v>114300</v>
      </c>
      <c r="AZ494" t="b">
        <f t="shared" si="33"/>
        <v>1</v>
      </c>
    </row>
    <row r="495" spans="1:52" x14ac:dyDescent="0.4">
      <c r="A495" s="6" t="s">
        <v>2230</v>
      </c>
      <c r="B495" s="1" t="s">
        <v>1570</v>
      </c>
      <c r="C495" s="1" t="s">
        <v>1571</v>
      </c>
      <c r="D495" s="1" t="s">
        <v>1572</v>
      </c>
      <c r="E495" s="1" t="s">
        <v>44</v>
      </c>
      <c r="F495" s="1" t="s">
        <v>1573</v>
      </c>
      <c r="G495" s="5" t="s">
        <v>479</v>
      </c>
      <c r="H495" s="1" t="s">
        <v>27</v>
      </c>
      <c r="I495">
        <v>114300</v>
      </c>
      <c r="J495" s="1" t="s">
        <v>868</v>
      </c>
      <c r="K495">
        <v>0</v>
      </c>
      <c r="L495">
        <v>0</v>
      </c>
      <c r="M495">
        <v>114300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s="18">
        <v>6</v>
      </c>
      <c r="Y495" s="6"/>
      <c r="Z495" s="6"/>
      <c r="AA495" s="6">
        <v>19050</v>
      </c>
      <c r="AB495" s="6">
        <v>19050</v>
      </c>
      <c r="AC495" s="6">
        <v>19050</v>
      </c>
      <c r="AD495" s="6">
        <v>19050</v>
      </c>
      <c r="AE495" s="6">
        <v>19050</v>
      </c>
      <c r="AF495" s="6">
        <v>19050</v>
      </c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>
        <f t="shared" si="34"/>
        <v>6</v>
      </c>
      <c r="AX495" t="b">
        <f t="shared" si="35"/>
        <v>1</v>
      </c>
      <c r="AY495" s="21">
        <f t="shared" si="32"/>
        <v>114300</v>
      </c>
      <c r="AZ495" t="b">
        <f t="shared" si="33"/>
        <v>1</v>
      </c>
    </row>
    <row r="496" spans="1:52" x14ac:dyDescent="0.4">
      <c r="A496" s="6" t="s">
        <v>2230</v>
      </c>
      <c r="B496" s="1" t="s">
        <v>1574</v>
      </c>
      <c r="C496" s="1" t="s">
        <v>1575</v>
      </c>
      <c r="D496" s="1" t="s">
        <v>1576</v>
      </c>
      <c r="E496" s="1" t="s">
        <v>25</v>
      </c>
      <c r="F496" s="1" t="s">
        <v>45</v>
      </c>
      <c r="G496" s="5" t="s">
        <v>10</v>
      </c>
      <c r="H496" s="1" t="s">
        <v>27</v>
      </c>
      <c r="I496">
        <v>59400</v>
      </c>
      <c r="J496" s="1" t="s">
        <v>33</v>
      </c>
      <c r="K496">
        <v>0</v>
      </c>
      <c r="L496">
        <v>59400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s="18">
        <v>3</v>
      </c>
      <c r="Y496" s="6"/>
      <c r="Z496" s="6">
        <v>19800</v>
      </c>
      <c r="AA496" s="6">
        <v>19800</v>
      </c>
      <c r="AB496" s="6">
        <v>19800</v>
      </c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>
        <f t="shared" si="34"/>
        <v>3</v>
      </c>
      <c r="AX496" t="b">
        <f t="shared" si="35"/>
        <v>1</v>
      </c>
      <c r="AY496" s="21">
        <f t="shared" si="32"/>
        <v>59400</v>
      </c>
      <c r="AZ496" t="b">
        <f t="shared" si="33"/>
        <v>1</v>
      </c>
    </row>
    <row r="497" spans="1:52" x14ac:dyDescent="0.4">
      <c r="A497" s="6" t="s">
        <v>2230</v>
      </c>
      <c r="B497" s="1" t="s">
        <v>1577</v>
      </c>
      <c r="C497" s="1" t="s">
        <v>1578</v>
      </c>
      <c r="D497" s="1" t="s">
        <v>1579</v>
      </c>
      <c r="E497" s="1" t="s">
        <v>44</v>
      </c>
      <c r="F497" s="1" t="s">
        <v>56</v>
      </c>
      <c r="G497" s="5" t="s">
        <v>46</v>
      </c>
      <c r="H497" s="1" t="s">
        <v>27</v>
      </c>
      <c r="I497">
        <v>114300</v>
      </c>
      <c r="J497" s="1" t="s">
        <v>33</v>
      </c>
      <c r="K497">
        <v>0</v>
      </c>
      <c r="L497">
        <v>0</v>
      </c>
      <c r="M497">
        <v>0</v>
      </c>
      <c r="N497">
        <v>0</v>
      </c>
      <c r="O497">
        <v>114300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s="18">
        <v>6</v>
      </c>
      <c r="Y497" s="6"/>
      <c r="Z497" s="6"/>
      <c r="AA497" s="6"/>
      <c r="AB497" s="6"/>
      <c r="AC497" s="6">
        <v>19050</v>
      </c>
      <c r="AD497" s="6">
        <v>19050</v>
      </c>
      <c r="AE497" s="6">
        <v>19050</v>
      </c>
      <c r="AF497" s="6">
        <v>19050</v>
      </c>
      <c r="AG497" s="6">
        <v>19050</v>
      </c>
      <c r="AH497" s="6">
        <v>19050</v>
      </c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>
        <f t="shared" si="34"/>
        <v>6</v>
      </c>
      <c r="AX497" t="b">
        <f t="shared" si="35"/>
        <v>1</v>
      </c>
      <c r="AY497" s="21">
        <f t="shared" si="32"/>
        <v>114300</v>
      </c>
      <c r="AZ497" t="b">
        <f t="shared" si="33"/>
        <v>1</v>
      </c>
    </row>
    <row r="498" spans="1:52" x14ac:dyDescent="0.4">
      <c r="A498" s="6" t="s">
        <v>2230</v>
      </c>
      <c r="B498" s="1" t="s">
        <v>1580</v>
      </c>
      <c r="C498" s="1" t="s">
        <v>1581</v>
      </c>
      <c r="D498" s="1" t="s">
        <v>1582</v>
      </c>
      <c r="E498" s="1" t="s">
        <v>44</v>
      </c>
      <c r="F498" s="1" t="s">
        <v>1141</v>
      </c>
      <c r="G498" s="5" t="s">
        <v>479</v>
      </c>
      <c r="H498" s="1" t="s">
        <v>27</v>
      </c>
      <c r="I498">
        <v>114300</v>
      </c>
      <c r="J498" s="1" t="s">
        <v>868</v>
      </c>
      <c r="K498">
        <v>0</v>
      </c>
      <c r="L498">
        <v>0</v>
      </c>
      <c r="M498">
        <v>114300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s="18">
        <v>6</v>
      </c>
      <c r="Y498" s="6"/>
      <c r="Z498" s="6"/>
      <c r="AA498" s="6">
        <v>19050</v>
      </c>
      <c r="AB498" s="6">
        <v>19050</v>
      </c>
      <c r="AC498" s="6">
        <v>19050</v>
      </c>
      <c r="AD498" s="6">
        <v>19050</v>
      </c>
      <c r="AE498" s="6">
        <v>19050</v>
      </c>
      <c r="AF498" s="6">
        <v>19050</v>
      </c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>
        <f t="shared" si="34"/>
        <v>6</v>
      </c>
      <c r="AX498" t="b">
        <f t="shared" si="35"/>
        <v>1</v>
      </c>
      <c r="AY498" s="21">
        <f t="shared" si="32"/>
        <v>114300</v>
      </c>
      <c r="AZ498" t="b">
        <f t="shared" si="33"/>
        <v>1</v>
      </c>
    </row>
    <row r="499" spans="1:52" x14ac:dyDescent="0.4">
      <c r="A499" s="6" t="s">
        <v>2230</v>
      </c>
      <c r="B499" s="1" t="s">
        <v>1583</v>
      </c>
      <c r="C499" s="1" t="s">
        <v>1584</v>
      </c>
      <c r="D499" s="1" t="s">
        <v>1585</v>
      </c>
      <c r="E499" s="1" t="s">
        <v>44</v>
      </c>
      <c r="F499" s="1" t="s">
        <v>1242</v>
      </c>
      <c r="G499" s="5" t="s">
        <v>479</v>
      </c>
      <c r="H499" s="1" t="s">
        <v>27</v>
      </c>
      <c r="I499">
        <v>114300</v>
      </c>
      <c r="J499" s="1" t="s">
        <v>868</v>
      </c>
      <c r="K499">
        <v>0</v>
      </c>
      <c r="L499">
        <v>0</v>
      </c>
      <c r="M499">
        <v>114300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s="18">
        <v>6</v>
      </c>
      <c r="Y499" s="6"/>
      <c r="Z499" s="6"/>
      <c r="AA499" s="6">
        <v>19050</v>
      </c>
      <c r="AB499" s="6">
        <v>19050</v>
      </c>
      <c r="AC499" s="6">
        <v>19050</v>
      </c>
      <c r="AD499" s="6">
        <v>19050</v>
      </c>
      <c r="AE499" s="6">
        <v>19050</v>
      </c>
      <c r="AF499" s="6">
        <v>19050</v>
      </c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>
        <f t="shared" si="34"/>
        <v>6</v>
      </c>
      <c r="AX499" t="b">
        <f t="shared" si="35"/>
        <v>1</v>
      </c>
      <c r="AY499" s="21">
        <f t="shared" si="32"/>
        <v>114300</v>
      </c>
      <c r="AZ499" t="b">
        <f t="shared" si="33"/>
        <v>1</v>
      </c>
    </row>
    <row r="500" spans="1:52" x14ac:dyDescent="0.4">
      <c r="A500" s="6" t="s">
        <v>2230</v>
      </c>
      <c r="B500" s="1" t="s">
        <v>1586</v>
      </c>
      <c r="C500" s="1" t="s">
        <v>1587</v>
      </c>
      <c r="D500" s="1" t="s">
        <v>1588</v>
      </c>
      <c r="E500" s="1" t="s">
        <v>44</v>
      </c>
      <c r="F500" s="1" t="s">
        <v>90</v>
      </c>
      <c r="G500" s="5" t="s">
        <v>46</v>
      </c>
      <c r="H500" s="1" t="s">
        <v>27</v>
      </c>
      <c r="I500">
        <v>114300</v>
      </c>
      <c r="J500" s="1" t="s">
        <v>33</v>
      </c>
      <c r="K500">
        <v>0</v>
      </c>
      <c r="L500">
        <v>0</v>
      </c>
      <c r="M500">
        <v>0</v>
      </c>
      <c r="N500">
        <v>0</v>
      </c>
      <c r="O500">
        <v>114300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s="18">
        <v>6</v>
      </c>
      <c r="Y500" s="6"/>
      <c r="Z500" s="6"/>
      <c r="AA500" s="6"/>
      <c r="AB500" s="6"/>
      <c r="AC500" s="6">
        <v>19050</v>
      </c>
      <c r="AD500" s="6">
        <v>19050</v>
      </c>
      <c r="AE500" s="6">
        <v>19050</v>
      </c>
      <c r="AF500" s="6">
        <v>19050</v>
      </c>
      <c r="AG500" s="6">
        <v>19050</v>
      </c>
      <c r="AH500" s="6">
        <v>19050</v>
      </c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>
        <f t="shared" si="34"/>
        <v>6</v>
      </c>
      <c r="AX500" t="b">
        <f t="shared" si="35"/>
        <v>1</v>
      </c>
      <c r="AY500" s="21">
        <f t="shared" si="32"/>
        <v>114300</v>
      </c>
      <c r="AZ500" t="b">
        <f t="shared" si="33"/>
        <v>1</v>
      </c>
    </row>
    <row r="501" spans="1:52" x14ac:dyDescent="0.4">
      <c r="A501" s="6" t="s">
        <v>2230</v>
      </c>
      <c r="B501" s="1" t="s">
        <v>1589</v>
      </c>
      <c r="C501" s="1" t="s">
        <v>1590</v>
      </c>
      <c r="D501" s="1" t="s">
        <v>1591</v>
      </c>
      <c r="E501" s="1" t="s">
        <v>44</v>
      </c>
      <c r="F501" s="1" t="s">
        <v>1592</v>
      </c>
      <c r="G501" s="5" t="s">
        <v>10</v>
      </c>
      <c r="H501" s="1" t="s">
        <v>27</v>
      </c>
      <c r="I501">
        <v>114300</v>
      </c>
      <c r="J501" s="1" t="s">
        <v>1593</v>
      </c>
      <c r="K501">
        <v>0</v>
      </c>
      <c r="L501">
        <v>114300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s="18">
        <v>6</v>
      </c>
      <c r="Y501" s="6"/>
      <c r="Z501" s="6">
        <v>19050</v>
      </c>
      <c r="AA501" s="6">
        <v>19050</v>
      </c>
      <c r="AB501" s="6">
        <v>19050</v>
      </c>
      <c r="AC501" s="6">
        <v>19050</v>
      </c>
      <c r="AD501" s="6">
        <v>19050</v>
      </c>
      <c r="AE501" s="6">
        <v>19050</v>
      </c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>
        <f t="shared" si="34"/>
        <v>6</v>
      </c>
      <c r="AX501" t="b">
        <f t="shared" si="35"/>
        <v>1</v>
      </c>
      <c r="AY501" s="21">
        <f t="shared" si="32"/>
        <v>114300</v>
      </c>
      <c r="AZ501" t="b">
        <f t="shared" si="33"/>
        <v>1</v>
      </c>
    </row>
    <row r="502" spans="1:52" x14ac:dyDescent="0.4">
      <c r="A502" s="6" t="s">
        <v>2230</v>
      </c>
      <c r="B502" s="1" t="s">
        <v>1594</v>
      </c>
      <c r="C502" s="1" t="s">
        <v>1595</v>
      </c>
      <c r="D502" s="1" t="s">
        <v>1596</v>
      </c>
      <c r="E502" s="1" t="s">
        <v>44</v>
      </c>
      <c r="F502" s="1" t="s">
        <v>86</v>
      </c>
      <c r="G502" s="5" t="s">
        <v>46</v>
      </c>
      <c r="H502" s="1" t="s">
        <v>27</v>
      </c>
      <c r="I502">
        <v>114300</v>
      </c>
      <c r="J502" s="1" t="s">
        <v>33</v>
      </c>
      <c r="K502">
        <v>0</v>
      </c>
      <c r="L502">
        <v>0</v>
      </c>
      <c r="M502">
        <v>0</v>
      </c>
      <c r="N502">
        <v>0</v>
      </c>
      <c r="O502">
        <v>114300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s="18">
        <v>6</v>
      </c>
      <c r="Y502" s="6"/>
      <c r="Z502" s="6"/>
      <c r="AA502" s="6"/>
      <c r="AB502" s="6"/>
      <c r="AC502" s="6">
        <v>19050</v>
      </c>
      <c r="AD502" s="6">
        <v>19050</v>
      </c>
      <c r="AE502" s="6">
        <v>19050</v>
      </c>
      <c r="AF502" s="6">
        <v>19050</v>
      </c>
      <c r="AG502" s="6">
        <v>19050</v>
      </c>
      <c r="AH502" s="6">
        <v>19050</v>
      </c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>
        <f t="shared" si="34"/>
        <v>6</v>
      </c>
      <c r="AX502" t="b">
        <f t="shared" si="35"/>
        <v>1</v>
      </c>
      <c r="AY502" s="21">
        <f t="shared" si="32"/>
        <v>114300</v>
      </c>
      <c r="AZ502" t="b">
        <f t="shared" si="33"/>
        <v>1</v>
      </c>
    </row>
    <row r="503" spans="1:52" x14ac:dyDescent="0.4">
      <c r="A503" s="6" t="s">
        <v>2230</v>
      </c>
      <c r="B503" s="1" t="s">
        <v>1597</v>
      </c>
      <c r="C503" s="1" t="s">
        <v>1598</v>
      </c>
      <c r="D503" s="1" t="s">
        <v>1599</v>
      </c>
      <c r="E503" s="1" t="s">
        <v>25</v>
      </c>
      <c r="F503" s="1" t="s">
        <v>1600</v>
      </c>
      <c r="G503" s="5" t="s">
        <v>10</v>
      </c>
      <c r="H503" s="1" t="s">
        <v>27</v>
      </c>
      <c r="I503">
        <v>59400</v>
      </c>
      <c r="J503" s="1" t="s">
        <v>33</v>
      </c>
      <c r="K503">
        <v>0</v>
      </c>
      <c r="L503">
        <v>59400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s="18">
        <v>3</v>
      </c>
      <c r="Y503" s="6"/>
      <c r="Z503" s="6">
        <v>19800</v>
      </c>
      <c r="AA503" s="6">
        <v>19800</v>
      </c>
      <c r="AB503" s="6">
        <v>19800</v>
      </c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>
        <f t="shared" si="34"/>
        <v>3</v>
      </c>
      <c r="AX503" t="b">
        <f t="shared" si="35"/>
        <v>1</v>
      </c>
      <c r="AY503" s="21">
        <f t="shared" si="32"/>
        <v>59400</v>
      </c>
      <c r="AZ503" t="b">
        <f t="shared" si="33"/>
        <v>1</v>
      </c>
    </row>
    <row r="504" spans="1:52" x14ac:dyDescent="0.4">
      <c r="A504" s="6" t="s">
        <v>2230</v>
      </c>
      <c r="B504" s="1" t="s">
        <v>1601</v>
      </c>
      <c r="C504" s="1" t="s">
        <v>1602</v>
      </c>
      <c r="D504" s="1" t="s">
        <v>1603</v>
      </c>
      <c r="E504" s="1" t="s">
        <v>44</v>
      </c>
      <c r="F504" s="1" t="s">
        <v>932</v>
      </c>
      <c r="G504" s="5" t="s">
        <v>479</v>
      </c>
      <c r="H504" s="1" t="s">
        <v>27</v>
      </c>
      <c r="I504">
        <v>114300</v>
      </c>
      <c r="J504" s="1" t="s">
        <v>868</v>
      </c>
      <c r="K504">
        <v>0</v>
      </c>
      <c r="L504">
        <v>0</v>
      </c>
      <c r="M504">
        <v>114300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s="18">
        <v>6</v>
      </c>
      <c r="Y504" s="6"/>
      <c r="Z504" s="6"/>
      <c r="AA504" s="6">
        <v>19050</v>
      </c>
      <c r="AB504" s="6">
        <v>19050</v>
      </c>
      <c r="AC504" s="6">
        <v>19050</v>
      </c>
      <c r="AD504" s="6">
        <v>19050</v>
      </c>
      <c r="AE504" s="6">
        <v>19050</v>
      </c>
      <c r="AF504" s="6">
        <v>19050</v>
      </c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>
        <f t="shared" si="34"/>
        <v>6</v>
      </c>
      <c r="AX504" t="b">
        <f t="shared" si="35"/>
        <v>1</v>
      </c>
      <c r="AY504" s="21">
        <f t="shared" si="32"/>
        <v>114300</v>
      </c>
      <c r="AZ504" t="b">
        <f t="shared" si="33"/>
        <v>1</v>
      </c>
    </row>
    <row r="505" spans="1:52" x14ac:dyDescent="0.4">
      <c r="A505" s="6" t="s">
        <v>2230</v>
      </c>
      <c r="B505" s="1" t="s">
        <v>1604</v>
      </c>
      <c r="C505" s="1" t="s">
        <v>1605</v>
      </c>
      <c r="D505" s="1" t="s">
        <v>1606</v>
      </c>
      <c r="E505" s="1" t="s">
        <v>44</v>
      </c>
      <c r="F505" s="1" t="s">
        <v>1211</v>
      </c>
      <c r="G505" s="5" t="s">
        <v>479</v>
      </c>
      <c r="H505" s="1" t="s">
        <v>27</v>
      </c>
      <c r="I505">
        <v>114300</v>
      </c>
      <c r="J505" s="1" t="s">
        <v>868</v>
      </c>
      <c r="K505">
        <v>0</v>
      </c>
      <c r="L505">
        <v>0</v>
      </c>
      <c r="M505">
        <v>114300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s="18">
        <v>6</v>
      </c>
      <c r="Y505" s="6"/>
      <c r="Z505" s="6"/>
      <c r="AA505" s="6">
        <v>19050</v>
      </c>
      <c r="AB505" s="6">
        <v>19050</v>
      </c>
      <c r="AC505" s="6">
        <v>19050</v>
      </c>
      <c r="AD505" s="6">
        <v>19050</v>
      </c>
      <c r="AE505" s="6">
        <v>19050</v>
      </c>
      <c r="AF505" s="6">
        <v>19050</v>
      </c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>
        <f t="shared" si="34"/>
        <v>6</v>
      </c>
      <c r="AX505" t="b">
        <f t="shared" si="35"/>
        <v>1</v>
      </c>
      <c r="AY505" s="21">
        <f t="shared" si="32"/>
        <v>114300</v>
      </c>
      <c r="AZ505" t="b">
        <f t="shared" si="33"/>
        <v>1</v>
      </c>
    </row>
    <row r="506" spans="1:52" x14ac:dyDescent="0.4">
      <c r="A506" s="6" t="s">
        <v>2230</v>
      </c>
      <c r="B506" s="1" t="s">
        <v>1607</v>
      </c>
      <c r="C506" s="1" t="s">
        <v>1608</v>
      </c>
      <c r="D506" s="1" t="s">
        <v>1609</v>
      </c>
      <c r="E506" s="1" t="s">
        <v>44</v>
      </c>
      <c r="F506" s="1" t="s">
        <v>1610</v>
      </c>
      <c r="G506" s="5" t="s">
        <v>10</v>
      </c>
      <c r="H506" s="1" t="s">
        <v>27</v>
      </c>
      <c r="I506">
        <v>114300</v>
      </c>
      <c r="J506" s="1" t="s">
        <v>1593</v>
      </c>
      <c r="K506">
        <v>0</v>
      </c>
      <c r="L506">
        <v>114300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s="18">
        <v>6</v>
      </c>
      <c r="Y506" s="6"/>
      <c r="Z506" s="6">
        <v>19050</v>
      </c>
      <c r="AA506" s="6">
        <v>19050</v>
      </c>
      <c r="AB506" s="6">
        <v>19050</v>
      </c>
      <c r="AC506" s="6">
        <v>19050</v>
      </c>
      <c r="AD506" s="6">
        <v>19050</v>
      </c>
      <c r="AE506" s="6">
        <v>19050</v>
      </c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>
        <f t="shared" si="34"/>
        <v>6</v>
      </c>
      <c r="AX506" t="b">
        <f t="shared" si="35"/>
        <v>1</v>
      </c>
      <c r="AY506" s="21">
        <f t="shared" si="32"/>
        <v>114300</v>
      </c>
      <c r="AZ506" t="b">
        <f t="shared" si="33"/>
        <v>1</v>
      </c>
    </row>
    <row r="507" spans="1:52" x14ac:dyDescent="0.4">
      <c r="A507" s="6" t="s">
        <v>2230</v>
      </c>
      <c r="B507" s="1" t="s">
        <v>1611</v>
      </c>
      <c r="C507" s="1" t="s">
        <v>1612</v>
      </c>
      <c r="D507" s="1" t="s">
        <v>1613</v>
      </c>
      <c r="E507" s="1" t="s">
        <v>44</v>
      </c>
      <c r="F507" s="1" t="s">
        <v>1614</v>
      </c>
      <c r="G507" s="5" t="s">
        <v>10</v>
      </c>
      <c r="H507" s="1" t="s">
        <v>27</v>
      </c>
      <c r="I507">
        <v>114300</v>
      </c>
      <c r="J507" s="1" t="s">
        <v>1593</v>
      </c>
      <c r="K507">
        <v>0</v>
      </c>
      <c r="L507">
        <v>114300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s="18">
        <v>6</v>
      </c>
      <c r="Y507" s="6"/>
      <c r="Z507" s="6">
        <v>19050</v>
      </c>
      <c r="AA507" s="6">
        <v>19050</v>
      </c>
      <c r="AB507" s="6">
        <v>19050</v>
      </c>
      <c r="AC507" s="6">
        <v>19050</v>
      </c>
      <c r="AD507" s="6">
        <v>19050</v>
      </c>
      <c r="AE507" s="6">
        <v>19050</v>
      </c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>
        <f t="shared" si="34"/>
        <v>6</v>
      </c>
      <c r="AX507" t="b">
        <f t="shared" si="35"/>
        <v>1</v>
      </c>
      <c r="AY507" s="21">
        <f t="shared" si="32"/>
        <v>114300</v>
      </c>
      <c r="AZ507" t="b">
        <f t="shared" si="33"/>
        <v>1</v>
      </c>
    </row>
    <row r="508" spans="1:52" x14ac:dyDescent="0.4">
      <c r="A508" s="6" t="s">
        <v>2230</v>
      </c>
      <c r="B508" s="1" t="s">
        <v>1615</v>
      </c>
      <c r="C508" s="1" t="s">
        <v>1616</v>
      </c>
      <c r="D508" s="1" t="s">
        <v>1617</v>
      </c>
      <c r="E508" s="1" t="s">
        <v>44</v>
      </c>
      <c r="F508" s="1" t="s">
        <v>1618</v>
      </c>
      <c r="G508" s="5" t="s">
        <v>10</v>
      </c>
      <c r="H508" s="1" t="s">
        <v>27</v>
      </c>
      <c r="I508">
        <v>114300</v>
      </c>
      <c r="J508" s="1" t="s">
        <v>1593</v>
      </c>
      <c r="K508">
        <v>0</v>
      </c>
      <c r="L508">
        <v>114300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s="18">
        <v>6</v>
      </c>
      <c r="Y508" s="6"/>
      <c r="Z508" s="6">
        <v>19050</v>
      </c>
      <c r="AA508" s="6">
        <v>19050</v>
      </c>
      <c r="AB508" s="6">
        <v>19050</v>
      </c>
      <c r="AC508" s="6">
        <v>19050</v>
      </c>
      <c r="AD508" s="6">
        <v>19050</v>
      </c>
      <c r="AE508" s="6">
        <v>19050</v>
      </c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>
        <f t="shared" si="34"/>
        <v>6</v>
      </c>
      <c r="AX508" t="b">
        <f t="shared" si="35"/>
        <v>1</v>
      </c>
      <c r="AY508" s="21">
        <f t="shared" si="32"/>
        <v>114300</v>
      </c>
      <c r="AZ508" t="b">
        <f t="shared" si="33"/>
        <v>1</v>
      </c>
    </row>
    <row r="509" spans="1:52" x14ac:dyDescent="0.4">
      <c r="A509" s="6" t="s">
        <v>2230</v>
      </c>
      <c r="B509" s="1" t="s">
        <v>1619</v>
      </c>
      <c r="C509" s="1" t="s">
        <v>1620</v>
      </c>
      <c r="D509" s="1" t="s">
        <v>1621</v>
      </c>
      <c r="E509" s="1" t="s">
        <v>44</v>
      </c>
      <c r="F509" s="1" t="s">
        <v>1622</v>
      </c>
      <c r="G509" s="5" t="s">
        <v>1623</v>
      </c>
      <c r="H509" s="1" t="s">
        <v>27</v>
      </c>
      <c r="I509">
        <v>114300</v>
      </c>
      <c r="J509" s="1" t="s">
        <v>28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114300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s="18">
        <v>6</v>
      </c>
      <c r="Y509" s="6"/>
      <c r="Z509" s="6"/>
      <c r="AA509" s="6"/>
      <c r="AB509" s="6"/>
      <c r="AC509" s="6"/>
      <c r="AD509" s="6"/>
      <c r="AE509" s="6">
        <v>19050</v>
      </c>
      <c r="AF509" s="6">
        <v>19050</v>
      </c>
      <c r="AG509" s="6">
        <v>19050</v>
      </c>
      <c r="AH509" s="6">
        <v>19050</v>
      </c>
      <c r="AI509" s="6">
        <v>19050</v>
      </c>
      <c r="AJ509" s="6">
        <v>19050</v>
      </c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>
        <f t="shared" si="34"/>
        <v>6</v>
      </c>
      <c r="AX509" t="b">
        <f t="shared" si="35"/>
        <v>1</v>
      </c>
      <c r="AY509" s="21">
        <f t="shared" si="32"/>
        <v>114300</v>
      </c>
      <c r="AZ509" t="b">
        <f t="shared" si="33"/>
        <v>1</v>
      </c>
    </row>
    <row r="510" spans="1:52" x14ac:dyDescent="0.4">
      <c r="A510" s="6" t="s">
        <v>2230</v>
      </c>
      <c r="B510" s="1" t="s">
        <v>1624</v>
      </c>
      <c r="C510" s="1" t="s">
        <v>1625</v>
      </c>
      <c r="D510" s="1" t="s">
        <v>1626</v>
      </c>
      <c r="E510" s="1" t="s">
        <v>44</v>
      </c>
      <c r="F510" s="1" t="s">
        <v>1627</v>
      </c>
      <c r="G510" s="5" t="s">
        <v>10</v>
      </c>
      <c r="H510" s="1" t="s">
        <v>27</v>
      </c>
      <c r="I510">
        <v>114300</v>
      </c>
      <c r="J510" s="1" t="s">
        <v>1593</v>
      </c>
      <c r="K510">
        <v>0</v>
      </c>
      <c r="L510">
        <v>114300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s="18">
        <v>6</v>
      </c>
      <c r="Y510" s="6"/>
      <c r="Z510" s="6">
        <v>19050</v>
      </c>
      <c r="AA510" s="6">
        <v>19050</v>
      </c>
      <c r="AB510" s="6">
        <v>19050</v>
      </c>
      <c r="AC510" s="6">
        <v>19050</v>
      </c>
      <c r="AD510" s="6">
        <v>19050</v>
      </c>
      <c r="AE510" s="6">
        <v>19050</v>
      </c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>
        <f t="shared" si="34"/>
        <v>6</v>
      </c>
      <c r="AX510" t="b">
        <f t="shared" si="35"/>
        <v>1</v>
      </c>
      <c r="AY510" s="21">
        <f t="shared" si="32"/>
        <v>114300</v>
      </c>
      <c r="AZ510" t="b">
        <f t="shared" si="33"/>
        <v>1</v>
      </c>
    </row>
    <row r="511" spans="1:52" x14ac:dyDescent="0.4">
      <c r="A511" s="6" t="s">
        <v>2230</v>
      </c>
      <c r="B511" s="1" t="s">
        <v>1628</v>
      </c>
      <c r="C511" s="1" t="s">
        <v>1629</v>
      </c>
      <c r="D511" s="1" t="s">
        <v>1630</v>
      </c>
      <c r="E511" s="1" t="s">
        <v>44</v>
      </c>
      <c r="F511" s="1" t="s">
        <v>37</v>
      </c>
      <c r="G511" s="5" t="s">
        <v>46</v>
      </c>
      <c r="H511" s="1" t="s">
        <v>27</v>
      </c>
      <c r="I511">
        <v>114300</v>
      </c>
      <c r="J511" s="1" t="s">
        <v>33</v>
      </c>
      <c r="K511">
        <v>0</v>
      </c>
      <c r="L511">
        <v>0</v>
      </c>
      <c r="M511">
        <v>0</v>
      </c>
      <c r="N511">
        <v>0</v>
      </c>
      <c r="O511">
        <v>114300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s="18">
        <v>6</v>
      </c>
      <c r="Y511" s="6"/>
      <c r="Z511" s="6"/>
      <c r="AA511" s="6"/>
      <c r="AB511" s="6"/>
      <c r="AC511" s="6">
        <v>19050</v>
      </c>
      <c r="AD511" s="6">
        <v>19050</v>
      </c>
      <c r="AE511" s="6">
        <v>19050</v>
      </c>
      <c r="AF511" s="6">
        <v>19050</v>
      </c>
      <c r="AG511" s="6">
        <v>19050</v>
      </c>
      <c r="AH511" s="6">
        <v>19050</v>
      </c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>
        <f t="shared" si="34"/>
        <v>6</v>
      </c>
      <c r="AX511" t="b">
        <f t="shared" si="35"/>
        <v>1</v>
      </c>
      <c r="AY511" s="21">
        <f t="shared" si="32"/>
        <v>114300</v>
      </c>
      <c r="AZ511" t="b">
        <f t="shared" si="33"/>
        <v>1</v>
      </c>
    </row>
    <row r="512" spans="1:52" x14ac:dyDescent="0.4">
      <c r="A512" s="6" t="s">
        <v>2230</v>
      </c>
      <c r="B512" s="1" t="s">
        <v>1631</v>
      </c>
      <c r="C512" s="1" t="s">
        <v>1632</v>
      </c>
      <c r="D512" s="1" t="s">
        <v>1633</v>
      </c>
      <c r="E512" s="1" t="s">
        <v>44</v>
      </c>
      <c r="F512" s="1" t="s">
        <v>1634</v>
      </c>
      <c r="G512" s="5" t="s">
        <v>10</v>
      </c>
      <c r="H512" s="1" t="s">
        <v>27</v>
      </c>
      <c r="I512">
        <v>114300</v>
      </c>
      <c r="J512" s="1" t="s">
        <v>1593</v>
      </c>
      <c r="K512">
        <v>0</v>
      </c>
      <c r="L512">
        <v>114300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s="18">
        <v>6</v>
      </c>
      <c r="Y512" s="6"/>
      <c r="Z512" s="6">
        <v>19050</v>
      </c>
      <c r="AA512" s="6">
        <v>19050</v>
      </c>
      <c r="AB512" s="6">
        <v>19050</v>
      </c>
      <c r="AC512" s="6">
        <v>19050</v>
      </c>
      <c r="AD512" s="6">
        <v>19050</v>
      </c>
      <c r="AE512" s="6">
        <v>19050</v>
      </c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>
        <f t="shared" si="34"/>
        <v>6</v>
      </c>
      <c r="AX512" t="b">
        <f t="shared" si="35"/>
        <v>1</v>
      </c>
      <c r="AY512" s="21">
        <f t="shared" si="32"/>
        <v>114300</v>
      </c>
      <c r="AZ512" t="b">
        <f t="shared" si="33"/>
        <v>1</v>
      </c>
    </row>
    <row r="513" spans="1:52" x14ac:dyDescent="0.4">
      <c r="A513" s="6" t="s">
        <v>2230</v>
      </c>
      <c r="B513" s="1" t="s">
        <v>1635</v>
      </c>
      <c r="C513" s="1" t="s">
        <v>1636</v>
      </c>
      <c r="D513" s="1" t="s">
        <v>1637</v>
      </c>
      <c r="E513" s="1" t="s">
        <v>44</v>
      </c>
      <c r="F513" s="1" t="s">
        <v>1627</v>
      </c>
      <c r="G513" s="5" t="s">
        <v>10</v>
      </c>
      <c r="H513" s="1" t="s">
        <v>27</v>
      </c>
      <c r="I513">
        <v>114300</v>
      </c>
      <c r="J513" s="1" t="s">
        <v>1593</v>
      </c>
      <c r="K513">
        <v>0</v>
      </c>
      <c r="L513">
        <v>114300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s="18">
        <v>6</v>
      </c>
      <c r="Y513" s="6"/>
      <c r="Z513" s="6">
        <v>19050</v>
      </c>
      <c r="AA513" s="6">
        <v>19050</v>
      </c>
      <c r="AB513" s="6">
        <v>19050</v>
      </c>
      <c r="AC513" s="6">
        <v>19050</v>
      </c>
      <c r="AD513" s="6">
        <v>19050</v>
      </c>
      <c r="AE513" s="6">
        <v>19050</v>
      </c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>
        <f t="shared" si="34"/>
        <v>6</v>
      </c>
      <c r="AX513" t="b">
        <f t="shared" si="35"/>
        <v>1</v>
      </c>
      <c r="AY513" s="21">
        <f t="shared" si="32"/>
        <v>114300</v>
      </c>
      <c r="AZ513" t="b">
        <f t="shared" si="33"/>
        <v>1</v>
      </c>
    </row>
    <row r="514" spans="1:52" x14ac:dyDescent="0.4">
      <c r="A514" s="6" t="s">
        <v>2230</v>
      </c>
      <c r="B514" s="1" t="s">
        <v>1638</v>
      </c>
      <c r="C514" s="1" t="s">
        <v>1639</v>
      </c>
      <c r="D514" s="1" t="s">
        <v>1640</v>
      </c>
      <c r="E514" s="1" t="s">
        <v>25</v>
      </c>
      <c r="F514" s="1" t="s">
        <v>1641</v>
      </c>
      <c r="G514" s="5" t="s">
        <v>10</v>
      </c>
      <c r="H514" s="1" t="s">
        <v>27</v>
      </c>
      <c r="I514">
        <v>59400</v>
      </c>
      <c r="J514" s="1" t="s">
        <v>33</v>
      </c>
      <c r="K514">
        <v>0</v>
      </c>
      <c r="L514">
        <v>59400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s="18">
        <v>3</v>
      </c>
      <c r="Y514" s="6"/>
      <c r="Z514" s="6">
        <v>19800</v>
      </c>
      <c r="AA514" s="6">
        <v>19800</v>
      </c>
      <c r="AB514" s="6">
        <v>19800</v>
      </c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>
        <f t="shared" si="34"/>
        <v>3</v>
      </c>
      <c r="AX514" t="b">
        <f t="shared" si="35"/>
        <v>1</v>
      </c>
      <c r="AY514" s="21">
        <f t="shared" si="32"/>
        <v>59400</v>
      </c>
      <c r="AZ514" t="b">
        <f t="shared" si="33"/>
        <v>1</v>
      </c>
    </row>
    <row r="515" spans="1:52" x14ac:dyDescent="0.4">
      <c r="A515" s="6" t="s">
        <v>2230</v>
      </c>
      <c r="B515" s="1" t="s">
        <v>1642</v>
      </c>
      <c r="C515" s="1" t="s">
        <v>1643</v>
      </c>
      <c r="D515" s="1" t="s">
        <v>1644</v>
      </c>
      <c r="E515" s="1" t="s">
        <v>44</v>
      </c>
      <c r="F515" s="1" t="s">
        <v>1627</v>
      </c>
      <c r="G515" s="5" t="s">
        <v>10</v>
      </c>
      <c r="H515" s="1" t="s">
        <v>27</v>
      </c>
      <c r="I515">
        <v>114300</v>
      </c>
      <c r="J515" s="1" t="s">
        <v>1593</v>
      </c>
      <c r="K515">
        <v>0</v>
      </c>
      <c r="L515">
        <v>114300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s="18">
        <v>6</v>
      </c>
      <c r="Y515" s="6"/>
      <c r="Z515" s="6">
        <v>19050</v>
      </c>
      <c r="AA515" s="6">
        <v>19050</v>
      </c>
      <c r="AB515" s="6">
        <v>19050</v>
      </c>
      <c r="AC515" s="6">
        <v>19050</v>
      </c>
      <c r="AD515" s="6">
        <v>19050</v>
      </c>
      <c r="AE515" s="6">
        <v>19050</v>
      </c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>
        <f t="shared" si="34"/>
        <v>6</v>
      </c>
      <c r="AX515" t="b">
        <f t="shared" si="35"/>
        <v>1</v>
      </c>
      <c r="AY515" s="21">
        <f t="shared" si="32"/>
        <v>114300</v>
      </c>
      <c r="AZ515" t="b">
        <f t="shared" si="33"/>
        <v>1</v>
      </c>
    </row>
    <row r="516" spans="1:52" x14ac:dyDescent="0.4">
      <c r="A516" s="6" t="s">
        <v>2230</v>
      </c>
      <c r="B516" s="1" t="s">
        <v>1645</v>
      </c>
      <c r="C516" s="1" t="s">
        <v>1646</v>
      </c>
      <c r="D516" s="1" t="s">
        <v>1647</v>
      </c>
      <c r="E516" s="1" t="s">
        <v>44</v>
      </c>
      <c r="F516" s="1" t="s">
        <v>1648</v>
      </c>
      <c r="G516" s="5" t="s">
        <v>10</v>
      </c>
      <c r="H516" s="1" t="s">
        <v>27</v>
      </c>
      <c r="I516">
        <v>114300</v>
      </c>
      <c r="J516" s="1" t="s">
        <v>1593</v>
      </c>
      <c r="K516">
        <v>0</v>
      </c>
      <c r="L516">
        <v>114300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s="18">
        <v>6</v>
      </c>
      <c r="Y516" s="6"/>
      <c r="Z516" s="6">
        <v>19050</v>
      </c>
      <c r="AA516" s="6">
        <v>19050</v>
      </c>
      <c r="AB516" s="6">
        <v>19050</v>
      </c>
      <c r="AC516" s="6">
        <v>19050</v>
      </c>
      <c r="AD516" s="6">
        <v>19050</v>
      </c>
      <c r="AE516" s="6">
        <v>19050</v>
      </c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>
        <f t="shared" si="34"/>
        <v>6</v>
      </c>
      <c r="AX516" t="b">
        <f t="shared" si="35"/>
        <v>1</v>
      </c>
      <c r="AY516" s="21">
        <f t="shared" si="32"/>
        <v>114300</v>
      </c>
      <c r="AZ516" t="b">
        <f t="shared" si="33"/>
        <v>1</v>
      </c>
    </row>
    <row r="517" spans="1:52" x14ac:dyDescent="0.4">
      <c r="A517" s="6" t="s">
        <v>2230</v>
      </c>
      <c r="B517" s="1" t="s">
        <v>1649</v>
      </c>
      <c r="C517" s="1" t="s">
        <v>1650</v>
      </c>
      <c r="D517" s="1" t="s">
        <v>1651</v>
      </c>
      <c r="E517" s="1" t="s">
        <v>44</v>
      </c>
      <c r="F517" s="1" t="s">
        <v>1652</v>
      </c>
      <c r="G517" s="5" t="s">
        <v>10</v>
      </c>
      <c r="H517" s="1" t="s">
        <v>27</v>
      </c>
      <c r="I517">
        <v>114300</v>
      </c>
      <c r="J517" s="1" t="s">
        <v>1593</v>
      </c>
      <c r="K517">
        <v>0</v>
      </c>
      <c r="L517">
        <v>114300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s="18">
        <v>6</v>
      </c>
      <c r="Y517" s="6"/>
      <c r="Z517" s="6">
        <v>19050</v>
      </c>
      <c r="AA517" s="6">
        <v>19050</v>
      </c>
      <c r="AB517" s="6">
        <v>19050</v>
      </c>
      <c r="AC517" s="6">
        <v>19050</v>
      </c>
      <c r="AD517" s="6">
        <v>19050</v>
      </c>
      <c r="AE517" s="6">
        <v>19050</v>
      </c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>
        <f t="shared" si="34"/>
        <v>6</v>
      </c>
      <c r="AX517" t="b">
        <f t="shared" si="35"/>
        <v>1</v>
      </c>
      <c r="AY517" s="21">
        <f t="shared" si="32"/>
        <v>114300</v>
      </c>
      <c r="AZ517" t="b">
        <f t="shared" si="33"/>
        <v>1</v>
      </c>
    </row>
    <row r="518" spans="1:52" x14ac:dyDescent="0.4">
      <c r="A518" s="6" t="s">
        <v>2230</v>
      </c>
      <c r="B518" s="1" t="s">
        <v>1653</v>
      </c>
      <c r="C518" s="1" t="s">
        <v>1654</v>
      </c>
      <c r="D518" s="1" t="s">
        <v>1655</v>
      </c>
      <c r="E518" s="1" t="s">
        <v>44</v>
      </c>
      <c r="F518" s="1" t="s">
        <v>1656</v>
      </c>
      <c r="G518" s="5" t="s">
        <v>479</v>
      </c>
      <c r="H518" s="1" t="s">
        <v>27</v>
      </c>
      <c r="I518">
        <v>114300</v>
      </c>
      <c r="J518" s="1" t="s">
        <v>868</v>
      </c>
      <c r="K518">
        <v>0</v>
      </c>
      <c r="L518">
        <v>0</v>
      </c>
      <c r="M518">
        <v>114300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s="18">
        <v>6</v>
      </c>
      <c r="Y518" s="6"/>
      <c r="Z518" s="6"/>
      <c r="AA518" s="6">
        <v>19050</v>
      </c>
      <c r="AB518" s="6">
        <v>19050</v>
      </c>
      <c r="AC518" s="6">
        <v>19050</v>
      </c>
      <c r="AD518" s="6">
        <v>19050</v>
      </c>
      <c r="AE518" s="6">
        <v>19050</v>
      </c>
      <c r="AF518" s="6">
        <v>19050</v>
      </c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>
        <f t="shared" si="34"/>
        <v>6</v>
      </c>
      <c r="AX518" t="b">
        <f t="shared" si="35"/>
        <v>1</v>
      </c>
      <c r="AY518" s="21">
        <f t="shared" si="32"/>
        <v>114300</v>
      </c>
      <c r="AZ518" t="b">
        <f t="shared" si="33"/>
        <v>1</v>
      </c>
    </row>
    <row r="519" spans="1:52" x14ac:dyDescent="0.4">
      <c r="A519" s="6" t="s">
        <v>2230</v>
      </c>
      <c r="B519" s="1" t="s">
        <v>1657</v>
      </c>
      <c r="C519" s="1" t="s">
        <v>1658</v>
      </c>
      <c r="D519" s="1" t="s">
        <v>1659</v>
      </c>
      <c r="E519" s="1" t="s">
        <v>44</v>
      </c>
      <c r="F519" s="1" t="s">
        <v>1660</v>
      </c>
      <c r="G519" s="5" t="s">
        <v>10</v>
      </c>
      <c r="H519" s="1" t="s">
        <v>27</v>
      </c>
      <c r="I519">
        <v>114300</v>
      </c>
      <c r="J519" s="1" t="s">
        <v>1593</v>
      </c>
      <c r="K519">
        <v>0</v>
      </c>
      <c r="L519">
        <v>114300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s="18">
        <v>6</v>
      </c>
      <c r="Y519" s="6"/>
      <c r="Z519" s="6">
        <v>19050</v>
      </c>
      <c r="AA519" s="6">
        <v>19050</v>
      </c>
      <c r="AB519" s="6">
        <v>19050</v>
      </c>
      <c r="AC519" s="6">
        <v>19050</v>
      </c>
      <c r="AD519" s="6">
        <v>19050</v>
      </c>
      <c r="AE519" s="6">
        <v>19050</v>
      </c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>
        <f t="shared" si="34"/>
        <v>6</v>
      </c>
      <c r="AX519" t="b">
        <f t="shared" si="35"/>
        <v>1</v>
      </c>
      <c r="AY519" s="21">
        <f t="shared" ref="AY519:AY582" si="36">+SUM(Y519:AV519)</f>
        <v>114300</v>
      </c>
      <c r="AZ519" t="b">
        <f t="shared" ref="AZ519:AZ582" si="37">+I519=AY519</f>
        <v>1</v>
      </c>
    </row>
    <row r="520" spans="1:52" x14ac:dyDescent="0.4">
      <c r="A520" s="6" t="s">
        <v>2230</v>
      </c>
      <c r="B520" s="1" t="s">
        <v>1661</v>
      </c>
      <c r="C520" s="1" t="s">
        <v>1662</v>
      </c>
      <c r="D520" s="1" t="s">
        <v>1663</v>
      </c>
      <c r="E520" s="1" t="s">
        <v>44</v>
      </c>
      <c r="F520" s="1" t="s">
        <v>63</v>
      </c>
      <c r="G520" s="5" t="s">
        <v>46</v>
      </c>
      <c r="H520" s="1" t="s">
        <v>27</v>
      </c>
      <c r="I520">
        <v>114300</v>
      </c>
      <c r="J520" s="1" t="s">
        <v>33</v>
      </c>
      <c r="K520">
        <v>0</v>
      </c>
      <c r="L520">
        <v>0</v>
      </c>
      <c r="M520">
        <v>0</v>
      </c>
      <c r="N520">
        <v>0</v>
      </c>
      <c r="O520">
        <v>114300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s="18">
        <v>6</v>
      </c>
      <c r="Y520" s="6"/>
      <c r="Z520" s="6"/>
      <c r="AA520" s="6"/>
      <c r="AB520" s="6"/>
      <c r="AC520" s="6">
        <v>19050</v>
      </c>
      <c r="AD520" s="6">
        <v>19050</v>
      </c>
      <c r="AE520" s="6">
        <v>19050</v>
      </c>
      <c r="AF520" s="6">
        <v>19050</v>
      </c>
      <c r="AG520" s="6">
        <v>19050</v>
      </c>
      <c r="AH520" s="6">
        <v>19050</v>
      </c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>
        <f t="shared" si="34"/>
        <v>6</v>
      </c>
      <c r="AX520" t="b">
        <f t="shared" si="35"/>
        <v>1</v>
      </c>
      <c r="AY520" s="21">
        <f t="shared" si="36"/>
        <v>114300</v>
      </c>
      <c r="AZ520" t="b">
        <f t="shared" si="37"/>
        <v>1</v>
      </c>
    </row>
    <row r="521" spans="1:52" x14ac:dyDescent="0.4">
      <c r="A521" s="6" t="s">
        <v>2230</v>
      </c>
      <c r="B521" s="1" t="s">
        <v>1664</v>
      </c>
      <c r="C521" s="1" t="s">
        <v>1665</v>
      </c>
      <c r="D521" s="1" t="s">
        <v>1666</v>
      </c>
      <c r="E521" s="1" t="s">
        <v>44</v>
      </c>
      <c r="F521" s="1" t="s">
        <v>45</v>
      </c>
      <c r="G521" s="5" t="s">
        <v>46</v>
      </c>
      <c r="H521" s="1" t="s">
        <v>27</v>
      </c>
      <c r="I521">
        <v>114300</v>
      </c>
      <c r="J521" s="1" t="s">
        <v>33</v>
      </c>
      <c r="K521">
        <v>0</v>
      </c>
      <c r="L521">
        <v>0</v>
      </c>
      <c r="M521">
        <v>0</v>
      </c>
      <c r="N521">
        <v>0</v>
      </c>
      <c r="O521">
        <v>114300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s="18">
        <v>6</v>
      </c>
      <c r="Y521" s="6"/>
      <c r="Z521" s="6"/>
      <c r="AA521" s="6"/>
      <c r="AB521" s="6"/>
      <c r="AC521" s="6">
        <v>19050</v>
      </c>
      <c r="AD521" s="6">
        <v>19050</v>
      </c>
      <c r="AE521" s="6">
        <v>19050</v>
      </c>
      <c r="AF521" s="6">
        <v>19050</v>
      </c>
      <c r="AG521" s="6">
        <v>19050</v>
      </c>
      <c r="AH521" s="6">
        <v>19050</v>
      </c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>
        <f t="shared" si="34"/>
        <v>6</v>
      </c>
      <c r="AX521" t="b">
        <f t="shared" si="35"/>
        <v>1</v>
      </c>
      <c r="AY521" s="21">
        <f t="shared" si="36"/>
        <v>114300</v>
      </c>
      <c r="AZ521" t="b">
        <f t="shared" si="37"/>
        <v>1</v>
      </c>
    </row>
    <row r="522" spans="1:52" x14ac:dyDescent="0.4">
      <c r="A522" s="6" t="s">
        <v>2230</v>
      </c>
      <c r="B522" s="1" t="s">
        <v>1667</v>
      </c>
      <c r="C522" s="1" t="s">
        <v>1668</v>
      </c>
      <c r="D522" s="1" t="s">
        <v>1669</v>
      </c>
      <c r="E522" s="1" t="s">
        <v>44</v>
      </c>
      <c r="F522" s="1" t="s">
        <v>56</v>
      </c>
      <c r="G522" s="5" t="s">
        <v>46</v>
      </c>
      <c r="H522" s="1" t="s">
        <v>27</v>
      </c>
      <c r="I522">
        <v>114300</v>
      </c>
      <c r="J522" s="1" t="s">
        <v>33</v>
      </c>
      <c r="K522">
        <v>0</v>
      </c>
      <c r="L522">
        <v>0</v>
      </c>
      <c r="M522">
        <v>0</v>
      </c>
      <c r="N522">
        <v>0</v>
      </c>
      <c r="O522">
        <v>114300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s="18">
        <v>6</v>
      </c>
      <c r="Y522" s="6"/>
      <c r="Z522" s="6"/>
      <c r="AA522" s="6"/>
      <c r="AB522" s="6"/>
      <c r="AC522" s="6">
        <v>19050</v>
      </c>
      <c r="AD522" s="6">
        <v>19050</v>
      </c>
      <c r="AE522" s="6">
        <v>19050</v>
      </c>
      <c r="AF522" s="6">
        <v>19050</v>
      </c>
      <c r="AG522" s="6">
        <v>19050</v>
      </c>
      <c r="AH522" s="6">
        <v>19050</v>
      </c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>
        <f t="shared" si="34"/>
        <v>6</v>
      </c>
      <c r="AX522" t="b">
        <f t="shared" si="35"/>
        <v>1</v>
      </c>
      <c r="AY522" s="21">
        <f t="shared" si="36"/>
        <v>114300</v>
      </c>
      <c r="AZ522" t="b">
        <f t="shared" si="37"/>
        <v>1</v>
      </c>
    </row>
    <row r="523" spans="1:52" x14ac:dyDescent="0.4">
      <c r="A523" s="6" t="s">
        <v>2230</v>
      </c>
      <c r="B523" s="1" t="s">
        <v>1670</v>
      </c>
      <c r="C523" s="1" t="s">
        <v>1671</v>
      </c>
      <c r="D523" s="1" t="s">
        <v>1672</v>
      </c>
      <c r="E523" s="1" t="s">
        <v>44</v>
      </c>
      <c r="F523" s="1" t="s">
        <v>1207</v>
      </c>
      <c r="G523" s="5" t="s">
        <v>479</v>
      </c>
      <c r="H523" s="1" t="s">
        <v>27</v>
      </c>
      <c r="I523">
        <v>114300</v>
      </c>
      <c r="J523" s="1" t="s">
        <v>868</v>
      </c>
      <c r="K523">
        <v>0</v>
      </c>
      <c r="L523">
        <v>0</v>
      </c>
      <c r="M523">
        <v>114300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s="18">
        <v>6</v>
      </c>
      <c r="Y523" s="6"/>
      <c r="Z523" s="6"/>
      <c r="AA523" s="6">
        <v>19050</v>
      </c>
      <c r="AB523" s="6">
        <v>19050</v>
      </c>
      <c r="AC523" s="6">
        <v>19050</v>
      </c>
      <c r="AD523" s="6">
        <v>19050</v>
      </c>
      <c r="AE523" s="6">
        <v>19050</v>
      </c>
      <c r="AF523" s="6">
        <v>19050</v>
      </c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>
        <f t="shared" si="34"/>
        <v>6</v>
      </c>
      <c r="AX523" t="b">
        <f t="shared" si="35"/>
        <v>1</v>
      </c>
      <c r="AY523" s="21">
        <f t="shared" si="36"/>
        <v>114300</v>
      </c>
      <c r="AZ523" t="b">
        <f t="shared" si="37"/>
        <v>1</v>
      </c>
    </row>
    <row r="524" spans="1:52" x14ac:dyDescent="0.4">
      <c r="A524" s="6" t="s">
        <v>2230</v>
      </c>
      <c r="B524" s="1" t="s">
        <v>1673</v>
      </c>
      <c r="C524" s="1" t="s">
        <v>1674</v>
      </c>
      <c r="D524" s="1" t="s">
        <v>1675</v>
      </c>
      <c r="E524" s="1" t="s">
        <v>44</v>
      </c>
      <c r="F524" s="1" t="s">
        <v>63</v>
      </c>
      <c r="G524" s="5" t="s">
        <v>46</v>
      </c>
      <c r="H524" s="1" t="s">
        <v>27</v>
      </c>
      <c r="I524">
        <v>114300</v>
      </c>
      <c r="J524" s="1" t="s">
        <v>33</v>
      </c>
      <c r="K524">
        <v>0</v>
      </c>
      <c r="L524">
        <v>0</v>
      </c>
      <c r="M524">
        <v>0</v>
      </c>
      <c r="N524">
        <v>0</v>
      </c>
      <c r="O524">
        <v>114300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s="18">
        <v>6</v>
      </c>
      <c r="Y524" s="6"/>
      <c r="Z524" s="6"/>
      <c r="AA524" s="6"/>
      <c r="AB524" s="6"/>
      <c r="AC524" s="6">
        <v>19050</v>
      </c>
      <c r="AD524" s="6">
        <v>19050</v>
      </c>
      <c r="AE524" s="6">
        <v>19050</v>
      </c>
      <c r="AF524" s="6">
        <v>19050</v>
      </c>
      <c r="AG524" s="6">
        <v>19050</v>
      </c>
      <c r="AH524" s="6">
        <v>19050</v>
      </c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>
        <f t="shared" si="34"/>
        <v>6</v>
      </c>
      <c r="AX524" t="b">
        <f t="shared" si="35"/>
        <v>1</v>
      </c>
      <c r="AY524" s="21">
        <f t="shared" si="36"/>
        <v>114300</v>
      </c>
      <c r="AZ524" t="b">
        <f t="shared" si="37"/>
        <v>1</v>
      </c>
    </row>
    <row r="525" spans="1:52" x14ac:dyDescent="0.4">
      <c r="A525" s="6" t="s">
        <v>2230</v>
      </c>
      <c r="B525" s="1" t="s">
        <v>1676</v>
      </c>
      <c r="C525" s="1" t="s">
        <v>1677</v>
      </c>
      <c r="D525" s="1" t="s">
        <v>1678</v>
      </c>
      <c r="E525" s="1" t="s">
        <v>44</v>
      </c>
      <c r="F525" s="1" t="s">
        <v>920</v>
      </c>
      <c r="G525" s="5" t="s">
        <v>479</v>
      </c>
      <c r="H525" s="1" t="s">
        <v>27</v>
      </c>
      <c r="I525">
        <v>114300</v>
      </c>
      <c r="J525" s="1" t="s">
        <v>868</v>
      </c>
      <c r="K525">
        <v>0</v>
      </c>
      <c r="L525">
        <v>0</v>
      </c>
      <c r="M525">
        <v>114300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s="18">
        <v>6</v>
      </c>
      <c r="Y525" s="6"/>
      <c r="Z525" s="6"/>
      <c r="AA525" s="6">
        <v>19050</v>
      </c>
      <c r="AB525" s="6">
        <v>19050</v>
      </c>
      <c r="AC525" s="6">
        <v>19050</v>
      </c>
      <c r="AD525" s="6">
        <v>19050</v>
      </c>
      <c r="AE525" s="6">
        <v>19050</v>
      </c>
      <c r="AF525" s="6">
        <v>19050</v>
      </c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>
        <f t="shared" si="34"/>
        <v>6</v>
      </c>
      <c r="AX525" t="b">
        <f t="shared" si="35"/>
        <v>1</v>
      </c>
      <c r="AY525" s="21">
        <f t="shared" si="36"/>
        <v>114300</v>
      </c>
      <c r="AZ525" t="b">
        <f t="shared" si="37"/>
        <v>1</v>
      </c>
    </row>
    <row r="526" spans="1:52" x14ac:dyDescent="0.4">
      <c r="A526" s="6" t="s">
        <v>2230</v>
      </c>
      <c r="B526" s="1" t="s">
        <v>1679</v>
      </c>
      <c r="C526" s="1" t="s">
        <v>1680</v>
      </c>
      <c r="D526" s="1" t="s">
        <v>1681</v>
      </c>
      <c r="E526" s="1" t="s">
        <v>44</v>
      </c>
      <c r="F526" s="1" t="s">
        <v>1374</v>
      </c>
      <c r="G526" s="5" t="s">
        <v>479</v>
      </c>
      <c r="H526" s="1" t="s">
        <v>27</v>
      </c>
      <c r="I526">
        <v>114300</v>
      </c>
      <c r="J526" s="1" t="s">
        <v>868</v>
      </c>
      <c r="K526">
        <v>0</v>
      </c>
      <c r="L526">
        <v>0</v>
      </c>
      <c r="M526">
        <v>114300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s="18">
        <v>6</v>
      </c>
      <c r="Y526" s="6"/>
      <c r="Z526" s="6"/>
      <c r="AA526" s="6">
        <v>19050</v>
      </c>
      <c r="AB526" s="6">
        <v>19050</v>
      </c>
      <c r="AC526" s="6">
        <v>19050</v>
      </c>
      <c r="AD526" s="6">
        <v>19050</v>
      </c>
      <c r="AE526" s="6">
        <v>19050</v>
      </c>
      <c r="AF526" s="6">
        <v>19050</v>
      </c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>
        <f t="shared" si="34"/>
        <v>6</v>
      </c>
      <c r="AX526" t="b">
        <f t="shared" si="35"/>
        <v>1</v>
      </c>
      <c r="AY526" s="21">
        <f t="shared" si="36"/>
        <v>114300</v>
      </c>
      <c r="AZ526" t="b">
        <f t="shared" si="37"/>
        <v>1</v>
      </c>
    </row>
    <row r="527" spans="1:52" x14ac:dyDescent="0.4">
      <c r="A527" s="6" t="s">
        <v>2230</v>
      </c>
      <c r="B527" s="1" t="s">
        <v>1682</v>
      </c>
      <c r="C527" s="1" t="s">
        <v>1683</v>
      </c>
      <c r="D527" s="1" t="s">
        <v>1684</v>
      </c>
      <c r="E527" s="1" t="s">
        <v>44</v>
      </c>
      <c r="F527" s="1" t="s">
        <v>924</v>
      </c>
      <c r="G527" s="5" t="s">
        <v>479</v>
      </c>
      <c r="H527" s="1" t="s">
        <v>27</v>
      </c>
      <c r="I527">
        <v>114300</v>
      </c>
      <c r="J527" s="1" t="s">
        <v>868</v>
      </c>
      <c r="K527">
        <v>0</v>
      </c>
      <c r="L527">
        <v>0</v>
      </c>
      <c r="M527">
        <v>114300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s="18">
        <v>6</v>
      </c>
      <c r="Y527" s="6"/>
      <c r="Z527" s="6"/>
      <c r="AA527" s="6">
        <v>19050</v>
      </c>
      <c r="AB527" s="6">
        <v>19050</v>
      </c>
      <c r="AC527" s="6">
        <v>19050</v>
      </c>
      <c r="AD527" s="6">
        <v>19050</v>
      </c>
      <c r="AE527" s="6">
        <v>19050</v>
      </c>
      <c r="AF527" s="6">
        <v>19050</v>
      </c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>
        <f t="shared" si="34"/>
        <v>6</v>
      </c>
      <c r="AX527" t="b">
        <f t="shared" si="35"/>
        <v>1</v>
      </c>
      <c r="AY527" s="21">
        <f t="shared" si="36"/>
        <v>114300</v>
      </c>
      <c r="AZ527" t="b">
        <f t="shared" si="37"/>
        <v>1</v>
      </c>
    </row>
    <row r="528" spans="1:52" x14ac:dyDescent="0.4">
      <c r="A528" s="6" t="s">
        <v>2230</v>
      </c>
      <c r="B528" s="1" t="s">
        <v>1685</v>
      </c>
      <c r="C528" s="1" t="s">
        <v>1686</v>
      </c>
      <c r="D528" s="1" t="s">
        <v>1687</v>
      </c>
      <c r="E528" s="1" t="s">
        <v>25</v>
      </c>
      <c r="F528" s="1" t="s">
        <v>56</v>
      </c>
      <c r="G528" s="5" t="s">
        <v>10</v>
      </c>
      <c r="H528" s="1" t="s">
        <v>27</v>
      </c>
      <c r="I528">
        <v>59400</v>
      </c>
      <c r="J528" s="1" t="s">
        <v>33</v>
      </c>
      <c r="K528">
        <v>0</v>
      </c>
      <c r="L528">
        <v>59400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s="18">
        <v>3</v>
      </c>
      <c r="Y528" s="6"/>
      <c r="Z528" s="6">
        <v>19800</v>
      </c>
      <c r="AA528" s="6">
        <v>19800</v>
      </c>
      <c r="AB528" s="6">
        <v>19800</v>
      </c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>
        <f t="shared" ref="AW528:AW591" si="38">+COUNTA(Y528:AV528)</f>
        <v>3</v>
      </c>
      <c r="AX528" t="b">
        <f t="shared" ref="AX528:AX591" si="39">+AW528=X528</f>
        <v>1</v>
      </c>
      <c r="AY528" s="21">
        <f t="shared" si="36"/>
        <v>59400</v>
      </c>
      <c r="AZ528" t="b">
        <f t="shared" si="37"/>
        <v>1</v>
      </c>
    </row>
    <row r="529" spans="1:52" x14ac:dyDescent="0.4">
      <c r="A529" s="6" t="s">
        <v>2230</v>
      </c>
      <c r="B529" s="1" t="s">
        <v>1688</v>
      </c>
      <c r="C529" s="1" t="s">
        <v>1689</v>
      </c>
      <c r="D529" s="1" t="s">
        <v>1690</v>
      </c>
      <c r="E529" s="1" t="s">
        <v>44</v>
      </c>
      <c r="F529" s="1" t="s">
        <v>86</v>
      </c>
      <c r="G529" s="5" t="s">
        <v>46</v>
      </c>
      <c r="H529" s="1" t="s">
        <v>27</v>
      </c>
      <c r="I529">
        <v>114300</v>
      </c>
      <c r="J529" s="1" t="s">
        <v>33</v>
      </c>
      <c r="K529">
        <v>0</v>
      </c>
      <c r="L529">
        <v>0</v>
      </c>
      <c r="M529">
        <v>0</v>
      </c>
      <c r="N529">
        <v>0</v>
      </c>
      <c r="O529">
        <v>114300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s="18">
        <v>6</v>
      </c>
      <c r="Y529" s="6"/>
      <c r="Z529" s="6"/>
      <c r="AA529" s="6"/>
      <c r="AB529" s="6"/>
      <c r="AC529" s="6">
        <v>19050</v>
      </c>
      <c r="AD529" s="6">
        <v>19050</v>
      </c>
      <c r="AE529" s="6">
        <v>19050</v>
      </c>
      <c r="AF529" s="6">
        <v>19050</v>
      </c>
      <c r="AG529" s="6">
        <v>19050</v>
      </c>
      <c r="AH529" s="6">
        <v>19050</v>
      </c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>
        <f t="shared" si="38"/>
        <v>6</v>
      </c>
      <c r="AX529" t="b">
        <f t="shared" si="39"/>
        <v>1</v>
      </c>
      <c r="AY529" s="21">
        <f t="shared" si="36"/>
        <v>114300</v>
      </c>
      <c r="AZ529" t="b">
        <f t="shared" si="37"/>
        <v>1</v>
      </c>
    </row>
    <row r="530" spans="1:52" x14ac:dyDescent="0.4">
      <c r="A530" s="6" t="s">
        <v>2230</v>
      </c>
      <c r="B530" s="1" t="s">
        <v>1691</v>
      </c>
      <c r="C530" s="1" t="s">
        <v>1692</v>
      </c>
      <c r="D530" s="1" t="s">
        <v>1693</v>
      </c>
      <c r="E530" s="1" t="s">
        <v>44</v>
      </c>
      <c r="F530" s="1" t="s">
        <v>86</v>
      </c>
      <c r="G530" s="5" t="s">
        <v>46</v>
      </c>
      <c r="H530" s="1" t="s">
        <v>27</v>
      </c>
      <c r="I530">
        <v>114300</v>
      </c>
      <c r="J530" s="1" t="s">
        <v>33</v>
      </c>
      <c r="K530">
        <v>0</v>
      </c>
      <c r="L530">
        <v>0</v>
      </c>
      <c r="M530">
        <v>0</v>
      </c>
      <c r="N530">
        <v>0</v>
      </c>
      <c r="O530">
        <v>114300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s="18">
        <v>6</v>
      </c>
      <c r="Y530" s="6"/>
      <c r="Z530" s="6"/>
      <c r="AA530" s="6"/>
      <c r="AB530" s="6"/>
      <c r="AC530" s="6">
        <v>19050</v>
      </c>
      <c r="AD530" s="6">
        <v>19050</v>
      </c>
      <c r="AE530" s="6">
        <v>19050</v>
      </c>
      <c r="AF530" s="6">
        <v>19050</v>
      </c>
      <c r="AG530" s="6">
        <v>19050</v>
      </c>
      <c r="AH530" s="6">
        <v>19050</v>
      </c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>
        <f t="shared" si="38"/>
        <v>6</v>
      </c>
      <c r="AX530" t="b">
        <f t="shared" si="39"/>
        <v>1</v>
      </c>
      <c r="AY530" s="21">
        <f t="shared" si="36"/>
        <v>114300</v>
      </c>
      <c r="AZ530" t="b">
        <f t="shared" si="37"/>
        <v>1</v>
      </c>
    </row>
    <row r="531" spans="1:52" x14ac:dyDescent="0.4">
      <c r="A531" s="6" t="s">
        <v>2230</v>
      </c>
      <c r="B531" s="1" t="s">
        <v>1694</v>
      </c>
      <c r="C531" s="1" t="s">
        <v>1695</v>
      </c>
      <c r="D531" s="1" t="s">
        <v>1696</v>
      </c>
      <c r="E531" s="1" t="s">
        <v>44</v>
      </c>
      <c r="F531" s="1" t="s">
        <v>928</v>
      </c>
      <c r="G531" s="5" t="s">
        <v>479</v>
      </c>
      <c r="H531" s="1" t="s">
        <v>27</v>
      </c>
      <c r="I531">
        <v>114300</v>
      </c>
      <c r="J531" s="1" t="s">
        <v>868</v>
      </c>
      <c r="K531">
        <v>0</v>
      </c>
      <c r="L531">
        <v>0</v>
      </c>
      <c r="M531">
        <v>114300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s="18">
        <v>6</v>
      </c>
      <c r="Y531" s="6"/>
      <c r="Z531" s="6"/>
      <c r="AA531" s="6">
        <v>19050</v>
      </c>
      <c r="AB531" s="6">
        <v>19050</v>
      </c>
      <c r="AC531" s="6">
        <v>19050</v>
      </c>
      <c r="AD531" s="6">
        <v>19050</v>
      </c>
      <c r="AE531" s="6">
        <v>19050</v>
      </c>
      <c r="AF531" s="6">
        <v>19050</v>
      </c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>
        <f t="shared" si="38"/>
        <v>6</v>
      </c>
      <c r="AX531" t="b">
        <f t="shared" si="39"/>
        <v>1</v>
      </c>
      <c r="AY531" s="21">
        <f t="shared" si="36"/>
        <v>114300</v>
      </c>
      <c r="AZ531" t="b">
        <f t="shared" si="37"/>
        <v>1</v>
      </c>
    </row>
    <row r="532" spans="1:52" x14ac:dyDescent="0.4">
      <c r="A532" s="6" t="s">
        <v>2230</v>
      </c>
      <c r="B532" s="1" t="s">
        <v>1697</v>
      </c>
      <c r="C532" s="1" t="s">
        <v>1698</v>
      </c>
      <c r="D532" s="1" t="s">
        <v>1699</v>
      </c>
      <c r="E532" s="1" t="s">
        <v>44</v>
      </c>
      <c r="F532" s="1" t="s">
        <v>32</v>
      </c>
      <c r="G532" s="5" t="s">
        <v>46</v>
      </c>
      <c r="H532" s="1" t="s">
        <v>27</v>
      </c>
      <c r="I532">
        <v>114300</v>
      </c>
      <c r="J532" s="1" t="s">
        <v>33</v>
      </c>
      <c r="K532">
        <v>0</v>
      </c>
      <c r="L532">
        <v>0</v>
      </c>
      <c r="M532">
        <v>0</v>
      </c>
      <c r="N532">
        <v>0</v>
      </c>
      <c r="O532">
        <v>114300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s="18">
        <v>6</v>
      </c>
      <c r="Y532" s="6"/>
      <c r="Z532" s="6"/>
      <c r="AA532" s="6"/>
      <c r="AB532" s="6"/>
      <c r="AC532" s="6">
        <v>19050</v>
      </c>
      <c r="AD532" s="6">
        <v>19050</v>
      </c>
      <c r="AE532" s="6">
        <v>19050</v>
      </c>
      <c r="AF532" s="6">
        <v>19050</v>
      </c>
      <c r="AG532" s="6">
        <v>19050</v>
      </c>
      <c r="AH532" s="6">
        <v>19050</v>
      </c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>
        <f t="shared" si="38"/>
        <v>6</v>
      </c>
      <c r="AX532" t="b">
        <f t="shared" si="39"/>
        <v>1</v>
      </c>
      <c r="AY532" s="21">
        <f t="shared" si="36"/>
        <v>114300</v>
      </c>
      <c r="AZ532" t="b">
        <f t="shared" si="37"/>
        <v>1</v>
      </c>
    </row>
    <row r="533" spans="1:52" x14ac:dyDescent="0.4">
      <c r="A533" s="6" t="s">
        <v>2230</v>
      </c>
      <c r="B533" s="1" t="s">
        <v>1700</v>
      </c>
      <c r="C533" s="1" t="s">
        <v>1701</v>
      </c>
      <c r="D533" s="1" t="s">
        <v>1702</v>
      </c>
      <c r="E533" s="1" t="s">
        <v>25</v>
      </c>
      <c r="F533" s="1" t="s">
        <v>86</v>
      </c>
      <c r="G533" s="5" t="s">
        <v>10</v>
      </c>
      <c r="H533" s="1" t="s">
        <v>27</v>
      </c>
      <c r="I533">
        <v>59400</v>
      </c>
      <c r="J533" s="1" t="s">
        <v>33</v>
      </c>
      <c r="K533">
        <v>0</v>
      </c>
      <c r="L533">
        <v>59400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s="18">
        <v>3</v>
      </c>
      <c r="Y533" s="6"/>
      <c r="Z533" s="6">
        <v>19800</v>
      </c>
      <c r="AA533" s="6">
        <v>19800</v>
      </c>
      <c r="AB533" s="6">
        <v>19800</v>
      </c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>
        <f t="shared" si="38"/>
        <v>3</v>
      </c>
      <c r="AX533" t="b">
        <f t="shared" si="39"/>
        <v>1</v>
      </c>
      <c r="AY533" s="21">
        <f t="shared" si="36"/>
        <v>59400</v>
      </c>
      <c r="AZ533" t="b">
        <f t="shared" si="37"/>
        <v>1</v>
      </c>
    </row>
    <row r="534" spans="1:52" x14ac:dyDescent="0.4">
      <c r="A534" s="6" t="s">
        <v>2230</v>
      </c>
      <c r="B534" s="1" t="s">
        <v>1703</v>
      </c>
      <c r="C534" s="1" t="s">
        <v>1704</v>
      </c>
      <c r="D534" s="1" t="s">
        <v>1705</v>
      </c>
      <c r="E534" s="1" t="s">
        <v>44</v>
      </c>
      <c r="F534" s="1" t="s">
        <v>56</v>
      </c>
      <c r="G534" s="5" t="s">
        <v>46</v>
      </c>
      <c r="H534" s="1" t="s">
        <v>27</v>
      </c>
      <c r="I534">
        <v>114300</v>
      </c>
      <c r="J534" s="1" t="s">
        <v>33</v>
      </c>
      <c r="K534">
        <v>0</v>
      </c>
      <c r="L534">
        <v>0</v>
      </c>
      <c r="M534">
        <v>0</v>
      </c>
      <c r="N534">
        <v>0</v>
      </c>
      <c r="O534">
        <v>114300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s="18">
        <v>6</v>
      </c>
      <c r="Y534" s="6"/>
      <c r="Z534" s="6"/>
      <c r="AA534" s="6"/>
      <c r="AB534" s="6"/>
      <c r="AC534" s="6">
        <v>19050</v>
      </c>
      <c r="AD534" s="6">
        <v>19050</v>
      </c>
      <c r="AE534" s="6">
        <v>19050</v>
      </c>
      <c r="AF534" s="6">
        <v>19050</v>
      </c>
      <c r="AG534" s="6">
        <v>19050</v>
      </c>
      <c r="AH534" s="6">
        <v>19050</v>
      </c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>
        <f t="shared" si="38"/>
        <v>6</v>
      </c>
      <c r="AX534" t="b">
        <f t="shared" si="39"/>
        <v>1</v>
      </c>
      <c r="AY534" s="21">
        <f t="shared" si="36"/>
        <v>114300</v>
      </c>
      <c r="AZ534" t="b">
        <f t="shared" si="37"/>
        <v>1</v>
      </c>
    </row>
    <row r="535" spans="1:52" x14ac:dyDescent="0.4">
      <c r="A535" s="6" t="s">
        <v>2230</v>
      </c>
      <c r="B535" s="1" t="s">
        <v>1706</v>
      </c>
      <c r="C535" s="1" t="s">
        <v>1707</v>
      </c>
      <c r="D535" s="1" t="s">
        <v>1708</v>
      </c>
      <c r="E535" s="1" t="s">
        <v>50</v>
      </c>
      <c r="F535" s="1" t="s">
        <v>56</v>
      </c>
      <c r="G535" s="5" t="s">
        <v>46</v>
      </c>
      <c r="H535" s="1" t="s">
        <v>52</v>
      </c>
      <c r="I535">
        <v>114300</v>
      </c>
      <c r="J535" s="1" t="s">
        <v>28</v>
      </c>
      <c r="K535">
        <v>0</v>
      </c>
      <c r="L535">
        <v>0</v>
      </c>
      <c r="M535">
        <v>0</v>
      </c>
      <c r="N535">
        <v>0</v>
      </c>
      <c r="O535">
        <v>114300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s="18">
        <v>6</v>
      </c>
      <c r="Y535" s="6"/>
      <c r="Z535" s="6"/>
      <c r="AA535" s="6"/>
      <c r="AB535" s="6"/>
      <c r="AC535" s="6">
        <v>19050</v>
      </c>
      <c r="AD535" s="6">
        <v>19050</v>
      </c>
      <c r="AE535" s="6">
        <v>19050</v>
      </c>
      <c r="AF535" s="6">
        <v>19050</v>
      </c>
      <c r="AG535" s="6">
        <v>19050</v>
      </c>
      <c r="AH535" s="6">
        <v>19050</v>
      </c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>
        <f t="shared" si="38"/>
        <v>6</v>
      </c>
      <c r="AX535" t="b">
        <f t="shared" si="39"/>
        <v>1</v>
      </c>
      <c r="AY535" s="21">
        <f t="shared" si="36"/>
        <v>114300</v>
      </c>
      <c r="AZ535" t="b">
        <f t="shared" si="37"/>
        <v>1</v>
      </c>
    </row>
    <row r="536" spans="1:52" x14ac:dyDescent="0.4">
      <c r="A536" s="6" t="s">
        <v>2230</v>
      </c>
      <c r="B536" s="1" t="s">
        <v>1709</v>
      </c>
      <c r="C536" s="1" t="s">
        <v>1710</v>
      </c>
      <c r="D536" s="1" t="s">
        <v>1711</v>
      </c>
      <c r="E536" s="1" t="s">
        <v>44</v>
      </c>
      <c r="F536" s="1" t="s">
        <v>45</v>
      </c>
      <c r="G536" s="5" t="s">
        <v>46</v>
      </c>
      <c r="H536" s="1" t="s">
        <v>27</v>
      </c>
      <c r="I536">
        <v>114300</v>
      </c>
      <c r="J536" s="1" t="s">
        <v>33</v>
      </c>
      <c r="K536">
        <v>0</v>
      </c>
      <c r="L536">
        <v>0</v>
      </c>
      <c r="M536">
        <v>0</v>
      </c>
      <c r="N536">
        <v>0</v>
      </c>
      <c r="O536">
        <v>114300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s="18">
        <v>6</v>
      </c>
      <c r="Y536" s="6"/>
      <c r="Z536" s="6"/>
      <c r="AA536" s="6"/>
      <c r="AB536" s="6"/>
      <c r="AC536" s="6">
        <v>19050</v>
      </c>
      <c r="AD536" s="6">
        <v>19050</v>
      </c>
      <c r="AE536" s="6">
        <v>19050</v>
      </c>
      <c r="AF536" s="6">
        <v>19050</v>
      </c>
      <c r="AG536" s="6">
        <v>19050</v>
      </c>
      <c r="AH536" s="6">
        <v>19050</v>
      </c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>
        <f t="shared" si="38"/>
        <v>6</v>
      </c>
      <c r="AX536" t="b">
        <f t="shared" si="39"/>
        <v>1</v>
      </c>
      <c r="AY536" s="21">
        <f t="shared" si="36"/>
        <v>114300</v>
      </c>
      <c r="AZ536" t="b">
        <f t="shared" si="37"/>
        <v>1</v>
      </c>
    </row>
    <row r="537" spans="1:52" x14ac:dyDescent="0.4">
      <c r="A537" s="6" t="s">
        <v>2230</v>
      </c>
      <c r="B537" s="1" t="s">
        <v>1712</v>
      </c>
      <c r="C537" s="1" t="s">
        <v>1713</v>
      </c>
      <c r="D537" s="1" t="s">
        <v>1714</v>
      </c>
      <c r="E537" s="1" t="s">
        <v>44</v>
      </c>
      <c r="F537" s="1" t="s">
        <v>1715</v>
      </c>
      <c r="G537" s="5" t="s">
        <v>10</v>
      </c>
      <c r="H537" s="1" t="s">
        <v>27</v>
      </c>
      <c r="I537">
        <v>114300</v>
      </c>
      <c r="J537" s="1" t="s">
        <v>1593</v>
      </c>
      <c r="K537">
        <v>0</v>
      </c>
      <c r="L537">
        <v>114300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s="18">
        <v>6</v>
      </c>
      <c r="Y537" s="6"/>
      <c r="Z537" s="6">
        <v>19050</v>
      </c>
      <c r="AA537" s="6">
        <v>19050</v>
      </c>
      <c r="AB537" s="6">
        <v>19050</v>
      </c>
      <c r="AC537" s="6">
        <v>19050</v>
      </c>
      <c r="AD537" s="6">
        <v>19050</v>
      </c>
      <c r="AE537" s="6">
        <v>19050</v>
      </c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>
        <f t="shared" si="38"/>
        <v>6</v>
      </c>
      <c r="AX537" t="b">
        <f t="shared" si="39"/>
        <v>1</v>
      </c>
      <c r="AY537" s="21">
        <f t="shared" si="36"/>
        <v>114300</v>
      </c>
      <c r="AZ537" t="b">
        <f t="shared" si="37"/>
        <v>1</v>
      </c>
    </row>
    <row r="538" spans="1:52" x14ac:dyDescent="0.4">
      <c r="A538" s="6" t="s">
        <v>2230</v>
      </c>
      <c r="B538" s="1" t="s">
        <v>1716</v>
      </c>
      <c r="C538" s="1" t="s">
        <v>1717</v>
      </c>
      <c r="D538" s="1" t="s">
        <v>1718</v>
      </c>
      <c r="E538" s="1" t="s">
        <v>44</v>
      </c>
      <c r="F538" s="1" t="s">
        <v>1309</v>
      </c>
      <c r="G538" s="5" t="s">
        <v>479</v>
      </c>
      <c r="H538" s="1" t="s">
        <v>27</v>
      </c>
      <c r="I538">
        <v>114300</v>
      </c>
      <c r="J538" s="1" t="s">
        <v>868</v>
      </c>
      <c r="K538">
        <v>0</v>
      </c>
      <c r="L538">
        <v>0</v>
      </c>
      <c r="M538">
        <v>114300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s="18">
        <v>6</v>
      </c>
      <c r="Y538" s="6"/>
      <c r="Z538" s="6"/>
      <c r="AA538" s="6">
        <v>19050</v>
      </c>
      <c r="AB538" s="6">
        <v>19050</v>
      </c>
      <c r="AC538" s="6">
        <v>19050</v>
      </c>
      <c r="AD538" s="6">
        <v>19050</v>
      </c>
      <c r="AE538" s="6">
        <v>19050</v>
      </c>
      <c r="AF538" s="6">
        <v>19050</v>
      </c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>
        <f t="shared" si="38"/>
        <v>6</v>
      </c>
      <c r="AX538" t="b">
        <f t="shared" si="39"/>
        <v>1</v>
      </c>
      <c r="AY538" s="21">
        <f t="shared" si="36"/>
        <v>114300</v>
      </c>
      <c r="AZ538" t="b">
        <f t="shared" si="37"/>
        <v>1</v>
      </c>
    </row>
    <row r="539" spans="1:52" x14ac:dyDescent="0.4">
      <c r="A539" s="6" t="s">
        <v>2230</v>
      </c>
      <c r="B539" s="1" t="s">
        <v>1719</v>
      </c>
      <c r="C539" s="1" t="s">
        <v>1720</v>
      </c>
      <c r="D539" s="1" t="s">
        <v>1721</v>
      </c>
      <c r="E539" s="1" t="s">
        <v>25</v>
      </c>
      <c r="F539" s="1" t="s">
        <v>112</v>
      </c>
      <c r="G539" s="5" t="s">
        <v>10</v>
      </c>
      <c r="H539" s="1" t="s">
        <v>27</v>
      </c>
      <c r="I539">
        <v>59400</v>
      </c>
      <c r="J539" s="1" t="s">
        <v>33</v>
      </c>
      <c r="K539">
        <v>0</v>
      </c>
      <c r="L539">
        <v>59400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s="18">
        <v>3</v>
      </c>
      <c r="Y539" s="6"/>
      <c r="Z539" s="6">
        <v>19800</v>
      </c>
      <c r="AA539" s="6">
        <v>19800</v>
      </c>
      <c r="AB539" s="6">
        <v>19800</v>
      </c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>
        <f t="shared" si="38"/>
        <v>3</v>
      </c>
      <c r="AX539" t="b">
        <f t="shared" si="39"/>
        <v>1</v>
      </c>
      <c r="AY539" s="21">
        <f t="shared" si="36"/>
        <v>59400</v>
      </c>
      <c r="AZ539" t="b">
        <f t="shared" si="37"/>
        <v>1</v>
      </c>
    </row>
    <row r="540" spans="1:52" x14ac:dyDescent="0.4">
      <c r="A540" s="6" t="s">
        <v>2230</v>
      </c>
      <c r="B540" s="1" t="s">
        <v>1722</v>
      </c>
      <c r="C540" s="1" t="s">
        <v>1723</v>
      </c>
      <c r="D540" s="1" t="s">
        <v>1724</v>
      </c>
      <c r="E540" s="1" t="s">
        <v>44</v>
      </c>
      <c r="F540" s="1" t="s">
        <v>63</v>
      </c>
      <c r="G540" s="5" t="s">
        <v>46</v>
      </c>
      <c r="H540" s="1" t="s">
        <v>27</v>
      </c>
      <c r="I540">
        <v>114300</v>
      </c>
      <c r="J540" s="1" t="s">
        <v>33</v>
      </c>
      <c r="K540">
        <v>0</v>
      </c>
      <c r="L540">
        <v>0</v>
      </c>
      <c r="M540">
        <v>0</v>
      </c>
      <c r="N540">
        <v>0</v>
      </c>
      <c r="O540">
        <v>114300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s="18">
        <v>6</v>
      </c>
      <c r="Y540" s="6"/>
      <c r="Z540" s="6"/>
      <c r="AA540" s="6"/>
      <c r="AB540" s="6"/>
      <c r="AC540" s="6">
        <v>19050</v>
      </c>
      <c r="AD540" s="6">
        <v>19050</v>
      </c>
      <c r="AE540" s="6">
        <v>19050</v>
      </c>
      <c r="AF540" s="6">
        <v>19050</v>
      </c>
      <c r="AG540" s="6">
        <v>19050</v>
      </c>
      <c r="AH540" s="6">
        <v>19050</v>
      </c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>
        <f t="shared" si="38"/>
        <v>6</v>
      </c>
      <c r="AX540" t="b">
        <f t="shared" si="39"/>
        <v>1</v>
      </c>
      <c r="AY540" s="21">
        <f t="shared" si="36"/>
        <v>114300</v>
      </c>
      <c r="AZ540" t="b">
        <f t="shared" si="37"/>
        <v>1</v>
      </c>
    </row>
    <row r="541" spans="1:52" x14ac:dyDescent="0.4">
      <c r="A541" s="6" t="s">
        <v>2230</v>
      </c>
      <c r="B541" s="1" t="s">
        <v>1725</v>
      </c>
      <c r="C541" s="1" t="s">
        <v>1726</v>
      </c>
      <c r="D541" s="1" t="s">
        <v>1727</v>
      </c>
      <c r="E541" s="1" t="s">
        <v>44</v>
      </c>
      <c r="F541" s="1" t="s">
        <v>867</v>
      </c>
      <c r="G541" s="5" t="s">
        <v>479</v>
      </c>
      <c r="H541" s="1" t="s">
        <v>27</v>
      </c>
      <c r="I541">
        <v>114300</v>
      </c>
      <c r="J541" s="1" t="s">
        <v>868</v>
      </c>
      <c r="K541">
        <v>0</v>
      </c>
      <c r="L541">
        <v>0</v>
      </c>
      <c r="M541">
        <v>114300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s="18">
        <v>6</v>
      </c>
      <c r="Y541" s="6"/>
      <c r="Z541" s="6"/>
      <c r="AA541" s="6">
        <v>19050</v>
      </c>
      <c r="AB541" s="6">
        <v>19050</v>
      </c>
      <c r="AC541" s="6">
        <v>19050</v>
      </c>
      <c r="AD541" s="6">
        <v>19050</v>
      </c>
      <c r="AE541" s="6">
        <v>19050</v>
      </c>
      <c r="AF541" s="6">
        <v>19050</v>
      </c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>
        <f t="shared" si="38"/>
        <v>6</v>
      </c>
      <c r="AX541" t="b">
        <f t="shared" si="39"/>
        <v>1</v>
      </c>
      <c r="AY541" s="21">
        <f t="shared" si="36"/>
        <v>114300</v>
      </c>
      <c r="AZ541" t="b">
        <f t="shared" si="37"/>
        <v>1</v>
      </c>
    </row>
    <row r="542" spans="1:52" x14ac:dyDescent="0.4">
      <c r="A542" s="6" t="s">
        <v>2230</v>
      </c>
      <c r="B542" s="1" t="s">
        <v>1728</v>
      </c>
      <c r="C542" s="1" t="s">
        <v>1729</v>
      </c>
      <c r="D542" s="1" t="s">
        <v>1730</v>
      </c>
      <c r="E542" s="1" t="s">
        <v>44</v>
      </c>
      <c r="F542" s="1" t="s">
        <v>1731</v>
      </c>
      <c r="G542" s="5" t="s">
        <v>75</v>
      </c>
      <c r="H542" s="1" t="s">
        <v>27</v>
      </c>
      <c r="I542">
        <v>114300</v>
      </c>
      <c r="J542" s="1" t="s">
        <v>28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114300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s="18">
        <v>6</v>
      </c>
      <c r="Y542" s="6"/>
      <c r="Z542" s="6"/>
      <c r="AA542" s="6"/>
      <c r="AB542" s="6"/>
      <c r="AC542" s="6"/>
      <c r="AD542" s="6">
        <v>19050</v>
      </c>
      <c r="AE542" s="6">
        <v>19050</v>
      </c>
      <c r="AF542" s="6">
        <v>19050</v>
      </c>
      <c r="AG542" s="6">
        <v>19050</v>
      </c>
      <c r="AH542" s="6">
        <v>19050</v>
      </c>
      <c r="AI542" s="6">
        <v>19050</v>
      </c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>
        <f t="shared" si="38"/>
        <v>6</v>
      </c>
      <c r="AX542" t="b">
        <f t="shared" si="39"/>
        <v>1</v>
      </c>
      <c r="AY542" s="21">
        <f t="shared" si="36"/>
        <v>114300</v>
      </c>
      <c r="AZ542" t="b">
        <f t="shared" si="37"/>
        <v>1</v>
      </c>
    </row>
    <row r="543" spans="1:52" x14ac:dyDescent="0.4">
      <c r="A543" s="6" t="s">
        <v>2230</v>
      </c>
      <c r="B543" s="1" t="s">
        <v>1732</v>
      </c>
      <c r="C543" s="1" t="s">
        <v>1733</v>
      </c>
      <c r="D543" s="1" t="s">
        <v>1734</v>
      </c>
      <c r="E543" s="1" t="s">
        <v>25</v>
      </c>
      <c r="F543" s="1" t="s">
        <v>150</v>
      </c>
      <c r="G543" s="5" t="s">
        <v>10</v>
      </c>
      <c r="H543" s="1" t="s">
        <v>27</v>
      </c>
      <c r="I543">
        <v>59400</v>
      </c>
      <c r="J543" s="1" t="s">
        <v>33</v>
      </c>
      <c r="K543">
        <v>0</v>
      </c>
      <c r="L543">
        <v>59400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s="18">
        <v>3</v>
      </c>
      <c r="Y543" s="6"/>
      <c r="Z543" s="6">
        <v>19800</v>
      </c>
      <c r="AA543" s="6">
        <v>19800</v>
      </c>
      <c r="AB543" s="6">
        <v>19800</v>
      </c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>
        <f t="shared" si="38"/>
        <v>3</v>
      </c>
      <c r="AX543" t="b">
        <f t="shared" si="39"/>
        <v>1</v>
      </c>
      <c r="AY543" s="21">
        <f t="shared" si="36"/>
        <v>59400</v>
      </c>
      <c r="AZ543" t="b">
        <f t="shared" si="37"/>
        <v>1</v>
      </c>
    </row>
    <row r="544" spans="1:52" x14ac:dyDescent="0.4">
      <c r="A544" s="6" t="s">
        <v>2230</v>
      </c>
      <c r="B544" s="1" t="s">
        <v>1735</v>
      </c>
      <c r="C544" s="1" t="s">
        <v>1736</v>
      </c>
      <c r="D544" s="1" t="s">
        <v>1737</v>
      </c>
      <c r="E544" s="1" t="s">
        <v>44</v>
      </c>
      <c r="F544" s="1" t="s">
        <v>924</v>
      </c>
      <c r="G544" s="5" t="s">
        <v>479</v>
      </c>
      <c r="H544" s="1" t="s">
        <v>27</v>
      </c>
      <c r="I544">
        <v>114300</v>
      </c>
      <c r="J544" s="1" t="s">
        <v>868</v>
      </c>
      <c r="K544">
        <v>0</v>
      </c>
      <c r="L544">
        <v>0</v>
      </c>
      <c r="M544">
        <v>114300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s="18">
        <v>6</v>
      </c>
      <c r="Y544" s="6"/>
      <c r="Z544" s="6"/>
      <c r="AA544" s="6">
        <v>19050</v>
      </c>
      <c r="AB544" s="6">
        <v>19050</v>
      </c>
      <c r="AC544" s="6">
        <v>19050</v>
      </c>
      <c r="AD544" s="6">
        <v>19050</v>
      </c>
      <c r="AE544" s="6">
        <v>19050</v>
      </c>
      <c r="AF544" s="6">
        <v>19050</v>
      </c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>
        <f t="shared" si="38"/>
        <v>6</v>
      </c>
      <c r="AX544" t="b">
        <f t="shared" si="39"/>
        <v>1</v>
      </c>
      <c r="AY544" s="21">
        <f t="shared" si="36"/>
        <v>114300</v>
      </c>
      <c r="AZ544" t="b">
        <f t="shared" si="37"/>
        <v>1</v>
      </c>
    </row>
    <row r="545" spans="1:52" x14ac:dyDescent="0.4">
      <c r="A545" s="6" t="s">
        <v>2230</v>
      </c>
      <c r="B545" s="1" t="s">
        <v>1738</v>
      </c>
      <c r="C545" s="1" t="s">
        <v>1739</v>
      </c>
      <c r="D545" s="1" t="s">
        <v>1740</v>
      </c>
      <c r="E545" s="1" t="s">
        <v>25</v>
      </c>
      <c r="F545" s="1" t="s">
        <v>920</v>
      </c>
      <c r="G545" s="5" t="s">
        <v>479</v>
      </c>
      <c r="H545" s="1" t="s">
        <v>27</v>
      </c>
      <c r="I545">
        <v>59400</v>
      </c>
      <c r="J545" s="1" t="s">
        <v>28</v>
      </c>
      <c r="K545">
        <v>0</v>
      </c>
      <c r="L545">
        <v>0</v>
      </c>
      <c r="M545">
        <v>59400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s="18">
        <v>3</v>
      </c>
      <c r="Y545" s="6"/>
      <c r="Z545" s="6"/>
      <c r="AA545" s="6">
        <v>19800</v>
      </c>
      <c r="AB545" s="6">
        <v>19800</v>
      </c>
      <c r="AC545" s="6">
        <v>19800</v>
      </c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>
        <f t="shared" si="38"/>
        <v>3</v>
      </c>
      <c r="AX545" t="b">
        <f t="shared" si="39"/>
        <v>1</v>
      </c>
      <c r="AY545" s="21">
        <f t="shared" si="36"/>
        <v>59400</v>
      </c>
      <c r="AZ545" t="b">
        <f t="shared" si="37"/>
        <v>1</v>
      </c>
    </row>
    <row r="546" spans="1:52" x14ac:dyDescent="0.4">
      <c r="A546" s="6" t="s">
        <v>2230</v>
      </c>
      <c r="B546" s="1" t="s">
        <v>1741</v>
      </c>
      <c r="C546" s="1" t="s">
        <v>1742</v>
      </c>
      <c r="D546" s="1" t="s">
        <v>1743</v>
      </c>
      <c r="E546" s="1" t="s">
        <v>44</v>
      </c>
      <c r="F546" s="1" t="s">
        <v>1172</v>
      </c>
      <c r="G546" s="5" t="s">
        <v>479</v>
      </c>
      <c r="H546" s="1" t="s">
        <v>27</v>
      </c>
      <c r="I546">
        <v>114300</v>
      </c>
      <c r="J546" s="1" t="s">
        <v>868</v>
      </c>
      <c r="K546">
        <v>0</v>
      </c>
      <c r="L546">
        <v>0</v>
      </c>
      <c r="M546">
        <v>114300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s="18">
        <v>6</v>
      </c>
      <c r="Y546" s="6"/>
      <c r="Z546" s="6"/>
      <c r="AA546" s="6">
        <v>19050</v>
      </c>
      <c r="AB546" s="6">
        <v>19050</v>
      </c>
      <c r="AC546" s="6">
        <v>19050</v>
      </c>
      <c r="AD546" s="6">
        <v>19050</v>
      </c>
      <c r="AE546" s="6">
        <v>19050</v>
      </c>
      <c r="AF546" s="6">
        <v>19050</v>
      </c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>
        <f t="shared" si="38"/>
        <v>6</v>
      </c>
      <c r="AX546" t="b">
        <f t="shared" si="39"/>
        <v>1</v>
      </c>
      <c r="AY546" s="21">
        <f t="shared" si="36"/>
        <v>114300</v>
      </c>
      <c r="AZ546" t="b">
        <f t="shared" si="37"/>
        <v>1</v>
      </c>
    </row>
    <row r="547" spans="1:52" x14ac:dyDescent="0.4">
      <c r="A547" s="6" t="s">
        <v>2230</v>
      </c>
      <c r="B547" s="1" t="s">
        <v>1744</v>
      </c>
      <c r="C547" s="1" t="s">
        <v>1745</v>
      </c>
      <c r="D547" s="1" t="s">
        <v>1746</v>
      </c>
      <c r="E547" s="1" t="s">
        <v>44</v>
      </c>
      <c r="F547" s="1" t="s">
        <v>1141</v>
      </c>
      <c r="G547" s="5" t="s">
        <v>479</v>
      </c>
      <c r="H547" s="1" t="s">
        <v>27</v>
      </c>
      <c r="I547">
        <v>114300</v>
      </c>
      <c r="J547" s="1" t="s">
        <v>868</v>
      </c>
      <c r="K547">
        <v>0</v>
      </c>
      <c r="L547">
        <v>0</v>
      </c>
      <c r="M547">
        <v>114300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s="18">
        <v>6</v>
      </c>
      <c r="Y547" s="6"/>
      <c r="Z547" s="6"/>
      <c r="AA547" s="6">
        <v>19050</v>
      </c>
      <c r="AB547" s="6">
        <v>19050</v>
      </c>
      <c r="AC547" s="6">
        <v>19050</v>
      </c>
      <c r="AD547" s="6">
        <v>19050</v>
      </c>
      <c r="AE547" s="6">
        <v>19050</v>
      </c>
      <c r="AF547" s="6">
        <v>19050</v>
      </c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>
        <f t="shared" si="38"/>
        <v>6</v>
      </c>
      <c r="AX547" t="b">
        <f t="shared" si="39"/>
        <v>1</v>
      </c>
      <c r="AY547" s="21">
        <f t="shared" si="36"/>
        <v>114300</v>
      </c>
      <c r="AZ547" t="b">
        <f t="shared" si="37"/>
        <v>1</v>
      </c>
    </row>
    <row r="548" spans="1:52" x14ac:dyDescent="0.4">
      <c r="A548" s="6" t="s">
        <v>2230</v>
      </c>
      <c r="B548" s="1" t="s">
        <v>1747</v>
      </c>
      <c r="C548" s="1" t="s">
        <v>1748</v>
      </c>
      <c r="D548" s="1" t="s">
        <v>1749</v>
      </c>
      <c r="E548" s="1" t="s">
        <v>44</v>
      </c>
      <c r="F548" s="1" t="s">
        <v>1750</v>
      </c>
      <c r="G548" s="5" t="s">
        <v>46</v>
      </c>
      <c r="H548" s="1" t="s">
        <v>27</v>
      </c>
      <c r="I548">
        <v>114300</v>
      </c>
      <c r="J548" s="1" t="s">
        <v>33</v>
      </c>
      <c r="K548">
        <v>0</v>
      </c>
      <c r="L548">
        <v>0</v>
      </c>
      <c r="M548">
        <v>0</v>
      </c>
      <c r="N548">
        <v>0</v>
      </c>
      <c r="O548">
        <v>114300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s="18">
        <v>6</v>
      </c>
      <c r="Y548" s="6"/>
      <c r="Z548" s="6"/>
      <c r="AA548" s="6"/>
      <c r="AB548" s="6"/>
      <c r="AC548" s="6">
        <v>19050</v>
      </c>
      <c r="AD548" s="6">
        <v>19050</v>
      </c>
      <c r="AE548" s="6">
        <v>19050</v>
      </c>
      <c r="AF548" s="6">
        <v>19050</v>
      </c>
      <c r="AG548" s="6">
        <v>19050</v>
      </c>
      <c r="AH548" s="6">
        <v>19050</v>
      </c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>
        <f t="shared" si="38"/>
        <v>6</v>
      </c>
      <c r="AX548" t="b">
        <f t="shared" si="39"/>
        <v>1</v>
      </c>
      <c r="AY548" s="21">
        <f t="shared" si="36"/>
        <v>114300</v>
      </c>
      <c r="AZ548" t="b">
        <f t="shared" si="37"/>
        <v>1</v>
      </c>
    </row>
    <row r="549" spans="1:52" x14ac:dyDescent="0.4">
      <c r="A549" s="6" t="s">
        <v>2230</v>
      </c>
      <c r="B549" s="1" t="s">
        <v>1751</v>
      </c>
      <c r="C549" s="1" t="s">
        <v>1752</v>
      </c>
      <c r="D549" s="1" t="s">
        <v>1753</v>
      </c>
      <c r="E549" s="1" t="s">
        <v>25</v>
      </c>
      <c r="F549" s="1" t="s">
        <v>1754</v>
      </c>
      <c r="G549" s="5" t="s">
        <v>10</v>
      </c>
      <c r="H549" s="1" t="s">
        <v>27</v>
      </c>
      <c r="I549">
        <v>59400</v>
      </c>
      <c r="J549" s="1" t="s">
        <v>33</v>
      </c>
      <c r="K549">
        <v>0</v>
      </c>
      <c r="L549">
        <v>59400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s="18">
        <v>3</v>
      </c>
      <c r="Y549" s="6"/>
      <c r="Z549" s="6">
        <v>19800</v>
      </c>
      <c r="AA549" s="6">
        <v>19800</v>
      </c>
      <c r="AB549" s="6">
        <v>19800</v>
      </c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>
        <f t="shared" si="38"/>
        <v>3</v>
      </c>
      <c r="AX549" t="b">
        <f t="shared" si="39"/>
        <v>1</v>
      </c>
      <c r="AY549" s="21">
        <f t="shared" si="36"/>
        <v>59400</v>
      </c>
      <c r="AZ549" t="b">
        <f t="shared" si="37"/>
        <v>1</v>
      </c>
    </row>
    <row r="550" spans="1:52" x14ac:dyDescent="0.4">
      <c r="A550" s="6" t="s">
        <v>2230</v>
      </c>
      <c r="B550" s="1" t="s">
        <v>1755</v>
      </c>
      <c r="C550" s="1" t="s">
        <v>1756</v>
      </c>
      <c r="D550" s="1" t="s">
        <v>1757</v>
      </c>
      <c r="E550" s="1" t="s">
        <v>50</v>
      </c>
      <c r="F550" s="1" t="s">
        <v>86</v>
      </c>
      <c r="G550" s="5" t="s">
        <v>46</v>
      </c>
      <c r="H550" s="1" t="s">
        <v>52</v>
      </c>
      <c r="I550">
        <v>114300</v>
      </c>
      <c r="J550" s="1" t="s">
        <v>28</v>
      </c>
      <c r="K550">
        <v>0</v>
      </c>
      <c r="L550">
        <v>0</v>
      </c>
      <c r="M550">
        <v>0</v>
      </c>
      <c r="N550">
        <v>0</v>
      </c>
      <c r="O550">
        <v>114300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s="18">
        <v>6</v>
      </c>
      <c r="Y550" s="6"/>
      <c r="Z550" s="6"/>
      <c r="AA550" s="6"/>
      <c r="AB550" s="6"/>
      <c r="AC550" s="6">
        <v>19050</v>
      </c>
      <c r="AD550" s="6">
        <v>19050</v>
      </c>
      <c r="AE550" s="6">
        <v>19050</v>
      </c>
      <c r="AF550" s="6">
        <v>19050</v>
      </c>
      <c r="AG550" s="6">
        <v>19050</v>
      </c>
      <c r="AH550" s="6">
        <v>19050</v>
      </c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>
        <f t="shared" si="38"/>
        <v>6</v>
      </c>
      <c r="AX550" t="b">
        <f t="shared" si="39"/>
        <v>1</v>
      </c>
      <c r="AY550" s="21">
        <f t="shared" si="36"/>
        <v>114300</v>
      </c>
      <c r="AZ550" t="b">
        <f t="shared" si="37"/>
        <v>1</v>
      </c>
    </row>
    <row r="551" spans="1:52" x14ac:dyDescent="0.4">
      <c r="A551" s="6" t="s">
        <v>2230</v>
      </c>
      <c r="B551" s="1" t="s">
        <v>1758</v>
      </c>
      <c r="C551" s="1" t="s">
        <v>1759</v>
      </c>
      <c r="D551" s="1" t="s">
        <v>1760</v>
      </c>
      <c r="E551" s="1" t="s">
        <v>44</v>
      </c>
      <c r="F551" s="1" t="s">
        <v>140</v>
      </c>
      <c r="G551" s="5" t="s">
        <v>46</v>
      </c>
      <c r="H551" s="1" t="s">
        <v>27</v>
      </c>
      <c r="I551">
        <v>114300</v>
      </c>
      <c r="J551" s="1" t="s">
        <v>33</v>
      </c>
      <c r="K551">
        <v>0</v>
      </c>
      <c r="L551">
        <v>0</v>
      </c>
      <c r="M551">
        <v>0</v>
      </c>
      <c r="N551">
        <v>0</v>
      </c>
      <c r="O551">
        <v>114300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s="18">
        <v>6</v>
      </c>
      <c r="Y551" s="6"/>
      <c r="Z551" s="6"/>
      <c r="AA551" s="6"/>
      <c r="AB551" s="6"/>
      <c r="AC551" s="6">
        <v>19050</v>
      </c>
      <c r="AD551" s="6">
        <v>19050</v>
      </c>
      <c r="AE551" s="6">
        <v>19050</v>
      </c>
      <c r="AF551" s="6">
        <v>19050</v>
      </c>
      <c r="AG551" s="6">
        <v>19050</v>
      </c>
      <c r="AH551" s="6">
        <v>19050</v>
      </c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>
        <f t="shared" si="38"/>
        <v>6</v>
      </c>
      <c r="AX551" t="b">
        <f t="shared" si="39"/>
        <v>1</v>
      </c>
      <c r="AY551" s="21">
        <f t="shared" si="36"/>
        <v>114300</v>
      </c>
      <c r="AZ551" t="b">
        <f t="shared" si="37"/>
        <v>1</v>
      </c>
    </row>
    <row r="552" spans="1:52" x14ac:dyDescent="0.4">
      <c r="A552" s="6" t="s">
        <v>2230</v>
      </c>
      <c r="B552" s="1" t="s">
        <v>1761</v>
      </c>
      <c r="C552" s="1" t="s">
        <v>1762</v>
      </c>
      <c r="D552" s="1" t="s">
        <v>1763</v>
      </c>
      <c r="E552" s="1" t="s">
        <v>44</v>
      </c>
      <c r="F552" s="1" t="s">
        <v>56</v>
      </c>
      <c r="G552" s="5" t="s">
        <v>46</v>
      </c>
      <c r="H552" s="1" t="s">
        <v>27</v>
      </c>
      <c r="I552">
        <v>114300</v>
      </c>
      <c r="J552" s="1" t="s">
        <v>33</v>
      </c>
      <c r="K552">
        <v>0</v>
      </c>
      <c r="L552">
        <v>0</v>
      </c>
      <c r="M552">
        <v>0</v>
      </c>
      <c r="N552">
        <v>0</v>
      </c>
      <c r="O552">
        <v>114300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s="18">
        <v>6</v>
      </c>
      <c r="Y552" s="6"/>
      <c r="Z552" s="6"/>
      <c r="AA552" s="6"/>
      <c r="AB552" s="6"/>
      <c r="AC552" s="6">
        <v>19050</v>
      </c>
      <c r="AD552" s="6">
        <v>19050</v>
      </c>
      <c r="AE552" s="6">
        <v>19050</v>
      </c>
      <c r="AF552" s="6">
        <v>19050</v>
      </c>
      <c r="AG552" s="6">
        <v>19050</v>
      </c>
      <c r="AH552" s="6">
        <v>19050</v>
      </c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>
        <f t="shared" si="38"/>
        <v>6</v>
      </c>
      <c r="AX552" t="b">
        <f t="shared" si="39"/>
        <v>1</v>
      </c>
      <c r="AY552" s="21">
        <f t="shared" si="36"/>
        <v>114300</v>
      </c>
      <c r="AZ552" t="b">
        <f t="shared" si="37"/>
        <v>1</v>
      </c>
    </row>
    <row r="553" spans="1:52" x14ac:dyDescent="0.4">
      <c r="A553" s="6" t="s">
        <v>2230</v>
      </c>
      <c r="B553" s="1" t="s">
        <v>1764</v>
      </c>
      <c r="C553" s="1" t="s">
        <v>1765</v>
      </c>
      <c r="D553" s="1" t="s">
        <v>1766</v>
      </c>
      <c r="E553" s="1" t="s">
        <v>44</v>
      </c>
      <c r="F553" s="1" t="s">
        <v>90</v>
      </c>
      <c r="G553" s="5" t="s">
        <v>46</v>
      </c>
      <c r="H553" s="1" t="s">
        <v>27</v>
      </c>
      <c r="I553">
        <v>114300</v>
      </c>
      <c r="J553" s="1" t="s">
        <v>33</v>
      </c>
      <c r="K553">
        <v>0</v>
      </c>
      <c r="L553">
        <v>0</v>
      </c>
      <c r="M553">
        <v>0</v>
      </c>
      <c r="N553">
        <v>0</v>
      </c>
      <c r="O553">
        <v>114300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s="18">
        <v>6</v>
      </c>
      <c r="Y553" s="6"/>
      <c r="Z553" s="6"/>
      <c r="AA553" s="6"/>
      <c r="AB553" s="6"/>
      <c r="AC553" s="6">
        <v>19050</v>
      </c>
      <c r="AD553" s="6">
        <v>19050</v>
      </c>
      <c r="AE553" s="6">
        <v>19050</v>
      </c>
      <c r="AF553" s="6">
        <v>19050</v>
      </c>
      <c r="AG553" s="6">
        <v>19050</v>
      </c>
      <c r="AH553" s="6">
        <v>19050</v>
      </c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>
        <f t="shared" si="38"/>
        <v>6</v>
      </c>
      <c r="AX553" t="b">
        <f t="shared" si="39"/>
        <v>1</v>
      </c>
      <c r="AY553" s="21">
        <f t="shared" si="36"/>
        <v>114300</v>
      </c>
      <c r="AZ553" t="b">
        <f t="shared" si="37"/>
        <v>1</v>
      </c>
    </row>
    <row r="554" spans="1:52" x14ac:dyDescent="0.4">
      <c r="A554" s="6" t="s">
        <v>2230</v>
      </c>
      <c r="B554" s="1" t="s">
        <v>1767</v>
      </c>
      <c r="C554" s="1" t="s">
        <v>1768</v>
      </c>
      <c r="D554" s="1" t="s">
        <v>1769</v>
      </c>
      <c r="E554" s="1" t="s">
        <v>44</v>
      </c>
      <c r="F554" s="1" t="s">
        <v>86</v>
      </c>
      <c r="G554" s="5" t="s">
        <v>46</v>
      </c>
      <c r="H554" s="1" t="s">
        <v>27</v>
      </c>
      <c r="I554">
        <v>114300</v>
      </c>
      <c r="J554" s="1" t="s">
        <v>33</v>
      </c>
      <c r="K554">
        <v>0</v>
      </c>
      <c r="L554">
        <v>0</v>
      </c>
      <c r="M554">
        <v>0</v>
      </c>
      <c r="N554">
        <v>0</v>
      </c>
      <c r="O554">
        <v>114300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s="18">
        <v>6</v>
      </c>
      <c r="Y554" s="6"/>
      <c r="Z554" s="6"/>
      <c r="AA554" s="6"/>
      <c r="AB554" s="6"/>
      <c r="AC554" s="6">
        <v>19050</v>
      </c>
      <c r="AD554" s="6">
        <v>19050</v>
      </c>
      <c r="AE554" s="6">
        <v>19050</v>
      </c>
      <c r="AF554" s="6">
        <v>19050</v>
      </c>
      <c r="AG554" s="6">
        <v>19050</v>
      </c>
      <c r="AH554" s="6">
        <v>19050</v>
      </c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>
        <f t="shared" si="38"/>
        <v>6</v>
      </c>
      <c r="AX554" t="b">
        <f t="shared" si="39"/>
        <v>1</v>
      </c>
      <c r="AY554" s="21">
        <f t="shared" si="36"/>
        <v>114300</v>
      </c>
      <c r="AZ554" t="b">
        <f t="shared" si="37"/>
        <v>1</v>
      </c>
    </row>
    <row r="555" spans="1:52" x14ac:dyDescent="0.4">
      <c r="A555" s="6" t="s">
        <v>2230</v>
      </c>
      <c r="B555" s="1" t="s">
        <v>1770</v>
      </c>
      <c r="C555" s="1" t="s">
        <v>1771</v>
      </c>
      <c r="D555" s="1" t="s">
        <v>1772</v>
      </c>
      <c r="E555" s="1" t="s">
        <v>44</v>
      </c>
      <c r="F555" s="1" t="s">
        <v>867</v>
      </c>
      <c r="G555" s="5" t="s">
        <v>479</v>
      </c>
      <c r="H555" s="1" t="s">
        <v>27</v>
      </c>
      <c r="I555">
        <v>114300</v>
      </c>
      <c r="J555" s="1" t="s">
        <v>868</v>
      </c>
      <c r="K555">
        <v>0</v>
      </c>
      <c r="L555">
        <v>0</v>
      </c>
      <c r="M555">
        <v>114300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s="18">
        <v>6</v>
      </c>
      <c r="Y555" s="6"/>
      <c r="Z555" s="6"/>
      <c r="AA555" s="6">
        <v>19050</v>
      </c>
      <c r="AB555" s="6">
        <v>19050</v>
      </c>
      <c r="AC555" s="6">
        <v>19050</v>
      </c>
      <c r="AD555" s="6">
        <v>19050</v>
      </c>
      <c r="AE555" s="6">
        <v>19050</v>
      </c>
      <c r="AF555" s="6">
        <v>19050</v>
      </c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>
        <f t="shared" si="38"/>
        <v>6</v>
      </c>
      <c r="AX555" t="b">
        <f t="shared" si="39"/>
        <v>1</v>
      </c>
      <c r="AY555" s="21">
        <f t="shared" si="36"/>
        <v>114300</v>
      </c>
      <c r="AZ555" t="b">
        <f t="shared" si="37"/>
        <v>1</v>
      </c>
    </row>
    <row r="556" spans="1:52" x14ac:dyDescent="0.4">
      <c r="A556" s="6" t="s">
        <v>2230</v>
      </c>
      <c r="B556" s="1" t="s">
        <v>1773</v>
      </c>
      <c r="C556" s="1" t="s">
        <v>1774</v>
      </c>
      <c r="D556" s="1" t="s">
        <v>1775</v>
      </c>
      <c r="E556" s="1" t="s">
        <v>44</v>
      </c>
      <c r="F556" s="1" t="s">
        <v>86</v>
      </c>
      <c r="G556" s="5" t="s">
        <v>46</v>
      </c>
      <c r="H556" s="1" t="s">
        <v>27</v>
      </c>
      <c r="I556">
        <v>114300</v>
      </c>
      <c r="J556" s="1" t="s">
        <v>33</v>
      </c>
      <c r="K556">
        <v>0</v>
      </c>
      <c r="L556">
        <v>0</v>
      </c>
      <c r="M556">
        <v>0</v>
      </c>
      <c r="N556">
        <v>0</v>
      </c>
      <c r="O556">
        <v>114300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s="18">
        <v>6</v>
      </c>
      <c r="Y556" s="6"/>
      <c r="Z556" s="6"/>
      <c r="AA556" s="6"/>
      <c r="AB556" s="6"/>
      <c r="AC556" s="6">
        <v>19050</v>
      </c>
      <c r="AD556" s="6">
        <v>19050</v>
      </c>
      <c r="AE556" s="6">
        <v>19050</v>
      </c>
      <c r="AF556" s="6">
        <v>19050</v>
      </c>
      <c r="AG556" s="6">
        <v>19050</v>
      </c>
      <c r="AH556" s="6">
        <v>19050</v>
      </c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>
        <f t="shared" si="38"/>
        <v>6</v>
      </c>
      <c r="AX556" t="b">
        <f t="shared" si="39"/>
        <v>1</v>
      </c>
      <c r="AY556" s="21">
        <f t="shared" si="36"/>
        <v>114300</v>
      </c>
      <c r="AZ556" t="b">
        <f t="shared" si="37"/>
        <v>1</v>
      </c>
    </row>
    <row r="557" spans="1:52" x14ac:dyDescent="0.4">
      <c r="A557" s="6" t="s">
        <v>2230</v>
      </c>
      <c r="B557" s="1" t="s">
        <v>1776</v>
      </c>
      <c r="C557" s="1" t="s">
        <v>1777</v>
      </c>
      <c r="D557" s="1" t="s">
        <v>1778</v>
      </c>
      <c r="E557" s="1" t="s">
        <v>44</v>
      </c>
      <c r="F557" s="1" t="s">
        <v>1211</v>
      </c>
      <c r="G557" s="5" t="s">
        <v>479</v>
      </c>
      <c r="H557" s="1" t="s">
        <v>27</v>
      </c>
      <c r="I557">
        <v>114300</v>
      </c>
      <c r="J557" s="1" t="s">
        <v>868</v>
      </c>
      <c r="K557">
        <v>0</v>
      </c>
      <c r="L557">
        <v>0</v>
      </c>
      <c r="M557">
        <v>114300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s="18">
        <v>6</v>
      </c>
      <c r="Y557" s="6"/>
      <c r="Z557" s="6"/>
      <c r="AA557" s="6">
        <v>19050</v>
      </c>
      <c r="AB557" s="6">
        <v>19050</v>
      </c>
      <c r="AC557" s="6">
        <v>19050</v>
      </c>
      <c r="AD557" s="6">
        <v>19050</v>
      </c>
      <c r="AE557" s="6">
        <v>19050</v>
      </c>
      <c r="AF557" s="6">
        <v>19050</v>
      </c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>
        <f t="shared" si="38"/>
        <v>6</v>
      </c>
      <c r="AX557" t="b">
        <f t="shared" si="39"/>
        <v>1</v>
      </c>
      <c r="AY557" s="21">
        <f t="shared" si="36"/>
        <v>114300</v>
      </c>
      <c r="AZ557" t="b">
        <f t="shared" si="37"/>
        <v>1</v>
      </c>
    </row>
    <row r="558" spans="1:52" x14ac:dyDescent="0.4">
      <c r="A558" s="6" t="s">
        <v>2230</v>
      </c>
      <c r="B558" s="1" t="s">
        <v>1779</v>
      </c>
      <c r="C558" s="1" t="s">
        <v>1780</v>
      </c>
      <c r="D558" s="1" t="s">
        <v>1781</v>
      </c>
      <c r="E558" s="1" t="s">
        <v>44</v>
      </c>
      <c r="F558" s="1" t="s">
        <v>1195</v>
      </c>
      <c r="G558" s="5" t="s">
        <v>479</v>
      </c>
      <c r="H558" s="1" t="s">
        <v>27</v>
      </c>
      <c r="I558">
        <v>114300</v>
      </c>
      <c r="J558" s="1" t="s">
        <v>868</v>
      </c>
      <c r="K558">
        <v>0</v>
      </c>
      <c r="L558">
        <v>0</v>
      </c>
      <c r="M558">
        <v>114300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s="18">
        <v>6</v>
      </c>
      <c r="Y558" s="6"/>
      <c r="Z558" s="6"/>
      <c r="AA558" s="6">
        <v>19050</v>
      </c>
      <c r="AB558" s="6">
        <v>19050</v>
      </c>
      <c r="AC558" s="6">
        <v>19050</v>
      </c>
      <c r="AD558" s="6">
        <v>19050</v>
      </c>
      <c r="AE558" s="6">
        <v>19050</v>
      </c>
      <c r="AF558" s="6">
        <v>19050</v>
      </c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>
        <f t="shared" si="38"/>
        <v>6</v>
      </c>
      <c r="AX558" t="b">
        <f t="shared" si="39"/>
        <v>1</v>
      </c>
      <c r="AY558" s="21">
        <f t="shared" si="36"/>
        <v>114300</v>
      </c>
      <c r="AZ558" t="b">
        <f t="shared" si="37"/>
        <v>1</v>
      </c>
    </row>
    <row r="559" spans="1:52" x14ac:dyDescent="0.4">
      <c r="A559" s="6" t="s">
        <v>2230</v>
      </c>
      <c r="B559" s="1" t="s">
        <v>1782</v>
      </c>
      <c r="C559" s="1" t="s">
        <v>1783</v>
      </c>
      <c r="D559" s="1" t="s">
        <v>1784</v>
      </c>
      <c r="E559" s="1" t="s">
        <v>25</v>
      </c>
      <c r="F559" s="1" t="s">
        <v>63</v>
      </c>
      <c r="G559" s="5" t="s">
        <v>10</v>
      </c>
      <c r="H559" s="1" t="s">
        <v>27</v>
      </c>
      <c r="I559">
        <v>59400</v>
      </c>
      <c r="J559" s="1" t="s">
        <v>33</v>
      </c>
      <c r="K559">
        <v>0</v>
      </c>
      <c r="L559">
        <v>59400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s="18">
        <v>3</v>
      </c>
      <c r="Y559" s="6"/>
      <c r="Z559" s="6">
        <v>19800</v>
      </c>
      <c r="AA559" s="6">
        <v>19800</v>
      </c>
      <c r="AB559" s="6">
        <v>19800</v>
      </c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>
        <f t="shared" si="38"/>
        <v>3</v>
      </c>
      <c r="AX559" t="b">
        <f t="shared" si="39"/>
        <v>1</v>
      </c>
      <c r="AY559" s="21">
        <f t="shared" si="36"/>
        <v>59400</v>
      </c>
      <c r="AZ559" t="b">
        <f t="shared" si="37"/>
        <v>1</v>
      </c>
    </row>
    <row r="560" spans="1:52" x14ac:dyDescent="0.4">
      <c r="A560" s="6" t="s">
        <v>2230</v>
      </c>
      <c r="B560" s="1" t="s">
        <v>1785</v>
      </c>
      <c r="C560" s="1" t="s">
        <v>1786</v>
      </c>
      <c r="D560" s="1" t="s">
        <v>1787</v>
      </c>
      <c r="E560" s="1" t="s">
        <v>44</v>
      </c>
      <c r="F560" s="1" t="s">
        <v>1648</v>
      </c>
      <c r="G560" s="5" t="s">
        <v>10</v>
      </c>
      <c r="H560" s="1" t="s">
        <v>27</v>
      </c>
      <c r="I560">
        <v>114300</v>
      </c>
      <c r="J560" s="1" t="s">
        <v>1593</v>
      </c>
      <c r="K560">
        <v>0</v>
      </c>
      <c r="L560">
        <v>114300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s="18">
        <v>6</v>
      </c>
      <c r="Y560" s="6"/>
      <c r="Z560" s="6">
        <v>19050</v>
      </c>
      <c r="AA560" s="6">
        <v>19050</v>
      </c>
      <c r="AB560" s="6">
        <v>19050</v>
      </c>
      <c r="AC560" s="6">
        <v>19050</v>
      </c>
      <c r="AD560" s="6">
        <v>19050</v>
      </c>
      <c r="AE560" s="6">
        <v>19050</v>
      </c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>
        <f t="shared" si="38"/>
        <v>6</v>
      </c>
      <c r="AX560" t="b">
        <f t="shared" si="39"/>
        <v>1</v>
      </c>
      <c r="AY560" s="21">
        <f t="shared" si="36"/>
        <v>114300</v>
      </c>
      <c r="AZ560" t="b">
        <f t="shared" si="37"/>
        <v>1</v>
      </c>
    </row>
    <row r="561" spans="1:52" x14ac:dyDescent="0.4">
      <c r="A561" s="6" t="s">
        <v>2230</v>
      </c>
      <c r="B561" s="1" t="s">
        <v>1788</v>
      </c>
      <c r="C561" s="1" t="s">
        <v>1789</v>
      </c>
      <c r="D561" s="1" t="s">
        <v>1790</v>
      </c>
      <c r="E561" s="1" t="s">
        <v>25</v>
      </c>
      <c r="F561" s="1" t="s">
        <v>37</v>
      </c>
      <c r="G561" s="5" t="s">
        <v>10</v>
      </c>
      <c r="H561" s="1" t="s">
        <v>27</v>
      </c>
      <c r="I561">
        <v>59400</v>
      </c>
      <c r="J561" s="1" t="s">
        <v>33</v>
      </c>
      <c r="K561">
        <v>0</v>
      </c>
      <c r="L561">
        <v>59400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s="18">
        <v>3</v>
      </c>
      <c r="Y561" s="6"/>
      <c r="Z561" s="6">
        <v>19800</v>
      </c>
      <c r="AA561" s="6">
        <v>19800</v>
      </c>
      <c r="AB561" s="6">
        <v>19800</v>
      </c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>
        <f t="shared" si="38"/>
        <v>3</v>
      </c>
      <c r="AX561" t="b">
        <f t="shared" si="39"/>
        <v>1</v>
      </c>
      <c r="AY561" s="21">
        <f t="shared" si="36"/>
        <v>59400</v>
      </c>
      <c r="AZ561" t="b">
        <f t="shared" si="37"/>
        <v>1</v>
      </c>
    </row>
    <row r="562" spans="1:52" x14ac:dyDescent="0.4">
      <c r="A562" s="6" t="s">
        <v>2230</v>
      </c>
      <c r="B562" s="1" t="s">
        <v>1791</v>
      </c>
      <c r="C562" s="1" t="s">
        <v>1792</v>
      </c>
      <c r="D562" s="1" t="s">
        <v>1793</v>
      </c>
      <c r="E562" s="1" t="s">
        <v>44</v>
      </c>
      <c r="F562" s="1" t="s">
        <v>1610</v>
      </c>
      <c r="G562" s="5" t="s">
        <v>10</v>
      </c>
      <c r="H562" s="1" t="s">
        <v>27</v>
      </c>
      <c r="I562">
        <v>114300</v>
      </c>
      <c r="J562" s="1" t="s">
        <v>1593</v>
      </c>
      <c r="K562">
        <v>0</v>
      </c>
      <c r="L562">
        <v>114300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s="18">
        <v>6</v>
      </c>
      <c r="Y562" s="6"/>
      <c r="Z562" s="6">
        <v>19050</v>
      </c>
      <c r="AA562" s="6">
        <v>19050</v>
      </c>
      <c r="AB562" s="6">
        <v>19050</v>
      </c>
      <c r="AC562" s="6">
        <v>19050</v>
      </c>
      <c r="AD562" s="6">
        <v>19050</v>
      </c>
      <c r="AE562" s="6">
        <v>19050</v>
      </c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>
        <f t="shared" si="38"/>
        <v>6</v>
      </c>
      <c r="AX562" t="b">
        <f t="shared" si="39"/>
        <v>1</v>
      </c>
      <c r="AY562" s="21">
        <f t="shared" si="36"/>
        <v>114300</v>
      </c>
      <c r="AZ562" t="b">
        <f t="shared" si="37"/>
        <v>1</v>
      </c>
    </row>
    <row r="563" spans="1:52" x14ac:dyDescent="0.4">
      <c r="A563" s="6" t="s">
        <v>2230</v>
      </c>
      <c r="B563" s="1" t="s">
        <v>1794</v>
      </c>
      <c r="C563" s="1" t="s">
        <v>1795</v>
      </c>
      <c r="D563" s="1" t="s">
        <v>1796</v>
      </c>
      <c r="E563" s="1" t="s">
        <v>44</v>
      </c>
      <c r="F563" s="1" t="s">
        <v>1754</v>
      </c>
      <c r="G563" s="5" t="s">
        <v>10</v>
      </c>
      <c r="H563" s="1" t="s">
        <v>27</v>
      </c>
      <c r="I563">
        <v>114300</v>
      </c>
      <c r="J563" s="1" t="s">
        <v>1593</v>
      </c>
      <c r="K563">
        <v>0</v>
      </c>
      <c r="L563">
        <v>114300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s="18">
        <v>6</v>
      </c>
      <c r="Y563" s="6"/>
      <c r="Z563" s="6">
        <v>19050</v>
      </c>
      <c r="AA563" s="6">
        <v>19050</v>
      </c>
      <c r="AB563" s="6">
        <v>19050</v>
      </c>
      <c r="AC563" s="6">
        <v>19050</v>
      </c>
      <c r="AD563" s="6">
        <v>19050</v>
      </c>
      <c r="AE563" s="6">
        <v>19050</v>
      </c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>
        <f t="shared" si="38"/>
        <v>6</v>
      </c>
      <c r="AX563" t="b">
        <f t="shared" si="39"/>
        <v>1</v>
      </c>
      <c r="AY563" s="21">
        <f t="shared" si="36"/>
        <v>114300</v>
      </c>
      <c r="AZ563" t="b">
        <f t="shared" si="37"/>
        <v>1</v>
      </c>
    </row>
    <row r="564" spans="1:52" x14ac:dyDescent="0.4">
      <c r="A564" s="6" t="s">
        <v>2230</v>
      </c>
      <c r="B564" s="1" t="s">
        <v>1797</v>
      </c>
      <c r="C564" s="1" t="s">
        <v>1798</v>
      </c>
      <c r="D564" s="1" t="s">
        <v>1799</v>
      </c>
      <c r="E564" s="1" t="s">
        <v>25</v>
      </c>
      <c r="F564" s="1" t="s">
        <v>1627</v>
      </c>
      <c r="G564" s="5" t="s">
        <v>10</v>
      </c>
      <c r="H564" s="1" t="s">
        <v>27</v>
      </c>
      <c r="I564">
        <v>59400</v>
      </c>
      <c r="J564" s="1" t="s">
        <v>33</v>
      </c>
      <c r="K564">
        <v>0</v>
      </c>
      <c r="L564">
        <v>59400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s="18">
        <v>3</v>
      </c>
      <c r="Y564" s="6"/>
      <c r="Z564" s="6">
        <v>19800</v>
      </c>
      <c r="AA564" s="6">
        <v>19800</v>
      </c>
      <c r="AB564" s="6">
        <v>19800</v>
      </c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>
        <f t="shared" si="38"/>
        <v>3</v>
      </c>
      <c r="AX564" t="b">
        <f t="shared" si="39"/>
        <v>1</v>
      </c>
      <c r="AY564" s="21">
        <f t="shared" si="36"/>
        <v>59400</v>
      </c>
      <c r="AZ564" t="b">
        <f t="shared" si="37"/>
        <v>1</v>
      </c>
    </row>
    <row r="565" spans="1:52" x14ac:dyDescent="0.4">
      <c r="A565" s="6" t="s">
        <v>2230</v>
      </c>
      <c r="B565" s="1" t="s">
        <v>1800</v>
      </c>
      <c r="C565" s="1" t="s">
        <v>1801</v>
      </c>
      <c r="D565" s="1" t="s">
        <v>1802</v>
      </c>
      <c r="E565" s="1" t="s">
        <v>25</v>
      </c>
      <c r="F565" s="1" t="s">
        <v>1803</v>
      </c>
      <c r="G565" s="5" t="s">
        <v>1130</v>
      </c>
      <c r="H565" s="1" t="s">
        <v>27</v>
      </c>
      <c r="I565">
        <v>59400</v>
      </c>
      <c r="J565" s="1" t="s">
        <v>1455</v>
      </c>
      <c r="K565">
        <v>0</v>
      </c>
      <c r="L565">
        <v>0</v>
      </c>
      <c r="M565">
        <v>0</v>
      </c>
      <c r="N565">
        <v>59400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s="18">
        <v>3</v>
      </c>
      <c r="Y565" s="6"/>
      <c r="Z565" s="6"/>
      <c r="AA565" s="6"/>
      <c r="AB565" s="6">
        <v>19800</v>
      </c>
      <c r="AC565" s="6">
        <v>19800</v>
      </c>
      <c r="AD565" s="6">
        <v>19800</v>
      </c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>
        <f t="shared" si="38"/>
        <v>3</v>
      </c>
      <c r="AX565" t="b">
        <f t="shared" si="39"/>
        <v>1</v>
      </c>
      <c r="AY565" s="21">
        <f t="shared" si="36"/>
        <v>59400</v>
      </c>
      <c r="AZ565" t="b">
        <f t="shared" si="37"/>
        <v>1</v>
      </c>
    </row>
    <row r="566" spans="1:52" x14ac:dyDescent="0.4">
      <c r="A566" s="6" t="s">
        <v>2230</v>
      </c>
      <c r="B566" s="1" t="s">
        <v>1804</v>
      </c>
      <c r="C566" s="1" t="s">
        <v>1805</v>
      </c>
      <c r="D566" s="1" t="s">
        <v>1806</v>
      </c>
      <c r="E566" s="1" t="s">
        <v>44</v>
      </c>
      <c r="F566" s="1" t="s">
        <v>86</v>
      </c>
      <c r="G566" s="5" t="s">
        <v>46</v>
      </c>
      <c r="H566" s="1" t="s">
        <v>27</v>
      </c>
      <c r="I566">
        <v>114300</v>
      </c>
      <c r="J566" s="1" t="s">
        <v>33</v>
      </c>
      <c r="K566">
        <v>0</v>
      </c>
      <c r="L566">
        <v>0</v>
      </c>
      <c r="M566">
        <v>0</v>
      </c>
      <c r="N566">
        <v>0</v>
      </c>
      <c r="O566">
        <v>114300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s="18">
        <v>6</v>
      </c>
      <c r="Y566" s="6"/>
      <c r="Z566" s="6"/>
      <c r="AA566" s="6"/>
      <c r="AB566" s="6"/>
      <c r="AC566" s="6">
        <v>19050</v>
      </c>
      <c r="AD566" s="6">
        <v>19050</v>
      </c>
      <c r="AE566" s="6">
        <v>19050</v>
      </c>
      <c r="AF566" s="6">
        <v>19050</v>
      </c>
      <c r="AG566" s="6">
        <v>19050</v>
      </c>
      <c r="AH566" s="6">
        <v>19050</v>
      </c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>
        <f t="shared" si="38"/>
        <v>6</v>
      </c>
      <c r="AX566" t="b">
        <f t="shared" si="39"/>
        <v>1</v>
      </c>
      <c r="AY566" s="21">
        <f t="shared" si="36"/>
        <v>114300</v>
      </c>
      <c r="AZ566" t="b">
        <f t="shared" si="37"/>
        <v>1</v>
      </c>
    </row>
    <row r="567" spans="1:52" x14ac:dyDescent="0.4">
      <c r="A567" s="6" t="s">
        <v>2230</v>
      </c>
      <c r="B567" s="1" t="s">
        <v>1807</v>
      </c>
      <c r="C567" s="1" t="s">
        <v>1808</v>
      </c>
      <c r="D567" s="1" t="s">
        <v>1809</v>
      </c>
      <c r="E567" s="1" t="s">
        <v>44</v>
      </c>
      <c r="F567" s="1" t="s">
        <v>1810</v>
      </c>
      <c r="G567" s="5" t="s">
        <v>46</v>
      </c>
      <c r="H567" s="1" t="s">
        <v>27</v>
      </c>
      <c r="I567">
        <v>114300</v>
      </c>
      <c r="J567" s="1" t="s">
        <v>33</v>
      </c>
      <c r="K567">
        <v>0</v>
      </c>
      <c r="L567">
        <v>0</v>
      </c>
      <c r="M567">
        <v>0</v>
      </c>
      <c r="N567">
        <v>0</v>
      </c>
      <c r="O567">
        <v>114300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s="18">
        <v>6</v>
      </c>
      <c r="Y567" s="6"/>
      <c r="Z567" s="6"/>
      <c r="AA567" s="6"/>
      <c r="AB567" s="6"/>
      <c r="AC567" s="6">
        <v>19050</v>
      </c>
      <c r="AD567" s="6">
        <v>19050</v>
      </c>
      <c r="AE567" s="6">
        <v>19050</v>
      </c>
      <c r="AF567" s="6">
        <v>19050</v>
      </c>
      <c r="AG567" s="6">
        <v>19050</v>
      </c>
      <c r="AH567" s="6">
        <v>19050</v>
      </c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>
        <f t="shared" si="38"/>
        <v>6</v>
      </c>
      <c r="AX567" t="b">
        <f t="shared" si="39"/>
        <v>1</v>
      </c>
      <c r="AY567" s="21">
        <f t="shared" si="36"/>
        <v>114300</v>
      </c>
      <c r="AZ567" t="b">
        <f t="shared" si="37"/>
        <v>1</v>
      </c>
    </row>
    <row r="568" spans="1:52" x14ac:dyDescent="0.4">
      <c r="A568" s="6" t="s">
        <v>2230</v>
      </c>
      <c r="B568" s="1" t="s">
        <v>1811</v>
      </c>
      <c r="C568" s="1" t="s">
        <v>1812</v>
      </c>
      <c r="D568" s="1" t="s">
        <v>1813</v>
      </c>
      <c r="E568" s="1" t="s">
        <v>44</v>
      </c>
      <c r="F568" s="1" t="s">
        <v>932</v>
      </c>
      <c r="G568" s="5" t="s">
        <v>479</v>
      </c>
      <c r="H568" s="1" t="s">
        <v>27</v>
      </c>
      <c r="I568">
        <v>114300</v>
      </c>
      <c r="J568" s="1" t="s">
        <v>868</v>
      </c>
      <c r="K568">
        <v>0</v>
      </c>
      <c r="L568">
        <v>0</v>
      </c>
      <c r="M568">
        <v>114300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s="18">
        <v>6</v>
      </c>
      <c r="Y568" s="6"/>
      <c r="Z568" s="6"/>
      <c r="AA568" s="6">
        <v>19050</v>
      </c>
      <c r="AB568" s="6">
        <v>19050</v>
      </c>
      <c r="AC568" s="6">
        <v>19050</v>
      </c>
      <c r="AD568" s="6">
        <v>19050</v>
      </c>
      <c r="AE568" s="6">
        <v>19050</v>
      </c>
      <c r="AF568" s="6">
        <v>19050</v>
      </c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>
        <f t="shared" si="38"/>
        <v>6</v>
      </c>
      <c r="AX568" t="b">
        <f t="shared" si="39"/>
        <v>1</v>
      </c>
      <c r="AY568" s="21">
        <f t="shared" si="36"/>
        <v>114300</v>
      </c>
      <c r="AZ568" t="b">
        <f t="shared" si="37"/>
        <v>1</v>
      </c>
    </row>
    <row r="569" spans="1:52" x14ac:dyDescent="0.4">
      <c r="A569" s="6" t="s">
        <v>2230</v>
      </c>
      <c r="B569" s="1" t="s">
        <v>1814</v>
      </c>
      <c r="C569" s="1" t="s">
        <v>1815</v>
      </c>
      <c r="D569" s="1" t="s">
        <v>1816</v>
      </c>
      <c r="E569" s="1" t="s">
        <v>50</v>
      </c>
      <c r="F569" s="1" t="s">
        <v>45</v>
      </c>
      <c r="G569" s="5" t="s">
        <v>46</v>
      </c>
      <c r="H569" s="1" t="s">
        <v>52</v>
      </c>
      <c r="I569">
        <v>114300</v>
      </c>
      <c r="J569" s="1" t="s">
        <v>28</v>
      </c>
      <c r="K569">
        <v>0</v>
      </c>
      <c r="L569">
        <v>0</v>
      </c>
      <c r="M569">
        <v>0</v>
      </c>
      <c r="N569">
        <v>0</v>
      </c>
      <c r="O569">
        <v>114300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s="18">
        <v>6</v>
      </c>
      <c r="Y569" s="6"/>
      <c r="Z569" s="6"/>
      <c r="AA569" s="6"/>
      <c r="AB569" s="6"/>
      <c r="AC569" s="6">
        <v>19050</v>
      </c>
      <c r="AD569" s="6">
        <v>19050</v>
      </c>
      <c r="AE569" s="6">
        <v>19050</v>
      </c>
      <c r="AF569" s="6">
        <v>19050</v>
      </c>
      <c r="AG569" s="6">
        <v>19050</v>
      </c>
      <c r="AH569" s="6">
        <v>19050</v>
      </c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>
        <f t="shared" si="38"/>
        <v>6</v>
      </c>
      <c r="AX569" t="b">
        <f t="shared" si="39"/>
        <v>1</v>
      </c>
      <c r="AY569" s="21">
        <f t="shared" si="36"/>
        <v>114300</v>
      </c>
      <c r="AZ569" t="b">
        <f t="shared" si="37"/>
        <v>1</v>
      </c>
    </row>
    <row r="570" spans="1:52" x14ac:dyDescent="0.4">
      <c r="A570" s="6" t="s">
        <v>2230</v>
      </c>
      <c r="B570" s="1" t="s">
        <v>1817</v>
      </c>
      <c r="C570" s="1" t="s">
        <v>1818</v>
      </c>
      <c r="D570" s="1" t="s">
        <v>1819</v>
      </c>
      <c r="E570" s="1" t="s">
        <v>44</v>
      </c>
      <c r="F570" s="1" t="s">
        <v>86</v>
      </c>
      <c r="G570" s="5" t="s">
        <v>46</v>
      </c>
      <c r="H570" s="1" t="s">
        <v>27</v>
      </c>
      <c r="I570">
        <v>114300</v>
      </c>
      <c r="J570" s="1" t="s">
        <v>33</v>
      </c>
      <c r="K570">
        <v>0</v>
      </c>
      <c r="L570">
        <v>0</v>
      </c>
      <c r="M570">
        <v>0</v>
      </c>
      <c r="N570">
        <v>0</v>
      </c>
      <c r="O570">
        <v>114300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s="18">
        <v>6</v>
      </c>
      <c r="Y570" s="6"/>
      <c r="Z570" s="6"/>
      <c r="AA570" s="6"/>
      <c r="AB570" s="6"/>
      <c r="AC570" s="6">
        <v>19050</v>
      </c>
      <c r="AD570" s="6">
        <v>19050</v>
      </c>
      <c r="AE570" s="6">
        <v>19050</v>
      </c>
      <c r="AF570" s="6">
        <v>19050</v>
      </c>
      <c r="AG570" s="6">
        <v>19050</v>
      </c>
      <c r="AH570" s="6">
        <v>19050</v>
      </c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>
        <f t="shared" si="38"/>
        <v>6</v>
      </c>
      <c r="AX570" t="b">
        <f t="shared" si="39"/>
        <v>1</v>
      </c>
      <c r="AY570" s="21">
        <f t="shared" si="36"/>
        <v>114300</v>
      </c>
      <c r="AZ570" t="b">
        <f t="shared" si="37"/>
        <v>1</v>
      </c>
    </row>
    <row r="571" spans="1:52" x14ac:dyDescent="0.4">
      <c r="A571" s="6" t="s">
        <v>2230</v>
      </c>
      <c r="B571" s="1" t="s">
        <v>1820</v>
      </c>
      <c r="C571" s="1" t="s">
        <v>1821</v>
      </c>
      <c r="D571" s="1" t="s">
        <v>1822</v>
      </c>
      <c r="E571" s="1" t="s">
        <v>44</v>
      </c>
      <c r="F571" s="1" t="s">
        <v>1161</v>
      </c>
      <c r="G571" s="5" t="s">
        <v>479</v>
      </c>
      <c r="H571" s="1" t="s">
        <v>27</v>
      </c>
      <c r="I571">
        <v>114300</v>
      </c>
      <c r="J571" s="1" t="s">
        <v>868</v>
      </c>
      <c r="K571">
        <v>0</v>
      </c>
      <c r="L571">
        <v>0</v>
      </c>
      <c r="M571">
        <v>114300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s="18">
        <v>6</v>
      </c>
      <c r="Y571" s="6"/>
      <c r="Z571" s="6"/>
      <c r="AA571" s="6">
        <v>19050</v>
      </c>
      <c r="AB571" s="6">
        <v>19050</v>
      </c>
      <c r="AC571" s="6">
        <v>19050</v>
      </c>
      <c r="AD571" s="6">
        <v>19050</v>
      </c>
      <c r="AE571" s="6">
        <v>19050</v>
      </c>
      <c r="AF571" s="6">
        <v>19050</v>
      </c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>
        <f t="shared" si="38"/>
        <v>6</v>
      </c>
      <c r="AX571" t="b">
        <f t="shared" si="39"/>
        <v>1</v>
      </c>
      <c r="AY571" s="21">
        <f t="shared" si="36"/>
        <v>114300</v>
      </c>
      <c r="AZ571" t="b">
        <f t="shared" si="37"/>
        <v>1</v>
      </c>
    </row>
    <row r="572" spans="1:52" x14ac:dyDescent="0.4">
      <c r="A572" s="6" t="s">
        <v>2230</v>
      </c>
      <c r="B572" s="1" t="s">
        <v>1823</v>
      </c>
      <c r="C572" s="1" t="s">
        <v>1824</v>
      </c>
      <c r="D572" s="1" t="s">
        <v>1825</v>
      </c>
      <c r="E572" s="1" t="s">
        <v>44</v>
      </c>
      <c r="F572" s="1" t="s">
        <v>867</v>
      </c>
      <c r="G572" s="5" t="s">
        <v>479</v>
      </c>
      <c r="H572" s="1" t="s">
        <v>27</v>
      </c>
      <c r="I572">
        <v>114300</v>
      </c>
      <c r="J572" s="1" t="s">
        <v>868</v>
      </c>
      <c r="K572">
        <v>0</v>
      </c>
      <c r="L572">
        <v>0</v>
      </c>
      <c r="M572">
        <v>114300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s="18">
        <v>6</v>
      </c>
      <c r="Y572" s="6"/>
      <c r="Z572" s="6"/>
      <c r="AA572" s="6">
        <v>19050</v>
      </c>
      <c r="AB572" s="6">
        <v>19050</v>
      </c>
      <c r="AC572" s="6">
        <v>19050</v>
      </c>
      <c r="AD572" s="6">
        <v>19050</v>
      </c>
      <c r="AE572" s="6">
        <v>19050</v>
      </c>
      <c r="AF572" s="6">
        <v>19050</v>
      </c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>
        <f t="shared" si="38"/>
        <v>6</v>
      </c>
      <c r="AX572" t="b">
        <f t="shared" si="39"/>
        <v>1</v>
      </c>
      <c r="AY572" s="21">
        <f t="shared" si="36"/>
        <v>114300</v>
      </c>
      <c r="AZ572" t="b">
        <f t="shared" si="37"/>
        <v>1</v>
      </c>
    </row>
    <row r="573" spans="1:52" x14ac:dyDescent="0.4">
      <c r="A573" s="6" t="s">
        <v>2230</v>
      </c>
      <c r="B573" s="1" t="s">
        <v>1826</v>
      </c>
      <c r="C573" s="1" t="s">
        <v>1827</v>
      </c>
      <c r="D573" s="1" t="s">
        <v>1828</v>
      </c>
      <c r="E573" s="1" t="s">
        <v>44</v>
      </c>
      <c r="F573" s="1" t="s">
        <v>920</v>
      </c>
      <c r="G573" s="5" t="s">
        <v>479</v>
      </c>
      <c r="H573" s="1" t="s">
        <v>27</v>
      </c>
      <c r="I573">
        <v>114300</v>
      </c>
      <c r="J573" s="1" t="s">
        <v>868</v>
      </c>
      <c r="K573">
        <v>0</v>
      </c>
      <c r="L573">
        <v>0</v>
      </c>
      <c r="M573">
        <v>114300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s="18">
        <v>6</v>
      </c>
      <c r="Y573" s="6"/>
      <c r="Z573" s="6"/>
      <c r="AA573" s="6">
        <v>19050</v>
      </c>
      <c r="AB573" s="6">
        <v>19050</v>
      </c>
      <c r="AC573" s="6">
        <v>19050</v>
      </c>
      <c r="AD573" s="6">
        <v>19050</v>
      </c>
      <c r="AE573" s="6">
        <v>19050</v>
      </c>
      <c r="AF573" s="6">
        <v>19050</v>
      </c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>
        <f t="shared" si="38"/>
        <v>6</v>
      </c>
      <c r="AX573" t="b">
        <f t="shared" si="39"/>
        <v>1</v>
      </c>
      <c r="AY573" s="21">
        <f t="shared" si="36"/>
        <v>114300</v>
      </c>
      <c r="AZ573" t="b">
        <f t="shared" si="37"/>
        <v>1</v>
      </c>
    </row>
    <row r="574" spans="1:52" x14ac:dyDescent="0.4">
      <c r="A574" s="6" t="s">
        <v>2230</v>
      </c>
      <c r="B574" s="1" t="s">
        <v>1829</v>
      </c>
      <c r="C574" s="1" t="s">
        <v>1830</v>
      </c>
      <c r="D574" s="1" t="s">
        <v>1831</v>
      </c>
      <c r="E574" s="1" t="s">
        <v>25</v>
      </c>
      <c r="F574" s="1" t="s">
        <v>101</v>
      </c>
      <c r="G574" s="5" t="s">
        <v>10</v>
      </c>
      <c r="H574" s="1" t="s">
        <v>27</v>
      </c>
      <c r="I574">
        <v>59400</v>
      </c>
      <c r="J574" s="1" t="s">
        <v>33</v>
      </c>
      <c r="K574">
        <v>0</v>
      </c>
      <c r="L574">
        <v>59400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s="18">
        <v>3</v>
      </c>
      <c r="Y574" s="6"/>
      <c r="Z574" s="6">
        <v>19800</v>
      </c>
      <c r="AA574" s="6">
        <v>19800</v>
      </c>
      <c r="AB574" s="6">
        <v>19800</v>
      </c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>
        <f t="shared" si="38"/>
        <v>3</v>
      </c>
      <c r="AX574" t="b">
        <f t="shared" si="39"/>
        <v>1</v>
      </c>
      <c r="AY574" s="21">
        <f t="shared" si="36"/>
        <v>59400</v>
      </c>
      <c r="AZ574" t="b">
        <f t="shared" si="37"/>
        <v>1</v>
      </c>
    </row>
    <row r="575" spans="1:52" x14ac:dyDescent="0.4">
      <c r="A575" s="6" t="s">
        <v>2230</v>
      </c>
      <c r="B575" s="1" t="s">
        <v>1832</v>
      </c>
      <c r="C575" s="1" t="s">
        <v>1833</v>
      </c>
      <c r="D575" s="1" t="s">
        <v>1834</v>
      </c>
      <c r="E575" s="1" t="s">
        <v>44</v>
      </c>
      <c r="F575" s="1" t="s">
        <v>86</v>
      </c>
      <c r="G575" s="5" t="s">
        <v>46</v>
      </c>
      <c r="H575" s="1" t="s">
        <v>27</v>
      </c>
      <c r="I575">
        <v>114300</v>
      </c>
      <c r="J575" s="1" t="s">
        <v>33</v>
      </c>
      <c r="K575">
        <v>0</v>
      </c>
      <c r="L575">
        <v>0</v>
      </c>
      <c r="M575">
        <v>0</v>
      </c>
      <c r="N575">
        <v>0</v>
      </c>
      <c r="O575">
        <v>114300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s="18">
        <v>6</v>
      </c>
      <c r="Y575" s="6"/>
      <c r="Z575" s="6"/>
      <c r="AA575" s="6"/>
      <c r="AB575" s="6"/>
      <c r="AC575" s="6">
        <v>19050</v>
      </c>
      <c r="AD575" s="6">
        <v>19050</v>
      </c>
      <c r="AE575" s="6">
        <v>19050</v>
      </c>
      <c r="AF575" s="6">
        <v>19050</v>
      </c>
      <c r="AG575" s="6">
        <v>19050</v>
      </c>
      <c r="AH575" s="6">
        <v>19050</v>
      </c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>
        <f t="shared" si="38"/>
        <v>6</v>
      </c>
      <c r="AX575" t="b">
        <f t="shared" si="39"/>
        <v>1</v>
      </c>
      <c r="AY575" s="21">
        <f t="shared" si="36"/>
        <v>114300</v>
      </c>
      <c r="AZ575" t="b">
        <f t="shared" si="37"/>
        <v>1</v>
      </c>
    </row>
    <row r="576" spans="1:52" x14ac:dyDescent="0.4">
      <c r="A576" s="6" t="s">
        <v>2230</v>
      </c>
      <c r="B576" s="1" t="s">
        <v>1835</v>
      </c>
      <c r="C576" s="1" t="s">
        <v>1836</v>
      </c>
      <c r="D576" s="1" t="s">
        <v>1837</v>
      </c>
      <c r="E576" s="1" t="s">
        <v>44</v>
      </c>
      <c r="F576" s="1" t="s">
        <v>82</v>
      </c>
      <c r="G576" s="5" t="s">
        <v>46</v>
      </c>
      <c r="H576" s="1" t="s">
        <v>27</v>
      </c>
      <c r="I576">
        <v>114300</v>
      </c>
      <c r="J576" s="1" t="s">
        <v>33</v>
      </c>
      <c r="K576">
        <v>0</v>
      </c>
      <c r="L576">
        <v>0</v>
      </c>
      <c r="M576">
        <v>0</v>
      </c>
      <c r="N576">
        <v>0</v>
      </c>
      <c r="O576">
        <v>114300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s="18">
        <v>6</v>
      </c>
      <c r="Y576" s="6"/>
      <c r="Z576" s="6"/>
      <c r="AA576" s="6"/>
      <c r="AB576" s="6"/>
      <c r="AC576" s="6">
        <v>19050</v>
      </c>
      <c r="AD576" s="6">
        <v>19050</v>
      </c>
      <c r="AE576" s="6">
        <v>19050</v>
      </c>
      <c r="AF576" s="6">
        <v>19050</v>
      </c>
      <c r="AG576" s="6">
        <v>19050</v>
      </c>
      <c r="AH576" s="6">
        <v>19050</v>
      </c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>
        <f t="shared" si="38"/>
        <v>6</v>
      </c>
      <c r="AX576" t="b">
        <f t="shared" si="39"/>
        <v>1</v>
      </c>
      <c r="AY576" s="21">
        <f t="shared" si="36"/>
        <v>114300</v>
      </c>
      <c r="AZ576" t="b">
        <f t="shared" si="37"/>
        <v>1</v>
      </c>
    </row>
    <row r="577" spans="1:52" x14ac:dyDescent="0.4">
      <c r="A577" s="6" t="s">
        <v>2230</v>
      </c>
      <c r="B577" s="1" t="s">
        <v>1838</v>
      </c>
      <c r="C577" s="1" t="s">
        <v>1839</v>
      </c>
      <c r="D577" s="1" t="s">
        <v>1840</v>
      </c>
      <c r="E577" s="1" t="s">
        <v>44</v>
      </c>
      <c r="F577" s="1" t="s">
        <v>1309</v>
      </c>
      <c r="G577" s="5" t="s">
        <v>479</v>
      </c>
      <c r="H577" s="1" t="s">
        <v>27</v>
      </c>
      <c r="I577">
        <v>114300</v>
      </c>
      <c r="J577" s="1" t="s">
        <v>868</v>
      </c>
      <c r="K577">
        <v>0</v>
      </c>
      <c r="L577">
        <v>0</v>
      </c>
      <c r="M577">
        <v>114300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s="18">
        <v>6</v>
      </c>
      <c r="Y577" s="6"/>
      <c r="Z577" s="6"/>
      <c r="AA577" s="6">
        <v>19050</v>
      </c>
      <c r="AB577" s="6">
        <v>19050</v>
      </c>
      <c r="AC577" s="6">
        <v>19050</v>
      </c>
      <c r="AD577" s="6">
        <v>19050</v>
      </c>
      <c r="AE577" s="6">
        <v>19050</v>
      </c>
      <c r="AF577" s="6">
        <v>19050</v>
      </c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>
        <f t="shared" si="38"/>
        <v>6</v>
      </c>
      <c r="AX577" t="b">
        <f t="shared" si="39"/>
        <v>1</v>
      </c>
      <c r="AY577" s="21">
        <f t="shared" si="36"/>
        <v>114300</v>
      </c>
      <c r="AZ577" t="b">
        <f t="shared" si="37"/>
        <v>1</v>
      </c>
    </row>
    <row r="578" spans="1:52" x14ac:dyDescent="0.4">
      <c r="A578" s="6" t="s">
        <v>2230</v>
      </c>
      <c r="B578" s="1" t="s">
        <v>1841</v>
      </c>
      <c r="C578" s="1" t="s">
        <v>1842</v>
      </c>
      <c r="D578" s="1" t="s">
        <v>1843</v>
      </c>
      <c r="E578" s="1" t="s">
        <v>25</v>
      </c>
      <c r="F578" s="1" t="s">
        <v>1211</v>
      </c>
      <c r="G578" s="5" t="s">
        <v>479</v>
      </c>
      <c r="H578" s="1" t="s">
        <v>27</v>
      </c>
      <c r="I578">
        <v>59400</v>
      </c>
      <c r="J578" s="1" t="s">
        <v>28</v>
      </c>
      <c r="K578">
        <v>0</v>
      </c>
      <c r="L578">
        <v>0</v>
      </c>
      <c r="M578">
        <v>59400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s="18">
        <v>3</v>
      </c>
      <c r="Y578" s="6"/>
      <c r="Z578" s="6"/>
      <c r="AA578" s="6">
        <v>19800</v>
      </c>
      <c r="AB578" s="6">
        <v>19800</v>
      </c>
      <c r="AC578" s="6">
        <v>19800</v>
      </c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>
        <f t="shared" si="38"/>
        <v>3</v>
      </c>
      <c r="AX578" t="b">
        <f t="shared" si="39"/>
        <v>1</v>
      </c>
      <c r="AY578" s="21">
        <f t="shared" si="36"/>
        <v>59400</v>
      </c>
      <c r="AZ578" t="b">
        <f t="shared" si="37"/>
        <v>1</v>
      </c>
    </row>
    <row r="579" spans="1:52" x14ac:dyDescent="0.4">
      <c r="A579" s="6" t="s">
        <v>2230</v>
      </c>
      <c r="B579" s="1" t="s">
        <v>1844</v>
      </c>
      <c r="C579" s="1" t="s">
        <v>1845</v>
      </c>
      <c r="D579" s="1" t="s">
        <v>1846</v>
      </c>
      <c r="E579" s="1" t="s">
        <v>44</v>
      </c>
      <c r="F579" s="1" t="s">
        <v>867</v>
      </c>
      <c r="G579" s="5" t="s">
        <v>479</v>
      </c>
      <c r="H579" s="1" t="s">
        <v>27</v>
      </c>
      <c r="I579">
        <v>114300</v>
      </c>
      <c r="J579" s="1" t="s">
        <v>868</v>
      </c>
      <c r="K579">
        <v>0</v>
      </c>
      <c r="L579">
        <v>0</v>
      </c>
      <c r="M579">
        <v>114300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s="18">
        <v>6</v>
      </c>
      <c r="Y579" s="6"/>
      <c r="Z579" s="6"/>
      <c r="AA579" s="6">
        <v>19050</v>
      </c>
      <c r="AB579" s="6">
        <v>19050</v>
      </c>
      <c r="AC579" s="6">
        <v>19050</v>
      </c>
      <c r="AD579" s="6">
        <v>19050</v>
      </c>
      <c r="AE579" s="6">
        <v>19050</v>
      </c>
      <c r="AF579" s="6">
        <v>19050</v>
      </c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>
        <f t="shared" si="38"/>
        <v>6</v>
      </c>
      <c r="AX579" t="b">
        <f t="shared" si="39"/>
        <v>1</v>
      </c>
      <c r="AY579" s="21">
        <f t="shared" si="36"/>
        <v>114300</v>
      </c>
      <c r="AZ579" t="b">
        <f t="shared" si="37"/>
        <v>1</v>
      </c>
    </row>
    <row r="580" spans="1:52" x14ac:dyDescent="0.4">
      <c r="A580" s="6" t="s">
        <v>2230</v>
      </c>
      <c r="B580" s="1" t="s">
        <v>1847</v>
      </c>
      <c r="C580" s="1" t="s">
        <v>1848</v>
      </c>
      <c r="D580" s="1" t="s">
        <v>1849</v>
      </c>
      <c r="E580" s="1" t="s">
        <v>44</v>
      </c>
      <c r="F580" s="1" t="s">
        <v>924</v>
      </c>
      <c r="G580" s="5" t="s">
        <v>479</v>
      </c>
      <c r="H580" s="1" t="s">
        <v>27</v>
      </c>
      <c r="I580">
        <v>114300</v>
      </c>
      <c r="J580" s="1" t="s">
        <v>868</v>
      </c>
      <c r="K580">
        <v>0</v>
      </c>
      <c r="L580">
        <v>0</v>
      </c>
      <c r="M580">
        <v>114300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s="18">
        <v>6</v>
      </c>
      <c r="Y580" s="6"/>
      <c r="Z580" s="6"/>
      <c r="AA580" s="6">
        <v>19050</v>
      </c>
      <c r="AB580" s="6">
        <v>19050</v>
      </c>
      <c r="AC580" s="6">
        <v>19050</v>
      </c>
      <c r="AD580" s="6">
        <v>19050</v>
      </c>
      <c r="AE580" s="6">
        <v>19050</v>
      </c>
      <c r="AF580" s="6">
        <v>19050</v>
      </c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>
        <f t="shared" si="38"/>
        <v>6</v>
      </c>
      <c r="AX580" t="b">
        <f t="shared" si="39"/>
        <v>1</v>
      </c>
      <c r="AY580" s="21">
        <f t="shared" si="36"/>
        <v>114300</v>
      </c>
      <c r="AZ580" t="b">
        <f t="shared" si="37"/>
        <v>1</v>
      </c>
    </row>
    <row r="581" spans="1:52" x14ac:dyDescent="0.4">
      <c r="A581" s="6" t="s">
        <v>2230</v>
      </c>
      <c r="B581" s="1" t="s">
        <v>1850</v>
      </c>
      <c r="C581" s="1" t="s">
        <v>1851</v>
      </c>
      <c r="D581" s="1" t="s">
        <v>1852</v>
      </c>
      <c r="E581" s="1" t="s">
        <v>44</v>
      </c>
      <c r="F581" s="1" t="s">
        <v>1853</v>
      </c>
      <c r="G581" s="5" t="s">
        <v>1130</v>
      </c>
      <c r="H581" s="1" t="s">
        <v>27</v>
      </c>
      <c r="I581">
        <v>114300</v>
      </c>
      <c r="J581" s="1" t="s">
        <v>1455</v>
      </c>
      <c r="K581">
        <v>0</v>
      </c>
      <c r="L581">
        <v>0</v>
      </c>
      <c r="M581">
        <v>0</v>
      </c>
      <c r="N581">
        <v>114300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s="18">
        <v>6</v>
      </c>
      <c r="Y581" s="6"/>
      <c r="Z581" s="6"/>
      <c r="AA581" s="6"/>
      <c r="AB581" s="6">
        <v>19050</v>
      </c>
      <c r="AC581" s="6">
        <v>19050</v>
      </c>
      <c r="AD581" s="6">
        <v>19050</v>
      </c>
      <c r="AE581" s="6">
        <v>19050</v>
      </c>
      <c r="AF581" s="6">
        <v>19050</v>
      </c>
      <c r="AG581" s="6">
        <v>19050</v>
      </c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>
        <f t="shared" si="38"/>
        <v>6</v>
      </c>
      <c r="AX581" t="b">
        <f t="shared" si="39"/>
        <v>1</v>
      </c>
      <c r="AY581" s="21">
        <f t="shared" si="36"/>
        <v>114300</v>
      </c>
      <c r="AZ581" t="b">
        <f t="shared" si="37"/>
        <v>1</v>
      </c>
    </row>
    <row r="582" spans="1:52" x14ac:dyDescent="0.4">
      <c r="A582" s="6" t="s">
        <v>2230</v>
      </c>
      <c r="B582" s="1" t="s">
        <v>1854</v>
      </c>
      <c r="C582" s="1" t="s">
        <v>1855</v>
      </c>
      <c r="D582" s="1" t="s">
        <v>1856</v>
      </c>
      <c r="E582" s="1" t="s">
        <v>44</v>
      </c>
      <c r="F582" s="1" t="s">
        <v>1627</v>
      </c>
      <c r="G582" s="5" t="s">
        <v>10</v>
      </c>
      <c r="H582" s="1" t="s">
        <v>27</v>
      </c>
      <c r="I582">
        <v>114300</v>
      </c>
      <c r="J582" s="1" t="s">
        <v>1593</v>
      </c>
      <c r="K582">
        <v>0</v>
      </c>
      <c r="L582">
        <v>114300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s="18">
        <v>6</v>
      </c>
      <c r="Y582" s="6"/>
      <c r="Z582" s="6">
        <v>19050</v>
      </c>
      <c r="AA582" s="6">
        <v>19050</v>
      </c>
      <c r="AB582" s="6">
        <v>19050</v>
      </c>
      <c r="AC582" s="6">
        <v>19050</v>
      </c>
      <c r="AD582" s="6">
        <v>19050</v>
      </c>
      <c r="AE582" s="6">
        <v>19050</v>
      </c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>
        <f t="shared" si="38"/>
        <v>6</v>
      </c>
      <c r="AX582" t="b">
        <f t="shared" si="39"/>
        <v>1</v>
      </c>
      <c r="AY582" s="21">
        <f t="shared" si="36"/>
        <v>114300</v>
      </c>
      <c r="AZ582" t="b">
        <f t="shared" si="37"/>
        <v>1</v>
      </c>
    </row>
    <row r="583" spans="1:52" x14ac:dyDescent="0.4">
      <c r="A583" s="6" t="s">
        <v>2230</v>
      </c>
      <c r="B583" s="1" t="s">
        <v>1857</v>
      </c>
      <c r="C583" s="1" t="s">
        <v>1858</v>
      </c>
      <c r="D583" s="1" t="s">
        <v>1859</v>
      </c>
      <c r="E583" s="1" t="s">
        <v>44</v>
      </c>
      <c r="F583" s="1" t="s">
        <v>86</v>
      </c>
      <c r="G583" s="5" t="s">
        <v>46</v>
      </c>
      <c r="H583" s="1" t="s">
        <v>27</v>
      </c>
      <c r="I583">
        <v>114300</v>
      </c>
      <c r="J583" s="1" t="s">
        <v>33</v>
      </c>
      <c r="K583">
        <v>0</v>
      </c>
      <c r="L583">
        <v>0</v>
      </c>
      <c r="M583">
        <v>0</v>
      </c>
      <c r="N583">
        <v>0</v>
      </c>
      <c r="O583">
        <v>114300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s="18">
        <v>6</v>
      </c>
      <c r="Y583" s="6"/>
      <c r="Z583" s="6"/>
      <c r="AA583" s="6"/>
      <c r="AB583" s="6"/>
      <c r="AC583" s="6">
        <v>19050</v>
      </c>
      <c r="AD583" s="6">
        <v>19050</v>
      </c>
      <c r="AE583" s="6">
        <v>19050</v>
      </c>
      <c r="AF583" s="6">
        <v>19050</v>
      </c>
      <c r="AG583" s="6">
        <v>19050</v>
      </c>
      <c r="AH583" s="6">
        <v>19050</v>
      </c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>
        <f t="shared" si="38"/>
        <v>6</v>
      </c>
      <c r="AX583" t="b">
        <f t="shared" si="39"/>
        <v>1</v>
      </c>
      <c r="AY583" s="21">
        <f t="shared" ref="AY583:AY646" si="40">+SUM(Y583:AV583)</f>
        <v>114300</v>
      </c>
      <c r="AZ583" t="b">
        <f t="shared" ref="AZ583:AZ646" si="41">+I583=AY583</f>
        <v>1</v>
      </c>
    </row>
    <row r="584" spans="1:52" x14ac:dyDescent="0.4">
      <c r="A584" s="6" t="s">
        <v>2230</v>
      </c>
      <c r="B584" s="1" t="s">
        <v>1860</v>
      </c>
      <c r="C584" s="1" t="s">
        <v>1861</v>
      </c>
      <c r="D584" s="1" t="s">
        <v>1862</v>
      </c>
      <c r="E584" s="1" t="s">
        <v>44</v>
      </c>
      <c r="F584" s="1" t="s">
        <v>867</v>
      </c>
      <c r="G584" s="5" t="s">
        <v>479</v>
      </c>
      <c r="H584" s="1" t="s">
        <v>27</v>
      </c>
      <c r="I584">
        <v>114300</v>
      </c>
      <c r="J584" s="1" t="s">
        <v>868</v>
      </c>
      <c r="K584">
        <v>0</v>
      </c>
      <c r="L584">
        <v>0</v>
      </c>
      <c r="M584">
        <v>114300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s="18">
        <v>6</v>
      </c>
      <c r="Y584" s="6"/>
      <c r="Z584" s="6"/>
      <c r="AA584" s="6">
        <v>19050</v>
      </c>
      <c r="AB584" s="6">
        <v>19050</v>
      </c>
      <c r="AC584" s="6">
        <v>19050</v>
      </c>
      <c r="AD584" s="6">
        <v>19050</v>
      </c>
      <c r="AE584" s="6">
        <v>19050</v>
      </c>
      <c r="AF584" s="6">
        <v>19050</v>
      </c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>
        <f t="shared" si="38"/>
        <v>6</v>
      </c>
      <c r="AX584" t="b">
        <f t="shared" si="39"/>
        <v>1</v>
      </c>
      <c r="AY584" s="21">
        <f t="shared" si="40"/>
        <v>114300</v>
      </c>
      <c r="AZ584" t="b">
        <f t="shared" si="41"/>
        <v>1</v>
      </c>
    </row>
    <row r="585" spans="1:52" x14ac:dyDescent="0.4">
      <c r="A585" s="6" t="s">
        <v>2230</v>
      </c>
      <c r="B585" s="1" t="s">
        <v>1863</v>
      </c>
      <c r="C585" s="1" t="s">
        <v>1864</v>
      </c>
      <c r="D585" s="1" t="s">
        <v>1865</v>
      </c>
      <c r="E585" s="1" t="s">
        <v>44</v>
      </c>
      <c r="F585" s="1" t="s">
        <v>112</v>
      </c>
      <c r="G585" s="5" t="s">
        <v>46</v>
      </c>
      <c r="H585" s="1" t="s">
        <v>27</v>
      </c>
      <c r="I585">
        <v>114300</v>
      </c>
      <c r="J585" s="1" t="s">
        <v>33</v>
      </c>
      <c r="K585">
        <v>0</v>
      </c>
      <c r="L585">
        <v>0</v>
      </c>
      <c r="M585">
        <v>0</v>
      </c>
      <c r="N585">
        <v>0</v>
      </c>
      <c r="O585">
        <v>114300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s="18">
        <v>6</v>
      </c>
      <c r="Y585" s="6"/>
      <c r="Z585" s="6"/>
      <c r="AA585" s="6"/>
      <c r="AB585" s="6"/>
      <c r="AC585" s="6">
        <v>19050</v>
      </c>
      <c r="AD585" s="6">
        <v>19050</v>
      </c>
      <c r="AE585" s="6">
        <v>19050</v>
      </c>
      <c r="AF585" s="6">
        <v>19050</v>
      </c>
      <c r="AG585" s="6">
        <v>19050</v>
      </c>
      <c r="AH585" s="6">
        <v>19050</v>
      </c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>
        <f t="shared" si="38"/>
        <v>6</v>
      </c>
      <c r="AX585" t="b">
        <f t="shared" si="39"/>
        <v>1</v>
      </c>
      <c r="AY585" s="21">
        <f t="shared" si="40"/>
        <v>114300</v>
      </c>
      <c r="AZ585" t="b">
        <f t="shared" si="41"/>
        <v>1</v>
      </c>
    </row>
    <row r="586" spans="1:52" x14ac:dyDescent="0.4">
      <c r="A586" s="6" t="s">
        <v>2230</v>
      </c>
      <c r="B586" s="1" t="s">
        <v>1866</v>
      </c>
      <c r="C586" s="1" t="s">
        <v>1867</v>
      </c>
      <c r="D586" s="1" t="s">
        <v>1868</v>
      </c>
      <c r="E586" s="1" t="s">
        <v>44</v>
      </c>
      <c r="F586" s="1" t="s">
        <v>86</v>
      </c>
      <c r="G586" s="5" t="s">
        <v>46</v>
      </c>
      <c r="H586" s="1" t="s">
        <v>27</v>
      </c>
      <c r="I586">
        <v>114300</v>
      </c>
      <c r="J586" s="1" t="s">
        <v>33</v>
      </c>
      <c r="K586">
        <v>0</v>
      </c>
      <c r="L586">
        <v>0</v>
      </c>
      <c r="M586">
        <v>0</v>
      </c>
      <c r="N586">
        <v>0</v>
      </c>
      <c r="O586">
        <v>114300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s="18">
        <v>6</v>
      </c>
      <c r="Y586" s="6"/>
      <c r="Z586" s="6"/>
      <c r="AA586" s="6"/>
      <c r="AB586" s="6"/>
      <c r="AC586" s="6">
        <v>19050</v>
      </c>
      <c r="AD586" s="6">
        <v>19050</v>
      </c>
      <c r="AE586" s="6">
        <v>19050</v>
      </c>
      <c r="AF586" s="6">
        <v>19050</v>
      </c>
      <c r="AG586" s="6">
        <v>19050</v>
      </c>
      <c r="AH586" s="6">
        <v>19050</v>
      </c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>
        <f t="shared" si="38"/>
        <v>6</v>
      </c>
      <c r="AX586" t="b">
        <f t="shared" si="39"/>
        <v>1</v>
      </c>
      <c r="AY586" s="21">
        <f t="shared" si="40"/>
        <v>114300</v>
      </c>
      <c r="AZ586" t="b">
        <f t="shared" si="41"/>
        <v>1</v>
      </c>
    </row>
    <row r="587" spans="1:52" x14ac:dyDescent="0.4">
      <c r="A587" s="6" t="s">
        <v>2230</v>
      </c>
      <c r="B587" s="1" t="s">
        <v>1869</v>
      </c>
      <c r="C587" s="1" t="s">
        <v>1870</v>
      </c>
      <c r="D587" s="1" t="s">
        <v>1871</v>
      </c>
      <c r="E587" s="1" t="s">
        <v>44</v>
      </c>
      <c r="F587" s="1" t="s">
        <v>1872</v>
      </c>
      <c r="G587" s="5" t="s">
        <v>1130</v>
      </c>
      <c r="H587" s="1" t="s">
        <v>27</v>
      </c>
      <c r="I587">
        <v>114300</v>
      </c>
      <c r="J587" s="1" t="s">
        <v>1455</v>
      </c>
      <c r="K587">
        <v>0</v>
      </c>
      <c r="L587">
        <v>0</v>
      </c>
      <c r="M587">
        <v>0</v>
      </c>
      <c r="N587">
        <v>114300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s="18">
        <v>6</v>
      </c>
      <c r="Y587" s="6"/>
      <c r="Z587" s="6"/>
      <c r="AA587" s="6"/>
      <c r="AB587" s="6">
        <v>19050</v>
      </c>
      <c r="AC587" s="6">
        <v>19050</v>
      </c>
      <c r="AD587" s="6">
        <v>19050</v>
      </c>
      <c r="AE587" s="6">
        <v>19050</v>
      </c>
      <c r="AF587" s="6">
        <v>19050</v>
      </c>
      <c r="AG587" s="6">
        <v>19050</v>
      </c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>
        <f t="shared" si="38"/>
        <v>6</v>
      </c>
      <c r="AX587" t="b">
        <f t="shared" si="39"/>
        <v>1</v>
      </c>
      <c r="AY587" s="21">
        <f t="shared" si="40"/>
        <v>114300</v>
      </c>
      <c r="AZ587" t="b">
        <f t="shared" si="41"/>
        <v>1</v>
      </c>
    </row>
    <row r="588" spans="1:52" x14ac:dyDescent="0.4">
      <c r="A588" s="6" t="s">
        <v>2230</v>
      </c>
      <c r="B588" s="1" t="s">
        <v>1873</v>
      </c>
      <c r="C588" s="1" t="s">
        <v>1874</v>
      </c>
      <c r="D588" s="1" t="s">
        <v>1875</v>
      </c>
      <c r="E588" s="1" t="s">
        <v>44</v>
      </c>
      <c r="F588" s="1" t="s">
        <v>63</v>
      </c>
      <c r="G588" s="5" t="s">
        <v>46</v>
      </c>
      <c r="H588" s="1" t="s">
        <v>27</v>
      </c>
      <c r="I588">
        <v>114300</v>
      </c>
      <c r="J588" s="1" t="s">
        <v>33</v>
      </c>
      <c r="K588">
        <v>0</v>
      </c>
      <c r="L588">
        <v>0</v>
      </c>
      <c r="M588">
        <v>0</v>
      </c>
      <c r="N588">
        <v>0</v>
      </c>
      <c r="O588">
        <v>114300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s="18">
        <v>6</v>
      </c>
      <c r="Y588" s="6"/>
      <c r="Z588" s="6"/>
      <c r="AA588" s="6"/>
      <c r="AB588" s="6"/>
      <c r="AC588" s="6">
        <v>19050</v>
      </c>
      <c r="AD588" s="6">
        <v>19050</v>
      </c>
      <c r="AE588" s="6">
        <v>19050</v>
      </c>
      <c r="AF588" s="6">
        <v>19050</v>
      </c>
      <c r="AG588" s="6">
        <v>19050</v>
      </c>
      <c r="AH588" s="6">
        <v>19050</v>
      </c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>
        <f t="shared" si="38"/>
        <v>6</v>
      </c>
      <c r="AX588" t="b">
        <f t="shared" si="39"/>
        <v>1</v>
      </c>
      <c r="AY588" s="21">
        <f t="shared" si="40"/>
        <v>114300</v>
      </c>
      <c r="AZ588" t="b">
        <f t="shared" si="41"/>
        <v>1</v>
      </c>
    </row>
    <row r="589" spans="1:52" x14ac:dyDescent="0.4">
      <c r="A589" s="6" t="s">
        <v>2230</v>
      </c>
      <c r="B589" s="1" t="s">
        <v>1876</v>
      </c>
      <c r="C589" s="1" t="s">
        <v>1877</v>
      </c>
      <c r="D589" s="1" t="s">
        <v>1878</v>
      </c>
      <c r="E589" s="1" t="s">
        <v>44</v>
      </c>
      <c r="F589" s="1" t="s">
        <v>45</v>
      </c>
      <c r="G589" s="5" t="s">
        <v>46</v>
      </c>
      <c r="H589" s="1" t="s">
        <v>27</v>
      </c>
      <c r="I589">
        <v>114300</v>
      </c>
      <c r="J589" s="1" t="s">
        <v>33</v>
      </c>
      <c r="K589">
        <v>0</v>
      </c>
      <c r="L589">
        <v>0</v>
      </c>
      <c r="M589">
        <v>0</v>
      </c>
      <c r="N589">
        <v>0</v>
      </c>
      <c r="O589">
        <v>114300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s="18">
        <v>6</v>
      </c>
      <c r="Y589" s="6"/>
      <c r="Z589" s="6"/>
      <c r="AA589" s="6"/>
      <c r="AB589" s="6"/>
      <c r="AC589" s="6">
        <v>19050</v>
      </c>
      <c r="AD589" s="6">
        <v>19050</v>
      </c>
      <c r="AE589" s="6">
        <v>19050</v>
      </c>
      <c r="AF589" s="6">
        <v>19050</v>
      </c>
      <c r="AG589" s="6">
        <v>19050</v>
      </c>
      <c r="AH589" s="6">
        <v>19050</v>
      </c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>
        <f t="shared" si="38"/>
        <v>6</v>
      </c>
      <c r="AX589" t="b">
        <f t="shared" si="39"/>
        <v>1</v>
      </c>
      <c r="AY589" s="21">
        <f t="shared" si="40"/>
        <v>114300</v>
      </c>
      <c r="AZ589" t="b">
        <f t="shared" si="41"/>
        <v>1</v>
      </c>
    </row>
    <row r="590" spans="1:52" x14ac:dyDescent="0.4">
      <c r="A590" s="6" t="s">
        <v>2230</v>
      </c>
      <c r="B590" s="1" t="s">
        <v>1879</v>
      </c>
      <c r="C590" s="1" t="s">
        <v>1880</v>
      </c>
      <c r="D590" s="1" t="s">
        <v>1881</v>
      </c>
      <c r="E590" s="1" t="s">
        <v>44</v>
      </c>
      <c r="F590" s="1" t="s">
        <v>90</v>
      </c>
      <c r="G590" s="5" t="s">
        <v>46</v>
      </c>
      <c r="H590" s="1" t="s">
        <v>27</v>
      </c>
      <c r="I590">
        <v>114300</v>
      </c>
      <c r="J590" s="1" t="s">
        <v>33</v>
      </c>
      <c r="K590">
        <v>0</v>
      </c>
      <c r="L590">
        <v>0</v>
      </c>
      <c r="M590">
        <v>0</v>
      </c>
      <c r="N590">
        <v>0</v>
      </c>
      <c r="O590">
        <v>114300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s="18">
        <v>6</v>
      </c>
      <c r="Y590" s="6"/>
      <c r="Z590" s="6"/>
      <c r="AA590" s="6"/>
      <c r="AB590" s="6"/>
      <c r="AC590" s="6">
        <v>19050</v>
      </c>
      <c r="AD590" s="6">
        <v>19050</v>
      </c>
      <c r="AE590" s="6">
        <v>19050</v>
      </c>
      <c r="AF590" s="6">
        <v>19050</v>
      </c>
      <c r="AG590" s="6">
        <v>19050</v>
      </c>
      <c r="AH590" s="6">
        <v>19050</v>
      </c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>
        <f t="shared" si="38"/>
        <v>6</v>
      </c>
      <c r="AX590" t="b">
        <f t="shared" si="39"/>
        <v>1</v>
      </c>
      <c r="AY590" s="21">
        <f t="shared" si="40"/>
        <v>114300</v>
      </c>
      <c r="AZ590" t="b">
        <f t="shared" si="41"/>
        <v>1</v>
      </c>
    </row>
    <row r="591" spans="1:52" x14ac:dyDescent="0.4">
      <c r="A591" s="6" t="s">
        <v>2230</v>
      </c>
      <c r="B591" s="1" t="s">
        <v>1882</v>
      </c>
      <c r="C591" s="1" t="s">
        <v>1883</v>
      </c>
      <c r="D591" s="1" t="s">
        <v>1884</v>
      </c>
      <c r="E591" s="1" t="s">
        <v>44</v>
      </c>
      <c r="F591" s="1" t="s">
        <v>1885</v>
      </c>
      <c r="G591" s="5" t="s">
        <v>10</v>
      </c>
      <c r="H591" s="1" t="s">
        <v>27</v>
      </c>
      <c r="I591">
        <v>114300</v>
      </c>
      <c r="J591" s="1" t="s">
        <v>1593</v>
      </c>
      <c r="K591">
        <v>0</v>
      </c>
      <c r="L591">
        <v>114300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s="18">
        <v>6</v>
      </c>
      <c r="Y591" s="6"/>
      <c r="Z591" s="6">
        <v>19050</v>
      </c>
      <c r="AA591" s="6">
        <v>19050</v>
      </c>
      <c r="AB591" s="6">
        <v>19050</v>
      </c>
      <c r="AC591" s="6">
        <v>19050</v>
      </c>
      <c r="AD591" s="6">
        <v>19050</v>
      </c>
      <c r="AE591" s="6">
        <v>19050</v>
      </c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>
        <f t="shared" si="38"/>
        <v>6</v>
      </c>
      <c r="AX591" t="b">
        <f t="shared" si="39"/>
        <v>1</v>
      </c>
      <c r="AY591" s="21">
        <f t="shared" si="40"/>
        <v>114300</v>
      </c>
      <c r="AZ591" t="b">
        <f t="shared" si="41"/>
        <v>1</v>
      </c>
    </row>
    <row r="592" spans="1:52" x14ac:dyDescent="0.4">
      <c r="A592" s="6" t="s">
        <v>2230</v>
      </c>
      <c r="B592" s="1" t="s">
        <v>1886</v>
      </c>
      <c r="C592" s="1" t="s">
        <v>1887</v>
      </c>
      <c r="D592" s="1" t="s">
        <v>1888</v>
      </c>
      <c r="E592" s="1" t="s">
        <v>44</v>
      </c>
      <c r="F592" s="1" t="s">
        <v>1627</v>
      </c>
      <c r="G592" s="5" t="s">
        <v>10</v>
      </c>
      <c r="H592" s="1" t="s">
        <v>27</v>
      </c>
      <c r="I592">
        <v>114300</v>
      </c>
      <c r="J592" s="1" t="s">
        <v>1593</v>
      </c>
      <c r="K592">
        <v>0</v>
      </c>
      <c r="L592">
        <v>114300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s="18">
        <v>6</v>
      </c>
      <c r="Y592" s="6"/>
      <c r="Z592" s="6">
        <v>19050</v>
      </c>
      <c r="AA592" s="6">
        <v>19050</v>
      </c>
      <c r="AB592" s="6">
        <v>19050</v>
      </c>
      <c r="AC592" s="6">
        <v>19050</v>
      </c>
      <c r="AD592" s="6">
        <v>19050</v>
      </c>
      <c r="AE592" s="6">
        <v>19050</v>
      </c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>
        <f t="shared" ref="AW592:AW655" si="42">+COUNTA(Y592:AV592)</f>
        <v>6</v>
      </c>
      <c r="AX592" t="b">
        <f t="shared" ref="AX592:AX655" si="43">+AW592=X592</f>
        <v>1</v>
      </c>
      <c r="AY592" s="21">
        <f t="shared" si="40"/>
        <v>114300</v>
      </c>
      <c r="AZ592" t="b">
        <f t="shared" si="41"/>
        <v>1</v>
      </c>
    </row>
    <row r="593" spans="1:52" x14ac:dyDescent="0.4">
      <c r="A593" s="6" t="s">
        <v>2230</v>
      </c>
      <c r="B593" s="1" t="s">
        <v>1889</v>
      </c>
      <c r="C593" s="1" t="s">
        <v>1890</v>
      </c>
      <c r="D593" s="1" t="s">
        <v>1891</v>
      </c>
      <c r="E593" s="1" t="s">
        <v>44</v>
      </c>
      <c r="F593" s="1" t="s">
        <v>1892</v>
      </c>
      <c r="G593" s="5" t="s">
        <v>1130</v>
      </c>
      <c r="H593" s="1" t="s">
        <v>27</v>
      </c>
      <c r="I593">
        <v>114300</v>
      </c>
      <c r="J593" s="1" t="s">
        <v>1455</v>
      </c>
      <c r="K593">
        <v>0</v>
      </c>
      <c r="L593">
        <v>0</v>
      </c>
      <c r="M593">
        <v>0</v>
      </c>
      <c r="N593">
        <v>114300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s="18">
        <v>6</v>
      </c>
      <c r="Y593" s="6"/>
      <c r="Z593" s="6"/>
      <c r="AA593" s="6"/>
      <c r="AB593" s="6">
        <v>19050</v>
      </c>
      <c r="AC593" s="6">
        <v>19050</v>
      </c>
      <c r="AD593" s="6">
        <v>19050</v>
      </c>
      <c r="AE593" s="6">
        <v>19050</v>
      </c>
      <c r="AF593" s="6">
        <v>19050</v>
      </c>
      <c r="AG593" s="6">
        <v>19050</v>
      </c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>
        <f t="shared" si="42"/>
        <v>6</v>
      </c>
      <c r="AX593" t="b">
        <f t="shared" si="43"/>
        <v>1</v>
      </c>
      <c r="AY593" s="21">
        <f t="shared" si="40"/>
        <v>114300</v>
      </c>
      <c r="AZ593" t="b">
        <f t="shared" si="41"/>
        <v>1</v>
      </c>
    </row>
    <row r="594" spans="1:52" x14ac:dyDescent="0.4">
      <c r="A594" s="6" t="s">
        <v>2230</v>
      </c>
      <c r="B594" s="1" t="s">
        <v>1893</v>
      </c>
      <c r="C594" s="1" t="s">
        <v>1894</v>
      </c>
      <c r="D594" s="1" t="s">
        <v>1895</v>
      </c>
      <c r="E594" s="1" t="s">
        <v>44</v>
      </c>
      <c r="F594" s="1" t="s">
        <v>1896</v>
      </c>
      <c r="G594" s="5" t="s">
        <v>10</v>
      </c>
      <c r="H594" s="1" t="s">
        <v>27</v>
      </c>
      <c r="I594">
        <v>114300</v>
      </c>
      <c r="J594" s="1" t="s">
        <v>1593</v>
      </c>
      <c r="K594">
        <v>0</v>
      </c>
      <c r="L594">
        <v>114300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s="18">
        <v>6</v>
      </c>
      <c r="Y594" s="6"/>
      <c r="Z594" s="6">
        <v>19050</v>
      </c>
      <c r="AA594" s="6">
        <v>19050</v>
      </c>
      <c r="AB594" s="6">
        <v>19050</v>
      </c>
      <c r="AC594" s="6">
        <v>19050</v>
      </c>
      <c r="AD594" s="6">
        <v>19050</v>
      </c>
      <c r="AE594" s="6">
        <v>19050</v>
      </c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>
        <f t="shared" si="42"/>
        <v>6</v>
      </c>
      <c r="AX594" t="b">
        <f t="shared" si="43"/>
        <v>1</v>
      </c>
      <c r="AY594" s="21">
        <f t="shared" si="40"/>
        <v>114300</v>
      </c>
      <c r="AZ594" t="b">
        <f t="shared" si="41"/>
        <v>1</v>
      </c>
    </row>
    <row r="595" spans="1:52" x14ac:dyDescent="0.4">
      <c r="A595" s="6" t="s">
        <v>2230</v>
      </c>
      <c r="B595" s="1" t="s">
        <v>1897</v>
      </c>
      <c r="C595" s="1" t="s">
        <v>1898</v>
      </c>
      <c r="D595" s="1" t="s">
        <v>1899</v>
      </c>
      <c r="E595" s="1" t="s">
        <v>44</v>
      </c>
      <c r="F595" s="1" t="s">
        <v>1627</v>
      </c>
      <c r="G595" s="5" t="s">
        <v>10</v>
      </c>
      <c r="H595" s="1" t="s">
        <v>27</v>
      </c>
      <c r="I595">
        <v>114300</v>
      </c>
      <c r="J595" s="1" t="s">
        <v>1593</v>
      </c>
      <c r="K595">
        <v>0</v>
      </c>
      <c r="L595">
        <v>114300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s="18">
        <v>6</v>
      </c>
      <c r="Y595" s="6"/>
      <c r="Z595" s="6">
        <v>19050</v>
      </c>
      <c r="AA595" s="6">
        <v>19050</v>
      </c>
      <c r="AB595" s="6">
        <v>19050</v>
      </c>
      <c r="AC595" s="6">
        <v>19050</v>
      </c>
      <c r="AD595" s="6">
        <v>19050</v>
      </c>
      <c r="AE595" s="6">
        <v>19050</v>
      </c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>
        <f t="shared" si="42"/>
        <v>6</v>
      </c>
      <c r="AX595" t="b">
        <f t="shared" si="43"/>
        <v>1</v>
      </c>
      <c r="AY595" s="21">
        <f t="shared" si="40"/>
        <v>114300</v>
      </c>
      <c r="AZ595" t="b">
        <f t="shared" si="41"/>
        <v>1</v>
      </c>
    </row>
    <row r="596" spans="1:52" x14ac:dyDescent="0.4">
      <c r="A596" s="6" t="s">
        <v>2230</v>
      </c>
      <c r="B596" s="1" t="s">
        <v>1900</v>
      </c>
      <c r="C596" s="1" t="s">
        <v>1901</v>
      </c>
      <c r="D596" s="1" t="s">
        <v>1902</v>
      </c>
      <c r="E596" s="1" t="s">
        <v>44</v>
      </c>
      <c r="F596" s="1" t="s">
        <v>56</v>
      </c>
      <c r="G596" s="5" t="s">
        <v>46</v>
      </c>
      <c r="H596" s="1" t="s">
        <v>27</v>
      </c>
      <c r="I596">
        <v>114300</v>
      </c>
      <c r="J596" s="1" t="s">
        <v>33</v>
      </c>
      <c r="K596">
        <v>0</v>
      </c>
      <c r="L596">
        <v>0</v>
      </c>
      <c r="M596">
        <v>0</v>
      </c>
      <c r="N596">
        <v>0</v>
      </c>
      <c r="O596">
        <v>114300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s="18">
        <v>6</v>
      </c>
      <c r="Y596" s="6"/>
      <c r="Z596" s="6"/>
      <c r="AA596" s="6"/>
      <c r="AB596" s="6"/>
      <c r="AC596" s="6">
        <v>19050</v>
      </c>
      <c r="AD596" s="6">
        <v>19050</v>
      </c>
      <c r="AE596" s="6">
        <v>19050</v>
      </c>
      <c r="AF596" s="6">
        <v>19050</v>
      </c>
      <c r="AG596" s="6">
        <v>19050</v>
      </c>
      <c r="AH596" s="6">
        <v>19050</v>
      </c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>
        <f t="shared" si="42"/>
        <v>6</v>
      </c>
      <c r="AX596" t="b">
        <f t="shared" si="43"/>
        <v>1</v>
      </c>
      <c r="AY596" s="21">
        <f t="shared" si="40"/>
        <v>114300</v>
      </c>
      <c r="AZ596" t="b">
        <f t="shared" si="41"/>
        <v>1</v>
      </c>
    </row>
    <row r="597" spans="1:52" x14ac:dyDescent="0.4">
      <c r="A597" s="6" t="s">
        <v>2230</v>
      </c>
      <c r="B597" s="1" t="s">
        <v>1903</v>
      </c>
      <c r="C597" s="1" t="s">
        <v>1904</v>
      </c>
      <c r="D597" s="1" t="s">
        <v>1905</v>
      </c>
      <c r="E597" s="1" t="s">
        <v>44</v>
      </c>
      <c r="F597" s="1" t="s">
        <v>932</v>
      </c>
      <c r="G597" s="5" t="s">
        <v>479</v>
      </c>
      <c r="H597" s="1" t="s">
        <v>27</v>
      </c>
      <c r="I597">
        <v>114300</v>
      </c>
      <c r="J597" s="1" t="s">
        <v>868</v>
      </c>
      <c r="K597">
        <v>0</v>
      </c>
      <c r="L597">
        <v>0</v>
      </c>
      <c r="M597">
        <v>114300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s="18">
        <v>6</v>
      </c>
      <c r="Y597" s="6"/>
      <c r="Z597" s="6"/>
      <c r="AA597" s="6">
        <v>19050</v>
      </c>
      <c r="AB597" s="6">
        <v>19050</v>
      </c>
      <c r="AC597" s="6">
        <v>19050</v>
      </c>
      <c r="AD597" s="6">
        <v>19050</v>
      </c>
      <c r="AE597" s="6">
        <v>19050</v>
      </c>
      <c r="AF597" s="6">
        <v>19050</v>
      </c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>
        <f t="shared" si="42"/>
        <v>6</v>
      </c>
      <c r="AX597" t="b">
        <f t="shared" si="43"/>
        <v>1</v>
      </c>
      <c r="AY597" s="21">
        <f t="shared" si="40"/>
        <v>114300</v>
      </c>
      <c r="AZ597" t="b">
        <f t="shared" si="41"/>
        <v>1</v>
      </c>
    </row>
    <row r="598" spans="1:52" x14ac:dyDescent="0.4">
      <c r="A598" s="6" t="s">
        <v>2230</v>
      </c>
      <c r="B598" s="1" t="s">
        <v>1906</v>
      </c>
      <c r="C598" s="1" t="s">
        <v>1907</v>
      </c>
      <c r="D598" s="1" t="s">
        <v>1908</v>
      </c>
      <c r="E598" s="1" t="s">
        <v>44</v>
      </c>
      <c r="F598" s="1" t="s">
        <v>1161</v>
      </c>
      <c r="G598" s="5" t="s">
        <v>479</v>
      </c>
      <c r="H598" s="1" t="s">
        <v>27</v>
      </c>
      <c r="I598">
        <v>114300</v>
      </c>
      <c r="J598" s="1" t="s">
        <v>868</v>
      </c>
      <c r="K598">
        <v>0</v>
      </c>
      <c r="L598">
        <v>0</v>
      </c>
      <c r="M598">
        <v>114300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s="18">
        <v>6</v>
      </c>
      <c r="Y598" s="6"/>
      <c r="Z598" s="6"/>
      <c r="AA598" s="6">
        <v>19050</v>
      </c>
      <c r="AB598" s="6">
        <v>19050</v>
      </c>
      <c r="AC598" s="6">
        <v>19050</v>
      </c>
      <c r="AD598" s="6">
        <v>19050</v>
      </c>
      <c r="AE598" s="6">
        <v>19050</v>
      </c>
      <c r="AF598" s="6">
        <v>19050</v>
      </c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>
        <f t="shared" si="42"/>
        <v>6</v>
      </c>
      <c r="AX598" t="b">
        <f t="shared" si="43"/>
        <v>1</v>
      </c>
      <c r="AY598" s="21">
        <f t="shared" si="40"/>
        <v>114300</v>
      </c>
      <c r="AZ598" t="b">
        <f t="shared" si="41"/>
        <v>1</v>
      </c>
    </row>
    <row r="599" spans="1:52" x14ac:dyDescent="0.4">
      <c r="A599" s="6" t="s">
        <v>2230</v>
      </c>
      <c r="B599" s="1" t="s">
        <v>1909</v>
      </c>
      <c r="C599" s="1" t="s">
        <v>1910</v>
      </c>
      <c r="D599" s="1" t="s">
        <v>1911</v>
      </c>
      <c r="E599" s="1" t="s">
        <v>44</v>
      </c>
      <c r="F599" s="1" t="s">
        <v>140</v>
      </c>
      <c r="G599" s="5" t="s">
        <v>46</v>
      </c>
      <c r="H599" s="1" t="s">
        <v>27</v>
      </c>
      <c r="I599">
        <v>114300</v>
      </c>
      <c r="J599" s="1" t="s">
        <v>33</v>
      </c>
      <c r="K599">
        <v>0</v>
      </c>
      <c r="L599">
        <v>0</v>
      </c>
      <c r="M599">
        <v>0</v>
      </c>
      <c r="N599">
        <v>0</v>
      </c>
      <c r="O599">
        <v>114300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s="18">
        <v>6</v>
      </c>
      <c r="Y599" s="6"/>
      <c r="Z599" s="6"/>
      <c r="AA599" s="6"/>
      <c r="AB599" s="6"/>
      <c r="AC599" s="6">
        <v>19050</v>
      </c>
      <c r="AD599" s="6">
        <v>19050</v>
      </c>
      <c r="AE599" s="6">
        <v>19050</v>
      </c>
      <c r="AF599" s="6">
        <v>19050</v>
      </c>
      <c r="AG599" s="6">
        <v>19050</v>
      </c>
      <c r="AH599" s="6">
        <v>19050</v>
      </c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>
        <f t="shared" si="42"/>
        <v>6</v>
      </c>
      <c r="AX599" t="b">
        <f t="shared" si="43"/>
        <v>1</v>
      </c>
      <c r="AY599" s="21">
        <f t="shared" si="40"/>
        <v>114300</v>
      </c>
      <c r="AZ599" t="b">
        <f t="shared" si="41"/>
        <v>1</v>
      </c>
    </row>
    <row r="600" spans="1:52" x14ac:dyDescent="0.4">
      <c r="A600" s="6" t="s">
        <v>2230</v>
      </c>
      <c r="B600" s="1" t="s">
        <v>1912</v>
      </c>
      <c r="C600" s="1" t="s">
        <v>1913</v>
      </c>
      <c r="D600" s="1" t="s">
        <v>1914</v>
      </c>
      <c r="E600" s="1" t="s">
        <v>44</v>
      </c>
      <c r="F600" s="1" t="s">
        <v>56</v>
      </c>
      <c r="G600" s="5" t="s">
        <v>46</v>
      </c>
      <c r="H600" s="1" t="s">
        <v>27</v>
      </c>
      <c r="I600">
        <v>114300</v>
      </c>
      <c r="J600" s="1" t="s">
        <v>33</v>
      </c>
      <c r="K600">
        <v>0</v>
      </c>
      <c r="L600">
        <v>0</v>
      </c>
      <c r="M600">
        <v>0</v>
      </c>
      <c r="N600">
        <v>0</v>
      </c>
      <c r="O600">
        <v>114300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s="18">
        <v>6</v>
      </c>
      <c r="Y600" s="6"/>
      <c r="Z600" s="6"/>
      <c r="AA600" s="6"/>
      <c r="AB600" s="6"/>
      <c r="AC600" s="6">
        <v>19050</v>
      </c>
      <c r="AD600" s="6">
        <v>19050</v>
      </c>
      <c r="AE600" s="6">
        <v>19050</v>
      </c>
      <c r="AF600" s="6">
        <v>19050</v>
      </c>
      <c r="AG600" s="6">
        <v>19050</v>
      </c>
      <c r="AH600" s="6">
        <v>19050</v>
      </c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>
        <f t="shared" si="42"/>
        <v>6</v>
      </c>
      <c r="AX600" t="b">
        <f t="shared" si="43"/>
        <v>1</v>
      </c>
      <c r="AY600" s="21">
        <f t="shared" si="40"/>
        <v>114300</v>
      </c>
      <c r="AZ600" t="b">
        <f t="shared" si="41"/>
        <v>1</v>
      </c>
    </row>
    <row r="601" spans="1:52" x14ac:dyDescent="0.4">
      <c r="A601" s="6" t="s">
        <v>2230</v>
      </c>
      <c r="B601" s="1" t="s">
        <v>1915</v>
      </c>
      <c r="C601" s="1" t="s">
        <v>1916</v>
      </c>
      <c r="D601" s="1" t="s">
        <v>1917</v>
      </c>
      <c r="E601" s="1" t="s">
        <v>44</v>
      </c>
      <c r="F601" s="1" t="s">
        <v>1918</v>
      </c>
      <c r="G601" s="5" t="s">
        <v>479</v>
      </c>
      <c r="H601" s="1" t="s">
        <v>27</v>
      </c>
      <c r="I601">
        <v>114300</v>
      </c>
      <c r="J601" s="1" t="s">
        <v>868</v>
      </c>
      <c r="K601">
        <v>0</v>
      </c>
      <c r="L601">
        <v>0</v>
      </c>
      <c r="M601">
        <v>114300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s="18">
        <v>6</v>
      </c>
      <c r="Y601" s="6"/>
      <c r="Z601" s="6"/>
      <c r="AA601" s="6">
        <v>19050</v>
      </c>
      <c r="AB601" s="6">
        <v>19050</v>
      </c>
      <c r="AC601" s="6">
        <v>19050</v>
      </c>
      <c r="AD601" s="6">
        <v>19050</v>
      </c>
      <c r="AE601" s="6">
        <v>19050</v>
      </c>
      <c r="AF601" s="6">
        <v>19050</v>
      </c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>
        <f t="shared" si="42"/>
        <v>6</v>
      </c>
      <c r="AX601" t="b">
        <f t="shared" si="43"/>
        <v>1</v>
      </c>
      <c r="AY601" s="21">
        <f t="shared" si="40"/>
        <v>114300</v>
      </c>
      <c r="AZ601" t="b">
        <f t="shared" si="41"/>
        <v>1</v>
      </c>
    </row>
    <row r="602" spans="1:52" x14ac:dyDescent="0.4">
      <c r="A602" s="6" t="s">
        <v>2230</v>
      </c>
      <c r="B602" s="1" t="s">
        <v>1919</v>
      </c>
      <c r="C602" s="1" t="s">
        <v>1920</v>
      </c>
      <c r="D602" s="1" t="s">
        <v>1921</v>
      </c>
      <c r="E602" s="1" t="s">
        <v>25</v>
      </c>
      <c r="F602" s="1" t="s">
        <v>37</v>
      </c>
      <c r="G602" s="5" t="s">
        <v>10</v>
      </c>
      <c r="H602" s="1" t="s">
        <v>27</v>
      </c>
      <c r="I602">
        <v>59400</v>
      </c>
      <c r="J602" s="1" t="s">
        <v>33</v>
      </c>
      <c r="K602">
        <v>0</v>
      </c>
      <c r="L602">
        <v>59400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s="18">
        <v>3</v>
      </c>
      <c r="Y602" s="6"/>
      <c r="Z602" s="6">
        <v>19800</v>
      </c>
      <c r="AA602" s="6">
        <v>19800</v>
      </c>
      <c r="AB602" s="6">
        <v>19800</v>
      </c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>
        <f t="shared" si="42"/>
        <v>3</v>
      </c>
      <c r="AX602" t="b">
        <f t="shared" si="43"/>
        <v>1</v>
      </c>
      <c r="AY602" s="21">
        <f t="shared" si="40"/>
        <v>59400</v>
      </c>
      <c r="AZ602" t="b">
        <f t="shared" si="41"/>
        <v>1</v>
      </c>
    </row>
    <row r="603" spans="1:52" x14ac:dyDescent="0.4">
      <c r="A603" s="6" t="s">
        <v>2230</v>
      </c>
      <c r="B603" s="1" t="s">
        <v>1922</v>
      </c>
      <c r="C603" s="1" t="s">
        <v>1923</v>
      </c>
      <c r="D603" s="1" t="s">
        <v>1924</v>
      </c>
      <c r="E603" s="1" t="s">
        <v>44</v>
      </c>
      <c r="F603" s="1" t="s">
        <v>1141</v>
      </c>
      <c r="G603" s="5" t="s">
        <v>479</v>
      </c>
      <c r="H603" s="1" t="s">
        <v>27</v>
      </c>
      <c r="I603">
        <v>114300</v>
      </c>
      <c r="J603" s="1" t="s">
        <v>868</v>
      </c>
      <c r="K603">
        <v>0</v>
      </c>
      <c r="L603">
        <v>0</v>
      </c>
      <c r="M603">
        <v>114300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s="18">
        <v>6</v>
      </c>
      <c r="Y603" s="6"/>
      <c r="Z603" s="6"/>
      <c r="AA603" s="6">
        <v>19050</v>
      </c>
      <c r="AB603" s="6">
        <v>19050</v>
      </c>
      <c r="AC603" s="6">
        <v>19050</v>
      </c>
      <c r="AD603" s="6">
        <v>19050</v>
      </c>
      <c r="AE603" s="6">
        <v>19050</v>
      </c>
      <c r="AF603" s="6">
        <v>19050</v>
      </c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>
        <f t="shared" si="42"/>
        <v>6</v>
      </c>
      <c r="AX603" t="b">
        <f t="shared" si="43"/>
        <v>1</v>
      </c>
      <c r="AY603" s="21">
        <f t="shared" si="40"/>
        <v>114300</v>
      </c>
      <c r="AZ603" t="b">
        <f t="shared" si="41"/>
        <v>1</v>
      </c>
    </row>
    <row r="604" spans="1:52" x14ac:dyDescent="0.4">
      <c r="A604" s="6" t="s">
        <v>2230</v>
      </c>
      <c r="B604" s="1" t="s">
        <v>1925</v>
      </c>
      <c r="C604" s="1" t="s">
        <v>1926</v>
      </c>
      <c r="D604" s="1" t="s">
        <v>1927</v>
      </c>
      <c r="E604" s="1" t="s">
        <v>44</v>
      </c>
      <c r="F604" s="1" t="s">
        <v>1928</v>
      </c>
      <c r="G604" s="5" t="s">
        <v>1929</v>
      </c>
      <c r="H604" s="1" t="s">
        <v>27</v>
      </c>
      <c r="I604">
        <v>114300</v>
      </c>
      <c r="J604" s="1" t="s">
        <v>1930</v>
      </c>
      <c r="K604">
        <v>114300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s="18">
        <v>6</v>
      </c>
      <c r="Y604" s="6">
        <v>19050</v>
      </c>
      <c r="Z604" s="6">
        <v>19050</v>
      </c>
      <c r="AA604" s="6">
        <v>19050</v>
      </c>
      <c r="AB604" s="6">
        <v>19050</v>
      </c>
      <c r="AC604" s="6">
        <v>19050</v>
      </c>
      <c r="AD604" s="6">
        <v>19050</v>
      </c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>
        <f t="shared" si="42"/>
        <v>6</v>
      </c>
      <c r="AX604" t="b">
        <f t="shared" si="43"/>
        <v>1</v>
      </c>
      <c r="AY604" s="21">
        <f t="shared" si="40"/>
        <v>114300</v>
      </c>
      <c r="AZ604" t="b">
        <f t="shared" si="41"/>
        <v>1</v>
      </c>
    </row>
    <row r="605" spans="1:52" x14ac:dyDescent="0.4">
      <c r="A605" s="6" t="s">
        <v>2230</v>
      </c>
      <c r="B605" s="1" t="s">
        <v>1931</v>
      </c>
      <c r="C605" s="1" t="s">
        <v>1932</v>
      </c>
      <c r="D605" s="1" t="s">
        <v>1933</v>
      </c>
      <c r="E605" s="1" t="s">
        <v>44</v>
      </c>
      <c r="F605" s="1" t="s">
        <v>1934</v>
      </c>
      <c r="G605" s="5" t="s">
        <v>10</v>
      </c>
      <c r="H605" s="1" t="s">
        <v>27</v>
      </c>
      <c r="I605">
        <v>114300</v>
      </c>
      <c r="J605" s="1" t="s">
        <v>1593</v>
      </c>
      <c r="K605">
        <v>0</v>
      </c>
      <c r="L605">
        <v>114300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s="18">
        <v>6</v>
      </c>
      <c r="Y605" s="6"/>
      <c r="Z605" s="6">
        <v>19050</v>
      </c>
      <c r="AA605" s="6">
        <v>19050</v>
      </c>
      <c r="AB605" s="6">
        <v>19050</v>
      </c>
      <c r="AC605" s="6">
        <v>19050</v>
      </c>
      <c r="AD605" s="6">
        <v>19050</v>
      </c>
      <c r="AE605" s="6">
        <v>19050</v>
      </c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>
        <f t="shared" si="42"/>
        <v>6</v>
      </c>
      <c r="AX605" t="b">
        <f t="shared" si="43"/>
        <v>1</v>
      </c>
      <c r="AY605" s="21">
        <f t="shared" si="40"/>
        <v>114300</v>
      </c>
      <c r="AZ605" t="b">
        <f t="shared" si="41"/>
        <v>1</v>
      </c>
    </row>
    <row r="606" spans="1:52" x14ac:dyDescent="0.4">
      <c r="A606" s="6" t="s">
        <v>2230</v>
      </c>
      <c r="B606" s="1" t="s">
        <v>1935</v>
      </c>
      <c r="C606" s="1" t="s">
        <v>1936</v>
      </c>
      <c r="D606" s="1" t="s">
        <v>1937</v>
      </c>
      <c r="E606" s="1" t="s">
        <v>44</v>
      </c>
      <c r="F606" s="1" t="s">
        <v>1188</v>
      </c>
      <c r="G606" s="5" t="s">
        <v>479</v>
      </c>
      <c r="H606" s="1" t="s">
        <v>27</v>
      </c>
      <c r="I606">
        <v>114300</v>
      </c>
      <c r="J606" s="1" t="s">
        <v>868</v>
      </c>
      <c r="K606">
        <v>0</v>
      </c>
      <c r="L606">
        <v>0</v>
      </c>
      <c r="M606">
        <v>114300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s="18">
        <v>6</v>
      </c>
      <c r="Y606" s="6"/>
      <c r="Z606" s="6"/>
      <c r="AA606" s="6">
        <v>19050</v>
      </c>
      <c r="AB606" s="6">
        <v>19050</v>
      </c>
      <c r="AC606" s="6">
        <v>19050</v>
      </c>
      <c r="AD606" s="6">
        <v>19050</v>
      </c>
      <c r="AE606" s="6">
        <v>19050</v>
      </c>
      <c r="AF606" s="6">
        <v>19050</v>
      </c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>
        <f t="shared" si="42"/>
        <v>6</v>
      </c>
      <c r="AX606" t="b">
        <f t="shared" si="43"/>
        <v>1</v>
      </c>
      <c r="AY606" s="21">
        <f t="shared" si="40"/>
        <v>114300</v>
      </c>
      <c r="AZ606" t="b">
        <f t="shared" si="41"/>
        <v>1</v>
      </c>
    </row>
    <row r="607" spans="1:52" x14ac:dyDescent="0.4">
      <c r="A607" s="6" t="s">
        <v>2230</v>
      </c>
      <c r="B607" s="1" t="s">
        <v>1938</v>
      </c>
      <c r="C607" s="1" t="s">
        <v>1939</v>
      </c>
      <c r="D607" s="1" t="s">
        <v>1940</v>
      </c>
      <c r="E607" s="1" t="s">
        <v>44</v>
      </c>
      <c r="F607" s="1" t="s">
        <v>924</v>
      </c>
      <c r="G607" s="5" t="s">
        <v>479</v>
      </c>
      <c r="H607" s="1" t="s">
        <v>27</v>
      </c>
      <c r="I607">
        <v>114300</v>
      </c>
      <c r="J607" s="1" t="s">
        <v>868</v>
      </c>
      <c r="K607">
        <v>0</v>
      </c>
      <c r="L607">
        <v>0</v>
      </c>
      <c r="M607">
        <v>114300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s="18">
        <v>6</v>
      </c>
      <c r="Y607" s="6"/>
      <c r="Z607" s="6"/>
      <c r="AA607" s="6">
        <v>19050</v>
      </c>
      <c r="AB607" s="6">
        <v>19050</v>
      </c>
      <c r="AC607" s="6">
        <v>19050</v>
      </c>
      <c r="AD607" s="6">
        <v>19050</v>
      </c>
      <c r="AE607" s="6">
        <v>19050</v>
      </c>
      <c r="AF607" s="6">
        <v>19050</v>
      </c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>
        <f t="shared" si="42"/>
        <v>6</v>
      </c>
      <c r="AX607" t="b">
        <f t="shared" si="43"/>
        <v>1</v>
      </c>
      <c r="AY607" s="21">
        <f t="shared" si="40"/>
        <v>114300</v>
      </c>
      <c r="AZ607" t="b">
        <f t="shared" si="41"/>
        <v>1</v>
      </c>
    </row>
    <row r="608" spans="1:52" x14ac:dyDescent="0.4">
      <c r="A608" s="6" t="s">
        <v>2230</v>
      </c>
      <c r="B608" s="1" t="s">
        <v>1941</v>
      </c>
      <c r="C608" s="1" t="s">
        <v>1942</v>
      </c>
      <c r="D608" s="1" t="s">
        <v>1943</v>
      </c>
      <c r="E608" s="1" t="s">
        <v>1944</v>
      </c>
      <c r="F608" s="1" t="s">
        <v>1945</v>
      </c>
      <c r="G608" s="5" t="s">
        <v>1946</v>
      </c>
      <c r="H608" s="1" t="s">
        <v>27</v>
      </c>
      <c r="I608">
        <v>113220</v>
      </c>
      <c r="J608" s="1" t="s">
        <v>28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113220</v>
      </c>
      <c r="X608" s="18">
        <v>12</v>
      </c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>
        <v>9435</v>
      </c>
      <c r="AL608" s="6">
        <v>9435</v>
      </c>
      <c r="AM608" s="6">
        <v>9435</v>
      </c>
      <c r="AN608" s="6">
        <v>9435</v>
      </c>
      <c r="AO608" s="6">
        <v>9435</v>
      </c>
      <c r="AP608" s="6">
        <v>9435</v>
      </c>
      <c r="AQ608" s="6">
        <v>9435</v>
      </c>
      <c r="AR608" s="6">
        <v>9435</v>
      </c>
      <c r="AS608" s="6">
        <v>9435</v>
      </c>
      <c r="AT608" s="6">
        <v>9435</v>
      </c>
      <c r="AU608" s="6">
        <v>9435</v>
      </c>
      <c r="AV608" s="6">
        <v>9435</v>
      </c>
      <c r="AW608">
        <f t="shared" si="42"/>
        <v>12</v>
      </c>
      <c r="AX608" t="b">
        <f t="shared" si="43"/>
        <v>1</v>
      </c>
      <c r="AY608" s="21">
        <f t="shared" si="40"/>
        <v>113220</v>
      </c>
      <c r="AZ608" t="b">
        <f t="shared" si="41"/>
        <v>1</v>
      </c>
    </row>
    <row r="609" spans="1:52" x14ac:dyDescent="0.4">
      <c r="A609" s="6" t="s">
        <v>2230</v>
      </c>
      <c r="B609" s="1" t="s">
        <v>1947</v>
      </c>
      <c r="C609" s="1" t="s">
        <v>1948</v>
      </c>
      <c r="D609" s="1" t="s">
        <v>1949</v>
      </c>
      <c r="E609" s="1" t="s">
        <v>44</v>
      </c>
      <c r="F609" s="1" t="s">
        <v>51</v>
      </c>
      <c r="G609" s="5" t="s">
        <v>46</v>
      </c>
      <c r="H609" s="1" t="s">
        <v>27</v>
      </c>
      <c r="I609">
        <v>114300</v>
      </c>
      <c r="J609" s="1" t="s">
        <v>33</v>
      </c>
      <c r="K609">
        <v>0</v>
      </c>
      <c r="L609">
        <v>0</v>
      </c>
      <c r="M609">
        <v>0</v>
      </c>
      <c r="N609">
        <v>0</v>
      </c>
      <c r="O609">
        <v>114300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s="18">
        <v>6</v>
      </c>
      <c r="Y609" s="6"/>
      <c r="Z609" s="6"/>
      <c r="AA609" s="6"/>
      <c r="AB609" s="6"/>
      <c r="AC609" s="6">
        <v>19050</v>
      </c>
      <c r="AD609" s="6">
        <v>19050</v>
      </c>
      <c r="AE609" s="6">
        <v>19050</v>
      </c>
      <c r="AF609" s="6">
        <v>19050</v>
      </c>
      <c r="AG609" s="6">
        <v>19050</v>
      </c>
      <c r="AH609" s="6">
        <v>19050</v>
      </c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>
        <f t="shared" si="42"/>
        <v>6</v>
      </c>
      <c r="AX609" t="b">
        <f t="shared" si="43"/>
        <v>1</v>
      </c>
      <c r="AY609" s="21">
        <f t="shared" si="40"/>
        <v>114300</v>
      </c>
      <c r="AZ609" t="b">
        <f t="shared" si="41"/>
        <v>1</v>
      </c>
    </row>
    <row r="610" spans="1:52" x14ac:dyDescent="0.4">
      <c r="A610" s="6" t="s">
        <v>2230</v>
      </c>
      <c r="B610" s="1" t="s">
        <v>1950</v>
      </c>
      <c r="C610" s="1" t="s">
        <v>1951</v>
      </c>
      <c r="D610" s="1" t="s">
        <v>1952</v>
      </c>
      <c r="E610" s="1" t="s">
        <v>1944</v>
      </c>
      <c r="F610" s="1" t="s">
        <v>1945</v>
      </c>
      <c r="G610" s="5" t="s">
        <v>1946</v>
      </c>
      <c r="H610" s="1" t="s">
        <v>27</v>
      </c>
      <c r="I610">
        <v>113220</v>
      </c>
      <c r="J610" s="1" t="s">
        <v>28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113220</v>
      </c>
      <c r="X610" s="18">
        <v>12</v>
      </c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>
        <v>9435</v>
      </c>
      <c r="AL610" s="6">
        <v>9435</v>
      </c>
      <c r="AM610" s="6">
        <v>9435</v>
      </c>
      <c r="AN610" s="6">
        <v>9435</v>
      </c>
      <c r="AO610" s="6">
        <v>9435</v>
      </c>
      <c r="AP610" s="6">
        <v>9435</v>
      </c>
      <c r="AQ610" s="6">
        <v>9435</v>
      </c>
      <c r="AR610" s="6">
        <v>9435</v>
      </c>
      <c r="AS610" s="6">
        <v>9435</v>
      </c>
      <c r="AT610" s="6">
        <v>9435</v>
      </c>
      <c r="AU610" s="6">
        <v>9435</v>
      </c>
      <c r="AV610" s="6">
        <v>9435</v>
      </c>
      <c r="AW610">
        <f t="shared" si="42"/>
        <v>12</v>
      </c>
      <c r="AX610" t="b">
        <f t="shared" si="43"/>
        <v>1</v>
      </c>
      <c r="AY610" s="21">
        <f t="shared" si="40"/>
        <v>113220</v>
      </c>
      <c r="AZ610" t="b">
        <f t="shared" si="41"/>
        <v>1</v>
      </c>
    </row>
    <row r="611" spans="1:52" x14ac:dyDescent="0.4">
      <c r="A611" s="6" t="s">
        <v>2230</v>
      </c>
      <c r="B611" s="1" t="s">
        <v>1953</v>
      </c>
      <c r="C611" s="1" t="s">
        <v>1954</v>
      </c>
      <c r="D611" s="1" t="s">
        <v>1955</v>
      </c>
      <c r="E611" s="1" t="s">
        <v>44</v>
      </c>
      <c r="F611" s="1" t="s">
        <v>1956</v>
      </c>
      <c r="G611" s="5" t="s">
        <v>1130</v>
      </c>
      <c r="H611" s="1" t="s">
        <v>27</v>
      </c>
      <c r="I611">
        <v>114300</v>
      </c>
      <c r="J611" s="1" t="s">
        <v>1455</v>
      </c>
      <c r="K611">
        <v>0</v>
      </c>
      <c r="L611">
        <v>0</v>
      </c>
      <c r="M611">
        <v>0</v>
      </c>
      <c r="N611">
        <v>114300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s="18">
        <v>6</v>
      </c>
      <c r="Y611" s="6"/>
      <c r="Z611" s="6"/>
      <c r="AA611" s="6"/>
      <c r="AB611" s="6">
        <v>19050</v>
      </c>
      <c r="AC611" s="6">
        <v>19050</v>
      </c>
      <c r="AD611" s="6">
        <v>19050</v>
      </c>
      <c r="AE611" s="6">
        <v>19050</v>
      </c>
      <c r="AF611" s="6">
        <v>19050</v>
      </c>
      <c r="AG611" s="6">
        <v>19050</v>
      </c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>
        <f t="shared" si="42"/>
        <v>6</v>
      </c>
      <c r="AX611" t="b">
        <f t="shared" si="43"/>
        <v>1</v>
      </c>
      <c r="AY611" s="21">
        <f t="shared" si="40"/>
        <v>114300</v>
      </c>
      <c r="AZ611" t="b">
        <f t="shared" si="41"/>
        <v>1</v>
      </c>
    </row>
    <row r="612" spans="1:52" x14ac:dyDescent="0.4">
      <c r="A612" s="6" t="s">
        <v>2230</v>
      </c>
      <c r="B612" s="1" t="s">
        <v>1957</v>
      </c>
      <c r="C612" s="1" t="s">
        <v>1958</v>
      </c>
      <c r="D612" s="1" t="s">
        <v>1959</v>
      </c>
      <c r="E612" s="1" t="s">
        <v>44</v>
      </c>
      <c r="F612" s="1" t="s">
        <v>1137</v>
      </c>
      <c r="G612" s="5" t="s">
        <v>479</v>
      </c>
      <c r="H612" s="1" t="s">
        <v>27</v>
      </c>
      <c r="I612">
        <v>114300</v>
      </c>
      <c r="J612" s="1" t="s">
        <v>868</v>
      </c>
      <c r="K612">
        <v>0</v>
      </c>
      <c r="L612">
        <v>0</v>
      </c>
      <c r="M612">
        <v>114300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s="18">
        <v>6</v>
      </c>
      <c r="Y612" s="6"/>
      <c r="Z612" s="6"/>
      <c r="AA612" s="6">
        <v>19050</v>
      </c>
      <c r="AB612" s="6">
        <v>19050</v>
      </c>
      <c r="AC612" s="6">
        <v>19050</v>
      </c>
      <c r="AD612" s="6">
        <v>19050</v>
      </c>
      <c r="AE612" s="6">
        <v>19050</v>
      </c>
      <c r="AF612" s="6">
        <v>19050</v>
      </c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>
        <f t="shared" si="42"/>
        <v>6</v>
      </c>
      <c r="AX612" t="b">
        <f t="shared" si="43"/>
        <v>1</v>
      </c>
      <c r="AY612" s="21">
        <f t="shared" si="40"/>
        <v>114300</v>
      </c>
      <c r="AZ612" t="b">
        <f t="shared" si="41"/>
        <v>1</v>
      </c>
    </row>
    <row r="613" spans="1:52" x14ac:dyDescent="0.4">
      <c r="A613" s="6" t="s">
        <v>2230</v>
      </c>
      <c r="B613" s="1" t="s">
        <v>1960</v>
      </c>
      <c r="C613" s="1" t="s">
        <v>1961</v>
      </c>
      <c r="D613" s="1" t="s">
        <v>1962</v>
      </c>
      <c r="E613" s="1" t="s">
        <v>25</v>
      </c>
      <c r="F613" s="1" t="s">
        <v>1309</v>
      </c>
      <c r="G613" s="5" t="s">
        <v>479</v>
      </c>
      <c r="H613" s="1" t="s">
        <v>27</v>
      </c>
      <c r="I613">
        <v>59400</v>
      </c>
      <c r="J613" s="1" t="s">
        <v>28</v>
      </c>
      <c r="K613">
        <v>0</v>
      </c>
      <c r="L613">
        <v>0</v>
      </c>
      <c r="M613">
        <v>59400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s="18">
        <v>3</v>
      </c>
      <c r="Y613" s="6"/>
      <c r="Z613" s="6"/>
      <c r="AA613" s="6">
        <v>19800</v>
      </c>
      <c r="AB613" s="6">
        <v>19800</v>
      </c>
      <c r="AC613" s="6">
        <v>19800</v>
      </c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>
        <f t="shared" si="42"/>
        <v>3</v>
      </c>
      <c r="AX613" t="b">
        <f t="shared" si="43"/>
        <v>1</v>
      </c>
      <c r="AY613" s="21">
        <f t="shared" si="40"/>
        <v>59400</v>
      </c>
      <c r="AZ613" t="b">
        <f t="shared" si="41"/>
        <v>1</v>
      </c>
    </row>
    <row r="614" spans="1:52" x14ac:dyDescent="0.4">
      <c r="A614" s="6" t="s">
        <v>2230</v>
      </c>
      <c r="B614" s="1" t="s">
        <v>1963</v>
      </c>
      <c r="C614" s="1" t="s">
        <v>1964</v>
      </c>
      <c r="D614" s="1" t="s">
        <v>1965</v>
      </c>
      <c r="E614" s="1" t="s">
        <v>25</v>
      </c>
      <c r="G614" s="5"/>
      <c r="I614">
        <v>59400</v>
      </c>
      <c r="J614" s="1" t="s">
        <v>1455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s="18">
        <v>3</v>
      </c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>
        <f t="shared" si="42"/>
        <v>0</v>
      </c>
      <c r="AX614" t="b">
        <f t="shared" si="43"/>
        <v>0</v>
      </c>
      <c r="AY614" s="21">
        <f t="shared" si="40"/>
        <v>0</v>
      </c>
      <c r="AZ614" t="b">
        <f t="shared" si="41"/>
        <v>0</v>
      </c>
    </row>
    <row r="615" spans="1:52" x14ac:dyDescent="0.4">
      <c r="A615" s="6" t="s">
        <v>2230</v>
      </c>
      <c r="B615" s="1" t="s">
        <v>1966</v>
      </c>
      <c r="C615" s="1" t="s">
        <v>1967</v>
      </c>
      <c r="D615" s="1" t="s">
        <v>1968</v>
      </c>
      <c r="E615" s="1" t="s">
        <v>44</v>
      </c>
      <c r="F615" s="1" t="s">
        <v>1969</v>
      </c>
      <c r="G615" s="5" t="s">
        <v>10</v>
      </c>
      <c r="H615" s="1" t="s">
        <v>27</v>
      </c>
      <c r="I615">
        <v>114300</v>
      </c>
      <c r="J615" s="1" t="s">
        <v>1593</v>
      </c>
      <c r="K615">
        <v>0</v>
      </c>
      <c r="L615">
        <v>114300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s="18">
        <v>6</v>
      </c>
      <c r="Y615" s="6"/>
      <c r="Z615" s="6">
        <v>19050</v>
      </c>
      <c r="AA615" s="6">
        <v>19050</v>
      </c>
      <c r="AB615" s="6">
        <v>19050</v>
      </c>
      <c r="AC615" s="6">
        <v>19050</v>
      </c>
      <c r="AD615" s="6">
        <v>19050</v>
      </c>
      <c r="AE615" s="6">
        <v>19050</v>
      </c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>
        <f t="shared" si="42"/>
        <v>6</v>
      </c>
      <c r="AX615" t="b">
        <f t="shared" si="43"/>
        <v>1</v>
      </c>
      <c r="AY615" s="21">
        <f t="shared" si="40"/>
        <v>114300</v>
      </c>
      <c r="AZ615" t="b">
        <f t="shared" si="41"/>
        <v>1</v>
      </c>
    </row>
    <row r="616" spans="1:52" x14ac:dyDescent="0.4">
      <c r="A616" s="6" t="s">
        <v>2230</v>
      </c>
      <c r="B616" s="1" t="s">
        <v>1970</v>
      </c>
      <c r="C616" s="1" t="s">
        <v>1971</v>
      </c>
      <c r="D616" s="1" t="s">
        <v>1972</v>
      </c>
      <c r="E616" s="1" t="s">
        <v>44</v>
      </c>
      <c r="F616" s="1" t="s">
        <v>1161</v>
      </c>
      <c r="G616" s="5" t="s">
        <v>479</v>
      </c>
      <c r="H616" s="1" t="s">
        <v>27</v>
      </c>
      <c r="I616">
        <v>114300</v>
      </c>
      <c r="J616" s="1" t="s">
        <v>868</v>
      </c>
      <c r="K616">
        <v>0</v>
      </c>
      <c r="L616">
        <v>0</v>
      </c>
      <c r="M616">
        <v>114300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s="18">
        <v>6</v>
      </c>
      <c r="Y616" s="6"/>
      <c r="Z616" s="6"/>
      <c r="AA616" s="6">
        <v>19050</v>
      </c>
      <c r="AB616" s="6">
        <v>19050</v>
      </c>
      <c r="AC616" s="6">
        <v>19050</v>
      </c>
      <c r="AD616" s="6">
        <v>19050</v>
      </c>
      <c r="AE616" s="6">
        <v>19050</v>
      </c>
      <c r="AF616" s="6">
        <v>19050</v>
      </c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>
        <f t="shared" si="42"/>
        <v>6</v>
      </c>
      <c r="AX616" t="b">
        <f t="shared" si="43"/>
        <v>1</v>
      </c>
      <c r="AY616" s="21">
        <f t="shared" si="40"/>
        <v>114300</v>
      </c>
      <c r="AZ616" t="b">
        <f t="shared" si="41"/>
        <v>1</v>
      </c>
    </row>
    <row r="617" spans="1:52" x14ac:dyDescent="0.4">
      <c r="A617" s="6" t="s">
        <v>2230</v>
      </c>
      <c r="B617" s="1" t="s">
        <v>1973</v>
      </c>
      <c r="C617" s="1" t="s">
        <v>1974</v>
      </c>
      <c r="D617" s="1" t="s">
        <v>1975</v>
      </c>
      <c r="E617" s="1" t="s">
        <v>25</v>
      </c>
      <c r="F617" s="1" t="s">
        <v>867</v>
      </c>
      <c r="G617" s="5" t="s">
        <v>479</v>
      </c>
      <c r="H617" s="1" t="s">
        <v>27</v>
      </c>
      <c r="I617">
        <v>59400</v>
      </c>
      <c r="J617" s="1" t="s">
        <v>28</v>
      </c>
      <c r="K617">
        <v>0</v>
      </c>
      <c r="L617">
        <v>0</v>
      </c>
      <c r="M617">
        <v>59400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s="18">
        <v>3</v>
      </c>
      <c r="Y617" s="6"/>
      <c r="Z617" s="6"/>
      <c r="AA617" s="6">
        <v>19800</v>
      </c>
      <c r="AB617" s="6">
        <v>19800</v>
      </c>
      <c r="AC617" s="6">
        <v>19800</v>
      </c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>
        <f t="shared" si="42"/>
        <v>3</v>
      </c>
      <c r="AX617" t="b">
        <f t="shared" si="43"/>
        <v>1</v>
      </c>
      <c r="AY617" s="21">
        <f t="shared" si="40"/>
        <v>59400</v>
      </c>
      <c r="AZ617" t="b">
        <f t="shared" si="41"/>
        <v>1</v>
      </c>
    </row>
    <row r="618" spans="1:52" x14ac:dyDescent="0.4">
      <c r="A618" s="6" t="s">
        <v>2230</v>
      </c>
      <c r="B618" s="1" t="s">
        <v>1976</v>
      </c>
      <c r="C618" s="1" t="s">
        <v>1977</v>
      </c>
      <c r="D618" s="1" t="s">
        <v>1978</v>
      </c>
      <c r="E618" s="1" t="s">
        <v>44</v>
      </c>
      <c r="F618" s="1" t="s">
        <v>1979</v>
      </c>
      <c r="G618" s="5" t="s">
        <v>10</v>
      </c>
      <c r="H618" s="1" t="s">
        <v>27</v>
      </c>
      <c r="I618">
        <v>114300</v>
      </c>
      <c r="J618" s="1" t="s">
        <v>1593</v>
      </c>
      <c r="K618">
        <v>0</v>
      </c>
      <c r="L618">
        <v>114300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s="18">
        <v>6</v>
      </c>
      <c r="Y618" s="6"/>
      <c r="Z618" s="6">
        <v>19050</v>
      </c>
      <c r="AA618" s="6">
        <v>19050</v>
      </c>
      <c r="AB618" s="6">
        <v>19050</v>
      </c>
      <c r="AC618" s="6">
        <v>19050</v>
      </c>
      <c r="AD618" s="6">
        <v>19050</v>
      </c>
      <c r="AE618" s="6">
        <v>19050</v>
      </c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>
        <f t="shared" si="42"/>
        <v>6</v>
      </c>
      <c r="AX618" t="b">
        <f t="shared" si="43"/>
        <v>1</v>
      </c>
      <c r="AY618" s="21">
        <f t="shared" si="40"/>
        <v>114300</v>
      </c>
      <c r="AZ618" t="b">
        <f t="shared" si="41"/>
        <v>1</v>
      </c>
    </row>
    <row r="619" spans="1:52" x14ac:dyDescent="0.4">
      <c r="A619" s="6" t="s">
        <v>2230</v>
      </c>
      <c r="B619" s="1" t="s">
        <v>1980</v>
      </c>
      <c r="C619" s="1" t="s">
        <v>1981</v>
      </c>
      <c r="D619" s="1" t="s">
        <v>1982</v>
      </c>
      <c r="E619" s="1" t="s">
        <v>44</v>
      </c>
      <c r="F619" s="1" t="s">
        <v>920</v>
      </c>
      <c r="G619" s="5" t="s">
        <v>479</v>
      </c>
      <c r="H619" s="1" t="s">
        <v>27</v>
      </c>
      <c r="I619">
        <v>114300</v>
      </c>
      <c r="J619" s="1" t="s">
        <v>868</v>
      </c>
      <c r="K619">
        <v>0</v>
      </c>
      <c r="L619">
        <v>0</v>
      </c>
      <c r="M619">
        <v>114300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s="18">
        <v>6</v>
      </c>
      <c r="Y619" s="6"/>
      <c r="Z619" s="6"/>
      <c r="AA619" s="6">
        <v>19050</v>
      </c>
      <c r="AB619" s="6">
        <v>19050</v>
      </c>
      <c r="AC619" s="6">
        <v>19050</v>
      </c>
      <c r="AD619" s="6">
        <v>19050</v>
      </c>
      <c r="AE619" s="6">
        <v>19050</v>
      </c>
      <c r="AF619" s="6">
        <v>19050</v>
      </c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>
        <f t="shared" si="42"/>
        <v>6</v>
      </c>
      <c r="AX619" t="b">
        <f t="shared" si="43"/>
        <v>1</v>
      </c>
      <c r="AY619" s="21">
        <f t="shared" si="40"/>
        <v>114300</v>
      </c>
      <c r="AZ619" t="b">
        <f t="shared" si="41"/>
        <v>1</v>
      </c>
    </row>
    <row r="620" spans="1:52" x14ac:dyDescent="0.4">
      <c r="A620" s="6" t="s">
        <v>2230</v>
      </c>
      <c r="B620" s="1" t="s">
        <v>1983</v>
      </c>
      <c r="C620" s="1" t="s">
        <v>1984</v>
      </c>
      <c r="D620" s="1" t="s">
        <v>1985</v>
      </c>
      <c r="E620" s="1" t="s">
        <v>44</v>
      </c>
      <c r="F620" s="1" t="s">
        <v>1986</v>
      </c>
      <c r="G620" s="5" t="s">
        <v>1130</v>
      </c>
      <c r="H620" s="1" t="s">
        <v>27</v>
      </c>
      <c r="I620">
        <v>114300</v>
      </c>
      <c r="J620" s="1" t="s">
        <v>1455</v>
      </c>
      <c r="K620">
        <v>0</v>
      </c>
      <c r="L620">
        <v>0</v>
      </c>
      <c r="M620">
        <v>0</v>
      </c>
      <c r="N620">
        <v>114300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s="18">
        <v>6</v>
      </c>
      <c r="Y620" s="6"/>
      <c r="Z620" s="6"/>
      <c r="AA620" s="6"/>
      <c r="AB620" s="6">
        <v>19050</v>
      </c>
      <c r="AC620" s="6">
        <v>19050</v>
      </c>
      <c r="AD620" s="6">
        <v>19050</v>
      </c>
      <c r="AE620" s="6">
        <v>19050</v>
      </c>
      <c r="AF620" s="6">
        <v>19050</v>
      </c>
      <c r="AG620" s="6">
        <v>19050</v>
      </c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>
        <f t="shared" si="42"/>
        <v>6</v>
      </c>
      <c r="AX620" t="b">
        <f t="shared" si="43"/>
        <v>1</v>
      </c>
      <c r="AY620" s="21">
        <f t="shared" si="40"/>
        <v>114300</v>
      </c>
      <c r="AZ620" t="b">
        <f t="shared" si="41"/>
        <v>1</v>
      </c>
    </row>
    <row r="621" spans="1:52" x14ac:dyDescent="0.4">
      <c r="A621" s="6" t="s">
        <v>2230</v>
      </c>
      <c r="B621" s="1" t="s">
        <v>1987</v>
      </c>
      <c r="C621" s="1" t="s">
        <v>1988</v>
      </c>
      <c r="D621" s="1" t="s">
        <v>1989</v>
      </c>
      <c r="E621" s="1" t="s">
        <v>44</v>
      </c>
      <c r="F621" s="1" t="s">
        <v>37</v>
      </c>
      <c r="G621" s="5" t="s">
        <v>46</v>
      </c>
      <c r="H621" s="1" t="s">
        <v>27</v>
      </c>
      <c r="I621">
        <v>114300</v>
      </c>
      <c r="J621" s="1" t="s">
        <v>33</v>
      </c>
      <c r="K621">
        <v>0</v>
      </c>
      <c r="L621">
        <v>0</v>
      </c>
      <c r="M621">
        <v>0</v>
      </c>
      <c r="N621">
        <v>0</v>
      </c>
      <c r="O621">
        <v>114300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s="18">
        <v>6</v>
      </c>
      <c r="Y621" s="6"/>
      <c r="Z621" s="6"/>
      <c r="AA621" s="6"/>
      <c r="AB621" s="6"/>
      <c r="AC621" s="6">
        <v>19050</v>
      </c>
      <c r="AD621" s="6">
        <v>19050</v>
      </c>
      <c r="AE621" s="6">
        <v>19050</v>
      </c>
      <c r="AF621" s="6">
        <v>19050</v>
      </c>
      <c r="AG621" s="6">
        <v>19050</v>
      </c>
      <c r="AH621" s="6">
        <v>19050</v>
      </c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>
        <f t="shared" si="42"/>
        <v>6</v>
      </c>
      <c r="AX621" t="b">
        <f t="shared" si="43"/>
        <v>1</v>
      </c>
      <c r="AY621" s="21">
        <f t="shared" si="40"/>
        <v>114300</v>
      </c>
      <c r="AZ621" t="b">
        <f t="shared" si="41"/>
        <v>1</v>
      </c>
    </row>
    <row r="622" spans="1:52" x14ac:dyDescent="0.4">
      <c r="A622" s="6" t="s">
        <v>2230</v>
      </c>
      <c r="B622" s="1" t="s">
        <v>1990</v>
      </c>
      <c r="C622" s="1" t="s">
        <v>1991</v>
      </c>
      <c r="D622" s="1" t="s">
        <v>1992</v>
      </c>
      <c r="E622" s="1" t="s">
        <v>1944</v>
      </c>
      <c r="F622" s="1" t="s">
        <v>1945</v>
      </c>
      <c r="G622" s="5" t="s">
        <v>1946</v>
      </c>
      <c r="H622" s="1" t="s">
        <v>27</v>
      </c>
      <c r="I622">
        <v>113220</v>
      </c>
      <c r="J622" s="1" t="s">
        <v>28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113220</v>
      </c>
      <c r="X622" s="18">
        <v>12</v>
      </c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>
        <v>9435</v>
      </c>
      <c r="AL622" s="6">
        <v>9435</v>
      </c>
      <c r="AM622" s="6">
        <v>9435</v>
      </c>
      <c r="AN622" s="6">
        <v>9435</v>
      </c>
      <c r="AO622" s="6">
        <v>9435</v>
      </c>
      <c r="AP622" s="6">
        <v>9435</v>
      </c>
      <c r="AQ622" s="6">
        <v>9435</v>
      </c>
      <c r="AR622" s="6">
        <v>9435</v>
      </c>
      <c r="AS622" s="6">
        <v>9435</v>
      </c>
      <c r="AT622" s="6">
        <v>9435</v>
      </c>
      <c r="AU622" s="6">
        <v>9435</v>
      </c>
      <c r="AV622" s="6">
        <v>9435</v>
      </c>
      <c r="AW622">
        <f t="shared" si="42"/>
        <v>12</v>
      </c>
      <c r="AX622" t="b">
        <f t="shared" si="43"/>
        <v>1</v>
      </c>
      <c r="AY622" s="21">
        <f t="shared" si="40"/>
        <v>113220</v>
      </c>
      <c r="AZ622" t="b">
        <f t="shared" si="41"/>
        <v>1</v>
      </c>
    </row>
    <row r="623" spans="1:52" x14ac:dyDescent="0.4">
      <c r="A623" s="6" t="s">
        <v>2230</v>
      </c>
      <c r="B623" s="1" t="s">
        <v>1993</v>
      </c>
      <c r="C623" s="1" t="s">
        <v>1994</v>
      </c>
      <c r="D623" s="1" t="s">
        <v>1995</v>
      </c>
      <c r="E623" s="1" t="s">
        <v>44</v>
      </c>
      <c r="F623" s="1" t="s">
        <v>1157</v>
      </c>
      <c r="G623" s="5" t="s">
        <v>479</v>
      </c>
      <c r="H623" s="1" t="s">
        <v>27</v>
      </c>
      <c r="I623">
        <v>114300</v>
      </c>
      <c r="J623" s="1" t="s">
        <v>868</v>
      </c>
      <c r="K623">
        <v>0</v>
      </c>
      <c r="L623">
        <v>0</v>
      </c>
      <c r="M623">
        <v>114300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s="18">
        <v>6</v>
      </c>
      <c r="Y623" s="6"/>
      <c r="Z623" s="6"/>
      <c r="AA623" s="6">
        <v>19050</v>
      </c>
      <c r="AB623" s="6">
        <v>19050</v>
      </c>
      <c r="AC623" s="6">
        <v>19050</v>
      </c>
      <c r="AD623" s="6">
        <v>19050</v>
      </c>
      <c r="AE623" s="6">
        <v>19050</v>
      </c>
      <c r="AF623" s="6">
        <v>19050</v>
      </c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>
        <f t="shared" si="42"/>
        <v>6</v>
      </c>
      <c r="AX623" t="b">
        <f t="shared" si="43"/>
        <v>1</v>
      </c>
      <c r="AY623" s="21">
        <f t="shared" si="40"/>
        <v>114300</v>
      </c>
      <c r="AZ623" t="b">
        <f t="shared" si="41"/>
        <v>1</v>
      </c>
    </row>
    <row r="624" spans="1:52" x14ac:dyDescent="0.4">
      <c r="A624" s="6" t="s">
        <v>2230</v>
      </c>
      <c r="B624" s="1" t="s">
        <v>1996</v>
      </c>
      <c r="C624" s="1" t="s">
        <v>1997</v>
      </c>
      <c r="D624" s="1" t="s">
        <v>1998</v>
      </c>
      <c r="E624" s="1" t="s">
        <v>50</v>
      </c>
      <c r="F624" s="1" t="s">
        <v>376</v>
      </c>
      <c r="G624" s="5" t="s">
        <v>46</v>
      </c>
      <c r="H624" s="1" t="s">
        <v>52</v>
      </c>
      <c r="I624">
        <v>114300</v>
      </c>
      <c r="J624" s="1" t="s">
        <v>28</v>
      </c>
      <c r="K624">
        <v>0</v>
      </c>
      <c r="L624">
        <v>0</v>
      </c>
      <c r="M624">
        <v>0</v>
      </c>
      <c r="N624">
        <v>0</v>
      </c>
      <c r="O624">
        <v>114300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s="18">
        <v>6</v>
      </c>
      <c r="Y624" s="6"/>
      <c r="Z624" s="6"/>
      <c r="AA624" s="6"/>
      <c r="AB624" s="6"/>
      <c r="AC624" s="6">
        <v>19050</v>
      </c>
      <c r="AD624" s="6">
        <v>19050</v>
      </c>
      <c r="AE624" s="6">
        <v>19050</v>
      </c>
      <c r="AF624" s="6">
        <v>19050</v>
      </c>
      <c r="AG624" s="6">
        <v>19050</v>
      </c>
      <c r="AH624" s="6">
        <v>19050</v>
      </c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>
        <f t="shared" si="42"/>
        <v>6</v>
      </c>
      <c r="AX624" t="b">
        <f t="shared" si="43"/>
        <v>1</v>
      </c>
      <c r="AY624" s="21">
        <f t="shared" si="40"/>
        <v>114300</v>
      </c>
      <c r="AZ624" t="b">
        <f t="shared" si="41"/>
        <v>1</v>
      </c>
    </row>
    <row r="625" spans="1:52" x14ac:dyDescent="0.4">
      <c r="A625" s="6" t="s">
        <v>2230</v>
      </c>
      <c r="B625" s="1" t="s">
        <v>1999</v>
      </c>
      <c r="C625" s="1" t="s">
        <v>2000</v>
      </c>
      <c r="D625" s="1" t="s">
        <v>2001</v>
      </c>
      <c r="E625" s="1" t="s">
        <v>44</v>
      </c>
      <c r="F625" s="1" t="s">
        <v>1141</v>
      </c>
      <c r="G625" s="5" t="s">
        <v>479</v>
      </c>
      <c r="H625" s="1" t="s">
        <v>27</v>
      </c>
      <c r="I625">
        <v>114300</v>
      </c>
      <c r="J625" s="1" t="s">
        <v>868</v>
      </c>
      <c r="K625">
        <v>0</v>
      </c>
      <c r="L625">
        <v>0</v>
      </c>
      <c r="M625">
        <v>114300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s="18">
        <v>6</v>
      </c>
      <c r="Y625" s="6"/>
      <c r="Z625" s="6"/>
      <c r="AA625" s="6">
        <v>19050</v>
      </c>
      <c r="AB625" s="6">
        <v>19050</v>
      </c>
      <c r="AC625" s="6">
        <v>19050</v>
      </c>
      <c r="AD625" s="6">
        <v>19050</v>
      </c>
      <c r="AE625" s="6">
        <v>19050</v>
      </c>
      <c r="AF625" s="6">
        <v>19050</v>
      </c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>
        <f t="shared" si="42"/>
        <v>6</v>
      </c>
      <c r="AX625" t="b">
        <f t="shared" si="43"/>
        <v>1</v>
      </c>
      <c r="AY625" s="21">
        <f t="shared" si="40"/>
        <v>114300</v>
      </c>
      <c r="AZ625" t="b">
        <f t="shared" si="41"/>
        <v>1</v>
      </c>
    </row>
    <row r="626" spans="1:52" x14ac:dyDescent="0.4">
      <c r="A626" s="6" t="s">
        <v>2230</v>
      </c>
      <c r="B626" s="1" t="s">
        <v>2002</v>
      </c>
      <c r="C626" s="1" t="s">
        <v>2003</v>
      </c>
      <c r="D626" s="1" t="s">
        <v>2004</v>
      </c>
      <c r="E626" s="1" t="s">
        <v>44</v>
      </c>
      <c r="F626" s="1" t="s">
        <v>928</v>
      </c>
      <c r="G626" s="5" t="s">
        <v>479</v>
      </c>
      <c r="H626" s="1" t="s">
        <v>27</v>
      </c>
      <c r="I626">
        <v>114300</v>
      </c>
      <c r="J626" s="1" t="s">
        <v>868</v>
      </c>
      <c r="K626">
        <v>0</v>
      </c>
      <c r="L626">
        <v>0</v>
      </c>
      <c r="M626">
        <v>114300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s="18">
        <v>6</v>
      </c>
      <c r="Y626" s="6"/>
      <c r="Z626" s="6"/>
      <c r="AA626" s="6">
        <v>19050</v>
      </c>
      <c r="AB626" s="6">
        <v>19050</v>
      </c>
      <c r="AC626" s="6">
        <v>19050</v>
      </c>
      <c r="AD626" s="6">
        <v>19050</v>
      </c>
      <c r="AE626" s="6">
        <v>19050</v>
      </c>
      <c r="AF626" s="6">
        <v>19050</v>
      </c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>
        <f t="shared" si="42"/>
        <v>6</v>
      </c>
      <c r="AX626" t="b">
        <f t="shared" si="43"/>
        <v>1</v>
      </c>
      <c r="AY626" s="21">
        <f t="shared" si="40"/>
        <v>114300</v>
      </c>
      <c r="AZ626" t="b">
        <f t="shared" si="41"/>
        <v>1</v>
      </c>
    </row>
    <row r="627" spans="1:52" x14ac:dyDescent="0.4">
      <c r="A627" s="6" t="s">
        <v>2230</v>
      </c>
      <c r="B627" s="1" t="s">
        <v>2005</v>
      </c>
      <c r="C627" s="1" t="s">
        <v>2006</v>
      </c>
      <c r="D627" s="1" t="s">
        <v>2007</v>
      </c>
      <c r="E627" s="1" t="s">
        <v>44</v>
      </c>
      <c r="F627" s="1" t="s">
        <v>56</v>
      </c>
      <c r="G627" s="5" t="s">
        <v>46</v>
      </c>
      <c r="H627" s="1" t="s">
        <v>27</v>
      </c>
      <c r="I627">
        <v>114300</v>
      </c>
      <c r="J627" s="1" t="s">
        <v>33</v>
      </c>
      <c r="K627">
        <v>0</v>
      </c>
      <c r="L627">
        <v>0</v>
      </c>
      <c r="M627">
        <v>0</v>
      </c>
      <c r="N627">
        <v>0</v>
      </c>
      <c r="O627">
        <v>114300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s="18">
        <v>6</v>
      </c>
      <c r="Y627" s="6"/>
      <c r="Z627" s="6"/>
      <c r="AA627" s="6"/>
      <c r="AB627" s="6"/>
      <c r="AC627" s="6">
        <v>19050</v>
      </c>
      <c r="AD627" s="6">
        <v>19050</v>
      </c>
      <c r="AE627" s="6">
        <v>19050</v>
      </c>
      <c r="AF627" s="6">
        <v>19050</v>
      </c>
      <c r="AG627" s="6">
        <v>19050</v>
      </c>
      <c r="AH627" s="6">
        <v>19050</v>
      </c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>
        <f t="shared" si="42"/>
        <v>6</v>
      </c>
      <c r="AX627" t="b">
        <f t="shared" si="43"/>
        <v>1</v>
      </c>
      <c r="AY627" s="21">
        <f t="shared" si="40"/>
        <v>114300</v>
      </c>
      <c r="AZ627" t="b">
        <f t="shared" si="41"/>
        <v>1</v>
      </c>
    </row>
    <row r="628" spans="1:52" x14ac:dyDescent="0.4">
      <c r="A628" s="6" t="s">
        <v>2230</v>
      </c>
      <c r="B628" s="1" t="s">
        <v>2008</v>
      </c>
      <c r="C628" s="1" t="s">
        <v>2009</v>
      </c>
      <c r="D628" s="1" t="s">
        <v>2010</v>
      </c>
      <c r="E628" s="1" t="s">
        <v>44</v>
      </c>
      <c r="F628" s="1" t="s">
        <v>2011</v>
      </c>
      <c r="G628" s="5" t="s">
        <v>1130</v>
      </c>
      <c r="H628" s="1" t="s">
        <v>27</v>
      </c>
      <c r="I628">
        <v>114300</v>
      </c>
      <c r="J628" s="1" t="s">
        <v>1455</v>
      </c>
      <c r="K628">
        <v>0</v>
      </c>
      <c r="L628">
        <v>0</v>
      </c>
      <c r="M628">
        <v>0</v>
      </c>
      <c r="N628">
        <v>114300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s="18">
        <v>6</v>
      </c>
      <c r="Y628" s="6"/>
      <c r="Z628" s="6"/>
      <c r="AA628" s="6"/>
      <c r="AB628" s="6">
        <v>19050</v>
      </c>
      <c r="AC628" s="6">
        <v>19050</v>
      </c>
      <c r="AD628" s="6">
        <v>19050</v>
      </c>
      <c r="AE628" s="6">
        <v>19050</v>
      </c>
      <c r="AF628" s="6">
        <v>19050</v>
      </c>
      <c r="AG628" s="6">
        <v>19050</v>
      </c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>
        <f t="shared" si="42"/>
        <v>6</v>
      </c>
      <c r="AX628" t="b">
        <f t="shared" si="43"/>
        <v>1</v>
      </c>
      <c r="AY628" s="21">
        <f t="shared" si="40"/>
        <v>114300</v>
      </c>
      <c r="AZ628" t="b">
        <f t="shared" si="41"/>
        <v>1</v>
      </c>
    </row>
    <row r="629" spans="1:52" x14ac:dyDescent="0.4">
      <c r="A629" s="6" t="s">
        <v>2230</v>
      </c>
      <c r="B629" s="1" t="s">
        <v>2012</v>
      </c>
      <c r="C629" s="1" t="s">
        <v>2013</v>
      </c>
      <c r="D629" s="1" t="s">
        <v>2014</v>
      </c>
      <c r="E629" s="1" t="s">
        <v>44</v>
      </c>
      <c r="F629" s="1" t="s">
        <v>867</v>
      </c>
      <c r="G629" s="5" t="s">
        <v>479</v>
      </c>
      <c r="H629" s="1" t="s">
        <v>27</v>
      </c>
      <c r="I629">
        <v>114300</v>
      </c>
      <c r="J629" s="1" t="s">
        <v>868</v>
      </c>
      <c r="K629">
        <v>0</v>
      </c>
      <c r="L629">
        <v>0</v>
      </c>
      <c r="M629">
        <v>114300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s="18">
        <v>6</v>
      </c>
      <c r="Y629" s="6"/>
      <c r="Z629" s="6"/>
      <c r="AA629" s="6">
        <v>19050</v>
      </c>
      <c r="AB629" s="6">
        <v>19050</v>
      </c>
      <c r="AC629" s="6">
        <v>19050</v>
      </c>
      <c r="AD629" s="6">
        <v>19050</v>
      </c>
      <c r="AE629" s="6">
        <v>19050</v>
      </c>
      <c r="AF629" s="6">
        <v>19050</v>
      </c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>
        <f t="shared" si="42"/>
        <v>6</v>
      </c>
      <c r="AX629" t="b">
        <f t="shared" si="43"/>
        <v>1</v>
      </c>
      <c r="AY629" s="21">
        <f t="shared" si="40"/>
        <v>114300</v>
      </c>
      <c r="AZ629" t="b">
        <f t="shared" si="41"/>
        <v>1</v>
      </c>
    </row>
    <row r="630" spans="1:52" x14ac:dyDescent="0.4">
      <c r="A630" s="6" t="s">
        <v>2230</v>
      </c>
      <c r="B630" s="1" t="s">
        <v>2015</v>
      </c>
      <c r="C630" s="1" t="s">
        <v>2016</v>
      </c>
      <c r="D630" s="1" t="s">
        <v>2017</v>
      </c>
      <c r="E630" s="1" t="s">
        <v>44</v>
      </c>
      <c r="F630" s="1" t="s">
        <v>867</v>
      </c>
      <c r="G630" s="5" t="s">
        <v>479</v>
      </c>
      <c r="H630" s="1" t="s">
        <v>27</v>
      </c>
      <c r="I630">
        <v>114300</v>
      </c>
      <c r="J630" s="1" t="s">
        <v>868</v>
      </c>
      <c r="K630">
        <v>0</v>
      </c>
      <c r="L630">
        <v>0</v>
      </c>
      <c r="M630">
        <v>114300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s="18">
        <v>6</v>
      </c>
      <c r="Y630" s="6"/>
      <c r="Z630" s="6"/>
      <c r="AA630" s="6">
        <v>19050</v>
      </c>
      <c r="AB630" s="6">
        <v>19050</v>
      </c>
      <c r="AC630" s="6">
        <v>19050</v>
      </c>
      <c r="AD630" s="6">
        <v>19050</v>
      </c>
      <c r="AE630" s="6">
        <v>19050</v>
      </c>
      <c r="AF630" s="6">
        <v>19050</v>
      </c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>
        <f t="shared" si="42"/>
        <v>6</v>
      </c>
      <c r="AX630" t="b">
        <f t="shared" si="43"/>
        <v>1</v>
      </c>
      <c r="AY630" s="21">
        <f t="shared" si="40"/>
        <v>114300</v>
      </c>
      <c r="AZ630" t="b">
        <f t="shared" si="41"/>
        <v>1</v>
      </c>
    </row>
    <row r="631" spans="1:52" x14ac:dyDescent="0.4">
      <c r="A631" s="6" t="s">
        <v>2230</v>
      </c>
      <c r="B631" s="1" t="s">
        <v>2018</v>
      </c>
      <c r="C631" s="1" t="s">
        <v>2019</v>
      </c>
      <c r="D631" s="1" t="s">
        <v>2020</v>
      </c>
      <c r="E631" s="1" t="s">
        <v>44</v>
      </c>
      <c r="F631" s="1" t="s">
        <v>2021</v>
      </c>
      <c r="G631" s="5" t="s">
        <v>1929</v>
      </c>
      <c r="H631" s="1" t="s">
        <v>27</v>
      </c>
      <c r="I631">
        <v>114300</v>
      </c>
      <c r="J631" s="1" t="s">
        <v>1930</v>
      </c>
      <c r="K631">
        <v>114300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s="18">
        <v>6</v>
      </c>
      <c r="Y631" s="6">
        <v>19050</v>
      </c>
      <c r="Z631" s="6">
        <v>19050</v>
      </c>
      <c r="AA631" s="6">
        <v>19050</v>
      </c>
      <c r="AB631" s="6">
        <v>19050</v>
      </c>
      <c r="AC631" s="6">
        <v>19050</v>
      </c>
      <c r="AD631" s="6">
        <v>19050</v>
      </c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>
        <f t="shared" si="42"/>
        <v>6</v>
      </c>
      <c r="AX631" t="b">
        <f t="shared" si="43"/>
        <v>1</v>
      </c>
      <c r="AY631" s="21">
        <f t="shared" si="40"/>
        <v>114300</v>
      </c>
      <c r="AZ631" t="b">
        <f t="shared" si="41"/>
        <v>1</v>
      </c>
    </row>
    <row r="632" spans="1:52" x14ac:dyDescent="0.4">
      <c r="A632" s="6" t="s">
        <v>2230</v>
      </c>
      <c r="B632" s="1" t="s">
        <v>2022</v>
      </c>
      <c r="C632" s="1" t="s">
        <v>2023</v>
      </c>
      <c r="D632" s="1" t="s">
        <v>2024</v>
      </c>
      <c r="E632" s="1" t="s">
        <v>44</v>
      </c>
      <c r="F632" s="1" t="s">
        <v>86</v>
      </c>
      <c r="G632" s="5" t="s">
        <v>46</v>
      </c>
      <c r="H632" s="1" t="s">
        <v>27</v>
      </c>
      <c r="I632">
        <v>114300</v>
      </c>
      <c r="J632" s="1" t="s">
        <v>33</v>
      </c>
      <c r="K632">
        <v>0</v>
      </c>
      <c r="L632">
        <v>0</v>
      </c>
      <c r="M632">
        <v>0</v>
      </c>
      <c r="N632">
        <v>0</v>
      </c>
      <c r="O632">
        <v>114300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s="18">
        <v>6</v>
      </c>
      <c r="Y632" s="6"/>
      <c r="Z632" s="6"/>
      <c r="AA632" s="6"/>
      <c r="AB632" s="6"/>
      <c r="AC632" s="6">
        <v>19050</v>
      </c>
      <c r="AD632" s="6">
        <v>19050</v>
      </c>
      <c r="AE632" s="6">
        <v>19050</v>
      </c>
      <c r="AF632" s="6">
        <v>19050</v>
      </c>
      <c r="AG632" s="6">
        <v>19050</v>
      </c>
      <c r="AH632" s="6">
        <v>19050</v>
      </c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>
        <f t="shared" si="42"/>
        <v>6</v>
      </c>
      <c r="AX632" t="b">
        <f t="shared" si="43"/>
        <v>1</v>
      </c>
      <c r="AY632" s="21">
        <f t="shared" si="40"/>
        <v>114300</v>
      </c>
      <c r="AZ632" t="b">
        <f t="shared" si="41"/>
        <v>1</v>
      </c>
    </row>
    <row r="633" spans="1:52" x14ac:dyDescent="0.4">
      <c r="A633" s="6" t="s">
        <v>2230</v>
      </c>
      <c r="B633" s="1" t="s">
        <v>2025</v>
      </c>
      <c r="C633" s="1" t="s">
        <v>2026</v>
      </c>
      <c r="D633" s="1" t="s">
        <v>2027</v>
      </c>
      <c r="E633" s="1" t="s">
        <v>44</v>
      </c>
      <c r="F633" s="1" t="s">
        <v>1195</v>
      </c>
      <c r="G633" s="5" t="s">
        <v>479</v>
      </c>
      <c r="H633" s="1" t="s">
        <v>27</v>
      </c>
      <c r="I633">
        <v>114300</v>
      </c>
      <c r="J633" s="1" t="s">
        <v>868</v>
      </c>
      <c r="K633">
        <v>0</v>
      </c>
      <c r="L633">
        <v>0</v>
      </c>
      <c r="M633">
        <v>114300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s="18">
        <v>6</v>
      </c>
      <c r="Y633" s="6"/>
      <c r="Z633" s="6"/>
      <c r="AA633" s="6">
        <v>19050</v>
      </c>
      <c r="AB633" s="6">
        <v>19050</v>
      </c>
      <c r="AC633" s="6">
        <v>19050</v>
      </c>
      <c r="AD633" s="6">
        <v>19050</v>
      </c>
      <c r="AE633" s="6">
        <v>19050</v>
      </c>
      <c r="AF633" s="6">
        <v>19050</v>
      </c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>
        <f t="shared" si="42"/>
        <v>6</v>
      </c>
      <c r="AX633" t="b">
        <f t="shared" si="43"/>
        <v>1</v>
      </c>
      <c r="AY633" s="21">
        <f t="shared" si="40"/>
        <v>114300</v>
      </c>
      <c r="AZ633" t="b">
        <f t="shared" si="41"/>
        <v>1</v>
      </c>
    </row>
    <row r="634" spans="1:52" x14ac:dyDescent="0.4">
      <c r="A634" s="6" t="s">
        <v>2230</v>
      </c>
      <c r="B634" s="1" t="s">
        <v>2028</v>
      </c>
      <c r="C634" s="1" t="s">
        <v>2029</v>
      </c>
      <c r="D634" s="1" t="s">
        <v>2030</v>
      </c>
      <c r="E634" s="1" t="s">
        <v>44</v>
      </c>
      <c r="F634" s="1" t="s">
        <v>2031</v>
      </c>
      <c r="G634" s="5" t="s">
        <v>10</v>
      </c>
      <c r="H634" s="1" t="s">
        <v>27</v>
      </c>
      <c r="I634">
        <v>114300</v>
      </c>
      <c r="J634" s="1" t="s">
        <v>1593</v>
      </c>
      <c r="K634">
        <v>0</v>
      </c>
      <c r="L634">
        <v>114300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s="18">
        <v>6</v>
      </c>
      <c r="Y634" s="6"/>
      <c r="Z634" s="6">
        <v>19050</v>
      </c>
      <c r="AA634" s="6">
        <v>19050</v>
      </c>
      <c r="AB634" s="6">
        <v>19050</v>
      </c>
      <c r="AC634" s="6">
        <v>19050</v>
      </c>
      <c r="AD634" s="6">
        <v>19050</v>
      </c>
      <c r="AE634" s="6">
        <v>19050</v>
      </c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>
        <f t="shared" si="42"/>
        <v>6</v>
      </c>
      <c r="AX634" t="b">
        <f t="shared" si="43"/>
        <v>1</v>
      </c>
      <c r="AY634" s="21">
        <f t="shared" si="40"/>
        <v>114300</v>
      </c>
      <c r="AZ634" t="b">
        <f t="shared" si="41"/>
        <v>1</v>
      </c>
    </row>
    <row r="635" spans="1:52" x14ac:dyDescent="0.4">
      <c r="A635" s="6" t="s">
        <v>2230</v>
      </c>
      <c r="B635" s="1" t="s">
        <v>2032</v>
      </c>
      <c r="C635" s="1" t="s">
        <v>2033</v>
      </c>
      <c r="D635" s="1" t="s">
        <v>2034</v>
      </c>
      <c r="E635" s="1" t="s">
        <v>1944</v>
      </c>
      <c r="F635" s="1" t="s">
        <v>2035</v>
      </c>
      <c r="G635" s="5" t="s">
        <v>1623</v>
      </c>
      <c r="H635" s="1" t="s">
        <v>27</v>
      </c>
      <c r="I635">
        <v>113220</v>
      </c>
      <c r="J635" s="1" t="s">
        <v>1930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113220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s="18">
        <v>12</v>
      </c>
      <c r="Y635" s="6"/>
      <c r="Z635" s="6"/>
      <c r="AA635" s="6"/>
      <c r="AB635" s="6"/>
      <c r="AC635" s="6"/>
      <c r="AD635" s="6"/>
      <c r="AE635" s="6">
        <v>9435</v>
      </c>
      <c r="AF635" s="6">
        <v>9435</v>
      </c>
      <c r="AG635" s="6">
        <v>9435</v>
      </c>
      <c r="AH635" s="6">
        <v>9435</v>
      </c>
      <c r="AI635" s="6">
        <v>9435</v>
      </c>
      <c r="AJ635" s="6">
        <v>9435</v>
      </c>
      <c r="AK635" s="6">
        <v>9435</v>
      </c>
      <c r="AL635" s="6">
        <v>9435</v>
      </c>
      <c r="AM635" s="6">
        <v>9435</v>
      </c>
      <c r="AN635" s="6">
        <v>9435</v>
      </c>
      <c r="AO635" s="6">
        <v>9435</v>
      </c>
      <c r="AP635" s="6">
        <v>9435</v>
      </c>
      <c r="AQ635" s="6"/>
      <c r="AR635" s="6"/>
      <c r="AS635" s="6"/>
      <c r="AT635" s="6"/>
      <c r="AU635" s="6"/>
      <c r="AV635" s="6"/>
      <c r="AW635">
        <f t="shared" si="42"/>
        <v>12</v>
      </c>
      <c r="AX635" t="b">
        <f t="shared" si="43"/>
        <v>1</v>
      </c>
      <c r="AY635" s="21">
        <f t="shared" si="40"/>
        <v>113220</v>
      </c>
      <c r="AZ635" t="b">
        <f t="shared" si="41"/>
        <v>1</v>
      </c>
    </row>
    <row r="636" spans="1:52" x14ac:dyDescent="0.4">
      <c r="A636" s="6" t="s">
        <v>2230</v>
      </c>
      <c r="B636" s="1" t="s">
        <v>2036</v>
      </c>
      <c r="C636" s="1" t="s">
        <v>2037</v>
      </c>
      <c r="D636" s="1" t="s">
        <v>2038</v>
      </c>
      <c r="E636" s="1" t="s">
        <v>25</v>
      </c>
      <c r="F636" s="1" t="s">
        <v>45</v>
      </c>
      <c r="G636" s="5" t="s">
        <v>10</v>
      </c>
      <c r="H636" s="1" t="s">
        <v>27</v>
      </c>
      <c r="I636">
        <v>59400</v>
      </c>
      <c r="J636" s="1" t="s">
        <v>33</v>
      </c>
      <c r="K636">
        <v>0</v>
      </c>
      <c r="L636">
        <v>59400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s="18">
        <v>3</v>
      </c>
      <c r="Y636" s="6"/>
      <c r="Z636" s="6">
        <v>19800</v>
      </c>
      <c r="AA636" s="6">
        <v>19800</v>
      </c>
      <c r="AB636" s="6">
        <v>19800</v>
      </c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>
        <f t="shared" si="42"/>
        <v>3</v>
      </c>
      <c r="AX636" t="b">
        <f t="shared" si="43"/>
        <v>1</v>
      </c>
      <c r="AY636" s="21">
        <f t="shared" si="40"/>
        <v>59400</v>
      </c>
      <c r="AZ636" t="b">
        <f t="shared" si="41"/>
        <v>1</v>
      </c>
    </row>
    <row r="637" spans="1:52" x14ac:dyDescent="0.4">
      <c r="A637" s="6" t="s">
        <v>2230</v>
      </c>
      <c r="B637" s="1" t="s">
        <v>2039</v>
      </c>
      <c r="C637" s="1" t="s">
        <v>2040</v>
      </c>
      <c r="D637" s="1" t="s">
        <v>2041</v>
      </c>
      <c r="E637" s="1" t="s">
        <v>1944</v>
      </c>
      <c r="F637" s="1" t="s">
        <v>2042</v>
      </c>
      <c r="G637" s="5" t="s">
        <v>1623</v>
      </c>
      <c r="H637" s="1" t="s">
        <v>27</v>
      </c>
      <c r="I637">
        <v>113220</v>
      </c>
      <c r="J637" s="1" t="s">
        <v>1930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113220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s="18">
        <v>12</v>
      </c>
      <c r="Y637" s="6"/>
      <c r="Z637" s="6"/>
      <c r="AA637" s="6"/>
      <c r="AB637" s="6"/>
      <c r="AC637" s="6"/>
      <c r="AD637" s="6"/>
      <c r="AE637" s="6">
        <v>9435</v>
      </c>
      <c r="AF637" s="6">
        <v>9435</v>
      </c>
      <c r="AG637" s="6">
        <v>9435</v>
      </c>
      <c r="AH637" s="6">
        <v>9435</v>
      </c>
      <c r="AI637" s="6">
        <v>9435</v>
      </c>
      <c r="AJ637" s="6">
        <v>9435</v>
      </c>
      <c r="AK637" s="6">
        <v>9435</v>
      </c>
      <c r="AL637" s="6">
        <v>9435</v>
      </c>
      <c r="AM637" s="6">
        <v>9435</v>
      </c>
      <c r="AN637" s="6">
        <v>9435</v>
      </c>
      <c r="AO637" s="6">
        <v>9435</v>
      </c>
      <c r="AP637" s="6">
        <v>9435</v>
      </c>
      <c r="AQ637" s="6"/>
      <c r="AR637" s="6"/>
      <c r="AS637" s="6"/>
      <c r="AT637" s="6"/>
      <c r="AU637" s="6"/>
      <c r="AV637" s="6"/>
      <c r="AW637">
        <f t="shared" si="42"/>
        <v>12</v>
      </c>
      <c r="AX637" t="b">
        <f t="shared" si="43"/>
        <v>1</v>
      </c>
      <c r="AY637" s="21">
        <f t="shared" si="40"/>
        <v>113220</v>
      </c>
      <c r="AZ637" t="b">
        <f t="shared" si="41"/>
        <v>1</v>
      </c>
    </row>
    <row r="638" spans="1:52" x14ac:dyDescent="0.4">
      <c r="A638" s="6" t="s">
        <v>2230</v>
      </c>
      <c r="B638" s="1" t="s">
        <v>2043</v>
      </c>
      <c r="C638" s="1" t="s">
        <v>2044</v>
      </c>
      <c r="D638" s="1" t="s">
        <v>2045</v>
      </c>
      <c r="E638" s="1" t="s">
        <v>44</v>
      </c>
      <c r="F638" s="1" t="s">
        <v>1660</v>
      </c>
      <c r="G638" s="5" t="s">
        <v>10</v>
      </c>
      <c r="H638" s="1" t="s">
        <v>27</v>
      </c>
      <c r="I638">
        <v>114300</v>
      </c>
      <c r="J638" s="1" t="s">
        <v>1593</v>
      </c>
      <c r="K638">
        <v>0</v>
      </c>
      <c r="L638">
        <v>114300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s="18">
        <v>6</v>
      </c>
      <c r="Y638" s="6"/>
      <c r="Z638" s="6">
        <v>19050</v>
      </c>
      <c r="AA638" s="6">
        <v>19050</v>
      </c>
      <c r="AB638" s="6">
        <v>19050</v>
      </c>
      <c r="AC638" s="6">
        <v>19050</v>
      </c>
      <c r="AD638" s="6">
        <v>19050</v>
      </c>
      <c r="AE638" s="6">
        <v>19050</v>
      </c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>
        <f t="shared" si="42"/>
        <v>6</v>
      </c>
      <c r="AX638" t="b">
        <f t="shared" si="43"/>
        <v>1</v>
      </c>
      <c r="AY638" s="21">
        <f t="shared" si="40"/>
        <v>114300</v>
      </c>
      <c r="AZ638" t="b">
        <f t="shared" si="41"/>
        <v>1</v>
      </c>
    </row>
    <row r="639" spans="1:52" x14ac:dyDescent="0.4">
      <c r="A639" s="6" t="s">
        <v>2230</v>
      </c>
      <c r="B639" s="1" t="s">
        <v>2046</v>
      </c>
      <c r="C639" s="1" t="s">
        <v>2047</v>
      </c>
      <c r="D639" s="1" t="s">
        <v>2048</v>
      </c>
      <c r="E639" s="1" t="s">
        <v>25</v>
      </c>
      <c r="F639" s="1" t="s">
        <v>32</v>
      </c>
      <c r="G639" s="5" t="s">
        <v>10</v>
      </c>
      <c r="H639" s="1" t="s">
        <v>27</v>
      </c>
      <c r="I639">
        <v>59400</v>
      </c>
      <c r="J639" s="1" t="s">
        <v>33</v>
      </c>
      <c r="K639">
        <v>0</v>
      </c>
      <c r="L639">
        <v>59400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s="18">
        <v>3</v>
      </c>
      <c r="Y639" s="6"/>
      <c r="Z639" s="6">
        <v>19800</v>
      </c>
      <c r="AA639" s="6">
        <v>19800</v>
      </c>
      <c r="AB639" s="6">
        <v>19800</v>
      </c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>
        <f t="shared" si="42"/>
        <v>3</v>
      </c>
      <c r="AX639" t="b">
        <f t="shared" si="43"/>
        <v>1</v>
      </c>
      <c r="AY639" s="21">
        <f t="shared" si="40"/>
        <v>59400</v>
      </c>
      <c r="AZ639" t="b">
        <f t="shared" si="41"/>
        <v>1</v>
      </c>
    </row>
    <row r="640" spans="1:52" x14ac:dyDescent="0.4">
      <c r="A640" s="6" t="s">
        <v>2230</v>
      </c>
      <c r="B640" s="1" t="s">
        <v>2049</v>
      </c>
      <c r="C640" s="1" t="s">
        <v>2050</v>
      </c>
      <c r="D640" s="1" t="s">
        <v>2051</v>
      </c>
      <c r="E640" s="1" t="s">
        <v>44</v>
      </c>
      <c r="F640" s="1" t="s">
        <v>112</v>
      </c>
      <c r="G640" s="5" t="s">
        <v>46</v>
      </c>
      <c r="H640" s="1" t="s">
        <v>27</v>
      </c>
      <c r="I640">
        <v>114300</v>
      </c>
      <c r="J640" s="1" t="s">
        <v>33</v>
      </c>
      <c r="K640">
        <v>0</v>
      </c>
      <c r="L640">
        <v>0</v>
      </c>
      <c r="M640">
        <v>0</v>
      </c>
      <c r="N640">
        <v>0</v>
      </c>
      <c r="O640">
        <v>114300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s="18">
        <v>6</v>
      </c>
      <c r="Y640" s="6"/>
      <c r="Z640" s="6"/>
      <c r="AA640" s="6"/>
      <c r="AB640" s="6"/>
      <c r="AC640" s="6">
        <v>19050</v>
      </c>
      <c r="AD640" s="6">
        <v>19050</v>
      </c>
      <c r="AE640" s="6">
        <v>19050</v>
      </c>
      <c r="AF640" s="6">
        <v>19050</v>
      </c>
      <c r="AG640" s="6">
        <v>19050</v>
      </c>
      <c r="AH640" s="6">
        <v>19050</v>
      </c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>
        <f t="shared" si="42"/>
        <v>6</v>
      </c>
      <c r="AX640" t="b">
        <f t="shared" si="43"/>
        <v>1</v>
      </c>
      <c r="AY640" s="21">
        <f t="shared" si="40"/>
        <v>114300</v>
      </c>
      <c r="AZ640" t="b">
        <f t="shared" si="41"/>
        <v>1</v>
      </c>
    </row>
    <row r="641" spans="1:52" x14ac:dyDescent="0.4">
      <c r="A641" s="6" t="s">
        <v>2230</v>
      </c>
      <c r="B641" s="1" t="s">
        <v>2052</v>
      </c>
      <c r="C641" s="1" t="s">
        <v>2053</v>
      </c>
      <c r="D641" s="1" t="s">
        <v>2054</v>
      </c>
      <c r="E641" s="1" t="s">
        <v>44</v>
      </c>
      <c r="F641" s="1" t="s">
        <v>1215</v>
      </c>
      <c r="G641" s="5" t="s">
        <v>479</v>
      </c>
      <c r="H641" s="1" t="s">
        <v>27</v>
      </c>
      <c r="I641">
        <v>114300</v>
      </c>
      <c r="J641" s="1" t="s">
        <v>868</v>
      </c>
      <c r="K641">
        <v>0</v>
      </c>
      <c r="L641">
        <v>0</v>
      </c>
      <c r="M641">
        <v>114300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s="18">
        <v>6</v>
      </c>
      <c r="Y641" s="6"/>
      <c r="Z641" s="6"/>
      <c r="AA641" s="6">
        <v>19050</v>
      </c>
      <c r="AB641" s="6">
        <v>19050</v>
      </c>
      <c r="AC641" s="6">
        <v>19050</v>
      </c>
      <c r="AD641" s="6">
        <v>19050</v>
      </c>
      <c r="AE641" s="6">
        <v>19050</v>
      </c>
      <c r="AF641" s="6">
        <v>19050</v>
      </c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>
        <f t="shared" si="42"/>
        <v>6</v>
      </c>
      <c r="AX641" t="b">
        <f t="shared" si="43"/>
        <v>1</v>
      </c>
      <c r="AY641" s="21">
        <f t="shared" si="40"/>
        <v>114300</v>
      </c>
      <c r="AZ641" t="b">
        <f t="shared" si="41"/>
        <v>1</v>
      </c>
    </row>
    <row r="642" spans="1:52" x14ac:dyDescent="0.4">
      <c r="A642" s="6" t="s">
        <v>2230</v>
      </c>
      <c r="B642" s="1" t="s">
        <v>2055</v>
      </c>
      <c r="C642" s="1" t="s">
        <v>2056</v>
      </c>
      <c r="D642" s="1" t="s">
        <v>2057</v>
      </c>
      <c r="E642" s="1" t="s">
        <v>44</v>
      </c>
      <c r="F642" s="1" t="s">
        <v>924</v>
      </c>
      <c r="G642" s="5" t="s">
        <v>479</v>
      </c>
      <c r="H642" s="1" t="s">
        <v>27</v>
      </c>
      <c r="I642">
        <v>114300</v>
      </c>
      <c r="J642" s="1" t="s">
        <v>868</v>
      </c>
      <c r="K642">
        <v>0</v>
      </c>
      <c r="L642">
        <v>0</v>
      </c>
      <c r="M642">
        <v>114300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s="18">
        <v>6</v>
      </c>
      <c r="Y642" s="6"/>
      <c r="Z642" s="6"/>
      <c r="AA642" s="6">
        <v>19050</v>
      </c>
      <c r="AB642" s="6">
        <v>19050</v>
      </c>
      <c r="AC642" s="6">
        <v>19050</v>
      </c>
      <c r="AD642" s="6">
        <v>19050</v>
      </c>
      <c r="AE642" s="6">
        <v>19050</v>
      </c>
      <c r="AF642" s="6">
        <v>19050</v>
      </c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>
        <f t="shared" si="42"/>
        <v>6</v>
      </c>
      <c r="AX642" t="b">
        <f t="shared" si="43"/>
        <v>1</v>
      </c>
      <c r="AY642" s="21">
        <f t="shared" si="40"/>
        <v>114300</v>
      </c>
      <c r="AZ642" t="b">
        <f t="shared" si="41"/>
        <v>1</v>
      </c>
    </row>
    <row r="643" spans="1:52" x14ac:dyDescent="0.4">
      <c r="A643" s="6" t="s">
        <v>2230</v>
      </c>
      <c r="B643" s="1" t="s">
        <v>2058</v>
      </c>
      <c r="C643" s="1" t="s">
        <v>2059</v>
      </c>
      <c r="D643" s="1" t="s">
        <v>2060</v>
      </c>
      <c r="E643" s="1" t="s">
        <v>1944</v>
      </c>
      <c r="F643" s="1" t="s">
        <v>2061</v>
      </c>
      <c r="G643" s="5" t="s">
        <v>1946</v>
      </c>
      <c r="H643" s="1" t="s">
        <v>27</v>
      </c>
      <c r="I643">
        <v>113220</v>
      </c>
      <c r="J643" s="1" t="s">
        <v>28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113220</v>
      </c>
      <c r="X643" s="18">
        <v>12</v>
      </c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>
        <v>9435</v>
      </c>
      <c r="AL643" s="6">
        <v>9435</v>
      </c>
      <c r="AM643" s="6">
        <v>9435</v>
      </c>
      <c r="AN643" s="6">
        <v>9435</v>
      </c>
      <c r="AO643" s="6">
        <v>9435</v>
      </c>
      <c r="AP643" s="6">
        <v>9435</v>
      </c>
      <c r="AQ643" s="6">
        <v>9435</v>
      </c>
      <c r="AR643" s="6">
        <v>9435</v>
      </c>
      <c r="AS643" s="6">
        <v>9435</v>
      </c>
      <c r="AT643" s="6">
        <v>9435</v>
      </c>
      <c r="AU643" s="6">
        <v>9435</v>
      </c>
      <c r="AV643" s="6">
        <v>9435</v>
      </c>
      <c r="AW643">
        <f t="shared" si="42"/>
        <v>12</v>
      </c>
      <c r="AX643" t="b">
        <f t="shared" si="43"/>
        <v>1</v>
      </c>
      <c r="AY643" s="21">
        <f t="shared" si="40"/>
        <v>113220</v>
      </c>
      <c r="AZ643" t="b">
        <f t="shared" si="41"/>
        <v>1</v>
      </c>
    </row>
    <row r="644" spans="1:52" x14ac:dyDescent="0.4">
      <c r="A644" s="6" t="s">
        <v>2230</v>
      </c>
      <c r="B644" s="1" t="s">
        <v>2062</v>
      </c>
      <c r="C644" s="1" t="s">
        <v>2063</v>
      </c>
      <c r="D644" s="1" t="s">
        <v>2064</v>
      </c>
      <c r="E644" s="1" t="s">
        <v>44</v>
      </c>
      <c r="F644" s="1" t="s">
        <v>2065</v>
      </c>
      <c r="G644" s="5" t="s">
        <v>10</v>
      </c>
      <c r="H644" s="1" t="s">
        <v>27</v>
      </c>
      <c r="I644">
        <v>114300</v>
      </c>
      <c r="J644" s="1" t="s">
        <v>1593</v>
      </c>
      <c r="K644">
        <v>0</v>
      </c>
      <c r="L644">
        <v>114300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s="18">
        <v>6</v>
      </c>
      <c r="Y644" s="6"/>
      <c r="Z644" s="6">
        <v>19050</v>
      </c>
      <c r="AA644" s="6">
        <v>19050</v>
      </c>
      <c r="AB644" s="6">
        <v>19050</v>
      </c>
      <c r="AC644" s="6">
        <v>19050</v>
      </c>
      <c r="AD644" s="6">
        <v>19050</v>
      </c>
      <c r="AE644" s="6">
        <v>19050</v>
      </c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>
        <f t="shared" si="42"/>
        <v>6</v>
      </c>
      <c r="AX644" t="b">
        <f t="shared" si="43"/>
        <v>1</v>
      </c>
      <c r="AY644" s="21">
        <f t="shared" si="40"/>
        <v>114300</v>
      </c>
      <c r="AZ644" t="b">
        <f t="shared" si="41"/>
        <v>1</v>
      </c>
    </row>
    <row r="645" spans="1:52" x14ac:dyDescent="0.4">
      <c r="A645" s="6" t="s">
        <v>2230</v>
      </c>
      <c r="B645" s="1" t="s">
        <v>2066</v>
      </c>
      <c r="C645" s="1" t="s">
        <v>2067</v>
      </c>
      <c r="D645" s="1" t="s">
        <v>2068</v>
      </c>
      <c r="E645" s="1" t="s">
        <v>1944</v>
      </c>
      <c r="F645" s="1" t="s">
        <v>2069</v>
      </c>
      <c r="G645" s="5" t="s">
        <v>1623</v>
      </c>
      <c r="H645" s="1" t="s">
        <v>27</v>
      </c>
      <c r="I645">
        <v>113220</v>
      </c>
      <c r="J645" s="1" t="s">
        <v>1930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113220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s="18">
        <v>12</v>
      </c>
      <c r="Y645" s="6"/>
      <c r="Z645" s="6"/>
      <c r="AA645" s="6"/>
      <c r="AB645" s="6"/>
      <c r="AC645" s="6"/>
      <c r="AD645" s="6"/>
      <c r="AE645" s="6">
        <v>9435</v>
      </c>
      <c r="AF645" s="6">
        <v>9435</v>
      </c>
      <c r="AG645" s="6">
        <v>9435</v>
      </c>
      <c r="AH645" s="6">
        <v>9435</v>
      </c>
      <c r="AI645" s="6">
        <v>9435</v>
      </c>
      <c r="AJ645" s="6">
        <v>9435</v>
      </c>
      <c r="AK645" s="6">
        <v>9435</v>
      </c>
      <c r="AL645" s="6">
        <v>9435</v>
      </c>
      <c r="AM645" s="6">
        <v>9435</v>
      </c>
      <c r="AN645" s="6">
        <v>9435</v>
      </c>
      <c r="AO645" s="6">
        <v>9435</v>
      </c>
      <c r="AP645" s="6">
        <v>9435</v>
      </c>
      <c r="AQ645" s="6"/>
      <c r="AR645" s="6"/>
      <c r="AS645" s="6"/>
      <c r="AT645" s="6"/>
      <c r="AU645" s="6"/>
      <c r="AV645" s="6"/>
      <c r="AW645">
        <f t="shared" si="42"/>
        <v>12</v>
      </c>
      <c r="AX645" t="b">
        <f t="shared" si="43"/>
        <v>1</v>
      </c>
      <c r="AY645" s="21">
        <f t="shared" si="40"/>
        <v>113220</v>
      </c>
      <c r="AZ645" t="b">
        <f t="shared" si="41"/>
        <v>1</v>
      </c>
    </row>
    <row r="646" spans="1:52" x14ac:dyDescent="0.4">
      <c r="A646" s="6" t="s">
        <v>2230</v>
      </c>
      <c r="B646" s="1" t="s">
        <v>2070</v>
      </c>
      <c r="C646" s="1" t="s">
        <v>2071</v>
      </c>
      <c r="D646" s="1" t="s">
        <v>2072</v>
      </c>
      <c r="E646" s="1" t="s">
        <v>1944</v>
      </c>
      <c r="F646" s="1" t="s">
        <v>2073</v>
      </c>
      <c r="G646" s="5" t="s">
        <v>75</v>
      </c>
      <c r="H646" s="1" t="s">
        <v>27</v>
      </c>
      <c r="I646">
        <v>113220</v>
      </c>
      <c r="J646" s="1" t="s">
        <v>2074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113220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s="18">
        <v>12</v>
      </c>
      <c r="Y646" s="6"/>
      <c r="Z646" s="6"/>
      <c r="AA646" s="6"/>
      <c r="AB646" s="6"/>
      <c r="AC646" s="6"/>
      <c r="AD646" s="6">
        <v>9435</v>
      </c>
      <c r="AE646" s="6">
        <v>9435</v>
      </c>
      <c r="AF646" s="6">
        <v>9435</v>
      </c>
      <c r="AG646" s="6">
        <v>9435</v>
      </c>
      <c r="AH646" s="6">
        <v>9435</v>
      </c>
      <c r="AI646" s="6">
        <v>9435</v>
      </c>
      <c r="AJ646" s="6">
        <v>9435</v>
      </c>
      <c r="AK646" s="6">
        <v>9435</v>
      </c>
      <c r="AL646" s="6">
        <v>9435</v>
      </c>
      <c r="AM646" s="6">
        <v>9435</v>
      </c>
      <c r="AN646" s="6">
        <v>9435</v>
      </c>
      <c r="AO646" s="6">
        <v>9435</v>
      </c>
      <c r="AP646" s="6"/>
      <c r="AQ646" s="6"/>
      <c r="AR646" s="6"/>
      <c r="AS646" s="6"/>
      <c r="AT646" s="6"/>
      <c r="AU646" s="6"/>
      <c r="AV646" s="6"/>
      <c r="AW646">
        <f t="shared" si="42"/>
        <v>12</v>
      </c>
      <c r="AX646" t="b">
        <f t="shared" si="43"/>
        <v>1</v>
      </c>
      <c r="AY646" s="21">
        <f t="shared" si="40"/>
        <v>113220</v>
      </c>
      <c r="AZ646" t="b">
        <f t="shared" si="41"/>
        <v>1</v>
      </c>
    </row>
    <row r="647" spans="1:52" x14ac:dyDescent="0.4">
      <c r="A647" s="6" t="s">
        <v>2230</v>
      </c>
      <c r="B647" s="1" t="s">
        <v>2075</v>
      </c>
      <c r="C647" s="1" t="s">
        <v>2076</v>
      </c>
      <c r="D647" s="1" t="s">
        <v>2077</v>
      </c>
      <c r="E647" s="1" t="s">
        <v>44</v>
      </c>
      <c r="F647" s="1" t="s">
        <v>924</v>
      </c>
      <c r="G647" s="5" t="s">
        <v>479</v>
      </c>
      <c r="H647" s="1" t="s">
        <v>27</v>
      </c>
      <c r="I647">
        <v>114300</v>
      </c>
      <c r="J647" s="1" t="s">
        <v>868</v>
      </c>
      <c r="K647">
        <v>0</v>
      </c>
      <c r="L647">
        <v>0</v>
      </c>
      <c r="M647">
        <v>114300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s="18">
        <v>6</v>
      </c>
      <c r="Y647" s="6"/>
      <c r="Z647" s="6"/>
      <c r="AA647" s="6">
        <v>19050</v>
      </c>
      <c r="AB647" s="6">
        <v>19050</v>
      </c>
      <c r="AC647" s="6">
        <v>19050</v>
      </c>
      <c r="AD647" s="6">
        <v>19050</v>
      </c>
      <c r="AE647" s="6">
        <v>19050</v>
      </c>
      <c r="AF647" s="6">
        <v>19050</v>
      </c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>
        <f t="shared" si="42"/>
        <v>6</v>
      </c>
      <c r="AX647" t="b">
        <f t="shared" si="43"/>
        <v>1</v>
      </c>
      <c r="AY647" s="21">
        <f t="shared" ref="AY647:AY691" si="44">+SUM(Y647:AV647)</f>
        <v>114300</v>
      </c>
      <c r="AZ647" t="b">
        <f t="shared" ref="AZ647:AZ691" si="45">+I647=AY647</f>
        <v>1</v>
      </c>
    </row>
    <row r="648" spans="1:52" x14ac:dyDescent="0.4">
      <c r="A648" s="6" t="s">
        <v>2230</v>
      </c>
      <c r="B648" s="1" t="s">
        <v>2078</v>
      </c>
      <c r="C648" s="1" t="s">
        <v>2079</v>
      </c>
      <c r="D648" s="1" t="s">
        <v>2080</v>
      </c>
      <c r="E648" s="1" t="s">
        <v>50</v>
      </c>
      <c r="F648" s="1" t="s">
        <v>2081</v>
      </c>
      <c r="G648" s="5"/>
      <c r="H648" s="1" t="s">
        <v>52</v>
      </c>
      <c r="I648">
        <v>114300</v>
      </c>
      <c r="J648" s="1" t="s">
        <v>28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s="18">
        <v>6</v>
      </c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>
        <f t="shared" si="42"/>
        <v>0</v>
      </c>
      <c r="AX648" t="b">
        <f t="shared" si="43"/>
        <v>0</v>
      </c>
      <c r="AY648" s="21">
        <f t="shared" si="44"/>
        <v>0</v>
      </c>
      <c r="AZ648" t="b">
        <f t="shared" si="45"/>
        <v>0</v>
      </c>
    </row>
    <row r="649" spans="1:52" x14ac:dyDescent="0.4">
      <c r="A649" s="6" t="s">
        <v>2230</v>
      </c>
      <c r="B649" s="1" t="s">
        <v>2082</v>
      </c>
      <c r="C649" s="1" t="s">
        <v>2083</v>
      </c>
      <c r="D649" s="1" t="s">
        <v>2084</v>
      </c>
      <c r="E649" s="1" t="s">
        <v>1944</v>
      </c>
      <c r="F649" s="1" t="s">
        <v>1622</v>
      </c>
      <c r="G649" s="5" t="s">
        <v>1946</v>
      </c>
      <c r="H649" s="1" t="s">
        <v>27</v>
      </c>
      <c r="I649">
        <v>113220</v>
      </c>
      <c r="J649" s="1" t="s">
        <v>28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113220</v>
      </c>
      <c r="X649" s="18">
        <v>12</v>
      </c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>
        <v>9435</v>
      </c>
      <c r="AL649" s="6">
        <v>9435</v>
      </c>
      <c r="AM649" s="6">
        <v>9435</v>
      </c>
      <c r="AN649" s="6">
        <v>9435</v>
      </c>
      <c r="AO649" s="6">
        <v>9435</v>
      </c>
      <c r="AP649" s="6">
        <v>9435</v>
      </c>
      <c r="AQ649" s="6">
        <v>9435</v>
      </c>
      <c r="AR649" s="6">
        <v>9435</v>
      </c>
      <c r="AS649" s="6">
        <v>9435</v>
      </c>
      <c r="AT649" s="6">
        <v>9435</v>
      </c>
      <c r="AU649" s="6">
        <v>9435</v>
      </c>
      <c r="AV649" s="6">
        <v>9435</v>
      </c>
      <c r="AW649">
        <f t="shared" si="42"/>
        <v>12</v>
      </c>
      <c r="AX649" t="b">
        <f t="shared" si="43"/>
        <v>1</v>
      </c>
      <c r="AY649" s="21">
        <f t="shared" si="44"/>
        <v>113220</v>
      </c>
      <c r="AZ649" t="b">
        <f t="shared" si="45"/>
        <v>1</v>
      </c>
    </row>
    <row r="650" spans="1:52" x14ac:dyDescent="0.4">
      <c r="A650" s="6" t="s">
        <v>2230</v>
      </c>
      <c r="B650" s="1" t="s">
        <v>2085</v>
      </c>
      <c r="C650" s="1" t="s">
        <v>2086</v>
      </c>
      <c r="D650" s="1" t="s">
        <v>2087</v>
      </c>
      <c r="E650" s="1" t="s">
        <v>25</v>
      </c>
      <c r="F650" s="1" t="s">
        <v>1238</v>
      </c>
      <c r="G650" s="5" t="s">
        <v>479</v>
      </c>
      <c r="H650" s="1" t="s">
        <v>27</v>
      </c>
      <c r="I650">
        <v>59400</v>
      </c>
      <c r="J650" s="1" t="s">
        <v>28</v>
      </c>
      <c r="K650">
        <v>0</v>
      </c>
      <c r="L650">
        <v>0</v>
      </c>
      <c r="M650">
        <v>59400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s="18">
        <v>3</v>
      </c>
      <c r="Y650" s="6"/>
      <c r="Z650" s="6"/>
      <c r="AA650" s="6">
        <v>19800</v>
      </c>
      <c r="AB650" s="6">
        <v>19800</v>
      </c>
      <c r="AC650" s="6">
        <v>19800</v>
      </c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>
        <f t="shared" si="42"/>
        <v>3</v>
      </c>
      <c r="AX650" t="b">
        <f t="shared" si="43"/>
        <v>1</v>
      </c>
      <c r="AY650" s="21">
        <f t="shared" si="44"/>
        <v>59400</v>
      </c>
      <c r="AZ650" t="b">
        <f t="shared" si="45"/>
        <v>1</v>
      </c>
    </row>
    <row r="651" spans="1:52" x14ac:dyDescent="0.4">
      <c r="A651" s="6" t="s">
        <v>2230</v>
      </c>
      <c r="B651" s="1" t="s">
        <v>2088</v>
      </c>
      <c r="C651" s="1" t="s">
        <v>2089</v>
      </c>
      <c r="D651" s="1" t="s">
        <v>2090</v>
      </c>
      <c r="E651" s="1" t="s">
        <v>44</v>
      </c>
      <c r="F651" s="1" t="s">
        <v>924</v>
      </c>
      <c r="G651" s="5" t="s">
        <v>479</v>
      </c>
      <c r="H651" s="1" t="s">
        <v>27</v>
      </c>
      <c r="I651">
        <v>114300</v>
      </c>
      <c r="J651" s="1" t="s">
        <v>868</v>
      </c>
      <c r="K651">
        <v>0</v>
      </c>
      <c r="L651">
        <v>0</v>
      </c>
      <c r="M651">
        <v>114300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s="18">
        <v>6</v>
      </c>
      <c r="Y651" s="6"/>
      <c r="Z651" s="6"/>
      <c r="AA651" s="6">
        <v>19050</v>
      </c>
      <c r="AB651" s="6">
        <v>19050</v>
      </c>
      <c r="AC651" s="6">
        <v>19050</v>
      </c>
      <c r="AD651" s="6">
        <v>19050</v>
      </c>
      <c r="AE651" s="6">
        <v>19050</v>
      </c>
      <c r="AF651" s="6">
        <v>19050</v>
      </c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>
        <f t="shared" si="42"/>
        <v>6</v>
      </c>
      <c r="AX651" t="b">
        <f t="shared" si="43"/>
        <v>1</v>
      </c>
      <c r="AY651" s="21">
        <f t="shared" si="44"/>
        <v>114300</v>
      </c>
      <c r="AZ651" t="b">
        <f t="shared" si="45"/>
        <v>1</v>
      </c>
    </row>
    <row r="652" spans="1:52" x14ac:dyDescent="0.4">
      <c r="A652" s="6" t="s">
        <v>2230</v>
      </c>
      <c r="B652" s="1" t="s">
        <v>2091</v>
      </c>
      <c r="C652" s="1" t="s">
        <v>2092</v>
      </c>
      <c r="D652" s="1" t="s">
        <v>2093</v>
      </c>
      <c r="E652" s="1" t="s">
        <v>25</v>
      </c>
      <c r="F652" s="1" t="s">
        <v>1928</v>
      </c>
      <c r="G652" s="5" t="s">
        <v>1929</v>
      </c>
      <c r="H652" s="1" t="s">
        <v>27</v>
      </c>
      <c r="I652">
        <v>59400</v>
      </c>
      <c r="J652" s="1" t="s">
        <v>1455</v>
      </c>
      <c r="K652">
        <v>59400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s="18">
        <v>3</v>
      </c>
      <c r="Y652" s="6">
        <v>19800</v>
      </c>
      <c r="Z652" s="6">
        <v>19800</v>
      </c>
      <c r="AA652" s="6">
        <v>19800</v>
      </c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>
        <f t="shared" si="42"/>
        <v>3</v>
      </c>
      <c r="AX652" t="b">
        <f t="shared" si="43"/>
        <v>1</v>
      </c>
      <c r="AY652" s="21">
        <f t="shared" si="44"/>
        <v>59400</v>
      </c>
      <c r="AZ652" t="b">
        <f t="shared" si="45"/>
        <v>1</v>
      </c>
    </row>
    <row r="653" spans="1:52" x14ac:dyDescent="0.4">
      <c r="A653" s="6" t="s">
        <v>2230</v>
      </c>
      <c r="B653" s="1" t="s">
        <v>2094</v>
      </c>
      <c r="C653" s="1" t="s">
        <v>2095</v>
      </c>
      <c r="D653" s="1" t="s">
        <v>2096</v>
      </c>
      <c r="E653" s="1" t="s">
        <v>1944</v>
      </c>
      <c r="F653" s="1" t="s">
        <v>2042</v>
      </c>
      <c r="G653" s="5" t="s">
        <v>1623</v>
      </c>
      <c r="H653" s="1" t="s">
        <v>27</v>
      </c>
      <c r="I653">
        <v>113220</v>
      </c>
      <c r="J653" s="1" t="s">
        <v>1930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113220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s="18">
        <v>12</v>
      </c>
      <c r="Y653" s="6"/>
      <c r="Z653" s="6"/>
      <c r="AA653" s="6"/>
      <c r="AB653" s="6"/>
      <c r="AC653" s="6"/>
      <c r="AD653" s="6"/>
      <c r="AE653" s="6">
        <v>9435</v>
      </c>
      <c r="AF653" s="6">
        <v>9435</v>
      </c>
      <c r="AG653" s="6">
        <v>9435</v>
      </c>
      <c r="AH653" s="6">
        <v>9435</v>
      </c>
      <c r="AI653" s="6">
        <v>9435</v>
      </c>
      <c r="AJ653" s="6">
        <v>9435</v>
      </c>
      <c r="AK653" s="6">
        <v>9435</v>
      </c>
      <c r="AL653" s="6">
        <v>9435</v>
      </c>
      <c r="AM653" s="6">
        <v>9435</v>
      </c>
      <c r="AN653" s="6">
        <v>9435</v>
      </c>
      <c r="AO653" s="6">
        <v>9435</v>
      </c>
      <c r="AP653" s="6">
        <v>9435</v>
      </c>
      <c r="AQ653" s="6"/>
      <c r="AR653" s="6"/>
      <c r="AS653" s="6"/>
      <c r="AT653" s="6"/>
      <c r="AU653" s="6"/>
      <c r="AV653" s="6"/>
      <c r="AW653">
        <f t="shared" si="42"/>
        <v>12</v>
      </c>
      <c r="AX653" t="b">
        <f t="shared" si="43"/>
        <v>1</v>
      </c>
      <c r="AY653" s="21">
        <f t="shared" si="44"/>
        <v>113220</v>
      </c>
      <c r="AZ653" t="b">
        <f t="shared" si="45"/>
        <v>1</v>
      </c>
    </row>
    <row r="654" spans="1:52" x14ac:dyDescent="0.4">
      <c r="A654" s="6" t="s">
        <v>2230</v>
      </c>
      <c r="B654" s="1" t="s">
        <v>2097</v>
      </c>
      <c r="C654" s="1" t="s">
        <v>2098</v>
      </c>
      <c r="D654" s="1" t="s">
        <v>2099</v>
      </c>
      <c r="E654" s="1" t="s">
        <v>1944</v>
      </c>
      <c r="F654" s="1" t="s">
        <v>2100</v>
      </c>
      <c r="G654" s="5" t="s">
        <v>1623</v>
      </c>
      <c r="H654" s="1" t="s">
        <v>27</v>
      </c>
      <c r="I654">
        <v>113220</v>
      </c>
      <c r="J654" s="1" t="s">
        <v>1930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113220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s="18">
        <v>12</v>
      </c>
      <c r="Y654" s="6"/>
      <c r="Z654" s="6"/>
      <c r="AA654" s="6"/>
      <c r="AB654" s="6"/>
      <c r="AC654" s="6"/>
      <c r="AD654" s="6"/>
      <c r="AE654" s="6">
        <v>9435</v>
      </c>
      <c r="AF654" s="6">
        <v>9435</v>
      </c>
      <c r="AG654" s="6">
        <v>9435</v>
      </c>
      <c r="AH654" s="6">
        <v>9435</v>
      </c>
      <c r="AI654" s="6">
        <v>9435</v>
      </c>
      <c r="AJ654" s="6">
        <v>9435</v>
      </c>
      <c r="AK654" s="6">
        <v>9435</v>
      </c>
      <c r="AL654" s="6">
        <v>9435</v>
      </c>
      <c r="AM654" s="6">
        <v>9435</v>
      </c>
      <c r="AN654" s="6">
        <v>9435</v>
      </c>
      <c r="AO654" s="6">
        <v>9435</v>
      </c>
      <c r="AP654" s="6">
        <v>9435</v>
      </c>
      <c r="AQ654" s="6"/>
      <c r="AR654" s="6"/>
      <c r="AS654" s="6"/>
      <c r="AT654" s="6"/>
      <c r="AU654" s="6"/>
      <c r="AV654" s="6"/>
      <c r="AW654">
        <f t="shared" si="42"/>
        <v>12</v>
      </c>
      <c r="AX654" t="b">
        <f t="shared" si="43"/>
        <v>1</v>
      </c>
      <c r="AY654" s="21">
        <f t="shared" si="44"/>
        <v>113220</v>
      </c>
      <c r="AZ654" t="b">
        <f t="shared" si="45"/>
        <v>1</v>
      </c>
    </row>
    <row r="655" spans="1:52" x14ac:dyDescent="0.4">
      <c r="A655" s="6" t="s">
        <v>2230</v>
      </c>
      <c r="B655" s="1" t="s">
        <v>2101</v>
      </c>
      <c r="C655" s="1" t="s">
        <v>2102</v>
      </c>
      <c r="D655" s="1" t="s">
        <v>2103</v>
      </c>
      <c r="E655" s="1" t="s">
        <v>1944</v>
      </c>
      <c r="F655" s="1" t="s">
        <v>2104</v>
      </c>
      <c r="G655" s="5" t="s">
        <v>1130</v>
      </c>
      <c r="H655" s="1" t="s">
        <v>27</v>
      </c>
      <c r="I655">
        <v>113220</v>
      </c>
      <c r="J655" s="1" t="s">
        <v>2105</v>
      </c>
      <c r="K655">
        <v>0</v>
      </c>
      <c r="L655">
        <v>0</v>
      </c>
      <c r="M655">
        <v>0</v>
      </c>
      <c r="N655">
        <v>113220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s="18">
        <v>12</v>
      </c>
      <c r="Y655" s="6"/>
      <c r="Z655" s="6"/>
      <c r="AA655" s="6"/>
      <c r="AB655" s="6">
        <v>9435</v>
      </c>
      <c r="AC655" s="6">
        <v>9435</v>
      </c>
      <c r="AD655" s="6">
        <v>9435</v>
      </c>
      <c r="AE655" s="6">
        <v>9435</v>
      </c>
      <c r="AF655" s="6">
        <v>9435</v>
      </c>
      <c r="AG655" s="6">
        <v>9435</v>
      </c>
      <c r="AH655" s="6">
        <v>9435</v>
      </c>
      <c r="AI655" s="6">
        <v>9435</v>
      </c>
      <c r="AJ655" s="6">
        <v>9435</v>
      </c>
      <c r="AK655" s="6">
        <v>9435</v>
      </c>
      <c r="AL655" s="6">
        <v>9435</v>
      </c>
      <c r="AM655" s="6">
        <v>9435</v>
      </c>
      <c r="AN655" s="6"/>
      <c r="AO655" s="6"/>
      <c r="AP655" s="6"/>
      <c r="AQ655" s="6"/>
      <c r="AR655" s="6"/>
      <c r="AS655" s="6"/>
      <c r="AT655" s="6"/>
      <c r="AU655" s="6"/>
      <c r="AV655" s="6"/>
      <c r="AW655">
        <f t="shared" si="42"/>
        <v>12</v>
      </c>
      <c r="AX655" t="b">
        <f t="shared" si="43"/>
        <v>1</v>
      </c>
      <c r="AY655" s="21">
        <f t="shared" si="44"/>
        <v>113220</v>
      </c>
      <c r="AZ655" t="b">
        <f t="shared" si="45"/>
        <v>1</v>
      </c>
    </row>
    <row r="656" spans="1:52" x14ac:dyDescent="0.4">
      <c r="A656" s="6" t="s">
        <v>2230</v>
      </c>
      <c r="B656" s="1" t="s">
        <v>2106</v>
      </c>
      <c r="C656" s="1" t="s">
        <v>2107</v>
      </c>
      <c r="D656" s="1" t="s">
        <v>2108</v>
      </c>
      <c r="E656" s="1" t="s">
        <v>1944</v>
      </c>
      <c r="F656" s="1" t="s">
        <v>1622</v>
      </c>
      <c r="G656" s="5" t="s">
        <v>1946</v>
      </c>
      <c r="H656" s="1" t="s">
        <v>27</v>
      </c>
      <c r="I656">
        <v>113220</v>
      </c>
      <c r="J656" s="1" t="s">
        <v>28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113220</v>
      </c>
      <c r="X656" s="18">
        <v>12</v>
      </c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>
        <v>9435</v>
      </c>
      <c r="AL656" s="6">
        <v>9435</v>
      </c>
      <c r="AM656" s="6">
        <v>9435</v>
      </c>
      <c r="AN656" s="6">
        <v>9435</v>
      </c>
      <c r="AO656" s="6">
        <v>9435</v>
      </c>
      <c r="AP656" s="6">
        <v>9435</v>
      </c>
      <c r="AQ656" s="6">
        <v>9435</v>
      </c>
      <c r="AR656" s="6">
        <v>9435</v>
      </c>
      <c r="AS656" s="6">
        <v>9435</v>
      </c>
      <c r="AT656" s="6">
        <v>9435</v>
      </c>
      <c r="AU656" s="6">
        <v>9435</v>
      </c>
      <c r="AV656" s="6">
        <v>9435</v>
      </c>
      <c r="AW656">
        <f t="shared" ref="AW656:AW691" si="46">+COUNTA(Y656:AV656)</f>
        <v>12</v>
      </c>
      <c r="AX656" t="b">
        <f t="shared" ref="AX656:AX691" si="47">+AW656=X656</f>
        <v>1</v>
      </c>
      <c r="AY656" s="21">
        <f t="shared" si="44"/>
        <v>113220</v>
      </c>
      <c r="AZ656" t="b">
        <f t="shared" si="45"/>
        <v>1</v>
      </c>
    </row>
    <row r="657" spans="1:52" x14ac:dyDescent="0.4">
      <c r="A657" s="6" t="s">
        <v>2230</v>
      </c>
      <c r="B657" s="1" t="s">
        <v>2109</v>
      </c>
      <c r="C657" s="1" t="s">
        <v>2110</v>
      </c>
      <c r="D657" s="1" t="s">
        <v>2111</v>
      </c>
      <c r="E657" s="1" t="s">
        <v>1944</v>
      </c>
      <c r="F657" s="1" t="s">
        <v>2112</v>
      </c>
      <c r="G657" s="5" t="s">
        <v>1130</v>
      </c>
      <c r="H657" s="1" t="s">
        <v>27</v>
      </c>
      <c r="I657">
        <v>113220</v>
      </c>
      <c r="J657" s="1" t="s">
        <v>2105</v>
      </c>
      <c r="K657">
        <v>0</v>
      </c>
      <c r="L657">
        <v>0</v>
      </c>
      <c r="M657">
        <v>0</v>
      </c>
      <c r="N657">
        <v>113220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s="18">
        <v>12</v>
      </c>
      <c r="Y657" s="6"/>
      <c r="Z657" s="6"/>
      <c r="AA657" s="6"/>
      <c r="AB657" s="6">
        <v>9435</v>
      </c>
      <c r="AC657" s="6">
        <v>9435</v>
      </c>
      <c r="AD657" s="6">
        <v>9435</v>
      </c>
      <c r="AE657" s="6">
        <v>9435</v>
      </c>
      <c r="AF657" s="6">
        <v>9435</v>
      </c>
      <c r="AG657" s="6">
        <v>9435</v>
      </c>
      <c r="AH657" s="6">
        <v>9435</v>
      </c>
      <c r="AI657" s="6">
        <v>9435</v>
      </c>
      <c r="AJ657" s="6">
        <v>9435</v>
      </c>
      <c r="AK657" s="6">
        <v>9435</v>
      </c>
      <c r="AL657" s="6">
        <v>9435</v>
      </c>
      <c r="AM657" s="6">
        <v>9435</v>
      </c>
      <c r="AN657" s="6"/>
      <c r="AO657" s="6"/>
      <c r="AP657" s="6"/>
      <c r="AQ657" s="6"/>
      <c r="AR657" s="6"/>
      <c r="AS657" s="6"/>
      <c r="AT657" s="6"/>
      <c r="AU657" s="6"/>
      <c r="AV657" s="6"/>
      <c r="AW657">
        <f t="shared" si="46"/>
        <v>12</v>
      </c>
      <c r="AX657" t="b">
        <f t="shared" si="47"/>
        <v>1</v>
      </c>
      <c r="AY657" s="21">
        <f t="shared" si="44"/>
        <v>113220</v>
      </c>
      <c r="AZ657" t="b">
        <f t="shared" si="45"/>
        <v>1</v>
      </c>
    </row>
    <row r="658" spans="1:52" x14ac:dyDescent="0.4">
      <c r="A658" s="6" t="s">
        <v>2230</v>
      </c>
      <c r="B658" s="1" t="s">
        <v>2113</v>
      </c>
      <c r="C658" s="1" t="s">
        <v>2114</v>
      </c>
      <c r="D658" s="1" t="s">
        <v>2115</v>
      </c>
      <c r="E658" s="1" t="s">
        <v>1944</v>
      </c>
      <c r="F658" s="1" t="s">
        <v>2042</v>
      </c>
      <c r="G658" s="5" t="s">
        <v>1623</v>
      </c>
      <c r="H658" s="1" t="s">
        <v>27</v>
      </c>
      <c r="I658">
        <v>113220</v>
      </c>
      <c r="J658" s="1" t="s">
        <v>1930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113220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s="18">
        <v>12</v>
      </c>
      <c r="Y658" s="6"/>
      <c r="Z658" s="6"/>
      <c r="AA658" s="6"/>
      <c r="AB658" s="6"/>
      <c r="AC658" s="6"/>
      <c r="AD658" s="6"/>
      <c r="AE658" s="6">
        <v>9435</v>
      </c>
      <c r="AF658" s="6">
        <v>9435</v>
      </c>
      <c r="AG658" s="6">
        <v>9435</v>
      </c>
      <c r="AH658" s="6">
        <v>9435</v>
      </c>
      <c r="AI658" s="6">
        <v>9435</v>
      </c>
      <c r="AJ658" s="6">
        <v>9435</v>
      </c>
      <c r="AK658" s="6">
        <v>9435</v>
      </c>
      <c r="AL658" s="6">
        <v>9435</v>
      </c>
      <c r="AM658" s="6">
        <v>9435</v>
      </c>
      <c r="AN658" s="6">
        <v>9435</v>
      </c>
      <c r="AO658" s="6">
        <v>9435</v>
      </c>
      <c r="AP658" s="6">
        <v>9435</v>
      </c>
      <c r="AQ658" s="6"/>
      <c r="AR658" s="6"/>
      <c r="AS658" s="6"/>
      <c r="AT658" s="6"/>
      <c r="AU658" s="6"/>
      <c r="AV658" s="6"/>
      <c r="AW658">
        <f t="shared" si="46"/>
        <v>12</v>
      </c>
      <c r="AX658" t="b">
        <f t="shared" si="47"/>
        <v>1</v>
      </c>
      <c r="AY658" s="21">
        <f t="shared" si="44"/>
        <v>113220</v>
      </c>
      <c r="AZ658" t="b">
        <f t="shared" si="45"/>
        <v>1</v>
      </c>
    </row>
    <row r="659" spans="1:52" x14ac:dyDescent="0.4">
      <c r="A659" s="6" t="s">
        <v>2230</v>
      </c>
      <c r="B659" s="1" t="s">
        <v>2116</v>
      </c>
      <c r="C659" s="1" t="s">
        <v>2117</v>
      </c>
      <c r="D659" s="1" t="s">
        <v>2118</v>
      </c>
      <c r="E659" s="1" t="s">
        <v>1944</v>
      </c>
      <c r="F659" s="1" t="s">
        <v>1622</v>
      </c>
      <c r="G659" s="5" t="s">
        <v>1946</v>
      </c>
      <c r="H659" s="1" t="s">
        <v>27</v>
      </c>
      <c r="I659">
        <v>113220</v>
      </c>
      <c r="J659" s="1" t="s">
        <v>28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113220</v>
      </c>
      <c r="X659" s="18">
        <v>12</v>
      </c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>
        <v>9435</v>
      </c>
      <c r="AL659" s="6">
        <v>9435</v>
      </c>
      <c r="AM659" s="6">
        <v>9435</v>
      </c>
      <c r="AN659" s="6">
        <v>9435</v>
      </c>
      <c r="AO659" s="6">
        <v>9435</v>
      </c>
      <c r="AP659" s="6">
        <v>9435</v>
      </c>
      <c r="AQ659" s="6">
        <v>9435</v>
      </c>
      <c r="AR659" s="6">
        <v>9435</v>
      </c>
      <c r="AS659" s="6">
        <v>9435</v>
      </c>
      <c r="AT659" s="6">
        <v>9435</v>
      </c>
      <c r="AU659" s="6">
        <v>9435</v>
      </c>
      <c r="AV659" s="6">
        <v>9435</v>
      </c>
      <c r="AW659">
        <f t="shared" si="46"/>
        <v>12</v>
      </c>
      <c r="AX659" t="b">
        <f t="shared" si="47"/>
        <v>1</v>
      </c>
      <c r="AY659" s="21">
        <f t="shared" si="44"/>
        <v>113220</v>
      </c>
      <c r="AZ659" t="b">
        <f t="shared" si="45"/>
        <v>1</v>
      </c>
    </row>
    <row r="660" spans="1:52" x14ac:dyDescent="0.4">
      <c r="A660" s="6" t="s">
        <v>2230</v>
      </c>
      <c r="B660" s="1" t="s">
        <v>2119</v>
      </c>
      <c r="C660" s="1" t="s">
        <v>2120</v>
      </c>
      <c r="D660" s="1" t="s">
        <v>2121</v>
      </c>
      <c r="E660" s="1" t="s">
        <v>44</v>
      </c>
      <c r="F660" s="1" t="s">
        <v>333</v>
      </c>
      <c r="G660" s="5" t="s">
        <v>46</v>
      </c>
      <c r="H660" s="1" t="s">
        <v>27</v>
      </c>
      <c r="I660">
        <v>114300</v>
      </c>
      <c r="J660" s="1" t="s">
        <v>33</v>
      </c>
      <c r="K660">
        <v>0</v>
      </c>
      <c r="L660">
        <v>0</v>
      </c>
      <c r="M660">
        <v>0</v>
      </c>
      <c r="N660">
        <v>0</v>
      </c>
      <c r="O660">
        <v>114300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s="18">
        <v>6</v>
      </c>
      <c r="Y660" s="6"/>
      <c r="Z660" s="6"/>
      <c r="AA660" s="6"/>
      <c r="AB660" s="6"/>
      <c r="AC660" s="6">
        <v>19050</v>
      </c>
      <c r="AD660" s="6">
        <v>19050</v>
      </c>
      <c r="AE660" s="6">
        <v>19050</v>
      </c>
      <c r="AF660" s="6">
        <v>19050</v>
      </c>
      <c r="AG660" s="6">
        <v>19050</v>
      </c>
      <c r="AH660" s="6">
        <v>19050</v>
      </c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>
        <f t="shared" si="46"/>
        <v>6</v>
      </c>
      <c r="AX660" t="b">
        <f t="shared" si="47"/>
        <v>1</v>
      </c>
      <c r="AY660" s="21">
        <f t="shared" si="44"/>
        <v>114300</v>
      </c>
      <c r="AZ660" t="b">
        <f t="shared" si="45"/>
        <v>1</v>
      </c>
    </row>
    <row r="661" spans="1:52" x14ac:dyDescent="0.4">
      <c r="A661" s="6" t="s">
        <v>2230</v>
      </c>
      <c r="B661" s="1" t="s">
        <v>2122</v>
      </c>
      <c r="C661" s="1" t="s">
        <v>2123</v>
      </c>
      <c r="D661" s="1" t="s">
        <v>2124</v>
      </c>
      <c r="E661" s="1" t="s">
        <v>1944</v>
      </c>
      <c r="F661" s="1" t="s">
        <v>2125</v>
      </c>
      <c r="G661" s="5" t="s">
        <v>479</v>
      </c>
      <c r="H661" s="1" t="s">
        <v>27</v>
      </c>
      <c r="I661">
        <v>113220</v>
      </c>
      <c r="J661" s="1" t="s">
        <v>2126</v>
      </c>
      <c r="K661">
        <v>0</v>
      </c>
      <c r="L661">
        <v>0</v>
      </c>
      <c r="M661">
        <v>113220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s="18">
        <v>12</v>
      </c>
      <c r="Y661" s="6"/>
      <c r="Z661" s="6"/>
      <c r="AA661" s="6">
        <v>9435</v>
      </c>
      <c r="AB661" s="6">
        <v>9435</v>
      </c>
      <c r="AC661" s="6">
        <v>9435</v>
      </c>
      <c r="AD661" s="6">
        <v>9435</v>
      </c>
      <c r="AE661" s="6">
        <v>9435</v>
      </c>
      <c r="AF661" s="6">
        <v>9435</v>
      </c>
      <c r="AG661" s="6">
        <v>9435</v>
      </c>
      <c r="AH661" s="6">
        <v>9435</v>
      </c>
      <c r="AI661" s="6">
        <v>9435</v>
      </c>
      <c r="AJ661" s="6">
        <v>9435</v>
      </c>
      <c r="AK661" s="6">
        <v>9435</v>
      </c>
      <c r="AL661" s="6">
        <v>9435</v>
      </c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>
        <f t="shared" si="46"/>
        <v>12</v>
      </c>
      <c r="AX661" t="b">
        <f t="shared" si="47"/>
        <v>1</v>
      </c>
      <c r="AY661" s="21">
        <f t="shared" si="44"/>
        <v>113220</v>
      </c>
      <c r="AZ661" t="b">
        <f t="shared" si="45"/>
        <v>1</v>
      </c>
    </row>
    <row r="662" spans="1:52" x14ac:dyDescent="0.4">
      <c r="A662" s="6" t="s">
        <v>2230</v>
      </c>
      <c r="B662" s="1" t="s">
        <v>2127</v>
      </c>
      <c r="C662" s="1" t="s">
        <v>2128</v>
      </c>
      <c r="D662" s="1" t="s">
        <v>2129</v>
      </c>
      <c r="E662" s="1" t="s">
        <v>44</v>
      </c>
      <c r="F662" s="1" t="s">
        <v>32</v>
      </c>
      <c r="G662" s="5" t="s">
        <v>46</v>
      </c>
      <c r="H662" s="1" t="s">
        <v>27</v>
      </c>
      <c r="I662">
        <v>114300</v>
      </c>
      <c r="J662" s="1" t="s">
        <v>33</v>
      </c>
      <c r="K662">
        <v>0</v>
      </c>
      <c r="L662">
        <v>0</v>
      </c>
      <c r="M662">
        <v>0</v>
      </c>
      <c r="N662">
        <v>0</v>
      </c>
      <c r="O662">
        <v>114300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s="18">
        <v>6</v>
      </c>
      <c r="Y662" s="6"/>
      <c r="Z662" s="6"/>
      <c r="AA662" s="6"/>
      <c r="AB662" s="6"/>
      <c r="AC662" s="6">
        <v>19050</v>
      </c>
      <c r="AD662" s="6">
        <v>19050</v>
      </c>
      <c r="AE662" s="6">
        <v>19050</v>
      </c>
      <c r="AF662" s="6">
        <v>19050</v>
      </c>
      <c r="AG662" s="6">
        <v>19050</v>
      </c>
      <c r="AH662" s="6">
        <v>19050</v>
      </c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>
        <f t="shared" si="46"/>
        <v>6</v>
      </c>
      <c r="AX662" t="b">
        <f t="shared" si="47"/>
        <v>1</v>
      </c>
      <c r="AY662" s="21">
        <f t="shared" si="44"/>
        <v>114300</v>
      </c>
      <c r="AZ662" t="b">
        <f t="shared" si="45"/>
        <v>1</v>
      </c>
    </row>
    <row r="663" spans="1:52" x14ac:dyDescent="0.4">
      <c r="A663" s="6" t="s">
        <v>2230</v>
      </c>
      <c r="B663" s="1" t="s">
        <v>2130</v>
      </c>
      <c r="C663" s="1" t="s">
        <v>2131</v>
      </c>
      <c r="D663" s="1" t="s">
        <v>2132</v>
      </c>
      <c r="E663" s="1" t="s">
        <v>1944</v>
      </c>
      <c r="F663" s="1" t="s">
        <v>2133</v>
      </c>
      <c r="G663" s="5" t="s">
        <v>479</v>
      </c>
      <c r="H663" s="1" t="s">
        <v>27</v>
      </c>
      <c r="I663">
        <v>113220</v>
      </c>
      <c r="J663" s="1" t="s">
        <v>2126</v>
      </c>
      <c r="K663">
        <v>0</v>
      </c>
      <c r="L663">
        <v>0</v>
      </c>
      <c r="M663">
        <v>113220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s="18">
        <v>12</v>
      </c>
      <c r="Y663" s="6"/>
      <c r="Z663" s="6"/>
      <c r="AA663" s="6">
        <v>9435</v>
      </c>
      <c r="AB663" s="6">
        <v>9435</v>
      </c>
      <c r="AC663" s="6">
        <v>9435</v>
      </c>
      <c r="AD663" s="6">
        <v>9435</v>
      </c>
      <c r="AE663" s="6">
        <v>9435</v>
      </c>
      <c r="AF663" s="6">
        <v>9435</v>
      </c>
      <c r="AG663" s="6">
        <v>9435</v>
      </c>
      <c r="AH663" s="6">
        <v>9435</v>
      </c>
      <c r="AI663" s="6">
        <v>9435</v>
      </c>
      <c r="AJ663" s="6">
        <v>9435</v>
      </c>
      <c r="AK663" s="6">
        <v>9435</v>
      </c>
      <c r="AL663" s="6">
        <v>9435</v>
      </c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>
        <f t="shared" si="46"/>
        <v>12</v>
      </c>
      <c r="AX663" t="b">
        <f t="shared" si="47"/>
        <v>1</v>
      </c>
      <c r="AY663" s="21">
        <f t="shared" si="44"/>
        <v>113220</v>
      </c>
      <c r="AZ663" t="b">
        <f t="shared" si="45"/>
        <v>1</v>
      </c>
    </row>
    <row r="664" spans="1:52" x14ac:dyDescent="0.4">
      <c r="A664" s="6" t="s">
        <v>2230</v>
      </c>
      <c r="B664" s="1" t="s">
        <v>2134</v>
      </c>
      <c r="C664" s="1" t="s">
        <v>2135</v>
      </c>
      <c r="D664" s="1" t="s">
        <v>2136</v>
      </c>
      <c r="E664" s="1" t="s">
        <v>1944</v>
      </c>
      <c r="F664" s="1" t="s">
        <v>2042</v>
      </c>
      <c r="G664" s="5" t="s">
        <v>1623</v>
      </c>
      <c r="H664" s="1" t="s">
        <v>27</v>
      </c>
      <c r="I664">
        <v>113220</v>
      </c>
      <c r="J664" s="1" t="s">
        <v>1930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113220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s="18">
        <v>12</v>
      </c>
      <c r="Y664" s="6"/>
      <c r="Z664" s="6"/>
      <c r="AA664" s="6"/>
      <c r="AB664" s="6"/>
      <c r="AC664" s="6"/>
      <c r="AD664" s="6"/>
      <c r="AE664" s="6">
        <v>9435</v>
      </c>
      <c r="AF664" s="6">
        <v>9435</v>
      </c>
      <c r="AG664" s="6">
        <v>9435</v>
      </c>
      <c r="AH664" s="6">
        <v>9435</v>
      </c>
      <c r="AI664" s="6">
        <v>9435</v>
      </c>
      <c r="AJ664" s="6">
        <v>9435</v>
      </c>
      <c r="AK664" s="6">
        <v>9435</v>
      </c>
      <c r="AL664" s="6">
        <v>9435</v>
      </c>
      <c r="AM664" s="6">
        <v>9435</v>
      </c>
      <c r="AN664" s="6">
        <v>9435</v>
      </c>
      <c r="AO664" s="6">
        <v>9435</v>
      </c>
      <c r="AP664" s="6">
        <v>9435</v>
      </c>
      <c r="AQ664" s="6"/>
      <c r="AR664" s="6"/>
      <c r="AS664" s="6"/>
      <c r="AT664" s="6"/>
      <c r="AU664" s="6"/>
      <c r="AV664" s="6"/>
      <c r="AW664">
        <f t="shared" si="46"/>
        <v>12</v>
      </c>
      <c r="AX664" t="b">
        <f t="shared" si="47"/>
        <v>1</v>
      </c>
      <c r="AY664" s="21">
        <f t="shared" si="44"/>
        <v>113220</v>
      </c>
      <c r="AZ664" t="b">
        <f t="shared" si="45"/>
        <v>1</v>
      </c>
    </row>
    <row r="665" spans="1:52" x14ac:dyDescent="0.4">
      <c r="A665" s="6" t="s">
        <v>2230</v>
      </c>
      <c r="B665" s="1" t="s">
        <v>2137</v>
      </c>
      <c r="C665" s="1" t="s">
        <v>2138</v>
      </c>
      <c r="D665" s="1" t="s">
        <v>2139</v>
      </c>
      <c r="E665" s="1" t="s">
        <v>1944</v>
      </c>
      <c r="F665" s="1" t="s">
        <v>2100</v>
      </c>
      <c r="G665" s="5" t="s">
        <v>1623</v>
      </c>
      <c r="H665" s="1" t="s">
        <v>27</v>
      </c>
      <c r="I665">
        <v>113220</v>
      </c>
      <c r="J665" s="1" t="s">
        <v>1930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113220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s="18">
        <v>12</v>
      </c>
      <c r="Y665" s="6"/>
      <c r="Z665" s="6"/>
      <c r="AA665" s="6"/>
      <c r="AB665" s="6"/>
      <c r="AC665" s="6"/>
      <c r="AD665" s="6"/>
      <c r="AE665" s="6">
        <v>9435</v>
      </c>
      <c r="AF665" s="6">
        <v>9435</v>
      </c>
      <c r="AG665" s="6">
        <v>9435</v>
      </c>
      <c r="AH665" s="6">
        <v>9435</v>
      </c>
      <c r="AI665" s="6">
        <v>9435</v>
      </c>
      <c r="AJ665" s="6">
        <v>9435</v>
      </c>
      <c r="AK665" s="6">
        <v>9435</v>
      </c>
      <c r="AL665" s="6">
        <v>9435</v>
      </c>
      <c r="AM665" s="6">
        <v>9435</v>
      </c>
      <c r="AN665" s="6">
        <v>9435</v>
      </c>
      <c r="AO665" s="6">
        <v>9435</v>
      </c>
      <c r="AP665" s="6">
        <v>9435</v>
      </c>
      <c r="AQ665" s="6"/>
      <c r="AR665" s="6"/>
      <c r="AS665" s="6"/>
      <c r="AT665" s="6"/>
      <c r="AU665" s="6"/>
      <c r="AV665" s="6"/>
      <c r="AW665">
        <f t="shared" si="46"/>
        <v>12</v>
      </c>
      <c r="AX665" t="b">
        <f t="shared" si="47"/>
        <v>1</v>
      </c>
      <c r="AY665" s="21">
        <f t="shared" si="44"/>
        <v>113220</v>
      </c>
      <c r="AZ665" t="b">
        <f t="shared" si="45"/>
        <v>1</v>
      </c>
    </row>
    <row r="666" spans="1:52" x14ac:dyDescent="0.4">
      <c r="A666" s="6" t="s">
        <v>2230</v>
      </c>
      <c r="B666" s="1" t="s">
        <v>2140</v>
      </c>
      <c r="C666" s="1" t="s">
        <v>2141</v>
      </c>
      <c r="D666" s="1" t="s">
        <v>2142</v>
      </c>
      <c r="E666" s="1" t="s">
        <v>1944</v>
      </c>
      <c r="F666" s="1" t="s">
        <v>2143</v>
      </c>
      <c r="G666" s="5" t="s">
        <v>479</v>
      </c>
      <c r="H666" s="1" t="s">
        <v>27</v>
      </c>
      <c r="I666">
        <v>113220</v>
      </c>
      <c r="J666" s="1" t="s">
        <v>2126</v>
      </c>
      <c r="K666">
        <v>0</v>
      </c>
      <c r="L666">
        <v>0</v>
      </c>
      <c r="M666">
        <v>113220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s="18">
        <v>12</v>
      </c>
      <c r="Y666" s="6"/>
      <c r="Z666" s="6"/>
      <c r="AA666" s="6">
        <v>9435</v>
      </c>
      <c r="AB666" s="6">
        <v>9435</v>
      </c>
      <c r="AC666" s="6">
        <v>9435</v>
      </c>
      <c r="AD666" s="6">
        <v>9435</v>
      </c>
      <c r="AE666" s="6">
        <v>9435</v>
      </c>
      <c r="AF666" s="6">
        <v>9435</v>
      </c>
      <c r="AG666" s="6">
        <v>9435</v>
      </c>
      <c r="AH666" s="6">
        <v>9435</v>
      </c>
      <c r="AI666" s="6">
        <v>9435</v>
      </c>
      <c r="AJ666" s="6">
        <v>9435</v>
      </c>
      <c r="AK666" s="6">
        <v>9435</v>
      </c>
      <c r="AL666" s="6">
        <v>9435</v>
      </c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>
        <f t="shared" si="46"/>
        <v>12</v>
      </c>
      <c r="AX666" t="b">
        <f t="shared" si="47"/>
        <v>1</v>
      </c>
      <c r="AY666" s="21">
        <f t="shared" si="44"/>
        <v>113220</v>
      </c>
      <c r="AZ666" t="b">
        <f t="shared" si="45"/>
        <v>1</v>
      </c>
    </row>
    <row r="667" spans="1:52" x14ac:dyDescent="0.4">
      <c r="A667" s="6" t="s">
        <v>2230</v>
      </c>
      <c r="B667" s="1" t="s">
        <v>2144</v>
      </c>
      <c r="C667" s="1" t="s">
        <v>2145</v>
      </c>
      <c r="D667" s="1" t="s">
        <v>2146</v>
      </c>
      <c r="E667" s="1" t="s">
        <v>1944</v>
      </c>
      <c r="F667" s="1" t="s">
        <v>2042</v>
      </c>
      <c r="G667" s="5" t="s">
        <v>1623</v>
      </c>
      <c r="H667" s="1" t="s">
        <v>27</v>
      </c>
      <c r="I667">
        <v>113220</v>
      </c>
      <c r="J667" s="1" t="s">
        <v>1930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113220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s="18">
        <v>12</v>
      </c>
      <c r="Y667" s="6"/>
      <c r="Z667" s="6"/>
      <c r="AA667" s="6"/>
      <c r="AB667" s="6"/>
      <c r="AC667" s="6"/>
      <c r="AD667" s="6"/>
      <c r="AE667" s="6">
        <v>9435</v>
      </c>
      <c r="AF667" s="6">
        <v>9435</v>
      </c>
      <c r="AG667" s="6">
        <v>9435</v>
      </c>
      <c r="AH667" s="6">
        <v>9435</v>
      </c>
      <c r="AI667" s="6">
        <v>9435</v>
      </c>
      <c r="AJ667" s="6">
        <v>9435</v>
      </c>
      <c r="AK667" s="6">
        <v>9435</v>
      </c>
      <c r="AL667" s="6">
        <v>9435</v>
      </c>
      <c r="AM667" s="6">
        <v>9435</v>
      </c>
      <c r="AN667" s="6">
        <v>9435</v>
      </c>
      <c r="AO667" s="6">
        <v>9435</v>
      </c>
      <c r="AP667" s="6">
        <v>9435</v>
      </c>
      <c r="AQ667" s="6"/>
      <c r="AR667" s="6"/>
      <c r="AS667" s="6"/>
      <c r="AT667" s="6"/>
      <c r="AU667" s="6"/>
      <c r="AV667" s="6"/>
      <c r="AW667">
        <f t="shared" si="46"/>
        <v>12</v>
      </c>
      <c r="AX667" t="b">
        <f t="shared" si="47"/>
        <v>1</v>
      </c>
      <c r="AY667" s="21">
        <f t="shared" si="44"/>
        <v>113220</v>
      </c>
      <c r="AZ667" t="b">
        <f t="shared" si="45"/>
        <v>1</v>
      </c>
    </row>
    <row r="668" spans="1:52" x14ac:dyDescent="0.4">
      <c r="A668" s="6" t="s">
        <v>2230</v>
      </c>
      <c r="B668" s="1" t="s">
        <v>2147</v>
      </c>
      <c r="C668" s="1" t="s">
        <v>2148</v>
      </c>
      <c r="D668" s="1" t="s">
        <v>2149</v>
      </c>
      <c r="E668" s="1" t="s">
        <v>1944</v>
      </c>
      <c r="F668" s="1" t="s">
        <v>2150</v>
      </c>
      <c r="G668" s="5" t="s">
        <v>2151</v>
      </c>
      <c r="H668" s="1" t="s">
        <v>27</v>
      </c>
      <c r="I668">
        <v>113220</v>
      </c>
      <c r="J668" s="1" t="s">
        <v>33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113220</v>
      </c>
      <c r="V668">
        <v>0</v>
      </c>
      <c r="W668">
        <v>0</v>
      </c>
      <c r="X668" s="18">
        <v>12</v>
      </c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>
        <v>9435</v>
      </c>
      <c r="AJ668" s="6">
        <v>9435</v>
      </c>
      <c r="AK668" s="6">
        <v>9435</v>
      </c>
      <c r="AL668" s="6">
        <v>9435</v>
      </c>
      <c r="AM668" s="6">
        <v>9435</v>
      </c>
      <c r="AN668" s="6">
        <v>9435</v>
      </c>
      <c r="AO668" s="6">
        <v>9435</v>
      </c>
      <c r="AP668" s="6">
        <v>9435</v>
      </c>
      <c r="AQ668" s="6">
        <v>9435</v>
      </c>
      <c r="AR668" s="6">
        <v>9435</v>
      </c>
      <c r="AS668" s="6">
        <v>9435</v>
      </c>
      <c r="AT668" s="6">
        <v>9435</v>
      </c>
      <c r="AU668" s="6"/>
      <c r="AV668" s="6"/>
      <c r="AW668">
        <f t="shared" si="46"/>
        <v>12</v>
      </c>
      <c r="AX668" t="b">
        <f t="shared" si="47"/>
        <v>1</v>
      </c>
      <c r="AY668" s="21">
        <f t="shared" si="44"/>
        <v>113220</v>
      </c>
      <c r="AZ668" t="b">
        <f t="shared" si="45"/>
        <v>1</v>
      </c>
    </row>
    <row r="669" spans="1:52" x14ac:dyDescent="0.4">
      <c r="A669" s="6" t="s">
        <v>2230</v>
      </c>
      <c r="B669" s="1" t="s">
        <v>2152</v>
      </c>
      <c r="C669" s="1" t="s">
        <v>2153</v>
      </c>
      <c r="D669" s="1" t="s">
        <v>2154</v>
      </c>
      <c r="E669" s="1" t="s">
        <v>1944</v>
      </c>
      <c r="F669" s="1" t="s">
        <v>2125</v>
      </c>
      <c r="G669" s="5" t="s">
        <v>479</v>
      </c>
      <c r="H669" s="1" t="s">
        <v>27</v>
      </c>
      <c r="I669">
        <v>113220</v>
      </c>
      <c r="J669" s="1" t="s">
        <v>2126</v>
      </c>
      <c r="K669">
        <v>0</v>
      </c>
      <c r="L669">
        <v>0</v>
      </c>
      <c r="M669">
        <v>113220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s="18">
        <v>12</v>
      </c>
      <c r="Y669" s="6"/>
      <c r="Z669" s="6"/>
      <c r="AA669" s="6">
        <v>9435</v>
      </c>
      <c r="AB669" s="6">
        <v>9435</v>
      </c>
      <c r="AC669" s="6">
        <v>9435</v>
      </c>
      <c r="AD669" s="6">
        <v>9435</v>
      </c>
      <c r="AE669" s="6">
        <v>9435</v>
      </c>
      <c r="AF669" s="6">
        <v>9435</v>
      </c>
      <c r="AG669" s="6">
        <v>9435</v>
      </c>
      <c r="AH669" s="6">
        <v>9435</v>
      </c>
      <c r="AI669" s="6">
        <v>9435</v>
      </c>
      <c r="AJ669" s="6">
        <v>9435</v>
      </c>
      <c r="AK669" s="6">
        <v>9435</v>
      </c>
      <c r="AL669" s="6">
        <v>9435</v>
      </c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>
        <f t="shared" si="46"/>
        <v>12</v>
      </c>
      <c r="AX669" t="b">
        <f t="shared" si="47"/>
        <v>1</v>
      </c>
      <c r="AY669" s="21">
        <f t="shared" si="44"/>
        <v>113220</v>
      </c>
      <c r="AZ669" t="b">
        <f t="shared" si="45"/>
        <v>1</v>
      </c>
    </row>
    <row r="670" spans="1:52" x14ac:dyDescent="0.4">
      <c r="A670" s="6" t="s">
        <v>2230</v>
      </c>
      <c r="B670" s="1" t="s">
        <v>2155</v>
      </c>
      <c r="C670" s="1" t="s">
        <v>2156</v>
      </c>
      <c r="D670" s="1" t="s">
        <v>2157</v>
      </c>
      <c r="E670" s="1" t="s">
        <v>1944</v>
      </c>
      <c r="F670" s="1" t="s">
        <v>2158</v>
      </c>
      <c r="G670" s="5" t="s">
        <v>1130</v>
      </c>
      <c r="H670" s="1" t="s">
        <v>27</v>
      </c>
      <c r="I670">
        <v>113220</v>
      </c>
      <c r="J670" s="1" t="s">
        <v>2105</v>
      </c>
      <c r="K670">
        <v>0</v>
      </c>
      <c r="L670">
        <v>0</v>
      </c>
      <c r="M670">
        <v>0</v>
      </c>
      <c r="N670">
        <v>113220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s="18">
        <v>12</v>
      </c>
      <c r="Y670" s="6"/>
      <c r="Z670" s="6"/>
      <c r="AA670" s="6"/>
      <c r="AB670" s="6">
        <v>9435</v>
      </c>
      <c r="AC670" s="6">
        <v>9435</v>
      </c>
      <c r="AD670" s="6">
        <v>9435</v>
      </c>
      <c r="AE670" s="6">
        <v>9435</v>
      </c>
      <c r="AF670" s="6">
        <v>9435</v>
      </c>
      <c r="AG670" s="6">
        <v>9435</v>
      </c>
      <c r="AH670" s="6">
        <v>9435</v>
      </c>
      <c r="AI670" s="6">
        <v>9435</v>
      </c>
      <c r="AJ670" s="6">
        <v>9435</v>
      </c>
      <c r="AK670" s="6">
        <v>9435</v>
      </c>
      <c r="AL670" s="6">
        <v>9435</v>
      </c>
      <c r="AM670" s="6">
        <v>9435</v>
      </c>
      <c r="AN670" s="6"/>
      <c r="AO670" s="6"/>
      <c r="AP670" s="6"/>
      <c r="AQ670" s="6"/>
      <c r="AR670" s="6"/>
      <c r="AS670" s="6"/>
      <c r="AT670" s="6"/>
      <c r="AU670" s="6"/>
      <c r="AV670" s="6"/>
      <c r="AW670">
        <f t="shared" si="46"/>
        <v>12</v>
      </c>
      <c r="AX670" t="b">
        <f t="shared" si="47"/>
        <v>1</v>
      </c>
      <c r="AY670" s="21">
        <f t="shared" si="44"/>
        <v>113220</v>
      </c>
      <c r="AZ670" t="b">
        <f t="shared" si="45"/>
        <v>1</v>
      </c>
    </row>
    <row r="671" spans="1:52" x14ac:dyDescent="0.4">
      <c r="A671" s="6" t="s">
        <v>2230</v>
      </c>
      <c r="B671" s="1" t="s">
        <v>2159</v>
      </c>
      <c r="C671" s="1" t="s">
        <v>2160</v>
      </c>
      <c r="D671" s="1" t="s">
        <v>2161</v>
      </c>
      <c r="E671" s="1" t="s">
        <v>1944</v>
      </c>
      <c r="F671" s="1" t="s">
        <v>2042</v>
      </c>
      <c r="G671" s="5" t="s">
        <v>1623</v>
      </c>
      <c r="H671" s="1" t="s">
        <v>27</v>
      </c>
      <c r="I671">
        <v>113220</v>
      </c>
      <c r="J671" s="1" t="s">
        <v>1930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113220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s="18">
        <v>12</v>
      </c>
      <c r="Y671" s="6"/>
      <c r="Z671" s="6"/>
      <c r="AA671" s="6"/>
      <c r="AB671" s="6"/>
      <c r="AC671" s="6"/>
      <c r="AD671" s="6"/>
      <c r="AE671" s="6">
        <v>9435</v>
      </c>
      <c r="AF671" s="6">
        <v>9435</v>
      </c>
      <c r="AG671" s="6">
        <v>9435</v>
      </c>
      <c r="AH671" s="6">
        <v>9435</v>
      </c>
      <c r="AI671" s="6">
        <v>9435</v>
      </c>
      <c r="AJ671" s="6">
        <v>9435</v>
      </c>
      <c r="AK671" s="6">
        <v>9435</v>
      </c>
      <c r="AL671" s="6">
        <v>9435</v>
      </c>
      <c r="AM671" s="6">
        <v>9435</v>
      </c>
      <c r="AN671" s="6">
        <v>9435</v>
      </c>
      <c r="AO671" s="6">
        <v>9435</v>
      </c>
      <c r="AP671" s="6">
        <v>9435</v>
      </c>
      <c r="AQ671" s="6"/>
      <c r="AR671" s="6"/>
      <c r="AS671" s="6"/>
      <c r="AT671" s="6"/>
      <c r="AU671" s="6"/>
      <c r="AV671" s="6"/>
      <c r="AW671">
        <f t="shared" si="46"/>
        <v>12</v>
      </c>
      <c r="AX671" t="b">
        <f t="shared" si="47"/>
        <v>1</v>
      </c>
      <c r="AY671" s="21">
        <f t="shared" si="44"/>
        <v>113220</v>
      </c>
      <c r="AZ671" t="b">
        <f t="shared" si="45"/>
        <v>1</v>
      </c>
    </row>
    <row r="672" spans="1:52" x14ac:dyDescent="0.4">
      <c r="A672" s="6" t="s">
        <v>2230</v>
      </c>
      <c r="B672" s="1" t="s">
        <v>2162</v>
      </c>
      <c r="C672" s="1" t="s">
        <v>2163</v>
      </c>
      <c r="D672" s="1" t="s">
        <v>2164</v>
      </c>
      <c r="E672" s="1" t="s">
        <v>1944</v>
      </c>
      <c r="F672" s="1" t="s">
        <v>2133</v>
      </c>
      <c r="G672" s="5" t="s">
        <v>479</v>
      </c>
      <c r="H672" s="1" t="s">
        <v>27</v>
      </c>
      <c r="I672">
        <v>113220</v>
      </c>
      <c r="J672" s="1" t="s">
        <v>2126</v>
      </c>
      <c r="K672">
        <v>0</v>
      </c>
      <c r="L672">
        <v>0</v>
      </c>
      <c r="M672">
        <v>113220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s="18">
        <v>12</v>
      </c>
      <c r="Y672" s="6"/>
      <c r="Z672" s="6"/>
      <c r="AA672" s="6">
        <v>9435</v>
      </c>
      <c r="AB672" s="6">
        <v>9435</v>
      </c>
      <c r="AC672" s="6">
        <v>9435</v>
      </c>
      <c r="AD672" s="6">
        <v>9435</v>
      </c>
      <c r="AE672" s="6">
        <v>9435</v>
      </c>
      <c r="AF672" s="6">
        <v>9435</v>
      </c>
      <c r="AG672" s="6">
        <v>9435</v>
      </c>
      <c r="AH672" s="6">
        <v>9435</v>
      </c>
      <c r="AI672" s="6">
        <v>9435</v>
      </c>
      <c r="AJ672" s="6">
        <v>9435</v>
      </c>
      <c r="AK672" s="6">
        <v>9435</v>
      </c>
      <c r="AL672" s="6">
        <v>9435</v>
      </c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>
        <f t="shared" si="46"/>
        <v>12</v>
      </c>
      <c r="AX672" t="b">
        <f t="shared" si="47"/>
        <v>1</v>
      </c>
      <c r="AY672" s="21">
        <f t="shared" si="44"/>
        <v>113220</v>
      </c>
      <c r="AZ672" t="b">
        <f t="shared" si="45"/>
        <v>1</v>
      </c>
    </row>
    <row r="673" spans="1:52" x14ac:dyDescent="0.4">
      <c r="A673" s="6" t="s">
        <v>2230</v>
      </c>
      <c r="B673" s="1" t="s">
        <v>2165</v>
      </c>
      <c r="C673" s="1" t="s">
        <v>2166</v>
      </c>
      <c r="D673" s="1" t="s">
        <v>2167</v>
      </c>
      <c r="E673" s="1" t="s">
        <v>1944</v>
      </c>
      <c r="F673" s="1" t="s">
        <v>2168</v>
      </c>
      <c r="G673" s="5" t="s">
        <v>1623</v>
      </c>
      <c r="H673" s="1" t="s">
        <v>27</v>
      </c>
      <c r="I673">
        <v>113220</v>
      </c>
      <c r="J673" s="1" t="s">
        <v>1930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113220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s="18">
        <v>12</v>
      </c>
      <c r="Y673" s="6"/>
      <c r="Z673" s="6"/>
      <c r="AA673" s="6"/>
      <c r="AB673" s="6"/>
      <c r="AC673" s="6"/>
      <c r="AD673" s="6"/>
      <c r="AE673" s="6">
        <v>9435</v>
      </c>
      <c r="AF673" s="6">
        <v>9435</v>
      </c>
      <c r="AG673" s="6">
        <v>9435</v>
      </c>
      <c r="AH673" s="6">
        <v>9435</v>
      </c>
      <c r="AI673" s="6">
        <v>9435</v>
      </c>
      <c r="AJ673" s="6">
        <v>9435</v>
      </c>
      <c r="AK673" s="6">
        <v>9435</v>
      </c>
      <c r="AL673" s="6">
        <v>9435</v>
      </c>
      <c r="AM673" s="6">
        <v>9435</v>
      </c>
      <c r="AN673" s="6">
        <v>9435</v>
      </c>
      <c r="AO673" s="6">
        <v>9435</v>
      </c>
      <c r="AP673" s="6">
        <v>9435</v>
      </c>
      <c r="AQ673" s="6"/>
      <c r="AR673" s="6"/>
      <c r="AS673" s="6"/>
      <c r="AT673" s="6"/>
      <c r="AU673" s="6"/>
      <c r="AV673" s="6"/>
      <c r="AW673">
        <f t="shared" si="46"/>
        <v>12</v>
      </c>
      <c r="AX673" t="b">
        <f t="shared" si="47"/>
        <v>1</v>
      </c>
      <c r="AY673" s="21">
        <f t="shared" si="44"/>
        <v>113220</v>
      </c>
      <c r="AZ673" t="b">
        <f t="shared" si="45"/>
        <v>1</v>
      </c>
    </row>
    <row r="674" spans="1:52" x14ac:dyDescent="0.4">
      <c r="A674" s="6" t="s">
        <v>2230</v>
      </c>
      <c r="B674" s="1" t="s">
        <v>2169</v>
      </c>
      <c r="C674" s="1" t="s">
        <v>2170</v>
      </c>
      <c r="D674" s="1" t="s">
        <v>2171</v>
      </c>
      <c r="E674" s="1" t="s">
        <v>1944</v>
      </c>
      <c r="F674" s="1" t="s">
        <v>2042</v>
      </c>
      <c r="G674" s="5" t="s">
        <v>1623</v>
      </c>
      <c r="H674" s="1" t="s">
        <v>27</v>
      </c>
      <c r="I674">
        <v>113220</v>
      </c>
      <c r="J674" s="1" t="s">
        <v>1930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113220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s="18">
        <v>12</v>
      </c>
      <c r="Y674" s="6"/>
      <c r="Z674" s="6"/>
      <c r="AA674" s="6"/>
      <c r="AB674" s="6"/>
      <c r="AC674" s="6"/>
      <c r="AD674" s="6"/>
      <c r="AE674" s="6">
        <v>9435</v>
      </c>
      <c r="AF674" s="6">
        <v>9435</v>
      </c>
      <c r="AG674" s="6">
        <v>9435</v>
      </c>
      <c r="AH674" s="6">
        <v>9435</v>
      </c>
      <c r="AI674" s="6">
        <v>9435</v>
      </c>
      <c r="AJ674" s="6">
        <v>9435</v>
      </c>
      <c r="AK674" s="6">
        <v>9435</v>
      </c>
      <c r="AL674" s="6">
        <v>9435</v>
      </c>
      <c r="AM674" s="6">
        <v>9435</v>
      </c>
      <c r="AN674" s="6">
        <v>9435</v>
      </c>
      <c r="AO674" s="6">
        <v>9435</v>
      </c>
      <c r="AP674" s="6">
        <v>9435</v>
      </c>
      <c r="AQ674" s="6"/>
      <c r="AR674" s="6"/>
      <c r="AS674" s="6"/>
      <c r="AT674" s="6"/>
      <c r="AU674" s="6"/>
      <c r="AV674" s="6"/>
      <c r="AW674">
        <f t="shared" si="46"/>
        <v>12</v>
      </c>
      <c r="AX674" t="b">
        <f t="shared" si="47"/>
        <v>1</v>
      </c>
      <c r="AY674" s="21">
        <f t="shared" si="44"/>
        <v>113220</v>
      </c>
      <c r="AZ674" t="b">
        <f t="shared" si="45"/>
        <v>1</v>
      </c>
    </row>
    <row r="675" spans="1:52" x14ac:dyDescent="0.4">
      <c r="A675" s="6" t="s">
        <v>2230</v>
      </c>
      <c r="B675" s="1" t="s">
        <v>2172</v>
      </c>
      <c r="C675" s="1" t="s">
        <v>2173</v>
      </c>
      <c r="D675" s="1" t="s">
        <v>2174</v>
      </c>
      <c r="E675" s="1" t="s">
        <v>1944</v>
      </c>
      <c r="F675" s="1" t="s">
        <v>2100</v>
      </c>
      <c r="G675" s="5" t="s">
        <v>1623</v>
      </c>
      <c r="H675" s="1" t="s">
        <v>27</v>
      </c>
      <c r="I675">
        <v>113220</v>
      </c>
      <c r="J675" s="1" t="s">
        <v>1930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113220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s="18">
        <v>12</v>
      </c>
      <c r="Y675" s="6"/>
      <c r="Z675" s="6"/>
      <c r="AA675" s="6"/>
      <c r="AB675" s="6"/>
      <c r="AC675" s="6"/>
      <c r="AD675" s="6"/>
      <c r="AE675" s="6">
        <v>9435</v>
      </c>
      <c r="AF675" s="6">
        <v>9435</v>
      </c>
      <c r="AG675" s="6">
        <v>9435</v>
      </c>
      <c r="AH675" s="6">
        <v>9435</v>
      </c>
      <c r="AI675" s="6">
        <v>9435</v>
      </c>
      <c r="AJ675" s="6">
        <v>9435</v>
      </c>
      <c r="AK675" s="6">
        <v>9435</v>
      </c>
      <c r="AL675" s="6">
        <v>9435</v>
      </c>
      <c r="AM675" s="6">
        <v>9435</v>
      </c>
      <c r="AN675" s="6">
        <v>9435</v>
      </c>
      <c r="AO675" s="6">
        <v>9435</v>
      </c>
      <c r="AP675" s="6">
        <v>9435</v>
      </c>
      <c r="AQ675" s="6"/>
      <c r="AR675" s="6"/>
      <c r="AS675" s="6"/>
      <c r="AT675" s="6"/>
      <c r="AU675" s="6"/>
      <c r="AV675" s="6"/>
      <c r="AW675">
        <f t="shared" si="46"/>
        <v>12</v>
      </c>
      <c r="AX675" t="b">
        <f t="shared" si="47"/>
        <v>1</v>
      </c>
      <c r="AY675" s="21">
        <f t="shared" si="44"/>
        <v>113220</v>
      </c>
      <c r="AZ675" t="b">
        <f t="shared" si="45"/>
        <v>1</v>
      </c>
    </row>
    <row r="676" spans="1:52" x14ac:dyDescent="0.4">
      <c r="A676" s="6" t="s">
        <v>2230</v>
      </c>
      <c r="B676" s="1" t="s">
        <v>2175</v>
      </c>
      <c r="C676" s="1" t="s">
        <v>2176</v>
      </c>
      <c r="D676" s="1" t="s">
        <v>2177</v>
      </c>
      <c r="E676" s="1" t="s">
        <v>1944</v>
      </c>
      <c r="F676" s="1" t="s">
        <v>2178</v>
      </c>
      <c r="G676" s="5" t="s">
        <v>1623</v>
      </c>
      <c r="H676" s="1" t="s">
        <v>27</v>
      </c>
      <c r="I676">
        <v>113220</v>
      </c>
      <c r="J676" s="1" t="s">
        <v>1930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113220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s="18">
        <v>12</v>
      </c>
      <c r="Y676" s="6"/>
      <c r="Z676" s="6"/>
      <c r="AA676" s="6"/>
      <c r="AB676" s="6"/>
      <c r="AC676" s="6"/>
      <c r="AD676" s="6"/>
      <c r="AE676" s="6">
        <v>9435</v>
      </c>
      <c r="AF676" s="6">
        <v>9435</v>
      </c>
      <c r="AG676" s="6">
        <v>9435</v>
      </c>
      <c r="AH676" s="6">
        <v>9435</v>
      </c>
      <c r="AI676" s="6">
        <v>9435</v>
      </c>
      <c r="AJ676" s="6">
        <v>9435</v>
      </c>
      <c r="AK676" s="6">
        <v>9435</v>
      </c>
      <c r="AL676" s="6">
        <v>9435</v>
      </c>
      <c r="AM676" s="6">
        <v>9435</v>
      </c>
      <c r="AN676" s="6">
        <v>9435</v>
      </c>
      <c r="AO676" s="6">
        <v>9435</v>
      </c>
      <c r="AP676" s="6">
        <v>9435</v>
      </c>
      <c r="AQ676" s="6"/>
      <c r="AR676" s="6"/>
      <c r="AS676" s="6"/>
      <c r="AT676" s="6"/>
      <c r="AU676" s="6"/>
      <c r="AV676" s="6"/>
      <c r="AW676">
        <f t="shared" si="46"/>
        <v>12</v>
      </c>
      <c r="AX676" t="b">
        <f t="shared" si="47"/>
        <v>1</v>
      </c>
      <c r="AY676" s="21">
        <f t="shared" si="44"/>
        <v>113220</v>
      </c>
      <c r="AZ676" t="b">
        <f t="shared" si="45"/>
        <v>1</v>
      </c>
    </row>
    <row r="677" spans="1:52" x14ac:dyDescent="0.4">
      <c r="A677" s="6" t="s">
        <v>2230</v>
      </c>
      <c r="B677" s="1" t="s">
        <v>2179</v>
      </c>
      <c r="C677" s="1" t="s">
        <v>2180</v>
      </c>
      <c r="D677" s="1" t="s">
        <v>2181</v>
      </c>
      <c r="E677" s="1" t="s">
        <v>44</v>
      </c>
      <c r="F677" s="1" t="s">
        <v>867</v>
      </c>
      <c r="G677" s="5" t="s">
        <v>479</v>
      </c>
      <c r="H677" s="1" t="s">
        <v>27</v>
      </c>
      <c r="I677">
        <v>114300</v>
      </c>
      <c r="J677" s="1" t="s">
        <v>868</v>
      </c>
      <c r="K677">
        <v>0</v>
      </c>
      <c r="L677">
        <v>0</v>
      </c>
      <c r="M677">
        <v>114300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s="18">
        <v>6</v>
      </c>
      <c r="Y677" s="6"/>
      <c r="Z677" s="6"/>
      <c r="AA677" s="6">
        <v>19050</v>
      </c>
      <c r="AB677" s="6">
        <v>19050</v>
      </c>
      <c r="AC677" s="6">
        <v>19050</v>
      </c>
      <c r="AD677" s="6">
        <v>19050</v>
      </c>
      <c r="AE677" s="6">
        <v>19050</v>
      </c>
      <c r="AF677" s="6">
        <v>19050</v>
      </c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>
        <f t="shared" si="46"/>
        <v>6</v>
      </c>
      <c r="AX677" t="b">
        <f t="shared" si="47"/>
        <v>1</v>
      </c>
      <c r="AY677" s="21">
        <f t="shared" si="44"/>
        <v>114300</v>
      </c>
      <c r="AZ677" t="b">
        <f t="shared" si="45"/>
        <v>1</v>
      </c>
    </row>
    <row r="678" spans="1:52" x14ac:dyDescent="0.4">
      <c r="A678" s="6" t="s">
        <v>2230</v>
      </c>
      <c r="B678" s="1" t="s">
        <v>2182</v>
      </c>
      <c r="C678" s="1" t="s">
        <v>2183</v>
      </c>
      <c r="D678" s="1" t="s">
        <v>2184</v>
      </c>
      <c r="E678" s="1" t="s">
        <v>25</v>
      </c>
      <c r="F678" s="1" t="s">
        <v>1157</v>
      </c>
      <c r="G678" s="5" t="s">
        <v>479</v>
      </c>
      <c r="H678" s="1" t="s">
        <v>27</v>
      </c>
      <c r="I678">
        <v>59400</v>
      </c>
      <c r="J678" s="1" t="s">
        <v>28</v>
      </c>
      <c r="K678">
        <v>0</v>
      </c>
      <c r="L678">
        <v>0</v>
      </c>
      <c r="M678">
        <v>59400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s="18">
        <v>3</v>
      </c>
      <c r="Y678" s="6"/>
      <c r="Z678" s="6"/>
      <c r="AA678" s="6">
        <v>19800</v>
      </c>
      <c r="AB678" s="6">
        <v>19800</v>
      </c>
      <c r="AC678" s="6">
        <v>19800</v>
      </c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>
        <f t="shared" si="46"/>
        <v>3</v>
      </c>
      <c r="AX678" t="b">
        <f t="shared" si="47"/>
        <v>1</v>
      </c>
      <c r="AY678" s="21">
        <f t="shared" si="44"/>
        <v>59400</v>
      </c>
      <c r="AZ678" t="b">
        <f t="shared" si="45"/>
        <v>1</v>
      </c>
    </row>
    <row r="679" spans="1:52" x14ac:dyDescent="0.4">
      <c r="A679" s="6" t="s">
        <v>2230</v>
      </c>
      <c r="B679" s="1" t="s">
        <v>2185</v>
      </c>
      <c r="C679" s="1" t="s">
        <v>2186</v>
      </c>
      <c r="D679" s="1" t="s">
        <v>2187</v>
      </c>
      <c r="E679" s="1" t="s">
        <v>1944</v>
      </c>
      <c r="F679" s="1" t="s">
        <v>2188</v>
      </c>
      <c r="G679" s="5" t="s">
        <v>1946</v>
      </c>
      <c r="H679" s="1" t="s">
        <v>27</v>
      </c>
      <c r="I679">
        <v>113220</v>
      </c>
      <c r="J679" s="1" t="s">
        <v>28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113220</v>
      </c>
      <c r="X679" s="18">
        <v>12</v>
      </c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>
        <v>9435</v>
      </c>
      <c r="AL679" s="6">
        <v>9435</v>
      </c>
      <c r="AM679" s="6">
        <v>9435</v>
      </c>
      <c r="AN679" s="6">
        <v>9435</v>
      </c>
      <c r="AO679" s="6">
        <v>9435</v>
      </c>
      <c r="AP679" s="6">
        <v>9435</v>
      </c>
      <c r="AQ679" s="6">
        <v>9435</v>
      </c>
      <c r="AR679" s="6">
        <v>9435</v>
      </c>
      <c r="AS679" s="6">
        <v>9435</v>
      </c>
      <c r="AT679" s="6">
        <v>9435</v>
      </c>
      <c r="AU679" s="6">
        <v>9435</v>
      </c>
      <c r="AV679" s="6">
        <v>9435</v>
      </c>
      <c r="AW679">
        <f t="shared" si="46"/>
        <v>12</v>
      </c>
      <c r="AX679" t="b">
        <f t="shared" si="47"/>
        <v>1</v>
      </c>
      <c r="AY679" s="21">
        <f t="shared" si="44"/>
        <v>113220</v>
      </c>
      <c r="AZ679" t="b">
        <f t="shared" si="45"/>
        <v>1</v>
      </c>
    </row>
    <row r="680" spans="1:52" x14ac:dyDescent="0.4">
      <c r="A680" s="6" t="s">
        <v>2230</v>
      </c>
      <c r="B680" s="1" t="s">
        <v>2189</v>
      </c>
      <c r="C680" s="1" t="s">
        <v>2190</v>
      </c>
      <c r="D680" s="1" t="s">
        <v>2191</v>
      </c>
      <c r="E680" s="1" t="s">
        <v>1944</v>
      </c>
      <c r="F680" s="1" t="s">
        <v>2042</v>
      </c>
      <c r="G680" s="5" t="s">
        <v>1623</v>
      </c>
      <c r="H680" s="1" t="s">
        <v>27</v>
      </c>
      <c r="I680">
        <v>113220</v>
      </c>
      <c r="J680" s="1" t="s">
        <v>1930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113220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s="18">
        <v>12</v>
      </c>
      <c r="Y680" s="6"/>
      <c r="Z680" s="6"/>
      <c r="AA680" s="6"/>
      <c r="AB680" s="6"/>
      <c r="AC680" s="6"/>
      <c r="AD680" s="6"/>
      <c r="AE680" s="6">
        <v>9435</v>
      </c>
      <c r="AF680" s="6">
        <v>9435</v>
      </c>
      <c r="AG680" s="6">
        <v>9435</v>
      </c>
      <c r="AH680" s="6">
        <v>9435</v>
      </c>
      <c r="AI680" s="6">
        <v>9435</v>
      </c>
      <c r="AJ680" s="6">
        <v>9435</v>
      </c>
      <c r="AK680" s="6">
        <v>9435</v>
      </c>
      <c r="AL680" s="6">
        <v>9435</v>
      </c>
      <c r="AM680" s="6">
        <v>9435</v>
      </c>
      <c r="AN680" s="6">
        <v>9435</v>
      </c>
      <c r="AO680" s="6">
        <v>9435</v>
      </c>
      <c r="AP680" s="6">
        <v>9435</v>
      </c>
      <c r="AQ680" s="6"/>
      <c r="AR680" s="6"/>
      <c r="AS680" s="6"/>
      <c r="AT680" s="6"/>
      <c r="AU680" s="6"/>
      <c r="AV680" s="6"/>
      <c r="AW680">
        <f t="shared" si="46"/>
        <v>12</v>
      </c>
      <c r="AX680" t="b">
        <f t="shared" si="47"/>
        <v>1</v>
      </c>
      <c r="AY680" s="21">
        <f t="shared" si="44"/>
        <v>113220</v>
      </c>
      <c r="AZ680" t="b">
        <f t="shared" si="45"/>
        <v>1</v>
      </c>
    </row>
    <row r="681" spans="1:52" x14ac:dyDescent="0.4">
      <c r="A681" s="6" t="s">
        <v>2230</v>
      </c>
      <c r="B681" s="1" t="s">
        <v>2192</v>
      </c>
      <c r="C681" s="1" t="s">
        <v>2193</v>
      </c>
      <c r="D681" s="1" t="s">
        <v>2194</v>
      </c>
      <c r="E681" s="1" t="s">
        <v>1944</v>
      </c>
      <c r="F681" s="1" t="s">
        <v>1622</v>
      </c>
      <c r="G681" s="5" t="s">
        <v>1946</v>
      </c>
      <c r="H681" s="1" t="s">
        <v>27</v>
      </c>
      <c r="I681">
        <v>113220</v>
      </c>
      <c r="J681" s="1" t="s">
        <v>28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113220</v>
      </c>
      <c r="X681" s="18">
        <v>12</v>
      </c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>
        <v>9435</v>
      </c>
      <c r="AL681" s="6">
        <v>9435</v>
      </c>
      <c r="AM681" s="6">
        <v>9435</v>
      </c>
      <c r="AN681" s="6">
        <v>9435</v>
      </c>
      <c r="AO681" s="6">
        <v>9435</v>
      </c>
      <c r="AP681" s="6">
        <v>9435</v>
      </c>
      <c r="AQ681" s="6">
        <v>9435</v>
      </c>
      <c r="AR681" s="6">
        <v>9435</v>
      </c>
      <c r="AS681" s="6">
        <v>9435</v>
      </c>
      <c r="AT681" s="6">
        <v>9435</v>
      </c>
      <c r="AU681" s="6">
        <v>9435</v>
      </c>
      <c r="AV681" s="6">
        <v>9435</v>
      </c>
      <c r="AW681">
        <f t="shared" si="46"/>
        <v>12</v>
      </c>
      <c r="AX681" t="b">
        <f t="shared" si="47"/>
        <v>1</v>
      </c>
      <c r="AY681" s="21">
        <f t="shared" si="44"/>
        <v>113220</v>
      </c>
      <c r="AZ681" t="b">
        <f t="shared" si="45"/>
        <v>1</v>
      </c>
    </row>
    <row r="682" spans="1:52" x14ac:dyDescent="0.4">
      <c r="A682" s="6" t="s">
        <v>2230</v>
      </c>
      <c r="B682" s="1" t="s">
        <v>2195</v>
      </c>
      <c r="C682" s="1" t="s">
        <v>2196</v>
      </c>
      <c r="D682" s="1" t="s">
        <v>2197</v>
      </c>
      <c r="E682" s="1" t="s">
        <v>1944</v>
      </c>
      <c r="F682" s="1" t="s">
        <v>2198</v>
      </c>
      <c r="G682" s="5" t="s">
        <v>1623</v>
      </c>
      <c r="H682" s="1" t="s">
        <v>27</v>
      </c>
      <c r="I682">
        <v>113220</v>
      </c>
      <c r="J682" s="1" t="s">
        <v>1930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113220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s="18">
        <v>12</v>
      </c>
      <c r="Y682" s="6"/>
      <c r="Z682" s="6"/>
      <c r="AA682" s="6"/>
      <c r="AB682" s="6"/>
      <c r="AC682" s="6"/>
      <c r="AD682" s="6"/>
      <c r="AE682" s="6">
        <v>9435</v>
      </c>
      <c r="AF682" s="6">
        <v>9435</v>
      </c>
      <c r="AG682" s="6">
        <v>9435</v>
      </c>
      <c r="AH682" s="6">
        <v>9435</v>
      </c>
      <c r="AI682" s="6">
        <v>9435</v>
      </c>
      <c r="AJ682" s="6">
        <v>9435</v>
      </c>
      <c r="AK682" s="6">
        <v>9435</v>
      </c>
      <c r="AL682" s="6">
        <v>9435</v>
      </c>
      <c r="AM682" s="6">
        <v>9435</v>
      </c>
      <c r="AN682" s="6">
        <v>9435</v>
      </c>
      <c r="AO682" s="6">
        <v>9435</v>
      </c>
      <c r="AP682" s="6">
        <v>9435</v>
      </c>
      <c r="AQ682" s="6"/>
      <c r="AR682" s="6"/>
      <c r="AS682" s="6"/>
      <c r="AT682" s="6"/>
      <c r="AU682" s="6"/>
      <c r="AV682" s="6"/>
      <c r="AW682">
        <f t="shared" si="46"/>
        <v>12</v>
      </c>
      <c r="AX682" t="b">
        <f t="shared" si="47"/>
        <v>1</v>
      </c>
      <c r="AY682" s="21">
        <f t="shared" si="44"/>
        <v>113220</v>
      </c>
      <c r="AZ682" t="b">
        <f t="shared" si="45"/>
        <v>1</v>
      </c>
    </row>
    <row r="683" spans="1:52" x14ac:dyDescent="0.4">
      <c r="A683" s="6" t="s">
        <v>2230</v>
      </c>
      <c r="B683" s="1" t="s">
        <v>2199</v>
      </c>
      <c r="C683" s="1" t="s">
        <v>2200</v>
      </c>
      <c r="D683" s="1" t="s">
        <v>2201</v>
      </c>
      <c r="E683" s="1" t="s">
        <v>25</v>
      </c>
      <c r="F683" s="1" t="s">
        <v>227</v>
      </c>
      <c r="G683" s="5" t="s">
        <v>10</v>
      </c>
      <c r="H683" s="1" t="s">
        <v>27</v>
      </c>
      <c r="I683">
        <v>59400</v>
      </c>
      <c r="J683" s="1" t="s">
        <v>33</v>
      </c>
      <c r="K683">
        <v>0</v>
      </c>
      <c r="L683">
        <v>59400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s="18">
        <v>3</v>
      </c>
      <c r="Y683" s="6"/>
      <c r="Z683" s="6">
        <v>19800</v>
      </c>
      <c r="AA683" s="6">
        <v>19800</v>
      </c>
      <c r="AB683" s="6">
        <v>19800</v>
      </c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>
        <f t="shared" si="46"/>
        <v>3</v>
      </c>
      <c r="AX683" t="b">
        <f t="shared" si="47"/>
        <v>1</v>
      </c>
      <c r="AY683" s="21">
        <f t="shared" si="44"/>
        <v>59400</v>
      </c>
      <c r="AZ683" t="b">
        <f t="shared" si="45"/>
        <v>1</v>
      </c>
    </row>
    <row r="684" spans="1:52" x14ac:dyDescent="0.4">
      <c r="A684" s="6" t="s">
        <v>2230</v>
      </c>
      <c r="B684" s="1" t="s">
        <v>2202</v>
      </c>
      <c r="C684" s="1" t="s">
        <v>2203</v>
      </c>
      <c r="D684" s="1" t="s">
        <v>2204</v>
      </c>
      <c r="E684" s="1" t="s">
        <v>1944</v>
      </c>
      <c r="F684" s="1" t="s">
        <v>1141</v>
      </c>
      <c r="G684" s="5" t="s">
        <v>479</v>
      </c>
      <c r="H684" s="1" t="s">
        <v>27</v>
      </c>
      <c r="I684">
        <v>113220</v>
      </c>
      <c r="J684" s="1" t="s">
        <v>2126</v>
      </c>
      <c r="K684">
        <v>0</v>
      </c>
      <c r="L684">
        <v>0</v>
      </c>
      <c r="M684">
        <v>113220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s="18">
        <v>12</v>
      </c>
      <c r="Y684" s="6"/>
      <c r="Z684" s="6"/>
      <c r="AA684" s="6">
        <v>9435</v>
      </c>
      <c r="AB684" s="6">
        <v>9435</v>
      </c>
      <c r="AC684" s="6">
        <v>9435</v>
      </c>
      <c r="AD684" s="6">
        <v>9435</v>
      </c>
      <c r="AE684" s="6">
        <v>9435</v>
      </c>
      <c r="AF684" s="6">
        <v>9435</v>
      </c>
      <c r="AG684" s="6">
        <v>9435</v>
      </c>
      <c r="AH684" s="6">
        <v>9435</v>
      </c>
      <c r="AI684" s="6">
        <v>9435</v>
      </c>
      <c r="AJ684" s="6">
        <v>9435</v>
      </c>
      <c r="AK684" s="6">
        <v>9435</v>
      </c>
      <c r="AL684" s="6">
        <v>9435</v>
      </c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>
        <f t="shared" si="46"/>
        <v>12</v>
      </c>
      <c r="AX684" t="b">
        <f t="shared" si="47"/>
        <v>1</v>
      </c>
      <c r="AY684" s="21">
        <f t="shared" si="44"/>
        <v>113220</v>
      </c>
      <c r="AZ684" t="b">
        <f t="shared" si="45"/>
        <v>1</v>
      </c>
    </row>
    <row r="685" spans="1:52" x14ac:dyDescent="0.4">
      <c r="A685" s="6" t="s">
        <v>2230</v>
      </c>
      <c r="B685" s="1" t="s">
        <v>2205</v>
      </c>
      <c r="C685" s="1" t="s">
        <v>2206</v>
      </c>
      <c r="D685" s="1" t="s">
        <v>2207</v>
      </c>
      <c r="E685" s="1" t="s">
        <v>44</v>
      </c>
      <c r="F685" s="1" t="s">
        <v>1309</v>
      </c>
      <c r="G685" s="5" t="s">
        <v>479</v>
      </c>
      <c r="H685" s="1" t="s">
        <v>27</v>
      </c>
      <c r="I685">
        <v>114300</v>
      </c>
      <c r="J685" s="1" t="s">
        <v>868</v>
      </c>
      <c r="K685">
        <v>0</v>
      </c>
      <c r="L685">
        <v>0</v>
      </c>
      <c r="M685">
        <v>114300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s="18">
        <v>6</v>
      </c>
      <c r="Y685" s="6"/>
      <c r="Z685" s="6"/>
      <c r="AA685" s="6">
        <v>19050</v>
      </c>
      <c r="AB685" s="6">
        <v>19050</v>
      </c>
      <c r="AC685" s="6">
        <v>19050</v>
      </c>
      <c r="AD685" s="6">
        <v>19050</v>
      </c>
      <c r="AE685" s="6">
        <v>19050</v>
      </c>
      <c r="AF685" s="6">
        <v>19050</v>
      </c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>
        <f t="shared" si="46"/>
        <v>6</v>
      </c>
      <c r="AX685" t="b">
        <f t="shared" si="47"/>
        <v>1</v>
      </c>
      <c r="AY685" s="21">
        <f t="shared" si="44"/>
        <v>114300</v>
      </c>
      <c r="AZ685" t="b">
        <f t="shared" si="45"/>
        <v>1</v>
      </c>
    </row>
    <row r="686" spans="1:52" x14ac:dyDescent="0.4">
      <c r="A686" s="6" t="s">
        <v>2230</v>
      </c>
      <c r="B686" s="1" t="s">
        <v>2208</v>
      </c>
      <c r="C686" s="1" t="s">
        <v>2209</v>
      </c>
      <c r="D686" s="1" t="s">
        <v>2210</v>
      </c>
      <c r="E686" s="1" t="s">
        <v>44</v>
      </c>
      <c r="F686" s="1" t="s">
        <v>1242</v>
      </c>
      <c r="G686" s="5" t="s">
        <v>479</v>
      </c>
      <c r="H686" s="1" t="s">
        <v>27</v>
      </c>
      <c r="I686">
        <v>114300</v>
      </c>
      <c r="J686" s="1" t="s">
        <v>868</v>
      </c>
      <c r="K686">
        <v>0</v>
      </c>
      <c r="L686">
        <v>0</v>
      </c>
      <c r="M686">
        <v>114300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s="18">
        <v>6</v>
      </c>
      <c r="Y686" s="6"/>
      <c r="Z686" s="6"/>
      <c r="AA686" s="6">
        <v>19050</v>
      </c>
      <c r="AB686" s="6">
        <v>19050</v>
      </c>
      <c r="AC686" s="6">
        <v>19050</v>
      </c>
      <c r="AD686" s="6">
        <v>19050</v>
      </c>
      <c r="AE686" s="6">
        <v>19050</v>
      </c>
      <c r="AF686" s="6">
        <v>19050</v>
      </c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>
        <f t="shared" si="46"/>
        <v>6</v>
      </c>
      <c r="AX686" t="b">
        <f t="shared" si="47"/>
        <v>1</v>
      </c>
      <c r="AY686" s="21">
        <f t="shared" si="44"/>
        <v>114300</v>
      </c>
      <c r="AZ686" t="b">
        <f t="shared" si="45"/>
        <v>1</v>
      </c>
    </row>
    <row r="687" spans="1:52" x14ac:dyDescent="0.4">
      <c r="A687" s="6" t="s">
        <v>2230</v>
      </c>
      <c r="B687" s="1" t="s">
        <v>2211</v>
      </c>
      <c r="C687" s="1" t="s">
        <v>2212</v>
      </c>
      <c r="D687" s="1" t="s">
        <v>2213</v>
      </c>
      <c r="E687" s="1" t="s">
        <v>44</v>
      </c>
      <c r="F687" s="1" t="s">
        <v>2214</v>
      </c>
      <c r="G687" s="5" t="s">
        <v>1130</v>
      </c>
      <c r="H687" s="1" t="s">
        <v>27</v>
      </c>
      <c r="I687">
        <v>114300</v>
      </c>
      <c r="J687" s="1" t="s">
        <v>1455</v>
      </c>
      <c r="K687">
        <v>0</v>
      </c>
      <c r="L687">
        <v>0</v>
      </c>
      <c r="M687">
        <v>0</v>
      </c>
      <c r="N687">
        <v>114300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s="18">
        <v>6</v>
      </c>
      <c r="Y687" s="6"/>
      <c r="Z687" s="6"/>
      <c r="AA687" s="6"/>
      <c r="AB687" s="6">
        <v>19050</v>
      </c>
      <c r="AC687" s="6">
        <v>19050</v>
      </c>
      <c r="AD687" s="6">
        <v>19050</v>
      </c>
      <c r="AE687" s="6">
        <v>19050</v>
      </c>
      <c r="AF687" s="6">
        <v>19050</v>
      </c>
      <c r="AG687" s="6">
        <v>19050</v>
      </c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>
        <f t="shared" si="46"/>
        <v>6</v>
      </c>
      <c r="AX687" t="b">
        <f t="shared" si="47"/>
        <v>1</v>
      </c>
      <c r="AY687" s="21">
        <f t="shared" si="44"/>
        <v>114300</v>
      </c>
      <c r="AZ687" t="b">
        <f t="shared" si="45"/>
        <v>1</v>
      </c>
    </row>
    <row r="688" spans="1:52" x14ac:dyDescent="0.4">
      <c r="A688" s="6" t="s">
        <v>2230</v>
      </c>
      <c r="B688" s="1" t="s">
        <v>2215</v>
      </c>
      <c r="C688" s="1" t="s">
        <v>2216</v>
      </c>
      <c r="D688" s="1" t="s">
        <v>2217</v>
      </c>
      <c r="E688" s="1" t="s">
        <v>44</v>
      </c>
      <c r="F688" s="1" t="s">
        <v>2218</v>
      </c>
      <c r="G688" s="5" t="s">
        <v>46</v>
      </c>
      <c r="H688" s="1" t="s">
        <v>27</v>
      </c>
      <c r="I688">
        <v>114300</v>
      </c>
      <c r="J688" s="1" t="s">
        <v>33</v>
      </c>
      <c r="K688">
        <v>0</v>
      </c>
      <c r="L688">
        <v>0</v>
      </c>
      <c r="M688">
        <v>0</v>
      </c>
      <c r="N688">
        <v>0</v>
      </c>
      <c r="O688">
        <v>114300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s="18">
        <v>6</v>
      </c>
      <c r="Y688" s="6"/>
      <c r="Z688" s="6"/>
      <c r="AA688" s="6"/>
      <c r="AB688" s="6"/>
      <c r="AC688" s="6">
        <v>19050</v>
      </c>
      <c r="AD688" s="6">
        <v>19050</v>
      </c>
      <c r="AE688" s="6">
        <v>19050</v>
      </c>
      <c r="AF688" s="6">
        <v>19050</v>
      </c>
      <c r="AG688" s="6">
        <v>19050</v>
      </c>
      <c r="AH688" s="6">
        <v>19050</v>
      </c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>
        <f t="shared" si="46"/>
        <v>6</v>
      </c>
      <c r="AX688" t="b">
        <f t="shared" si="47"/>
        <v>1</v>
      </c>
      <c r="AY688" s="21">
        <f t="shared" si="44"/>
        <v>114300</v>
      </c>
      <c r="AZ688" t="b">
        <f t="shared" si="45"/>
        <v>1</v>
      </c>
    </row>
    <row r="689" spans="1:52" x14ac:dyDescent="0.4">
      <c r="A689" s="6" t="s">
        <v>2230</v>
      </c>
      <c r="B689" s="1" t="s">
        <v>2219</v>
      </c>
      <c r="C689" s="1" t="s">
        <v>2220</v>
      </c>
      <c r="D689" s="1" t="s">
        <v>2221</v>
      </c>
      <c r="E689" s="1" t="s">
        <v>44</v>
      </c>
      <c r="F689" s="1" t="s">
        <v>97</v>
      </c>
      <c r="G689" s="5" t="s">
        <v>46</v>
      </c>
      <c r="H689" s="1" t="s">
        <v>27</v>
      </c>
      <c r="I689">
        <v>114300</v>
      </c>
      <c r="J689" s="1" t="s">
        <v>33</v>
      </c>
      <c r="K689">
        <v>0</v>
      </c>
      <c r="L689">
        <v>0</v>
      </c>
      <c r="M689">
        <v>0</v>
      </c>
      <c r="N689">
        <v>0</v>
      </c>
      <c r="O689">
        <v>114300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s="18">
        <v>6</v>
      </c>
      <c r="Y689" s="6"/>
      <c r="Z689" s="6"/>
      <c r="AA689" s="6"/>
      <c r="AB689" s="6"/>
      <c r="AC689" s="6">
        <v>19050</v>
      </c>
      <c r="AD689" s="6">
        <v>19050</v>
      </c>
      <c r="AE689" s="6">
        <v>19050</v>
      </c>
      <c r="AF689" s="6">
        <v>19050</v>
      </c>
      <c r="AG689" s="6">
        <v>19050</v>
      </c>
      <c r="AH689" s="6">
        <v>19050</v>
      </c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>
        <f t="shared" si="46"/>
        <v>6</v>
      </c>
      <c r="AX689" t="b">
        <f t="shared" si="47"/>
        <v>1</v>
      </c>
      <c r="AY689" s="21">
        <f t="shared" si="44"/>
        <v>114300</v>
      </c>
      <c r="AZ689" t="b">
        <f t="shared" si="45"/>
        <v>1</v>
      </c>
    </row>
    <row r="690" spans="1:52" x14ac:dyDescent="0.4">
      <c r="A690" s="6" t="s">
        <v>2230</v>
      </c>
      <c r="B690" s="1" t="s">
        <v>2222</v>
      </c>
      <c r="C690" s="1" t="s">
        <v>2223</v>
      </c>
      <c r="D690" s="1" t="s">
        <v>2224</v>
      </c>
      <c r="E690" s="1" t="s">
        <v>44</v>
      </c>
      <c r="F690" s="1" t="s">
        <v>101</v>
      </c>
      <c r="G690" s="5" t="s">
        <v>46</v>
      </c>
      <c r="H690" s="1" t="s">
        <v>27</v>
      </c>
      <c r="I690">
        <v>114300</v>
      </c>
      <c r="J690" s="1" t="s">
        <v>33</v>
      </c>
      <c r="K690">
        <v>0</v>
      </c>
      <c r="L690">
        <v>0</v>
      </c>
      <c r="M690">
        <v>0</v>
      </c>
      <c r="N690">
        <v>0</v>
      </c>
      <c r="O690">
        <v>114300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s="18">
        <v>6</v>
      </c>
      <c r="Y690" s="6"/>
      <c r="Z690" s="6"/>
      <c r="AA690" s="6"/>
      <c r="AB690" s="6"/>
      <c r="AC690" s="6">
        <v>19050</v>
      </c>
      <c r="AD690" s="6">
        <v>19050</v>
      </c>
      <c r="AE690" s="6">
        <v>19050</v>
      </c>
      <c r="AF690" s="6">
        <v>19050</v>
      </c>
      <c r="AG690" s="6">
        <v>19050</v>
      </c>
      <c r="AH690" s="6">
        <v>19050</v>
      </c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>
        <f t="shared" si="46"/>
        <v>6</v>
      </c>
      <c r="AX690" t="b">
        <f t="shared" si="47"/>
        <v>1</v>
      </c>
      <c r="AY690" s="21">
        <f t="shared" si="44"/>
        <v>114300</v>
      </c>
      <c r="AZ690" t="b">
        <f t="shared" si="45"/>
        <v>1</v>
      </c>
    </row>
    <row r="691" spans="1:52" x14ac:dyDescent="0.4">
      <c r="A691" s="6" t="s">
        <v>2230</v>
      </c>
      <c r="B691" s="1" t="s">
        <v>2225</v>
      </c>
      <c r="C691" s="1" t="s">
        <v>2226</v>
      </c>
      <c r="D691" s="1" t="s">
        <v>2227</v>
      </c>
      <c r="E691" s="1" t="s">
        <v>1944</v>
      </c>
      <c r="F691" s="1" t="s">
        <v>2228</v>
      </c>
      <c r="G691" s="5" t="s">
        <v>1946</v>
      </c>
      <c r="H691" s="1" t="s">
        <v>27</v>
      </c>
      <c r="I691">
        <v>113220</v>
      </c>
      <c r="J691" s="1" t="s">
        <v>28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113220</v>
      </c>
      <c r="X691" s="18">
        <v>12</v>
      </c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>
        <v>9435</v>
      </c>
      <c r="AL691" s="6">
        <v>9435</v>
      </c>
      <c r="AM691" s="6">
        <v>9435</v>
      </c>
      <c r="AN691" s="6">
        <v>9435</v>
      </c>
      <c r="AO691" s="6">
        <v>9435</v>
      </c>
      <c r="AP691" s="6">
        <v>9435</v>
      </c>
      <c r="AQ691" s="6">
        <v>9435</v>
      </c>
      <c r="AR691" s="6">
        <v>9435</v>
      </c>
      <c r="AS691" s="6">
        <v>9435</v>
      </c>
      <c r="AT691" s="6">
        <v>9435</v>
      </c>
      <c r="AU691" s="6">
        <v>9435</v>
      </c>
      <c r="AV691" s="6">
        <v>9435</v>
      </c>
      <c r="AW691">
        <f t="shared" si="46"/>
        <v>12</v>
      </c>
      <c r="AX691" t="b">
        <f t="shared" si="47"/>
        <v>1</v>
      </c>
      <c r="AY691" s="21">
        <f t="shared" si="44"/>
        <v>113220</v>
      </c>
      <c r="AZ691" t="b">
        <f t="shared" si="45"/>
        <v>1</v>
      </c>
    </row>
    <row r="692" spans="1:52" x14ac:dyDescent="0.4">
      <c r="B692" s="1"/>
      <c r="J692" s="1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18"/>
    </row>
    <row r="693" spans="1:52" x14ac:dyDescent="0.4">
      <c r="W693" s="21"/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10BE-95F7-4392-9825-27940C1A4578}">
  <sheetPr>
    <tabColor theme="1" tint="0.34998626667073579"/>
  </sheetPr>
  <dimension ref="A1:G14"/>
  <sheetViews>
    <sheetView zoomScale="85" zoomScaleNormal="85" workbookViewId="0">
      <selection activeCell="F25" sqref="F25"/>
    </sheetView>
  </sheetViews>
  <sheetFormatPr defaultRowHeight="18.75" x14ac:dyDescent="0.4"/>
  <cols>
    <col min="1" max="1" width="9.625" customWidth="1"/>
    <col min="2" max="2" width="31.75" bestFit="1" customWidth="1"/>
    <col min="3" max="3" width="11.375" bestFit="1" customWidth="1"/>
    <col min="4" max="4" width="10.5" bestFit="1" customWidth="1"/>
    <col min="6" max="6" width="11.625" customWidth="1"/>
    <col min="7" max="7" width="11.5" customWidth="1"/>
  </cols>
  <sheetData>
    <row r="1" spans="1:7" x14ac:dyDescent="0.4">
      <c r="A1" s="6" t="s">
        <v>2264</v>
      </c>
      <c r="B1" s="6" t="s">
        <v>2231</v>
      </c>
      <c r="C1" s="12" t="s">
        <v>2261</v>
      </c>
      <c r="D1" s="12" t="s">
        <v>2262</v>
      </c>
      <c r="E1" s="12" t="s">
        <v>2263</v>
      </c>
      <c r="F1" s="6" t="s">
        <v>2266</v>
      </c>
      <c r="G1" s="12" t="s">
        <v>2267</v>
      </c>
    </row>
    <row r="2" spans="1:7" x14ac:dyDescent="0.4">
      <c r="A2" s="13" t="s">
        <v>2265</v>
      </c>
      <c r="B2" s="10" t="s">
        <v>2230</v>
      </c>
      <c r="C2" s="11" t="s">
        <v>2234</v>
      </c>
      <c r="D2" s="6">
        <v>288000</v>
      </c>
      <c r="E2" s="13">
        <v>3</v>
      </c>
      <c r="F2" s="13">
        <v>45</v>
      </c>
      <c r="G2" s="6">
        <f>+ROUNDDOWN(D2*F2/100,0)</f>
        <v>129600</v>
      </c>
    </row>
    <row r="3" spans="1:7" x14ac:dyDescent="0.4">
      <c r="A3" s="13" t="s">
        <v>2265</v>
      </c>
      <c r="B3" s="10" t="s">
        <v>2230</v>
      </c>
      <c r="C3" s="11" t="s">
        <v>2260</v>
      </c>
      <c r="D3" s="6">
        <v>8911800</v>
      </c>
      <c r="E3" s="13">
        <v>126</v>
      </c>
      <c r="F3" s="13">
        <v>45</v>
      </c>
      <c r="G3" s="6">
        <f t="shared" ref="G3:G14" si="0">+ROUNDDOWN(D3*F3/100,0)</f>
        <v>4010310</v>
      </c>
    </row>
    <row r="4" spans="1:7" x14ac:dyDescent="0.4">
      <c r="A4" s="13" t="s">
        <v>2265</v>
      </c>
      <c r="B4" s="10" t="s">
        <v>2230</v>
      </c>
      <c r="C4" s="11" t="s">
        <v>2236</v>
      </c>
      <c r="D4" s="6">
        <v>17480520</v>
      </c>
      <c r="E4" s="13">
        <v>165</v>
      </c>
      <c r="F4" s="13">
        <v>45</v>
      </c>
      <c r="G4" s="6">
        <f t="shared" si="0"/>
        <v>7866234</v>
      </c>
    </row>
    <row r="5" spans="1:7" x14ac:dyDescent="0.4">
      <c r="A5" s="13" t="s">
        <v>2265</v>
      </c>
      <c r="B5" s="10" t="s">
        <v>2230</v>
      </c>
      <c r="C5" s="11" t="s">
        <v>2237</v>
      </c>
      <c r="D5" s="6">
        <v>1427760</v>
      </c>
      <c r="E5" s="13">
        <v>13</v>
      </c>
      <c r="F5" s="13">
        <v>45</v>
      </c>
      <c r="G5" s="6">
        <f t="shared" si="0"/>
        <v>642492</v>
      </c>
    </row>
    <row r="6" spans="1:7" x14ac:dyDescent="0.4">
      <c r="A6" s="13" t="s">
        <v>2265</v>
      </c>
      <c r="B6" s="10" t="s">
        <v>2230</v>
      </c>
      <c r="C6" s="11" t="s">
        <v>2238</v>
      </c>
      <c r="D6" s="6">
        <v>39547800</v>
      </c>
      <c r="E6" s="13">
        <v>346</v>
      </c>
      <c r="F6" s="13">
        <v>45</v>
      </c>
      <c r="G6" s="6">
        <f t="shared" si="0"/>
        <v>17796510</v>
      </c>
    </row>
    <row r="7" spans="1:7" x14ac:dyDescent="0.4">
      <c r="A7" s="13" t="s">
        <v>2265</v>
      </c>
      <c r="B7" s="10" t="s">
        <v>2230</v>
      </c>
      <c r="C7" s="11" t="s">
        <v>2239</v>
      </c>
      <c r="D7" s="6">
        <v>799020</v>
      </c>
      <c r="E7" s="13">
        <v>7</v>
      </c>
      <c r="F7" s="13">
        <v>45</v>
      </c>
      <c r="G7" s="6">
        <f t="shared" si="0"/>
        <v>359559</v>
      </c>
    </row>
    <row r="8" spans="1:7" x14ac:dyDescent="0.4">
      <c r="A8" s="13" t="s">
        <v>2265</v>
      </c>
      <c r="B8" s="10" t="s">
        <v>2230</v>
      </c>
      <c r="C8" s="11" t="s">
        <v>2240</v>
      </c>
      <c r="D8" s="6">
        <v>1925820</v>
      </c>
      <c r="E8" s="13">
        <v>17</v>
      </c>
      <c r="F8" s="13">
        <v>45</v>
      </c>
      <c r="G8" s="6">
        <f t="shared" si="0"/>
        <v>866619</v>
      </c>
    </row>
    <row r="9" spans="1:7" x14ac:dyDescent="0.4">
      <c r="A9" s="13" t="s">
        <v>2265</v>
      </c>
      <c r="B9" s="10" t="s">
        <v>2230</v>
      </c>
      <c r="C9" s="11" t="s">
        <v>2241</v>
      </c>
      <c r="D9" s="6">
        <v>0</v>
      </c>
      <c r="E9" s="13">
        <v>0</v>
      </c>
      <c r="F9" s="13">
        <v>45</v>
      </c>
      <c r="G9" s="6">
        <f t="shared" si="0"/>
        <v>0</v>
      </c>
    </row>
    <row r="10" spans="1:7" x14ac:dyDescent="0.4">
      <c r="A10" s="13" t="s">
        <v>2265</v>
      </c>
      <c r="B10" s="10" t="s">
        <v>2230</v>
      </c>
      <c r="C10" s="11" t="s">
        <v>2242</v>
      </c>
      <c r="D10" s="6">
        <v>0</v>
      </c>
      <c r="E10" s="13">
        <v>0</v>
      </c>
      <c r="F10" s="13">
        <v>45</v>
      </c>
      <c r="G10" s="6">
        <f t="shared" si="0"/>
        <v>0</v>
      </c>
    </row>
    <row r="11" spans="1:7" x14ac:dyDescent="0.4">
      <c r="A11" s="13" t="s">
        <v>2265</v>
      </c>
      <c r="B11" s="10" t="s">
        <v>2230</v>
      </c>
      <c r="C11" s="11" t="s">
        <v>2243</v>
      </c>
      <c r="D11" s="6">
        <v>0</v>
      </c>
      <c r="E11" s="13">
        <v>0</v>
      </c>
      <c r="F11" s="13">
        <v>45</v>
      </c>
      <c r="G11" s="6">
        <f t="shared" si="0"/>
        <v>0</v>
      </c>
    </row>
    <row r="12" spans="1:7" x14ac:dyDescent="0.4">
      <c r="A12" s="13" t="s">
        <v>2265</v>
      </c>
      <c r="B12" s="10" t="s">
        <v>2230</v>
      </c>
      <c r="C12" s="11" t="s">
        <v>2244</v>
      </c>
      <c r="D12" s="6">
        <v>113220</v>
      </c>
      <c r="E12" s="13">
        <v>1</v>
      </c>
      <c r="F12" s="13">
        <v>45</v>
      </c>
      <c r="G12" s="6">
        <f t="shared" si="0"/>
        <v>50949</v>
      </c>
    </row>
    <row r="13" spans="1:7" x14ac:dyDescent="0.4">
      <c r="A13" s="13" t="s">
        <v>2265</v>
      </c>
      <c r="B13" s="10" t="s">
        <v>2230</v>
      </c>
      <c r="C13" s="11" t="s">
        <v>2245</v>
      </c>
      <c r="D13" s="6">
        <v>0</v>
      </c>
      <c r="E13" s="13">
        <v>0</v>
      </c>
      <c r="F13" s="13">
        <v>45</v>
      </c>
      <c r="G13" s="6">
        <f t="shared" si="0"/>
        <v>0</v>
      </c>
    </row>
    <row r="14" spans="1:7" x14ac:dyDescent="0.4">
      <c r="A14" s="13" t="s">
        <v>2265</v>
      </c>
      <c r="B14" s="10" t="s">
        <v>2230</v>
      </c>
      <c r="C14" s="11" t="s">
        <v>2246</v>
      </c>
      <c r="D14" s="6">
        <v>1132200</v>
      </c>
      <c r="E14" s="13">
        <v>10</v>
      </c>
      <c r="F14" s="13">
        <v>45</v>
      </c>
      <c r="G14" s="6">
        <f t="shared" si="0"/>
        <v>509490</v>
      </c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314C-AC34-4033-9182-F77835F1C848}">
  <sheetPr>
    <tabColor theme="1" tint="0.34998626667073579"/>
  </sheetPr>
  <dimension ref="A1:G43"/>
  <sheetViews>
    <sheetView topLeftCell="A23" zoomScale="85" zoomScaleNormal="85" workbookViewId="0">
      <selection activeCell="G35" sqref="G35"/>
    </sheetView>
  </sheetViews>
  <sheetFormatPr defaultRowHeight="18.75" x14ac:dyDescent="0.4"/>
  <cols>
    <col min="1" max="1" width="9.625" customWidth="1"/>
    <col min="2" max="2" width="31.75" bestFit="1" customWidth="1"/>
    <col min="3" max="3" width="11.375" bestFit="1" customWidth="1"/>
    <col min="4" max="4" width="10.5" bestFit="1" customWidth="1"/>
    <col min="6" max="6" width="11.625" customWidth="1"/>
    <col min="7" max="7" width="11.5" customWidth="1"/>
  </cols>
  <sheetData>
    <row r="1" spans="1:7" x14ac:dyDescent="0.4">
      <c r="A1" s="6" t="s">
        <v>2264</v>
      </c>
      <c r="B1" s="6" t="s">
        <v>2231</v>
      </c>
      <c r="C1" s="12" t="s">
        <v>2261</v>
      </c>
      <c r="D1" s="12" t="s">
        <v>2262</v>
      </c>
      <c r="E1" s="12" t="s">
        <v>2263</v>
      </c>
      <c r="F1" s="6" t="s">
        <v>2266</v>
      </c>
      <c r="G1" s="12" t="s">
        <v>2267</v>
      </c>
    </row>
    <row r="2" spans="1:7" x14ac:dyDescent="0.4">
      <c r="A2" s="13" t="s">
        <v>2265</v>
      </c>
      <c r="B2" s="10" t="s">
        <v>2230</v>
      </c>
      <c r="C2" s="11" t="s">
        <v>2234</v>
      </c>
      <c r="D2" s="6">
        <v>288000</v>
      </c>
      <c r="E2" s="13">
        <v>3</v>
      </c>
      <c r="F2" s="13">
        <v>45</v>
      </c>
      <c r="G2" s="6">
        <f>+ROUNDDOWN(D2*F2/100,0)</f>
        <v>129600</v>
      </c>
    </row>
    <row r="3" spans="1:7" x14ac:dyDescent="0.4">
      <c r="A3" s="13" t="s">
        <v>2265</v>
      </c>
      <c r="B3" s="10" t="s">
        <v>2230</v>
      </c>
      <c r="C3" s="11" t="s">
        <v>2260</v>
      </c>
      <c r="D3" s="6">
        <v>8911800</v>
      </c>
      <c r="E3" s="13">
        <v>126</v>
      </c>
      <c r="F3" s="13">
        <v>45</v>
      </c>
      <c r="G3" s="6">
        <f t="shared" ref="G3:G14" si="0">+ROUNDDOWN(D3*F3/100,0)</f>
        <v>4010310</v>
      </c>
    </row>
    <row r="4" spans="1:7" x14ac:dyDescent="0.4">
      <c r="A4" s="13" t="s">
        <v>2265</v>
      </c>
      <c r="B4" s="10" t="s">
        <v>2230</v>
      </c>
      <c r="C4" s="11" t="s">
        <v>2236</v>
      </c>
      <c r="D4" s="6">
        <v>17480520</v>
      </c>
      <c r="E4" s="13">
        <v>165</v>
      </c>
      <c r="F4" s="13">
        <v>45</v>
      </c>
      <c r="G4" s="6">
        <f t="shared" si="0"/>
        <v>7866234</v>
      </c>
    </row>
    <row r="5" spans="1:7" x14ac:dyDescent="0.4">
      <c r="A5" s="13" t="s">
        <v>2265</v>
      </c>
      <c r="B5" s="10" t="s">
        <v>2230</v>
      </c>
      <c r="C5" s="11" t="s">
        <v>2237</v>
      </c>
      <c r="D5" s="6">
        <v>1427760</v>
      </c>
      <c r="E5" s="13">
        <v>13</v>
      </c>
      <c r="F5" s="13">
        <v>45</v>
      </c>
      <c r="G5" s="6">
        <f t="shared" si="0"/>
        <v>642492</v>
      </c>
    </row>
    <row r="6" spans="1:7" x14ac:dyDescent="0.4">
      <c r="A6" s="13" t="s">
        <v>2265</v>
      </c>
      <c r="B6" s="10" t="s">
        <v>2230</v>
      </c>
      <c r="C6" s="11" t="s">
        <v>2238</v>
      </c>
      <c r="D6" s="6">
        <v>39547800</v>
      </c>
      <c r="E6" s="13">
        <v>346</v>
      </c>
      <c r="F6" s="13">
        <v>45</v>
      </c>
      <c r="G6" s="6">
        <f t="shared" si="0"/>
        <v>17796510</v>
      </c>
    </row>
    <row r="7" spans="1:7" x14ac:dyDescent="0.4">
      <c r="A7" s="13" t="s">
        <v>2265</v>
      </c>
      <c r="B7" s="10" t="s">
        <v>2230</v>
      </c>
      <c r="C7" s="11" t="s">
        <v>2239</v>
      </c>
      <c r="D7" s="6">
        <v>799020</v>
      </c>
      <c r="E7" s="13">
        <v>7</v>
      </c>
      <c r="F7" s="13">
        <v>45</v>
      </c>
      <c r="G7" s="6">
        <f t="shared" si="0"/>
        <v>359559</v>
      </c>
    </row>
    <row r="8" spans="1:7" x14ac:dyDescent="0.4">
      <c r="A8" s="13" t="s">
        <v>2265</v>
      </c>
      <c r="B8" s="10" t="s">
        <v>2230</v>
      </c>
      <c r="C8" s="11" t="s">
        <v>2240</v>
      </c>
      <c r="D8" s="6">
        <v>1925820</v>
      </c>
      <c r="E8" s="13">
        <v>17</v>
      </c>
      <c r="F8" s="13">
        <v>45</v>
      </c>
      <c r="G8" s="6">
        <f t="shared" si="0"/>
        <v>866619</v>
      </c>
    </row>
    <row r="9" spans="1:7" x14ac:dyDescent="0.4">
      <c r="A9" s="13" t="s">
        <v>2265</v>
      </c>
      <c r="B9" s="10" t="s">
        <v>2230</v>
      </c>
      <c r="C9" s="11" t="s">
        <v>2241</v>
      </c>
      <c r="D9" s="6">
        <v>0</v>
      </c>
      <c r="E9" s="13">
        <v>0</v>
      </c>
      <c r="F9" s="13">
        <v>45</v>
      </c>
      <c r="G9" s="6">
        <f t="shared" si="0"/>
        <v>0</v>
      </c>
    </row>
    <row r="10" spans="1:7" x14ac:dyDescent="0.4">
      <c r="A10" s="13" t="s">
        <v>2265</v>
      </c>
      <c r="B10" s="10" t="s">
        <v>2230</v>
      </c>
      <c r="C10" s="11" t="s">
        <v>2242</v>
      </c>
      <c r="D10" s="6">
        <v>0</v>
      </c>
      <c r="E10" s="13">
        <v>0</v>
      </c>
      <c r="F10" s="13">
        <v>45</v>
      </c>
      <c r="G10" s="6">
        <f t="shared" si="0"/>
        <v>0</v>
      </c>
    </row>
    <row r="11" spans="1:7" x14ac:dyDescent="0.4">
      <c r="A11" s="13" t="s">
        <v>2265</v>
      </c>
      <c r="B11" s="10" t="s">
        <v>2230</v>
      </c>
      <c r="C11" s="11" t="s">
        <v>2243</v>
      </c>
      <c r="D11" s="6">
        <v>0</v>
      </c>
      <c r="E11" s="13">
        <v>0</v>
      </c>
      <c r="F11" s="13">
        <v>45</v>
      </c>
      <c r="G11" s="6">
        <f t="shared" si="0"/>
        <v>0</v>
      </c>
    </row>
    <row r="12" spans="1:7" x14ac:dyDescent="0.4">
      <c r="A12" s="13" t="s">
        <v>2265</v>
      </c>
      <c r="B12" s="10" t="s">
        <v>2230</v>
      </c>
      <c r="C12" s="11" t="s">
        <v>2244</v>
      </c>
      <c r="D12" s="6">
        <v>113220</v>
      </c>
      <c r="E12" s="13">
        <v>1</v>
      </c>
      <c r="F12" s="13">
        <v>45</v>
      </c>
      <c r="G12" s="6">
        <f t="shared" si="0"/>
        <v>50949</v>
      </c>
    </row>
    <row r="13" spans="1:7" x14ac:dyDescent="0.4">
      <c r="A13" s="13" t="s">
        <v>2265</v>
      </c>
      <c r="B13" s="10" t="s">
        <v>2230</v>
      </c>
      <c r="C13" s="11" t="s">
        <v>2245</v>
      </c>
      <c r="D13" s="6">
        <v>0</v>
      </c>
      <c r="E13" s="13">
        <v>0</v>
      </c>
      <c r="F13" s="13">
        <v>45</v>
      </c>
      <c r="G13" s="6">
        <f t="shared" si="0"/>
        <v>0</v>
      </c>
    </row>
    <row r="14" spans="1:7" x14ac:dyDescent="0.4">
      <c r="A14" s="13" t="s">
        <v>2265</v>
      </c>
      <c r="B14" s="10" t="s">
        <v>2230</v>
      </c>
      <c r="C14" s="11" t="s">
        <v>2246</v>
      </c>
      <c r="D14" s="6">
        <v>1132200</v>
      </c>
      <c r="E14" s="13">
        <v>10</v>
      </c>
      <c r="F14" s="13">
        <v>45</v>
      </c>
      <c r="G14" s="6">
        <f t="shared" si="0"/>
        <v>509490</v>
      </c>
    </row>
    <row r="17" spans="1:7" x14ac:dyDescent="0.4">
      <c r="A17" s="6" t="s">
        <v>2268</v>
      </c>
      <c r="B17" s="6" t="s">
        <v>2269</v>
      </c>
      <c r="C17" s="6" t="s">
        <v>2231</v>
      </c>
      <c r="D17" s="6" t="s">
        <v>2266</v>
      </c>
      <c r="E17" s="14" t="s">
        <v>2270</v>
      </c>
      <c r="F17" s="12" t="s">
        <v>2261</v>
      </c>
      <c r="G17" s="12" t="s">
        <v>2262</v>
      </c>
    </row>
    <row r="18" spans="1:7" x14ac:dyDescent="0.4">
      <c r="A18" s="13" t="s">
        <v>2265</v>
      </c>
      <c r="B18" s="6" t="s">
        <v>2271</v>
      </c>
      <c r="C18" s="10" t="s">
        <v>2230</v>
      </c>
      <c r="D18" s="13">
        <v>45</v>
      </c>
      <c r="E18" s="15">
        <v>0.45</v>
      </c>
      <c r="F18" s="11" t="s">
        <v>2234</v>
      </c>
      <c r="G18" s="6">
        <v>288000</v>
      </c>
    </row>
    <row r="19" spans="1:7" x14ac:dyDescent="0.4">
      <c r="A19" s="13" t="s">
        <v>2265</v>
      </c>
      <c r="B19" s="6" t="s">
        <v>2271</v>
      </c>
      <c r="C19" s="10" t="s">
        <v>2230</v>
      </c>
      <c r="D19" s="13">
        <v>45</v>
      </c>
      <c r="E19" s="15">
        <v>0.45</v>
      </c>
      <c r="F19" s="11" t="s">
        <v>2260</v>
      </c>
      <c r="G19" s="6">
        <v>8911800</v>
      </c>
    </row>
    <row r="20" spans="1:7" x14ac:dyDescent="0.4">
      <c r="A20" s="13" t="s">
        <v>2265</v>
      </c>
      <c r="B20" s="6" t="s">
        <v>2271</v>
      </c>
      <c r="C20" s="10" t="s">
        <v>2230</v>
      </c>
      <c r="D20" s="13">
        <v>45</v>
      </c>
      <c r="E20" s="15">
        <v>0.45</v>
      </c>
      <c r="F20" s="11" t="s">
        <v>2236</v>
      </c>
      <c r="G20" s="6">
        <v>17480520</v>
      </c>
    </row>
    <row r="21" spans="1:7" x14ac:dyDescent="0.4">
      <c r="A21" s="13" t="s">
        <v>2265</v>
      </c>
      <c r="B21" s="6" t="s">
        <v>2271</v>
      </c>
      <c r="C21" s="10" t="s">
        <v>2230</v>
      </c>
      <c r="D21" s="13">
        <v>45</v>
      </c>
      <c r="E21" s="15">
        <v>0.45</v>
      </c>
      <c r="F21" s="11" t="s">
        <v>2237</v>
      </c>
      <c r="G21" s="6">
        <v>1427760</v>
      </c>
    </row>
    <row r="22" spans="1:7" x14ac:dyDescent="0.4">
      <c r="A22" s="13" t="s">
        <v>2265</v>
      </c>
      <c r="B22" s="6" t="s">
        <v>2271</v>
      </c>
      <c r="C22" s="10" t="s">
        <v>2230</v>
      </c>
      <c r="D22" s="13">
        <v>45</v>
      </c>
      <c r="E22" s="15">
        <v>0.45</v>
      </c>
      <c r="F22" s="11" t="s">
        <v>2238</v>
      </c>
      <c r="G22" s="6">
        <v>39547800</v>
      </c>
    </row>
    <row r="23" spans="1:7" x14ac:dyDescent="0.4">
      <c r="A23" s="13" t="s">
        <v>2265</v>
      </c>
      <c r="B23" s="6" t="s">
        <v>2271</v>
      </c>
      <c r="C23" s="10" t="s">
        <v>2230</v>
      </c>
      <c r="D23" s="13">
        <v>45</v>
      </c>
      <c r="E23" s="15">
        <v>0.45</v>
      </c>
      <c r="F23" s="11" t="s">
        <v>2239</v>
      </c>
      <c r="G23" s="6">
        <v>799020</v>
      </c>
    </row>
    <row r="24" spans="1:7" x14ac:dyDescent="0.4">
      <c r="A24" s="13" t="s">
        <v>2265</v>
      </c>
      <c r="B24" s="6" t="s">
        <v>2271</v>
      </c>
      <c r="C24" s="10" t="s">
        <v>2230</v>
      </c>
      <c r="D24" s="13">
        <v>45</v>
      </c>
      <c r="E24" s="15">
        <v>0.45</v>
      </c>
      <c r="F24" s="11" t="s">
        <v>2240</v>
      </c>
      <c r="G24" s="6">
        <v>1925820</v>
      </c>
    </row>
    <row r="25" spans="1:7" x14ac:dyDescent="0.4">
      <c r="A25" s="13" t="s">
        <v>2265</v>
      </c>
      <c r="B25" s="6" t="s">
        <v>2271</v>
      </c>
      <c r="C25" s="10" t="s">
        <v>2230</v>
      </c>
      <c r="D25" s="13">
        <v>45</v>
      </c>
      <c r="E25" s="15">
        <v>0.45</v>
      </c>
      <c r="F25" s="11" t="s">
        <v>2241</v>
      </c>
      <c r="G25" s="6">
        <v>0</v>
      </c>
    </row>
    <row r="26" spans="1:7" x14ac:dyDescent="0.4">
      <c r="A26" s="13" t="s">
        <v>2265</v>
      </c>
      <c r="B26" s="6" t="s">
        <v>2271</v>
      </c>
      <c r="C26" s="10" t="s">
        <v>2230</v>
      </c>
      <c r="D26" s="13">
        <v>45</v>
      </c>
      <c r="E26" s="15">
        <v>0.45</v>
      </c>
      <c r="F26" s="11" t="s">
        <v>2242</v>
      </c>
      <c r="G26" s="6">
        <v>0</v>
      </c>
    </row>
    <row r="27" spans="1:7" x14ac:dyDescent="0.4">
      <c r="A27" s="13" t="s">
        <v>2265</v>
      </c>
      <c r="B27" s="6" t="s">
        <v>2271</v>
      </c>
      <c r="C27" s="10" t="s">
        <v>2230</v>
      </c>
      <c r="D27" s="13">
        <v>45</v>
      </c>
      <c r="E27" s="15">
        <v>0.45</v>
      </c>
      <c r="F27" s="11" t="s">
        <v>2243</v>
      </c>
      <c r="G27" s="6">
        <v>0</v>
      </c>
    </row>
    <row r="28" spans="1:7" x14ac:dyDescent="0.4">
      <c r="A28" s="13" t="s">
        <v>2265</v>
      </c>
      <c r="B28" s="6" t="s">
        <v>2271</v>
      </c>
      <c r="C28" s="10" t="s">
        <v>2230</v>
      </c>
      <c r="D28" s="13">
        <v>45</v>
      </c>
      <c r="E28" s="15">
        <v>0.45</v>
      </c>
      <c r="F28" s="11" t="s">
        <v>2244</v>
      </c>
      <c r="G28" s="6">
        <v>113220</v>
      </c>
    </row>
    <row r="29" spans="1:7" x14ac:dyDescent="0.4">
      <c r="A29" s="13" t="s">
        <v>2265</v>
      </c>
      <c r="B29" s="6" t="s">
        <v>2271</v>
      </c>
      <c r="C29" s="10" t="s">
        <v>2230</v>
      </c>
      <c r="D29" s="13">
        <v>45</v>
      </c>
      <c r="E29" s="15">
        <v>0.45</v>
      </c>
      <c r="F29" s="11" t="s">
        <v>2245</v>
      </c>
      <c r="G29" s="6">
        <v>0</v>
      </c>
    </row>
    <row r="30" spans="1:7" x14ac:dyDescent="0.4">
      <c r="A30" s="13" t="s">
        <v>2265</v>
      </c>
      <c r="B30" s="6" t="s">
        <v>2271</v>
      </c>
      <c r="C30" s="10" t="s">
        <v>2230</v>
      </c>
      <c r="D30" s="13">
        <v>45</v>
      </c>
      <c r="E30" s="15">
        <v>0.45</v>
      </c>
      <c r="F30" s="11" t="s">
        <v>2246</v>
      </c>
      <c r="G30" s="6">
        <v>1132200</v>
      </c>
    </row>
    <row r="31" spans="1:7" x14ac:dyDescent="0.4">
      <c r="A31" s="13" t="s">
        <v>2265</v>
      </c>
      <c r="B31" s="6" t="s">
        <v>2272</v>
      </c>
      <c r="C31" s="10" t="s">
        <v>2230</v>
      </c>
      <c r="D31" s="13">
        <v>45</v>
      </c>
      <c r="E31" s="15">
        <v>0.45</v>
      </c>
      <c r="F31" s="11" t="s">
        <v>2234</v>
      </c>
      <c r="G31" s="6">
        <v>129600</v>
      </c>
    </row>
    <row r="32" spans="1:7" x14ac:dyDescent="0.4">
      <c r="A32" s="13" t="s">
        <v>2265</v>
      </c>
      <c r="B32" s="6" t="s">
        <v>2272</v>
      </c>
      <c r="C32" s="10" t="s">
        <v>2230</v>
      </c>
      <c r="D32" s="13">
        <v>45</v>
      </c>
      <c r="E32" s="15">
        <v>0.45</v>
      </c>
      <c r="F32" s="11" t="s">
        <v>2260</v>
      </c>
      <c r="G32" s="6">
        <v>4010310</v>
      </c>
    </row>
    <row r="33" spans="1:7" x14ac:dyDescent="0.4">
      <c r="A33" s="13" t="s">
        <v>2265</v>
      </c>
      <c r="B33" s="6" t="s">
        <v>2272</v>
      </c>
      <c r="C33" s="10" t="s">
        <v>2230</v>
      </c>
      <c r="D33" s="13">
        <v>45</v>
      </c>
      <c r="E33" s="15">
        <v>0.45</v>
      </c>
      <c r="F33" s="11" t="s">
        <v>2236</v>
      </c>
      <c r="G33" s="6">
        <v>7866234</v>
      </c>
    </row>
    <row r="34" spans="1:7" x14ac:dyDescent="0.4">
      <c r="A34" s="13" t="s">
        <v>2265</v>
      </c>
      <c r="B34" s="6" t="s">
        <v>2272</v>
      </c>
      <c r="C34" s="10" t="s">
        <v>2230</v>
      </c>
      <c r="D34" s="13">
        <v>45</v>
      </c>
      <c r="E34" s="15">
        <v>0.45</v>
      </c>
      <c r="F34" s="11" t="s">
        <v>2237</v>
      </c>
      <c r="G34" s="6">
        <v>642492</v>
      </c>
    </row>
    <row r="35" spans="1:7" x14ac:dyDescent="0.4">
      <c r="A35" s="13" t="s">
        <v>2265</v>
      </c>
      <c r="B35" s="6" t="s">
        <v>2272</v>
      </c>
      <c r="C35" s="10" t="s">
        <v>2230</v>
      </c>
      <c r="D35" s="13">
        <v>45</v>
      </c>
      <c r="E35" s="15">
        <v>0.45</v>
      </c>
      <c r="F35" s="11" t="s">
        <v>2238</v>
      </c>
      <c r="G35" s="6">
        <v>17796510</v>
      </c>
    </row>
    <row r="36" spans="1:7" x14ac:dyDescent="0.4">
      <c r="A36" s="13" t="s">
        <v>2265</v>
      </c>
      <c r="B36" s="6" t="s">
        <v>2272</v>
      </c>
      <c r="C36" s="10" t="s">
        <v>2230</v>
      </c>
      <c r="D36" s="13">
        <v>45</v>
      </c>
      <c r="E36" s="15">
        <v>0.45</v>
      </c>
      <c r="F36" s="11" t="s">
        <v>2239</v>
      </c>
      <c r="G36" s="6">
        <v>359559</v>
      </c>
    </row>
    <row r="37" spans="1:7" x14ac:dyDescent="0.4">
      <c r="A37" s="13" t="s">
        <v>2265</v>
      </c>
      <c r="B37" s="6" t="s">
        <v>2272</v>
      </c>
      <c r="C37" s="10" t="s">
        <v>2230</v>
      </c>
      <c r="D37" s="13">
        <v>45</v>
      </c>
      <c r="E37" s="15">
        <v>0.45</v>
      </c>
      <c r="F37" s="11" t="s">
        <v>2240</v>
      </c>
      <c r="G37" s="6">
        <v>866619</v>
      </c>
    </row>
    <row r="38" spans="1:7" x14ac:dyDescent="0.4">
      <c r="A38" s="13" t="s">
        <v>2265</v>
      </c>
      <c r="B38" s="6" t="s">
        <v>2272</v>
      </c>
      <c r="C38" s="10" t="s">
        <v>2230</v>
      </c>
      <c r="D38" s="13">
        <v>45</v>
      </c>
      <c r="E38" s="15">
        <v>0.45</v>
      </c>
      <c r="F38" s="11" t="s">
        <v>2241</v>
      </c>
      <c r="G38" s="6">
        <v>0</v>
      </c>
    </row>
    <row r="39" spans="1:7" x14ac:dyDescent="0.4">
      <c r="A39" s="13" t="s">
        <v>2265</v>
      </c>
      <c r="B39" s="6" t="s">
        <v>2272</v>
      </c>
      <c r="C39" s="10" t="s">
        <v>2230</v>
      </c>
      <c r="D39" s="13">
        <v>45</v>
      </c>
      <c r="E39" s="15">
        <v>0.45</v>
      </c>
      <c r="F39" s="11" t="s">
        <v>2242</v>
      </c>
      <c r="G39" s="6">
        <v>0</v>
      </c>
    </row>
    <row r="40" spans="1:7" x14ac:dyDescent="0.4">
      <c r="A40" s="13" t="s">
        <v>2265</v>
      </c>
      <c r="B40" s="6" t="s">
        <v>2272</v>
      </c>
      <c r="C40" s="10" t="s">
        <v>2230</v>
      </c>
      <c r="D40" s="13">
        <v>45</v>
      </c>
      <c r="E40" s="15">
        <v>0.45</v>
      </c>
      <c r="F40" s="11" t="s">
        <v>2243</v>
      </c>
      <c r="G40" s="6">
        <v>0</v>
      </c>
    </row>
    <row r="41" spans="1:7" x14ac:dyDescent="0.4">
      <c r="A41" s="13" t="s">
        <v>2265</v>
      </c>
      <c r="B41" s="6" t="s">
        <v>2272</v>
      </c>
      <c r="C41" s="10" t="s">
        <v>2230</v>
      </c>
      <c r="D41" s="13">
        <v>45</v>
      </c>
      <c r="E41" s="15">
        <v>0.45</v>
      </c>
      <c r="F41" s="11" t="s">
        <v>2244</v>
      </c>
      <c r="G41" s="6">
        <v>50949</v>
      </c>
    </row>
    <row r="42" spans="1:7" x14ac:dyDescent="0.4">
      <c r="A42" s="13" t="s">
        <v>2265</v>
      </c>
      <c r="B42" s="6" t="s">
        <v>2272</v>
      </c>
      <c r="C42" s="10" t="s">
        <v>2230</v>
      </c>
      <c r="D42" s="13">
        <v>45</v>
      </c>
      <c r="E42" s="15">
        <v>0.45</v>
      </c>
      <c r="F42" s="11" t="s">
        <v>2245</v>
      </c>
      <c r="G42" s="6">
        <v>0</v>
      </c>
    </row>
    <row r="43" spans="1:7" x14ac:dyDescent="0.4">
      <c r="A43" s="13" t="s">
        <v>2265</v>
      </c>
      <c r="B43" s="6" t="s">
        <v>2272</v>
      </c>
      <c r="C43" s="10" t="s">
        <v>2230</v>
      </c>
      <c r="D43" s="13">
        <v>45</v>
      </c>
      <c r="E43" s="15">
        <v>0.45</v>
      </c>
      <c r="F43" s="11" t="s">
        <v>2246</v>
      </c>
      <c r="G43" s="6">
        <v>509490</v>
      </c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25A3-9BB5-4BB4-AB38-61BCA10EDA0A}">
  <dimension ref="A3:N27"/>
  <sheetViews>
    <sheetView zoomScale="55" zoomScaleNormal="55" workbookViewId="0">
      <selection activeCell="G14" sqref="G14:G27"/>
    </sheetView>
  </sheetViews>
  <sheetFormatPr defaultRowHeight="18.75" x14ac:dyDescent="0.4"/>
  <cols>
    <col min="1" max="1" width="33.75" bestFit="1" customWidth="1"/>
    <col min="2" max="9" width="19" bestFit="1" customWidth="1"/>
    <col min="10" max="12" width="20.375" bestFit="1" customWidth="1"/>
    <col min="13" max="14" width="19" bestFit="1" customWidth="1"/>
    <col min="15" max="15" width="14.5" bestFit="1" customWidth="1"/>
  </cols>
  <sheetData>
    <row r="3" spans="1:14" x14ac:dyDescent="0.4">
      <c r="A3" s="7" t="s">
        <v>2232</v>
      </c>
      <c r="B3" t="s">
        <v>2247</v>
      </c>
      <c r="C3" t="s">
        <v>2248</v>
      </c>
      <c r="D3" t="s">
        <v>2249</v>
      </c>
      <c r="E3" t="s">
        <v>2250</v>
      </c>
      <c r="F3" t="s">
        <v>2251</v>
      </c>
      <c r="G3" t="s">
        <v>2252</v>
      </c>
      <c r="H3" t="s">
        <v>2253</v>
      </c>
      <c r="I3" t="s">
        <v>2254</v>
      </c>
      <c r="J3" t="s">
        <v>2255</v>
      </c>
      <c r="K3" t="s">
        <v>2256</v>
      </c>
      <c r="L3" t="s">
        <v>2257</v>
      </c>
      <c r="M3" t="s">
        <v>2258</v>
      </c>
      <c r="N3" t="s">
        <v>2259</v>
      </c>
    </row>
    <row r="4" spans="1:14" x14ac:dyDescent="0.4">
      <c r="A4" s="8" t="s">
        <v>2230</v>
      </c>
      <c r="B4">
        <v>288000</v>
      </c>
      <c r="C4">
        <v>8911800</v>
      </c>
      <c r="D4">
        <v>17480520</v>
      </c>
      <c r="E4">
        <v>1427760</v>
      </c>
      <c r="F4">
        <v>39547800</v>
      </c>
      <c r="G4">
        <v>799020</v>
      </c>
      <c r="H4">
        <v>1925820</v>
      </c>
      <c r="I4">
        <v>0</v>
      </c>
      <c r="J4">
        <v>0</v>
      </c>
      <c r="K4">
        <v>0</v>
      </c>
      <c r="L4">
        <v>113220</v>
      </c>
      <c r="M4">
        <v>0</v>
      </c>
      <c r="N4">
        <v>1132200</v>
      </c>
    </row>
    <row r="5" spans="1:14" x14ac:dyDescent="0.4">
      <c r="A5" s="8" t="s">
        <v>2233</v>
      </c>
      <c r="B5">
        <v>288000</v>
      </c>
      <c r="C5">
        <v>8911800</v>
      </c>
      <c r="D5">
        <v>17480520</v>
      </c>
      <c r="E5">
        <v>1427760</v>
      </c>
      <c r="F5">
        <v>39547800</v>
      </c>
      <c r="G5">
        <v>799020</v>
      </c>
      <c r="H5">
        <v>1925820</v>
      </c>
      <c r="I5">
        <v>0</v>
      </c>
      <c r="J5">
        <v>0</v>
      </c>
      <c r="K5">
        <v>0</v>
      </c>
      <c r="L5">
        <v>113220</v>
      </c>
      <c r="M5">
        <v>0</v>
      </c>
      <c r="N5">
        <v>1132200</v>
      </c>
    </row>
    <row r="14" spans="1:14" x14ac:dyDescent="0.4">
      <c r="A14" s="6" t="s">
        <v>2264</v>
      </c>
      <c r="B14" s="6" t="s">
        <v>2231</v>
      </c>
      <c r="C14" s="12" t="s">
        <v>2261</v>
      </c>
      <c r="D14" s="12" t="s">
        <v>2262</v>
      </c>
      <c r="E14" s="12" t="s">
        <v>2263</v>
      </c>
      <c r="F14" s="6" t="s">
        <v>2266</v>
      </c>
      <c r="G14" s="12" t="s">
        <v>2267</v>
      </c>
    </row>
    <row r="15" spans="1:14" x14ac:dyDescent="0.4">
      <c r="A15" s="13" t="s">
        <v>2265</v>
      </c>
      <c r="B15" s="10" t="s">
        <v>2230</v>
      </c>
      <c r="C15" s="11" t="s">
        <v>2234</v>
      </c>
      <c r="D15" s="6">
        <v>288000</v>
      </c>
      <c r="E15" s="13">
        <v>3</v>
      </c>
      <c r="F15" s="13">
        <v>45</v>
      </c>
      <c r="G15" s="6">
        <f>+ROUNDDOWN(D15*F15/100,0)</f>
        <v>129600</v>
      </c>
    </row>
    <row r="16" spans="1:14" x14ac:dyDescent="0.4">
      <c r="A16" s="13" t="s">
        <v>2265</v>
      </c>
      <c r="B16" s="10" t="s">
        <v>2230</v>
      </c>
      <c r="C16" s="11" t="s">
        <v>2260</v>
      </c>
      <c r="D16" s="6">
        <v>8911800</v>
      </c>
      <c r="E16" s="13">
        <v>126</v>
      </c>
      <c r="F16" s="13">
        <v>45</v>
      </c>
      <c r="G16" s="6">
        <f t="shared" ref="G16:G27" si="0">+ROUNDDOWN(D16*F16/100,0)</f>
        <v>4010310</v>
      </c>
    </row>
    <row r="17" spans="1:7" x14ac:dyDescent="0.4">
      <c r="A17" s="13" t="s">
        <v>2265</v>
      </c>
      <c r="B17" s="10" t="s">
        <v>2230</v>
      </c>
      <c r="C17" s="11" t="s">
        <v>2236</v>
      </c>
      <c r="D17" s="6">
        <v>17480520</v>
      </c>
      <c r="E17" s="13">
        <v>165</v>
      </c>
      <c r="F17" s="13">
        <v>45</v>
      </c>
      <c r="G17" s="6">
        <f t="shared" si="0"/>
        <v>7866234</v>
      </c>
    </row>
    <row r="18" spans="1:7" x14ac:dyDescent="0.4">
      <c r="A18" s="13" t="s">
        <v>2265</v>
      </c>
      <c r="B18" s="10" t="s">
        <v>2230</v>
      </c>
      <c r="C18" s="11" t="s">
        <v>2237</v>
      </c>
      <c r="D18" s="6">
        <v>1427760</v>
      </c>
      <c r="E18" s="13">
        <v>13</v>
      </c>
      <c r="F18" s="13">
        <v>45</v>
      </c>
      <c r="G18" s="6">
        <f t="shared" si="0"/>
        <v>642492</v>
      </c>
    </row>
    <row r="19" spans="1:7" x14ac:dyDescent="0.4">
      <c r="A19" s="13" t="s">
        <v>2265</v>
      </c>
      <c r="B19" s="10" t="s">
        <v>2230</v>
      </c>
      <c r="C19" s="11" t="s">
        <v>2238</v>
      </c>
      <c r="D19" s="6">
        <v>39547800</v>
      </c>
      <c r="E19" s="13">
        <v>346</v>
      </c>
      <c r="F19" s="13">
        <v>45</v>
      </c>
      <c r="G19" s="6">
        <f t="shared" si="0"/>
        <v>17796510</v>
      </c>
    </row>
    <row r="20" spans="1:7" x14ac:dyDescent="0.4">
      <c r="A20" s="13" t="s">
        <v>2265</v>
      </c>
      <c r="B20" s="10" t="s">
        <v>2230</v>
      </c>
      <c r="C20" s="11" t="s">
        <v>2239</v>
      </c>
      <c r="D20" s="6">
        <v>799020</v>
      </c>
      <c r="E20" s="13">
        <v>7</v>
      </c>
      <c r="F20" s="13">
        <v>45</v>
      </c>
      <c r="G20" s="6">
        <f t="shared" si="0"/>
        <v>359559</v>
      </c>
    </row>
    <row r="21" spans="1:7" x14ac:dyDescent="0.4">
      <c r="A21" s="13" t="s">
        <v>2265</v>
      </c>
      <c r="B21" s="10" t="s">
        <v>2230</v>
      </c>
      <c r="C21" s="11" t="s">
        <v>2240</v>
      </c>
      <c r="D21" s="6">
        <v>1925820</v>
      </c>
      <c r="E21" s="13">
        <v>17</v>
      </c>
      <c r="F21" s="13">
        <v>45</v>
      </c>
      <c r="G21" s="6">
        <f t="shared" si="0"/>
        <v>866619</v>
      </c>
    </row>
    <row r="22" spans="1:7" x14ac:dyDescent="0.4">
      <c r="A22" s="13" t="s">
        <v>2265</v>
      </c>
      <c r="B22" s="10" t="s">
        <v>2230</v>
      </c>
      <c r="C22" s="11" t="s">
        <v>2241</v>
      </c>
      <c r="D22" s="6">
        <v>0</v>
      </c>
      <c r="E22" s="13">
        <v>0</v>
      </c>
      <c r="F22" s="13">
        <v>45</v>
      </c>
      <c r="G22" s="6">
        <f t="shared" si="0"/>
        <v>0</v>
      </c>
    </row>
    <row r="23" spans="1:7" x14ac:dyDescent="0.4">
      <c r="A23" s="13" t="s">
        <v>2265</v>
      </c>
      <c r="B23" s="10" t="s">
        <v>2230</v>
      </c>
      <c r="C23" s="11" t="s">
        <v>2242</v>
      </c>
      <c r="D23" s="6">
        <v>0</v>
      </c>
      <c r="E23" s="13">
        <v>0</v>
      </c>
      <c r="F23" s="13">
        <v>45</v>
      </c>
      <c r="G23" s="6">
        <f t="shared" si="0"/>
        <v>0</v>
      </c>
    </row>
    <row r="24" spans="1:7" x14ac:dyDescent="0.4">
      <c r="A24" s="13" t="s">
        <v>2265</v>
      </c>
      <c r="B24" s="10" t="s">
        <v>2230</v>
      </c>
      <c r="C24" s="11" t="s">
        <v>2243</v>
      </c>
      <c r="D24" s="6">
        <v>0</v>
      </c>
      <c r="E24" s="13">
        <v>0</v>
      </c>
      <c r="F24" s="13">
        <v>45</v>
      </c>
      <c r="G24" s="6">
        <f t="shared" si="0"/>
        <v>0</v>
      </c>
    </row>
    <row r="25" spans="1:7" x14ac:dyDescent="0.4">
      <c r="A25" s="13" t="s">
        <v>2265</v>
      </c>
      <c r="B25" s="10" t="s">
        <v>2230</v>
      </c>
      <c r="C25" s="11" t="s">
        <v>2244</v>
      </c>
      <c r="D25" s="6">
        <v>113220</v>
      </c>
      <c r="E25" s="13">
        <v>1</v>
      </c>
      <c r="F25" s="13">
        <v>45</v>
      </c>
      <c r="G25" s="6">
        <f t="shared" si="0"/>
        <v>50949</v>
      </c>
    </row>
    <row r="26" spans="1:7" x14ac:dyDescent="0.4">
      <c r="A26" s="13" t="s">
        <v>2265</v>
      </c>
      <c r="B26" s="10" t="s">
        <v>2230</v>
      </c>
      <c r="C26" s="11" t="s">
        <v>2245</v>
      </c>
      <c r="D26" s="6">
        <v>0</v>
      </c>
      <c r="E26" s="13">
        <v>0</v>
      </c>
      <c r="F26" s="13">
        <v>45</v>
      </c>
      <c r="G26" s="6">
        <f t="shared" si="0"/>
        <v>0</v>
      </c>
    </row>
    <row r="27" spans="1:7" x14ac:dyDescent="0.4">
      <c r="A27" s="13" t="s">
        <v>2265</v>
      </c>
      <c r="B27" s="10" t="s">
        <v>2230</v>
      </c>
      <c r="C27" s="11" t="s">
        <v>2246</v>
      </c>
      <c r="D27" s="6">
        <v>1132200</v>
      </c>
      <c r="E27" s="13">
        <v>10</v>
      </c>
      <c r="F27" s="13">
        <v>45</v>
      </c>
      <c r="G27" s="6">
        <f t="shared" si="0"/>
        <v>509490</v>
      </c>
    </row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BEA8-BB9A-4B6B-B8CE-FFC43589B892}">
  <dimension ref="A1:V693"/>
  <sheetViews>
    <sheetView topLeftCell="B1" zoomScale="55" zoomScaleNormal="55" workbookViewId="0">
      <selection activeCell="V694" sqref="V694"/>
    </sheetView>
  </sheetViews>
  <sheetFormatPr defaultRowHeight="18.75" x14ac:dyDescent="0.4"/>
  <cols>
    <col min="1" max="1" width="11.75" bestFit="1" customWidth="1"/>
    <col min="2" max="2" width="13" bestFit="1" customWidth="1"/>
    <col min="3" max="3" width="43.375" bestFit="1" customWidth="1"/>
    <col min="4" max="4" width="37" bestFit="1" customWidth="1"/>
    <col min="5" max="6" width="26.5" bestFit="1" customWidth="1"/>
    <col min="7" max="7" width="28.625" bestFit="1" customWidth="1"/>
    <col min="8" max="8" width="28.625" customWidth="1"/>
    <col min="9" max="9" width="28.625" bestFit="1" customWidth="1"/>
    <col min="10" max="10" width="10" customWidth="1"/>
    <col min="22" max="22" width="9.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4" t="s">
        <v>11</v>
      </c>
      <c r="G2" s="1" t="s">
        <v>27</v>
      </c>
      <c r="H2">
        <f>VLOOKUP(D2,[1]金額リスト!$A$2:$B$6,2,FALSE)</f>
        <v>59400</v>
      </c>
      <c r="I2" s="1" t="s">
        <v>28</v>
      </c>
      <c r="J2">
        <f>IFERROR(INDEX($F2:$H2,MATCH($J$1,$F2,0),3),0)</f>
        <v>0</v>
      </c>
      <c r="K2">
        <f>IFERROR(INDEX($F2:$H2,MATCH($K$1,$F2,0),3),0)</f>
        <v>0</v>
      </c>
      <c r="L2">
        <f>IFERROR(INDEX($F2:$H2,MATCH($L$1,$F2,0),3),0)</f>
        <v>59400</v>
      </c>
      <c r="M2">
        <f>IFERROR(INDEX($F2:$H2,MATCH($M$1,$F2,0),3),0)</f>
        <v>0</v>
      </c>
      <c r="N2">
        <f>IFERROR(INDEX($F2:$H2,MATCH($N$1,$F2,0),3),0)</f>
        <v>0</v>
      </c>
      <c r="O2">
        <f>IFERROR(INDEX($F2:$H2,MATCH($O$1,$F2,0),3),0)</f>
        <v>0</v>
      </c>
      <c r="P2">
        <f>IFERROR(INDEX($F2:$H2,MATCH($P$1,$F2,0),3),0)</f>
        <v>0</v>
      </c>
      <c r="Q2">
        <f>IFERROR(INDEX($F2:$H2,MATCH($Q$1,$F2,0),3),0)</f>
        <v>0</v>
      </c>
      <c r="R2">
        <f>IFERROR(INDEX($F2:$H2,MATCH($R$1,$F2,0),3),0)</f>
        <v>0</v>
      </c>
      <c r="S2">
        <f>IFERROR(INDEX($F2:$H2,MATCH($S$1,$F2,0),3),0)</f>
        <v>0</v>
      </c>
      <c r="T2">
        <f>IFERROR(INDEX($F2:$H2,MATCH($T$1,$F2,0),3),0)</f>
        <v>0</v>
      </c>
      <c r="U2">
        <f>IFERROR(INDEX($F2:$H2,MATCH($U$1,$F2,0),3),0)</f>
        <v>0</v>
      </c>
      <c r="V2">
        <f>IFERROR(INDEX($F2:$H2,MATCH($V$1,$F2,0),3),0)</f>
        <v>0</v>
      </c>
    </row>
    <row r="3" spans="1:22" x14ac:dyDescent="0.4">
      <c r="A3" s="1" t="s">
        <v>29</v>
      </c>
      <c r="B3" s="1" t="s">
        <v>30</v>
      </c>
      <c r="C3" s="1" t="s">
        <v>31</v>
      </c>
      <c r="D3" s="1" t="s">
        <v>25</v>
      </c>
      <c r="E3" s="1" t="s">
        <v>32</v>
      </c>
      <c r="F3" s="5" t="s">
        <v>10</v>
      </c>
      <c r="G3" s="1" t="s">
        <v>27</v>
      </c>
      <c r="H3">
        <f>VLOOKUP(D3,[1]金額リスト!$A$2:$B$6,2,FALSE)</f>
        <v>59400</v>
      </c>
      <c r="I3" s="1" t="s">
        <v>33</v>
      </c>
      <c r="J3">
        <f t="shared" ref="J3:J66" si="0">IFERROR(INDEX($F3:$H3,MATCH($J$1,$F3,0),3),0)</f>
        <v>0</v>
      </c>
      <c r="K3">
        <f t="shared" ref="K3:K66" si="1">IFERROR(INDEX($F3:$H3,MATCH($K$1,$F3,0),3),0)</f>
        <v>59400</v>
      </c>
      <c r="L3">
        <f>IFERROR(INDEX($F3:$H3,MATCH($L$1,$F3,0),3),0)</f>
        <v>0</v>
      </c>
      <c r="M3">
        <f t="shared" ref="M3:M66" si="2">IFERROR(INDEX($F3:$H3,MATCH($M$1,$F3,0),3),0)</f>
        <v>0</v>
      </c>
      <c r="N3">
        <f t="shared" ref="N3:N66" si="3">IFERROR(INDEX($F3:$H3,MATCH($N$1,$F3,0),3),0)</f>
        <v>0</v>
      </c>
      <c r="O3">
        <f t="shared" ref="O3:O66" si="4">IFERROR(INDEX($F3:$H3,MATCH($O$1,$F3,0),3),0)</f>
        <v>0</v>
      </c>
      <c r="P3">
        <f t="shared" ref="P3:P66" si="5">IFERROR(INDEX($F3:$H3,MATCH($P$1,$F3,0),3),0)</f>
        <v>0</v>
      </c>
      <c r="Q3">
        <f t="shared" ref="Q3:Q66" si="6">IFERROR(INDEX($F3:$H3,MATCH($Q$1,$F3,0),3),0)</f>
        <v>0</v>
      </c>
      <c r="R3">
        <f t="shared" ref="R3:R66" si="7">IFERROR(INDEX($F3:$H3,MATCH($R$1,$F3,0),3),0)</f>
        <v>0</v>
      </c>
      <c r="S3">
        <f t="shared" ref="S3:S66" si="8">IFERROR(INDEX($F3:$H3,MATCH($S$1,$F3,0),3),0)</f>
        <v>0</v>
      </c>
      <c r="T3">
        <f t="shared" ref="T3:T66" si="9">IFERROR(INDEX($F3:$H3,MATCH($T$1,$F3,0),3),0)</f>
        <v>0</v>
      </c>
      <c r="U3">
        <f t="shared" ref="U3:U66" si="10">IFERROR(INDEX($F3:$H3,MATCH($U$1,$F3,0),3),0)</f>
        <v>0</v>
      </c>
      <c r="V3">
        <f t="shared" ref="V3:V66" si="11">IFERROR(INDEX($F3:$H3,MATCH($V$1,$F3,0),3),0)</f>
        <v>0</v>
      </c>
    </row>
    <row r="4" spans="1:22" x14ac:dyDescent="0.4">
      <c r="A4" s="1" t="s">
        <v>34</v>
      </c>
      <c r="B4" s="1" t="s">
        <v>35</v>
      </c>
      <c r="C4" s="1" t="s">
        <v>36</v>
      </c>
      <c r="D4" s="1" t="s">
        <v>25</v>
      </c>
      <c r="E4" s="1" t="s">
        <v>37</v>
      </c>
      <c r="F4" s="5" t="s">
        <v>10</v>
      </c>
      <c r="G4" s="1" t="s">
        <v>27</v>
      </c>
      <c r="H4">
        <f>VLOOKUP(D4,[1]金額リスト!$A$2:$B$6,2,FALSE)</f>
        <v>59400</v>
      </c>
      <c r="I4" s="1" t="s">
        <v>33</v>
      </c>
      <c r="J4">
        <f t="shared" si="0"/>
        <v>0</v>
      </c>
      <c r="K4">
        <f t="shared" si="1"/>
        <v>59400</v>
      </c>
      <c r="L4">
        <f t="shared" ref="L4:L67" si="12">IFERROR(INDEX($F4:$H4,MATCH($L$1,$F4,0),3),0)</f>
        <v>0</v>
      </c>
      <c r="M4">
        <f t="shared" si="2"/>
        <v>0</v>
      </c>
      <c r="N4">
        <f t="shared" si="3"/>
        <v>0</v>
      </c>
      <c r="O4">
        <f t="shared" si="4"/>
        <v>0</v>
      </c>
      <c r="P4">
        <f t="shared" si="5"/>
        <v>0</v>
      </c>
      <c r="Q4">
        <f t="shared" si="6"/>
        <v>0</v>
      </c>
      <c r="R4">
        <f t="shared" si="7"/>
        <v>0</v>
      </c>
      <c r="S4">
        <f t="shared" si="8"/>
        <v>0</v>
      </c>
      <c r="T4">
        <f t="shared" si="9"/>
        <v>0</v>
      </c>
      <c r="U4">
        <f t="shared" si="10"/>
        <v>0</v>
      </c>
      <c r="V4">
        <f t="shared" si="11"/>
        <v>0</v>
      </c>
    </row>
    <row r="5" spans="1:22" x14ac:dyDescent="0.4">
      <c r="A5" s="1" t="s">
        <v>38</v>
      </c>
      <c r="B5" s="1" t="s">
        <v>39</v>
      </c>
      <c r="C5" s="1" t="s">
        <v>40</v>
      </c>
      <c r="D5" s="1" t="s">
        <v>25</v>
      </c>
      <c r="E5" s="1" t="s">
        <v>37</v>
      </c>
      <c r="F5" s="5" t="s">
        <v>10</v>
      </c>
      <c r="G5" s="1" t="s">
        <v>27</v>
      </c>
      <c r="H5">
        <f>VLOOKUP(D5,[1]金額リスト!$A$2:$B$6,2,FALSE)</f>
        <v>59400</v>
      </c>
      <c r="I5" s="1" t="s">
        <v>33</v>
      </c>
      <c r="J5">
        <f t="shared" si="0"/>
        <v>0</v>
      </c>
      <c r="K5">
        <f t="shared" si="1"/>
        <v>59400</v>
      </c>
      <c r="L5">
        <f t="shared" si="12"/>
        <v>0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0</v>
      </c>
      <c r="R5">
        <f t="shared" si="7"/>
        <v>0</v>
      </c>
      <c r="S5">
        <f t="shared" si="8"/>
        <v>0</v>
      </c>
      <c r="T5">
        <f t="shared" si="9"/>
        <v>0</v>
      </c>
      <c r="U5">
        <f t="shared" si="10"/>
        <v>0</v>
      </c>
      <c r="V5">
        <f t="shared" si="11"/>
        <v>0</v>
      </c>
    </row>
    <row r="6" spans="1:22" x14ac:dyDescent="0.4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5" t="s">
        <v>46</v>
      </c>
      <c r="G6" s="1" t="s">
        <v>27</v>
      </c>
      <c r="H6">
        <f>VLOOKUP(D6,[1]金額リスト!$A$2:$B$6,2,FALSE)</f>
        <v>114300</v>
      </c>
      <c r="I6" s="1" t="s">
        <v>33</v>
      </c>
      <c r="J6">
        <f t="shared" si="0"/>
        <v>0</v>
      </c>
      <c r="K6">
        <f t="shared" si="1"/>
        <v>0</v>
      </c>
      <c r="L6">
        <f t="shared" si="12"/>
        <v>0</v>
      </c>
      <c r="M6">
        <f t="shared" si="2"/>
        <v>0</v>
      </c>
      <c r="N6">
        <f t="shared" si="3"/>
        <v>114300</v>
      </c>
      <c r="O6">
        <f t="shared" si="4"/>
        <v>0</v>
      </c>
      <c r="P6">
        <f t="shared" si="5"/>
        <v>0</v>
      </c>
      <c r="Q6">
        <f t="shared" si="6"/>
        <v>0</v>
      </c>
      <c r="R6">
        <f t="shared" si="7"/>
        <v>0</v>
      </c>
      <c r="S6">
        <f t="shared" si="8"/>
        <v>0</v>
      </c>
      <c r="T6">
        <f t="shared" si="9"/>
        <v>0</v>
      </c>
      <c r="U6">
        <f t="shared" si="10"/>
        <v>0</v>
      </c>
      <c r="V6">
        <f t="shared" si="11"/>
        <v>0</v>
      </c>
    </row>
    <row r="7" spans="1:22" x14ac:dyDescent="0.4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5" t="s">
        <v>46</v>
      </c>
      <c r="G7" s="1" t="s">
        <v>52</v>
      </c>
      <c r="H7">
        <f>VLOOKUP(D7,[1]金額リスト!$A$2:$B$6,2,FALSE)</f>
        <v>114300</v>
      </c>
      <c r="I7" s="1" t="s">
        <v>28</v>
      </c>
      <c r="J7">
        <f t="shared" si="0"/>
        <v>0</v>
      </c>
      <c r="K7">
        <f t="shared" si="1"/>
        <v>0</v>
      </c>
      <c r="L7">
        <f t="shared" si="12"/>
        <v>0</v>
      </c>
      <c r="M7">
        <f t="shared" si="2"/>
        <v>0</v>
      </c>
      <c r="N7">
        <f t="shared" si="3"/>
        <v>114300</v>
      </c>
      <c r="O7">
        <f t="shared" si="4"/>
        <v>0</v>
      </c>
      <c r="P7">
        <f t="shared" si="5"/>
        <v>0</v>
      </c>
      <c r="Q7">
        <f t="shared" si="6"/>
        <v>0</v>
      </c>
      <c r="R7">
        <f t="shared" si="7"/>
        <v>0</v>
      </c>
      <c r="S7">
        <f t="shared" si="8"/>
        <v>0</v>
      </c>
      <c r="T7">
        <f t="shared" si="9"/>
        <v>0</v>
      </c>
      <c r="U7">
        <f t="shared" si="10"/>
        <v>0</v>
      </c>
      <c r="V7">
        <f t="shared" si="11"/>
        <v>0</v>
      </c>
    </row>
    <row r="8" spans="1:22" x14ac:dyDescent="0.4">
      <c r="A8" s="1" t="s">
        <v>53</v>
      </c>
      <c r="B8" s="1" t="s">
        <v>54</v>
      </c>
      <c r="C8" s="1" t="s">
        <v>55</v>
      </c>
      <c r="D8" s="1" t="s">
        <v>44</v>
      </c>
      <c r="E8" s="1" t="s">
        <v>56</v>
      </c>
      <c r="F8" s="5" t="s">
        <v>46</v>
      </c>
      <c r="G8" s="1" t="s">
        <v>27</v>
      </c>
      <c r="H8">
        <f>VLOOKUP(D8,[1]金額リスト!$A$2:$B$6,2,FALSE)</f>
        <v>114300</v>
      </c>
      <c r="I8" s="1" t="s">
        <v>33</v>
      </c>
      <c r="J8">
        <f t="shared" si="0"/>
        <v>0</v>
      </c>
      <c r="K8">
        <f t="shared" si="1"/>
        <v>0</v>
      </c>
      <c r="L8">
        <f t="shared" si="12"/>
        <v>0</v>
      </c>
      <c r="M8">
        <f t="shared" si="2"/>
        <v>0</v>
      </c>
      <c r="N8">
        <f t="shared" si="3"/>
        <v>114300</v>
      </c>
      <c r="O8">
        <f t="shared" si="4"/>
        <v>0</v>
      </c>
      <c r="P8">
        <f t="shared" si="5"/>
        <v>0</v>
      </c>
      <c r="Q8">
        <f t="shared" si="6"/>
        <v>0</v>
      </c>
      <c r="R8">
        <f t="shared" si="7"/>
        <v>0</v>
      </c>
      <c r="S8">
        <f t="shared" si="8"/>
        <v>0</v>
      </c>
      <c r="T8">
        <f t="shared" si="9"/>
        <v>0</v>
      </c>
      <c r="U8">
        <f t="shared" si="10"/>
        <v>0</v>
      </c>
      <c r="V8">
        <f t="shared" si="11"/>
        <v>0</v>
      </c>
    </row>
    <row r="9" spans="1:22" x14ac:dyDescent="0.4">
      <c r="A9" s="1" t="s">
        <v>57</v>
      </c>
      <c r="B9" s="1" t="s">
        <v>58</v>
      </c>
      <c r="C9" s="1" t="s">
        <v>59</v>
      </c>
      <c r="D9" s="1" t="s">
        <v>44</v>
      </c>
      <c r="E9" s="1" t="s">
        <v>32</v>
      </c>
      <c r="F9" s="5" t="s">
        <v>46</v>
      </c>
      <c r="G9" s="1" t="s">
        <v>27</v>
      </c>
      <c r="H9">
        <f>VLOOKUP(D9,[1]金額リスト!$A$2:$B$6,2,FALSE)</f>
        <v>114300</v>
      </c>
      <c r="I9" s="1" t="s">
        <v>33</v>
      </c>
      <c r="J9">
        <f t="shared" si="0"/>
        <v>0</v>
      </c>
      <c r="K9">
        <f t="shared" si="1"/>
        <v>0</v>
      </c>
      <c r="L9">
        <f t="shared" si="12"/>
        <v>0</v>
      </c>
      <c r="M9">
        <f t="shared" si="2"/>
        <v>0</v>
      </c>
      <c r="N9">
        <f t="shared" si="3"/>
        <v>114300</v>
      </c>
      <c r="O9">
        <f t="shared" si="4"/>
        <v>0</v>
      </c>
      <c r="P9">
        <f t="shared" si="5"/>
        <v>0</v>
      </c>
      <c r="Q9">
        <f t="shared" si="6"/>
        <v>0</v>
      </c>
      <c r="R9">
        <f t="shared" si="7"/>
        <v>0</v>
      </c>
      <c r="S9">
        <f t="shared" si="8"/>
        <v>0</v>
      </c>
      <c r="T9">
        <f t="shared" si="9"/>
        <v>0</v>
      </c>
      <c r="U9">
        <f t="shared" si="10"/>
        <v>0</v>
      </c>
      <c r="V9">
        <f t="shared" si="11"/>
        <v>0</v>
      </c>
    </row>
    <row r="10" spans="1:22" x14ac:dyDescent="0.4">
      <c r="A10" s="1" t="s">
        <v>60</v>
      </c>
      <c r="B10" s="1" t="s">
        <v>61</v>
      </c>
      <c r="C10" s="1" t="s">
        <v>62</v>
      </c>
      <c r="D10" s="1" t="s">
        <v>44</v>
      </c>
      <c r="E10" s="1" t="s">
        <v>63</v>
      </c>
      <c r="F10" s="5" t="s">
        <v>46</v>
      </c>
      <c r="G10" s="1" t="s">
        <v>27</v>
      </c>
      <c r="H10">
        <f>VLOOKUP(D10,[1]金額リスト!$A$2:$B$6,2,FALSE)</f>
        <v>114300</v>
      </c>
      <c r="I10" s="1" t="s">
        <v>33</v>
      </c>
      <c r="J10">
        <f t="shared" si="0"/>
        <v>0</v>
      </c>
      <c r="K10">
        <f t="shared" si="1"/>
        <v>0</v>
      </c>
      <c r="L10">
        <f t="shared" si="12"/>
        <v>0</v>
      </c>
      <c r="M10">
        <f t="shared" si="2"/>
        <v>0</v>
      </c>
      <c r="N10">
        <f t="shared" si="3"/>
        <v>114300</v>
      </c>
      <c r="O10">
        <f t="shared" si="4"/>
        <v>0</v>
      </c>
      <c r="P10">
        <f t="shared" si="5"/>
        <v>0</v>
      </c>
      <c r="Q10">
        <f t="shared" si="6"/>
        <v>0</v>
      </c>
      <c r="R10">
        <f t="shared" si="7"/>
        <v>0</v>
      </c>
      <c r="S10">
        <f t="shared" si="8"/>
        <v>0</v>
      </c>
      <c r="T10">
        <f t="shared" si="9"/>
        <v>0</v>
      </c>
      <c r="U10">
        <f t="shared" si="10"/>
        <v>0</v>
      </c>
      <c r="V10">
        <f t="shared" si="11"/>
        <v>0</v>
      </c>
    </row>
    <row r="11" spans="1:22" x14ac:dyDescent="0.4">
      <c r="A11" s="1" t="s">
        <v>64</v>
      </c>
      <c r="B11" s="1" t="s">
        <v>65</v>
      </c>
      <c r="C11" s="1" t="s">
        <v>66</v>
      </c>
      <c r="D11" s="1" t="s">
        <v>44</v>
      </c>
      <c r="E11" s="1" t="s">
        <v>63</v>
      </c>
      <c r="F11" s="5" t="s">
        <v>46</v>
      </c>
      <c r="G11" s="1" t="s">
        <v>27</v>
      </c>
      <c r="H11">
        <f>VLOOKUP(D11,[1]金額リスト!$A$2:$B$6,2,FALSE)</f>
        <v>114300</v>
      </c>
      <c r="I11" s="1" t="s">
        <v>33</v>
      </c>
      <c r="J11">
        <f t="shared" si="0"/>
        <v>0</v>
      </c>
      <c r="K11">
        <f t="shared" si="1"/>
        <v>0</v>
      </c>
      <c r="L11">
        <f t="shared" si="12"/>
        <v>0</v>
      </c>
      <c r="M11">
        <f t="shared" si="2"/>
        <v>0</v>
      </c>
      <c r="N11">
        <f t="shared" si="3"/>
        <v>114300</v>
      </c>
      <c r="O11">
        <f t="shared" si="4"/>
        <v>0</v>
      </c>
      <c r="P11">
        <f t="shared" si="5"/>
        <v>0</v>
      </c>
      <c r="Q11">
        <f t="shared" si="6"/>
        <v>0</v>
      </c>
      <c r="R11">
        <f t="shared" si="7"/>
        <v>0</v>
      </c>
      <c r="S11">
        <f t="shared" si="8"/>
        <v>0</v>
      </c>
      <c r="T11">
        <f t="shared" si="9"/>
        <v>0</v>
      </c>
      <c r="U11">
        <f t="shared" si="10"/>
        <v>0</v>
      </c>
      <c r="V11">
        <f t="shared" si="11"/>
        <v>0</v>
      </c>
    </row>
    <row r="12" spans="1:22" x14ac:dyDescent="0.4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37</v>
      </c>
      <c r="F12" s="5" t="s">
        <v>10</v>
      </c>
      <c r="G12" s="1" t="s">
        <v>52</v>
      </c>
      <c r="H12">
        <f>VLOOKUP(D12,[1]金額リスト!$A$2:$B$6,2,FALSE)</f>
        <v>59400</v>
      </c>
      <c r="I12" s="1" t="s">
        <v>28</v>
      </c>
      <c r="J12">
        <f t="shared" si="0"/>
        <v>0</v>
      </c>
      <c r="K12">
        <f t="shared" si="1"/>
        <v>59400</v>
      </c>
      <c r="L12">
        <f t="shared" si="12"/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>
        <f t="shared" si="6"/>
        <v>0</v>
      </c>
      <c r="R12">
        <f t="shared" si="7"/>
        <v>0</v>
      </c>
      <c r="S12">
        <f t="shared" si="8"/>
        <v>0</v>
      </c>
      <c r="T12">
        <f t="shared" si="9"/>
        <v>0</v>
      </c>
      <c r="U12">
        <f t="shared" si="10"/>
        <v>0</v>
      </c>
      <c r="V12">
        <f t="shared" si="11"/>
        <v>0</v>
      </c>
    </row>
    <row r="13" spans="1:22" x14ac:dyDescent="0.4">
      <c r="A13" s="1" t="s">
        <v>71</v>
      </c>
      <c r="B13" s="1" t="s">
        <v>72</v>
      </c>
      <c r="C13" s="1" t="s">
        <v>73</v>
      </c>
      <c r="D13" s="1" t="s">
        <v>44</v>
      </c>
      <c r="E13" s="1" t="s">
        <v>74</v>
      </c>
      <c r="F13" s="5" t="s">
        <v>75</v>
      </c>
      <c r="G13" s="1" t="s">
        <v>27</v>
      </c>
      <c r="H13">
        <f>VLOOKUP(D13,[1]金額リスト!$A$2:$B$6,2,FALSE)</f>
        <v>114300</v>
      </c>
      <c r="I13" s="1" t="s">
        <v>28</v>
      </c>
      <c r="J13">
        <f t="shared" si="0"/>
        <v>0</v>
      </c>
      <c r="K13">
        <f t="shared" si="1"/>
        <v>0</v>
      </c>
      <c r="L13">
        <f t="shared" si="12"/>
        <v>0</v>
      </c>
      <c r="M13">
        <f t="shared" si="2"/>
        <v>0</v>
      </c>
      <c r="N13">
        <f t="shared" si="3"/>
        <v>0</v>
      </c>
      <c r="O13">
        <f t="shared" si="4"/>
        <v>114300</v>
      </c>
      <c r="P13">
        <f t="shared" si="5"/>
        <v>0</v>
      </c>
      <c r="Q13">
        <f t="shared" si="6"/>
        <v>0</v>
      </c>
      <c r="R13">
        <f t="shared" si="7"/>
        <v>0</v>
      </c>
      <c r="S13">
        <f t="shared" si="8"/>
        <v>0</v>
      </c>
      <c r="T13">
        <f t="shared" si="9"/>
        <v>0</v>
      </c>
      <c r="U13">
        <f t="shared" si="10"/>
        <v>0</v>
      </c>
      <c r="V13">
        <f t="shared" si="11"/>
        <v>0</v>
      </c>
    </row>
    <row r="14" spans="1:22" x14ac:dyDescent="0.4">
      <c r="A14" s="1" t="s">
        <v>76</v>
      </c>
      <c r="B14" s="1" t="s">
        <v>77</v>
      </c>
      <c r="C14" s="1" t="s">
        <v>78</v>
      </c>
      <c r="D14" s="1" t="s">
        <v>25</v>
      </c>
      <c r="E14" s="1" t="s">
        <v>37</v>
      </c>
      <c r="F14" s="5" t="s">
        <v>10</v>
      </c>
      <c r="G14" s="1" t="s">
        <v>27</v>
      </c>
      <c r="H14">
        <f>VLOOKUP(D14,[1]金額リスト!$A$2:$B$6,2,FALSE)</f>
        <v>59400</v>
      </c>
      <c r="I14" s="1" t="s">
        <v>33</v>
      </c>
      <c r="J14">
        <f t="shared" si="0"/>
        <v>0</v>
      </c>
      <c r="K14">
        <f t="shared" si="1"/>
        <v>59400</v>
      </c>
      <c r="L14">
        <f t="shared" si="12"/>
        <v>0</v>
      </c>
      <c r="M14">
        <f t="shared" si="2"/>
        <v>0</v>
      </c>
      <c r="N14">
        <f t="shared" si="3"/>
        <v>0</v>
      </c>
      <c r="O14">
        <f t="shared" si="4"/>
        <v>0</v>
      </c>
      <c r="P14">
        <f t="shared" si="5"/>
        <v>0</v>
      </c>
      <c r="Q14">
        <f t="shared" si="6"/>
        <v>0</v>
      </c>
      <c r="R14">
        <f t="shared" si="7"/>
        <v>0</v>
      </c>
      <c r="S14">
        <f t="shared" si="8"/>
        <v>0</v>
      </c>
      <c r="T14">
        <f t="shared" si="9"/>
        <v>0</v>
      </c>
      <c r="U14">
        <f t="shared" si="10"/>
        <v>0</v>
      </c>
      <c r="V14">
        <f t="shared" si="11"/>
        <v>0</v>
      </c>
    </row>
    <row r="15" spans="1:22" x14ac:dyDescent="0.4">
      <c r="A15" s="1" t="s">
        <v>79</v>
      </c>
      <c r="B15" s="1" t="s">
        <v>80</v>
      </c>
      <c r="C15" s="1" t="s">
        <v>81</v>
      </c>
      <c r="D15" s="1" t="s">
        <v>44</v>
      </c>
      <c r="E15" s="1" t="s">
        <v>82</v>
      </c>
      <c r="F15" s="5" t="s">
        <v>46</v>
      </c>
      <c r="G15" s="1" t="s">
        <v>27</v>
      </c>
      <c r="H15">
        <f>VLOOKUP(D15,[1]金額リスト!$A$2:$B$6,2,FALSE)</f>
        <v>114300</v>
      </c>
      <c r="I15" s="1" t="s">
        <v>33</v>
      </c>
      <c r="J15">
        <f t="shared" si="0"/>
        <v>0</v>
      </c>
      <c r="K15">
        <f t="shared" si="1"/>
        <v>0</v>
      </c>
      <c r="L15">
        <f t="shared" si="12"/>
        <v>0</v>
      </c>
      <c r="M15">
        <f t="shared" si="2"/>
        <v>0</v>
      </c>
      <c r="N15">
        <f t="shared" si="3"/>
        <v>114300</v>
      </c>
      <c r="O15">
        <f t="shared" si="4"/>
        <v>0</v>
      </c>
      <c r="P15">
        <f t="shared" si="5"/>
        <v>0</v>
      </c>
      <c r="Q15">
        <f t="shared" si="6"/>
        <v>0</v>
      </c>
      <c r="R15">
        <f t="shared" si="7"/>
        <v>0</v>
      </c>
      <c r="S15">
        <f t="shared" si="8"/>
        <v>0</v>
      </c>
      <c r="T15">
        <f t="shared" si="9"/>
        <v>0</v>
      </c>
      <c r="U15">
        <f t="shared" si="10"/>
        <v>0</v>
      </c>
      <c r="V15">
        <f t="shared" si="11"/>
        <v>0</v>
      </c>
    </row>
    <row r="16" spans="1:22" x14ac:dyDescent="0.4">
      <c r="A16" s="1" t="s">
        <v>83</v>
      </c>
      <c r="B16" s="1" t="s">
        <v>84</v>
      </c>
      <c r="C16" s="1" t="s">
        <v>85</v>
      </c>
      <c r="D16" s="1" t="s">
        <v>44</v>
      </c>
      <c r="E16" s="1" t="s">
        <v>86</v>
      </c>
      <c r="F16" s="5" t="s">
        <v>46</v>
      </c>
      <c r="G16" s="1" t="s">
        <v>27</v>
      </c>
      <c r="H16">
        <f>VLOOKUP(D16,[1]金額リスト!$A$2:$B$6,2,FALSE)</f>
        <v>114300</v>
      </c>
      <c r="I16" s="1" t="s">
        <v>33</v>
      </c>
      <c r="J16">
        <f t="shared" si="0"/>
        <v>0</v>
      </c>
      <c r="K16">
        <f t="shared" si="1"/>
        <v>0</v>
      </c>
      <c r="L16">
        <f t="shared" si="12"/>
        <v>0</v>
      </c>
      <c r="M16">
        <f t="shared" si="2"/>
        <v>0</v>
      </c>
      <c r="N16">
        <f t="shared" si="3"/>
        <v>114300</v>
      </c>
      <c r="O16">
        <f t="shared" si="4"/>
        <v>0</v>
      </c>
      <c r="P16">
        <f t="shared" si="5"/>
        <v>0</v>
      </c>
      <c r="Q16">
        <f t="shared" si="6"/>
        <v>0</v>
      </c>
      <c r="R16">
        <f t="shared" si="7"/>
        <v>0</v>
      </c>
      <c r="S16">
        <f t="shared" si="8"/>
        <v>0</v>
      </c>
      <c r="T16">
        <f t="shared" si="9"/>
        <v>0</v>
      </c>
      <c r="U16">
        <f t="shared" si="10"/>
        <v>0</v>
      </c>
      <c r="V16">
        <f t="shared" si="11"/>
        <v>0</v>
      </c>
    </row>
    <row r="17" spans="1:22" x14ac:dyDescent="0.4">
      <c r="A17" s="1" t="s">
        <v>87</v>
      </c>
      <c r="B17" s="1" t="s">
        <v>88</v>
      </c>
      <c r="C17" s="1" t="s">
        <v>89</v>
      </c>
      <c r="D17" s="1" t="s">
        <v>44</v>
      </c>
      <c r="E17" s="1" t="s">
        <v>90</v>
      </c>
      <c r="F17" s="5" t="s">
        <v>46</v>
      </c>
      <c r="G17" s="1" t="s">
        <v>27</v>
      </c>
      <c r="H17">
        <f>VLOOKUP(D17,[1]金額リスト!$A$2:$B$6,2,FALSE)</f>
        <v>114300</v>
      </c>
      <c r="I17" s="1" t="s">
        <v>33</v>
      </c>
      <c r="J17">
        <f t="shared" si="0"/>
        <v>0</v>
      </c>
      <c r="K17">
        <f t="shared" si="1"/>
        <v>0</v>
      </c>
      <c r="L17">
        <f t="shared" si="12"/>
        <v>0</v>
      </c>
      <c r="M17">
        <f t="shared" si="2"/>
        <v>0</v>
      </c>
      <c r="N17">
        <f t="shared" si="3"/>
        <v>114300</v>
      </c>
      <c r="O17">
        <f t="shared" si="4"/>
        <v>0</v>
      </c>
      <c r="P17">
        <f t="shared" si="5"/>
        <v>0</v>
      </c>
      <c r="Q17">
        <f t="shared" si="6"/>
        <v>0</v>
      </c>
      <c r="R17">
        <f t="shared" si="7"/>
        <v>0</v>
      </c>
      <c r="S17">
        <f t="shared" si="8"/>
        <v>0</v>
      </c>
      <c r="T17">
        <f t="shared" si="9"/>
        <v>0</v>
      </c>
      <c r="U17">
        <f t="shared" si="10"/>
        <v>0</v>
      </c>
      <c r="V17">
        <f t="shared" si="11"/>
        <v>0</v>
      </c>
    </row>
    <row r="18" spans="1:22" x14ac:dyDescent="0.4">
      <c r="A18" s="1" t="s">
        <v>91</v>
      </c>
      <c r="B18" s="1" t="s">
        <v>92</v>
      </c>
      <c r="C18" s="1" t="s">
        <v>93</v>
      </c>
      <c r="D18" s="1" t="s">
        <v>25</v>
      </c>
      <c r="E18" s="1" t="s">
        <v>51</v>
      </c>
      <c r="F18" s="5" t="s">
        <v>10</v>
      </c>
      <c r="G18" s="1" t="s">
        <v>27</v>
      </c>
      <c r="H18">
        <f>VLOOKUP(D18,[1]金額リスト!$A$2:$B$6,2,FALSE)</f>
        <v>59400</v>
      </c>
      <c r="I18" s="1" t="s">
        <v>33</v>
      </c>
      <c r="J18">
        <f t="shared" si="0"/>
        <v>0</v>
      </c>
      <c r="K18">
        <f t="shared" si="1"/>
        <v>59400</v>
      </c>
      <c r="L18">
        <f t="shared" si="12"/>
        <v>0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0</v>
      </c>
      <c r="Q18">
        <f t="shared" si="6"/>
        <v>0</v>
      </c>
      <c r="R18">
        <f t="shared" si="7"/>
        <v>0</v>
      </c>
      <c r="S18">
        <f t="shared" si="8"/>
        <v>0</v>
      </c>
      <c r="T18">
        <f t="shared" si="9"/>
        <v>0</v>
      </c>
      <c r="U18">
        <f t="shared" si="10"/>
        <v>0</v>
      </c>
      <c r="V18">
        <f t="shared" si="11"/>
        <v>0</v>
      </c>
    </row>
    <row r="19" spans="1:22" x14ac:dyDescent="0.4">
      <c r="A19" s="1" t="s">
        <v>94</v>
      </c>
      <c r="B19" s="1" t="s">
        <v>95</v>
      </c>
      <c r="C19" s="1" t="s">
        <v>96</v>
      </c>
      <c r="D19" s="1" t="s">
        <v>50</v>
      </c>
      <c r="E19" s="1" t="s">
        <v>97</v>
      </c>
      <c r="F19" s="5" t="s">
        <v>46</v>
      </c>
      <c r="G19" s="1" t="s">
        <v>52</v>
      </c>
      <c r="H19">
        <f>VLOOKUP(D19,[1]金額リスト!$A$2:$B$6,2,FALSE)</f>
        <v>114300</v>
      </c>
      <c r="I19" s="1" t="s">
        <v>28</v>
      </c>
      <c r="J19">
        <f t="shared" si="0"/>
        <v>0</v>
      </c>
      <c r="K19">
        <f t="shared" si="1"/>
        <v>0</v>
      </c>
      <c r="L19">
        <f t="shared" si="12"/>
        <v>0</v>
      </c>
      <c r="M19">
        <f t="shared" si="2"/>
        <v>0</v>
      </c>
      <c r="N19">
        <f t="shared" si="3"/>
        <v>114300</v>
      </c>
      <c r="O19">
        <f t="shared" si="4"/>
        <v>0</v>
      </c>
      <c r="P19">
        <f t="shared" si="5"/>
        <v>0</v>
      </c>
      <c r="Q19">
        <f t="shared" si="6"/>
        <v>0</v>
      </c>
      <c r="R19">
        <f t="shared" si="7"/>
        <v>0</v>
      </c>
      <c r="S19">
        <f t="shared" si="8"/>
        <v>0</v>
      </c>
      <c r="T19">
        <f t="shared" si="9"/>
        <v>0</v>
      </c>
      <c r="U19">
        <f t="shared" si="10"/>
        <v>0</v>
      </c>
      <c r="V19">
        <f t="shared" si="11"/>
        <v>0</v>
      </c>
    </row>
    <row r="20" spans="1:22" x14ac:dyDescent="0.4">
      <c r="A20" s="1" t="s">
        <v>98</v>
      </c>
      <c r="B20" s="1" t="s">
        <v>99</v>
      </c>
      <c r="C20" s="1" t="s">
        <v>100</v>
      </c>
      <c r="D20" s="1" t="s">
        <v>70</v>
      </c>
      <c r="E20" s="1" t="s">
        <v>101</v>
      </c>
      <c r="F20" s="5" t="s">
        <v>10</v>
      </c>
      <c r="G20" s="1" t="s">
        <v>52</v>
      </c>
      <c r="H20">
        <f>VLOOKUP(D20,[1]金額リスト!$A$2:$B$6,2,FALSE)</f>
        <v>59400</v>
      </c>
      <c r="I20" s="1" t="s">
        <v>28</v>
      </c>
      <c r="J20">
        <f t="shared" si="0"/>
        <v>0</v>
      </c>
      <c r="K20">
        <f t="shared" si="1"/>
        <v>59400</v>
      </c>
      <c r="L20">
        <f t="shared" si="12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0</v>
      </c>
      <c r="Q20">
        <f t="shared" si="6"/>
        <v>0</v>
      </c>
      <c r="R20">
        <f t="shared" si="7"/>
        <v>0</v>
      </c>
      <c r="S20">
        <f t="shared" si="8"/>
        <v>0</v>
      </c>
      <c r="T20">
        <f t="shared" si="9"/>
        <v>0</v>
      </c>
      <c r="U20">
        <f t="shared" si="10"/>
        <v>0</v>
      </c>
      <c r="V20">
        <f t="shared" si="11"/>
        <v>0</v>
      </c>
    </row>
    <row r="21" spans="1:22" x14ac:dyDescent="0.4">
      <c r="A21" s="1" t="s">
        <v>102</v>
      </c>
      <c r="B21" s="1" t="s">
        <v>103</v>
      </c>
      <c r="C21" s="1" t="s">
        <v>104</v>
      </c>
      <c r="D21" s="1" t="s">
        <v>25</v>
      </c>
      <c r="E21" s="1" t="s">
        <v>105</v>
      </c>
      <c r="F21" s="5" t="s">
        <v>10</v>
      </c>
      <c r="G21" s="1" t="s">
        <v>27</v>
      </c>
      <c r="H21">
        <f>VLOOKUP(D21,[1]金額リスト!$A$2:$B$6,2,FALSE)</f>
        <v>59400</v>
      </c>
      <c r="I21" s="1" t="s">
        <v>33</v>
      </c>
      <c r="J21">
        <f t="shared" si="0"/>
        <v>0</v>
      </c>
      <c r="K21">
        <f t="shared" si="1"/>
        <v>59400</v>
      </c>
      <c r="L21">
        <f t="shared" si="12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>
        <f t="shared" si="6"/>
        <v>0</v>
      </c>
      <c r="R21">
        <f t="shared" si="7"/>
        <v>0</v>
      </c>
      <c r="S21">
        <f t="shared" si="8"/>
        <v>0</v>
      </c>
      <c r="T21">
        <f t="shared" si="9"/>
        <v>0</v>
      </c>
      <c r="U21">
        <f t="shared" si="10"/>
        <v>0</v>
      </c>
      <c r="V21">
        <f t="shared" si="11"/>
        <v>0</v>
      </c>
    </row>
    <row r="22" spans="1:22" x14ac:dyDescent="0.4">
      <c r="A22" s="1" t="s">
        <v>106</v>
      </c>
      <c r="B22" s="1" t="s">
        <v>107</v>
      </c>
      <c r="C22" s="1" t="s">
        <v>108</v>
      </c>
      <c r="D22" s="1" t="s">
        <v>44</v>
      </c>
      <c r="E22" s="1" t="s">
        <v>86</v>
      </c>
      <c r="F22" s="5" t="s">
        <v>46</v>
      </c>
      <c r="G22" s="1" t="s">
        <v>27</v>
      </c>
      <c r="H22">
        <f>VLOOKUP(D22,[1]金額リスト!$A$2:$B$6,2,FALSE)</f>
        <v>114300</v>
      </c>
      <c r="I22" s="1" t="s">
        <v>33</v>
      </c>
      <c r="J22">
        <f t="shared" si="0"/>
        <v>0</v>
      </c>
      <c r="K22">
        <f t="shared" si="1"/>
        <v>0</v>
      </c>
      <c r="L22">
        <f t="shared" si="12"/>
        <v>0</v>
      </c>
      <c r="M22">
        <f t="shared" si="2"/>
        <v>0</v>
      </c>
      <c r="N22">
        <f t="shared" si="3"/>
        <v>114300</v>
      </c>
      <c r="O22">
        <f t="shared" si="4"/>
        <v>0</v>
      </c>
      <c r="P22">
        <f t="shared" si="5"/>
        <v>0</v>
      </c>
      <c r="Q22">
        <f t="shared" si="6"/>
        <v>0</v>
      </c>
      <c r="R22">
        <f t="shared" si="7"/>
        <v>0</v>
      </c>
      <c r="S22">
        <f t="shared" si="8"/>
        <v>0</v>
      </c>
      <c r="T22">
        <f t="shared" si="9"/>
        <v>0</v>
      </c>
      <c r="U22">
        <f t="shared" si="10"/>
        <v>0</v>
      </c>
      <c r="V22">
        <f t="shared" si="11"/>
        <v>0</v>
      </c>
    </row>
    <row r="23" spans="1:22" x14ac:dyDescent="0.4">
      <c r="A23" s="1" t="s">
        <v>109</v>
      </c>
      <c r="B23" s="1" t="s">
        <v>110</v>
      </c>
      <c r="C23" s="1" t="s">
        <v>111</v>
      </c>
      <c r="D23" s="1" t="s">
        <v>44</v>
      </c>
      <c r="E23" s="1" t="s">
        <v>112</v>
      </c>
      <c r="F23" s="5" t="s">
        <v>46</v>
      </c>
      <c r="G23" s="1" t="s">
        <v>27</v>
      </c>
      <c r="H23">
        <f>VLOOKUP(D23,[1]金額リスト!$A$2:$B$6,2,FALSE)</f>
        <v>114300</v>
      </c>
      <c r="I23" s="1" t="s">
        <v>33</v>
      </c>
      <c r="J23">
        <f t="shared" si="0"/>
        <v>0</v>
      </c>
      <c r="K23">
        <f t="shared" si="1"/>
        <v>0</v>
      </c>
      <c r="L23">
        <f t="shared" si="12"/>
        <v>0</v>
      </c>
      <c r="M23">
        <f t="shared" si="2"/>
        <v>0</v>
      </c>
      <c r="N23">
        <f t="shared" si="3"/>
        <v>114300</v>
      </c>
      <c r="O23">
        <f t="shared" si="4"/>
        <v>0</v>
      </c>
      <c r="P23">
        <f t="shared" si="5"/>
        <v>0</v>
      </c>
      <c r="Q23">
        <f t="shared" si="6"/>
        <v>0</v>
      </c>
      <c r="R23">
        <f t="shared" si="7"/>
        <v>0</v>
      </c>
      <c r="S23">
        <f t="shared" si="8"/>
        <v>0</v>
      </c>
      <c r="T23">
        <f t="shared" si="9"/>
        <v>0</v>
      </c>
      <c r="U23">
        <f t="shared" si="10"/>
        <v>0</v>
      </c>
      <c r="V23">
        <f t="shared" si="11"/>
        <v>0</v>
      </c>
    </row>
    <row r="24" spans="1:22" x14ac:dyDescent="0.4">
      <c r="A24" s="1" t="s">
        <v>113</v>
      </c>
      <c r="B24" s="1" t="s">
        <v>114</v>
      </c>
      <c r="C24" s="1" t="s">
        <v>115</v>
      </c>
      <c r="D24" s="1" t="s">
        <v>25</v>
      </c>
      <c r="E24" s="1" t="s">
        <v>37</v>
      </c>
      <c r="F24" s="5" t="s">
        <v>10</v>
      </c>
      <c r="G24" s="1" t="s">
        <v>27</v>
      </c>
      <c r="H24">
        <f>VLOOKUP(D24,[1]金額リスト!$A$2:$B$6,2,FALSE)</f>
        <v>59400</v>
      </c>
      <c r="I24" s="1" t="s">
        <v>33</v>
      </c>
      <c r="J24">
        <f t="shared" si="0"/>
        <v>0</v>
      </c>
      <c r="K24">
        <f t="shared" si="1"/>
        <v>59400</v>
      </c>
      <c r="L24">
        <f t="shared" si="12"/>
        <v>0</v>
      </c>
      <c r="M24">
        <f t="shared" si="2"/>
        <v>0</v>
      </c>
      <c r="N24">
        <f t="shared" si="3"/>
        <v>0</v>
      </c>
      <c r="O24">
        <f t="shared" si="4"/>
        <v>0</v>
      </c>
      <c r="P24">
        <f t="shared" si="5"/>
        <v>0</v>
      </c>
      <c r="Q24">
        <f t="shared" si="6"/>
        <v>0</v>
      </c>
      <c r="R24">
        <f t="shared" si="7"/>
        <v>0</v>
      </c>
      <c r="S24">
        <f t="shared" si="8"/>
        <v>0</v>
      </c>
      <c r="T24">
        <f t="shared" si="9"/>
        <v>0</v>
      </c>
      <c r="U24">
        <f t="shared" si="10"/>
        <v>0</v>
      </c>
      <c r="V24">
        <f t="shared" si="11"/>
        <v>0</v>
      </c>
    </row>
    <row r="25" spans="1:22" x14ac:dyDescent="0.4">
      <c r="A25" s="1" t="s">
        <v>116</v>
      </c>
      <c r="B25" s="1" t="s">
        <v>117</v>
      </c>
      <c r="C25" s="1" t="s">
        <v>118</v>
      </c>
      <c r="D25" s="1" t="s">
        <v>44</v>
      </c>
      <c r="E25" s="1" t="s">
        <v>37</v>
      </c>
      <c r="F25" s="5" t="s">
        <v>46</v>
      </c>
      <c r="G25" s="1" t="s">
        <v>27</v>
      </c>
      <c r="H25">
        <f>VLOOKUP(D25,[1]金額リスト!$A$2:$B$6,2,FALSE)</f>
        <v>114300</v>
      </c>
      <c r="I25" s="1" t="s">
        <v>33</v>
      </c>
      <c r="J25">
        <f t="shared" si="0"/>
        <v>0</v>
      </c>
      <c r="K25">
        <f t="shared" si="1"/>
        <v>0</v>
      </c>
      <c r="L25">
        <f t="shared" si="12"/>
        <v>0</v>
      </c>
      <c r="M25">
        <f t="shared" si="2"/>
        <v>0</v>
      </c>
      <c r="N25">
        <f t="shared" si="3"/>
        <v>114300</v>
      </c>
      <c r="O25">
        <f t="shared" si="4"/>
        <v>0</v>
      </c>
      <c r="P25">
        <f t="shared" si="5"/>
        <v>0</v>
      </c>
      <c r="Q25">
        <f t="shared" si="6"/>
        <v>0</v>
      </c>
      <c r="R25">
        <f t="shared" si="7"/>
        <v>0</v>
      </c>
      <c r="S25">
        <f t="shared" si="8"/>
        <v>0</v>
      </c>
      <c r="T25">
        <f t="shared" si="9"/>
        <v>0</v>
      </c>
      <c r="U25">
        <f t="shared" si="10"/>
        <v>0</v>
      </c>
      <c r="V25">
        <f t="shared" si="11"/>
        <v>0</v>
      </c>
    </row>
    <row r="26" spans="1:22" x14ac:dyDescent="0.4">
      <c r="A26" s="1" t="s">
        <v>119</v>
      </c>
      <c r="B26" s="1" t="s">
        <v>120</v>
      </c>
      <c r="C26" s="1" t="s">
        <v>121</v>
      </c>
      <c r="D26" s="1" t="s">
        <v>50</v>
      </c>
      <c r="E26" s="1" t="s">
        <v>101</v>
      </c>
      <c r="F26" s="5" t="s">
        <v>46</v>
      </c>
      <c r="G26" s="1" t="s">
        <v>52</v>
      </c>
      <c r="H26">
        <f>VLOOKUP(D26,[1]金額リスト!$A$2:$B$6,2,FALSE)</f>
        <v>114300</v>
      </c>
      <c r="I26" s="1" t="s">
        <v>28</v>
      </c>
      <c r="J26">
        <f t="shared" si="0"/>
        <v>0</v>
      </c>
      <c r="K26">
        <f t="shared" si="1"/>
        <v>0</v>
      </c>
      <c r="L26">
        <f t="shared" si="12"/>
        <v>0</v>
      </c>
      <c r="M26">
        <f t="shared" si="2"/>
        <v>0</v>
      </c>
      <c r="N26">
        <f t="shared" si="3"/>
        <v>114300</v>
      </c>
      <c r="O26">
        <f t="shared" si="4"/>
        <v>0</v>
      </c>
      <c r="P26">
        <f t="shared" si="5"/>
        <v>0</v>
      </c>
      <c r="Q26">
        <f t="shared" si="6"/>
        <v>0</v>
      </c>
      <c r="R26">
        <f t="shared" si="7"/>
        <v>0</v>
      </c>
      <c r="S26">
        <f t="shared" si="8"/>
        <v>0</v>
      </c>
      <c r="T26">
        <f t="shared" si="9"/>
        <v>0</v>
      </c>
      <c r="U26">
        <f t="shared" si="10"/>
        <v>0</v>
      </c>
      <c r="V26">
        <f t="shared" si="11"/>
        <v>0</v>
      </c>
    </row>
    <row r="27" spans="1:22" x14ac:dyDescent="0.4">
      <c r="A27" s="1" t="s">
        <v>122</v>
      </c>
      <c r="B27" s="1" t="s">
        <v>123</v>
      </c>
      <c r="C27" s="1" t="s">
        <v>124</v>
      </c>
      <c r="D27" s="1" t="s">
        <v>44</v>
      </c>
      <c r="E27" s="1" t="s">
        <v>32</v>
      </c>
      <c r="F27" s="5" t="s">
        <v>46</v>
      </c>
      <c r="G27" s="1" t="s">
        <v>27</v>
      </c>
      <c r="H27">
        <f>VLOOKUP(D27,[1]金額リスト!$A$2:$B$6,2,FALSE)</f>
        <v>114300</v>
      </c>
      <c r="I27" s="1" t="s">
        <v>33</v>
      </c>
      <c r="J27">
        <f t="shared" si="0"/>
        <v>0</v>
      </c>
      <c r="K27">
        <f t="shared" si="1"/>
        <v>0</v>
      </c>
      <c r="L27">
        <f t="shared" si="12"/>
        <v>0</v>
      </c>
      <c r="M27">
        <f t="shared" si="2"/>
        <v>0</v>
      </c>
      <c r="N27">
        <f t="shared" si="3"/>
        <v>114300</v>
      </c>
      <c r="O27">
        <f t="shared" si="4"/>
        <v>0</v>
      </c>
      <c r="P27">
        <f t="shared" si="5"/>
        <v>0</v>
      </c>
      <c r="Q27">
        <f t="shared" si="6"/>
        <v>0</v>
      </c>
      <c r="R27">
        <f t="shared" si="7"/>
        <v>0</v>
      </c>
      <c r="S27">
        <f t="shared" si="8"/>
        <v>0</v>
      </c>
      <c r="T27">
        <f t="shared" si="9"/>
        <v>0</v>
      </c>
      <c r="U27">
        <f t="shared" si="10"/>
        <v>0</v>
      </c>
      <c r="V27">
        <f t="shared" si="11"/>
        <v>0</v>
      </c>
    </row>
    <row r="28" spans="1:22" x14ac:dyDescent="0.4">
      <c r="A28" s="1" t="s">
        <v>125</v>
      </c>
      <c r="B28" s="1" t="s">
        <v>126</v>
      </c>
      <c r="C28" s="1" t="s">
        <v>127</v>
      </c>
      <c r="D28" s="1" t="s">
        <v>44</v>
      </c>
      <c r="E28" s="1" t="s">
        <v>97</v>
      </c>
      <c r="F28" s="5" t="s">
        <v>46</v>
      </c>
      <c r="G28" s="1" t="s">
        <v>27</v>
      </c>
      <c r="H28">
        <f>VLOOKUP(D28,[1]金額リスト!$A$2:$B$6,2,FALSE)</f>
        <v>114300</v>
      </c>
      <c r="I28" s="1" t="s">
        <v>33</v>
      </c>
      <c r="J28">
        <f t="shared" si="0"/>
        <v>0</v>
      </c>
      <c r="K28">
        <f t="shared" si="1"/>
        <v>0</v>
      </c>
      <c r="L28">
        <f t="shared" si="12"/>
        <v>0</v>
      </c>
      <c r="M28">
        <f t="shared" si="2"/>
        <v>0</v>
      </c>
      <c r="N28">
        <f t="shared" si="3"/>
        <v>114300</v>
      </c>
      <c r="O28">
        <f t="shared" si="4"/>
        <v>0</v>
      </c>
      <c r="P28">
        <f t="shared" si="5"/>
        <v>0</v>
      </c>
      <c r="Q28">
        <f t="shared" si="6"/>
        <v>0</v>
      </c>
      <c r="R28">
        <f t="shared" si="7"/>
        <v>0</v>
      </c>
      <c r="S28">
        <f t="shared" si="8"/>
        <v>0</v>
      </c>
      <c r="T28">
        <f t="shared" si="9"/>
        <v>0</v>
      </c>
      <c r="U28">
        <f t="shared" si="10"/>
        <v>0</v>
      </c>
      <c r="V28">
        <f t="shared" si="11"/>
        <v>0</v>
      </c>
    </row>
    <row r="29" spans="1:22" x14ac:dyDescent="0.4">
      <c r="A29" s="1" t="s">
        <v>128</v>
      </c>
      <c r="B29" s="1" t="s">
        <v>129</v>
      </c>
      <c r="C29" s="1" t="s">
        <v>130</v>
      </c>
      <c r="D29" s="1" t="s">
        <v>44</v>
      </c>
      <c r="E29" s="1" t="s">
        <v>86</v>
      </c>
      <c r="F29" s="5" t="s">
        <v>46</v>
      </c>
      <c r="G29" s="1" t="s">
        <v>27</v>
      </c>
      <c r="H29">
        <f>VLOOKUP(D29,[1]金額リスト!$A$2:$B$6,2,FALSE)</f>
        <v>114300</v>
      </c>
      <c r="I29" s="1" t="s">
        <v>33</v>
      </c>
      <c r="J29">
        <f t="shared" si="0"/>
        <v>0</v>
      </c>
      <c r="K29">
        <f t="shared" si="1"/>
        <v>0</v>
      </c>
      <c r="L29">
        <f t="shared" si="12"/>
        <v>0</v>
      </c>
      <c r="M29">
        <f t="shared" si="2"/>
        <v>0</v>
      </c>
      <c r="N29">
        <f t="shared" si="3"/>
        <v>114300</v>
      </c>
      <c r="O29">
        <f t="shared" si="4"/>
        <v>0</v>
      </c>
      <c r="P29">
        <f t="shared" si="5"/>
        <v>0</v>
      </c>
      <c r="Q29">
        <f t="shared" si="6"/>
        <v>0</v>
      </c>
      <c r="R29">
        <f t="shared" si="7"/>
        <v>0</v>
      </c>
      <c r="S29">
        <f t="shared" si="8"/>
        <v>0</v>
      </c>
      <c r="T29">
        <f t="shared" si="9"/>
        <v>0</v>
      </c>
      <c r="U29">
        <f t="shared" si="10"/>
        <v>0</v>
      </c>
      <c r="V29">
        <f t="shared" si="11"/>
        <v>0</v>
      </c>
    </row>
    <row r="30" spans="1:22" x14ac:dyDescent="0.4">
      <c r="A30" s="1" t="s">
        <v>131</v>
      </c>
      <c r="B30" s="1" t="s">
        <v>132</v>
      </c>
      <c r="C30" s="1" t="s">
        <v>133</v>
      </c>
      <c r="D30" s="1" t="s">
        <v>44</v>
      </c>
      <c r="E30" s="1" t="s">
        <v>51</v>
      </c>
      <c r="F30" s="5" t="s">
        <v>46</v>
      </c>
      <c r="G30" s="1" t="s">
        <v>27</v>
      </c>
      <c r="H30">
        <f>VLOOKUP(D30,[1]金額リスト!$A$2:$B$6,2,FALSE)</f>
        <v>114300</v>
      </c>
      <c r="I30" s="1" t="s">
        <v>33</v>
      </c>
      <c r="J30">
        <f t="shared" si="0"/>
        <v>0</v>
      </c>
      <c r="K30">
        <f t="shared" si="1"/>
        <v>0</v>
      </c>
      <c r="L30">
        <f t="shared" si="12"/>
        <v>0</v>
      </c>
      <c r="M30">
        <f t="shared" si="2"/>
        <v>0</v>
      </c>
      <c r="N30">
        <f t="shared" si="3"/>
        <v>114300</v>
      </c>
      <c r="O30">
        <f t="shared" si="4"/>
        <v>0</v>
      </c>
      <c r="P30">
        <f t="shared" si="5"/>
        <v>0</v>
      </c>
      <c r="Q30">
        <f t="shared" si="6"/>
        <v>0</v>
      </c>
      <c r="R30">
        <f t="shared" si="7"/>
        <v>0</v>
      </c>
      <c r="S30">
        <f t="shared" si="8"/>
        <v>0</v>
      </c>
      <c r="T30">
        <f t="shared" si="9"/>
        <v>0</v>
      </c>
      <c r="U30">
        <f t="shared" si="10"/>
        <v>0</v>
      </c>
      <c r="V30">
        <f t="shared" si="11"/>
        <v>0</v>
      </c>
    </row>
    <row r="31" spans="1:22" x14ac:dyDescent="0.4">
      <c r="A31" s="1" t="s">
        <v>134</v>
      </c>
      <c r="B31" s="1" t="s">
        <v>135</v>
      </c>
      <c r="C31" s="1" t="s">
        <v>136</v>
      </c>
      <c r="D31" s="1" t="s">
        <v>44</v>
      </c>
      <c r="E31" s="1" t="s">
        <v>86</v>
      </c>
      <c r="F31" s="5" t="s">
        <v>46</v>
      </c>
      <c r="G31" s="1" t="s">
        <v>27</v>
      </c>
      <c r="H31">
        <f>VLOOKUP(D31,[1]金額リスト!$A$2:$B$6,2,FALSE)</f>
        <v>114300</v>
      </c>
      <c r="I31" s="1" t="s">
        <v>33</v>
      </c>
      <c r="J31">
        <f t="shared" si="0"/>
        <v>0</v>
      </c>
      <c r="K31">
        <f t="shared" si="1"/>
        <v>0</v>
      </c>
      <c r="L31">
        <f t="shared" si="12"/>
        <v>0</v>
      </c>
      <c r="M31">
        <f t="shared" si="2"/>
        <v>0</v>
      </c>
      <c r="N31">
        <f t="shared" si="3"/>
        <v>114300</v>
      </c>
      <c r="O31">
        <f t="shared" si="4"/>
        <v>0</v>
      </c>
      <c r="P31">
        <f t="shared" si="5"/>
        <v>0</v>
      </c>
      <c r="Q31">
        <f t="shared" si="6"/>
        <v>0</v>
      </c>
      <c r="R31">
        <f t="shared" si="7"/>
        <v>0</v>
      </c>
      <c r="S31">
        <f t="shared" si="8"/>
        <v>0</v>
      </c>
      <c r="T31">
        <f t="shared" si="9"/>
        <v>0</v>
      </c>
      <c r="U31">
        <f t="shared" si="10"/>
        <v>0</v>
      </c>
      <c r="V31">
        <f t="shared" si="11"/>
        <v>0</v>
      </c>
    </row>
    <row r="32" spans="1:22" x14ac:dyDescent="0.4">
      <c r="A32" s="1" t="s">
        <v>137</v>
      </c>
      <c r="B32" s="1" t="s">
        <v>138</v>
      </c>
      <c r="C32" s="1" t="s">
        <v>139</v>
      </c>
      <c r="D32" s="1" t="s">
        <v>44</v>
      </c>
      <c r="E32" s="1" t="s">
        <v>140</v>
      </c>
      <c r="F32" s="5" t="s">
        <v>46</v>
      </c>
      <c r="G32" s="1" t="s">
        <v>27</v>
      </c>
      <c r="H32">
        <f>VLOOKUP(D32,[1]金額リスト!$A$2:$B$6,2,FALSE)</f>
        <v>114300</v>
      </c>
      <c r="I32" s="1" t="s">
        <v>33</v>
      </c>
      <c r="J32">
        <f t="shared" si="0"/>
        <v>0</v>
      </c>
      <c r="K32">
        <f t="shared" si="1"/>
        <v>0</v>
      </c>
      <c r="L32">
        <f t="shared" si="12"/>
        <v>0</v>
      </c>
      <c r="M32">
        <f t="shared" si="2"/>
        <v>0</v>
      </c>
      <c r="N32">
        <f t="shared" si="3"/>
        <v>114300</v>
      </c>
      <c r="O32">
        <f t="shared" si="4"/>
        <v>0</v>
      </c>
      <c r="P32">
        <f t="shared" si="5"/>
        <v>0</v>
      </c>
      <c r="Q32">
        <f t="shared" si="6"/>
        <v>0</v>
      </c>
      <c r="R32">
        <f t="shared" si="7"/>
        <v>0</v>
      </c>
      <c r="S32">
        <f t="shared" si="8"/>
        <v>0</v>
      </c>
      <c r="T32">
        <f t="shared" si="9"/>
        <v>0</v>
      </c>
      <c r="U32">
        <f t="shared" si="10"/>
        <v>0</v>
      </c>
      <c r="V32">
        <f t="shared" si="11"/>
        <v>0</v>
      </c>
    </row>
    <row r="33" spans="1:22" x14ac:dyDescent="0.4">
      <c r="A33" s="1" t="s">
        <v>141</v>
      </c>
      <c r="B33" s="1" t="s">
        <v>142</v>
      </c>
      <c r="C33" s="1" t="s">
        <v>143</v>
      </c>
      <c r="D33" s="1" t="s">
        <v>44</v>
      </c>
      <c r="E33" s="1" t="s">
        <v>63</v>
      </c>
      <c r="F33" s="5" t="s">
        <v>46</v>
      </c>
      <c r="G33" s="1" t="s">
        <v>27</v>
      </c>
      <c r="H33">
        <f>VLOOKUP(D33,[1]金額リスト!$A$2:$B$6,2,FALSE)</f>
        <v>114300</v>
      </c>
      <c r="I33" s="1" t="s">
        <v>33</v>
      </c>
      <c r="J33">
        <f t="shared" si="0"/>
        <v>0</v>
      </c>
      <c r="K33">
        <f t="shared" si="1"/>
        <v>0</v>
      </c>
      <c r="L33">
        <f t="shared" si="12"/>
        <v>0</v>
      </c>
      <c r="M33">
        <f t="shared" si="2"/>
        <v>0</v>
      </c>
      <c r="N33">
        <f t="shared" si="3"/>
        <v>114300</v>
      </c>
      <c r="O33">
        <f t="shared" si="4"/>
        <v>0</v>
      </c>
      <c r="P33">
        <f t="shared" si="5"/>
        <v>0</v>
      </c>
      <c r="Q33">
        <f t="shared" si="6"/>
        <v>0</v>
      </c>
      <c r="R33">
        <f t="shared" si="7"/>
        <v>0</v>
      </c>
      <c r="S33">
        <f t="shared" si="8"/>
        <v>0</v>
      </c>
      <c r="T33">
        <f t="shared" si="9"/>
        <v>0</v>
      </c>
      <c r="U33">
        <f t="shared" si="10"/>
        <v>0</v>
      </c>
      <c r="V33">
        <f t="shared" si="11"/>
        <v>0</v>
      </c>
    </row>
    <row r="34" spans="1:22" x14ac:dyDescent="0.4">
      <c r="A34" s="1" t="s">
        <v>144</v>
      </c>
      <c r="B34" s="1" t="s">
        <v>145</v>
      </c>
      <c r="C34" s="1" t="s">
        <v>146</v>
      </c>
      <c r="D34" s="1" t="s">
        <v>44</v>
      </c>
      <c r="E34" s="1" t="s">
        <v>63</v>
      </c>
      <c r="F34" s="5" t="s">
        <v>46</v>
      </c>
      <c r="G34" s="1" t="s">
        <v>27</v>
      </c>
      <c r="H34">
        <f>VLOOKUP(D34,[1]金額リスト!$A$2:$B$6,2,FALSE)</f>
        <v>114300</v>
      </c>
      <c r="I34" s="1" t="s">
        <v>33</v>
      </c>
      <c r="J34">
        <f t="shared" si="0"/>
        <v>0</v>
      </c>
      <c r="K34">
        <f t="shared" si="1"/>
        <v>0</v>
      </c>
      <c r="L34">
        <f t="shared" si="12"/>
        <v>0</v>
      </c>
      <c r="M34">
        <f t="shared" si="2"/>
        <v>0</v>
      </c>
      <c r="N34">
        <f t="shared" si="3"/>
        <v>114300</v>
      </c>
      <c r="O34">
        <f t="shared" si="4"/>
        <v>0</v>
      </c>
      <c r="P34">
        <f t="shared" si="5"/>
        <v>0</v>
      </c>
      <c r="Q34">
        <f t="shared" si="6"/>
        <v>0</v>
      </c>
      <c r="R34">
        <f t="shared" si="7"/>
        <v>0</v>
      </c>
      <c r="S34">
        <f t="shared" si="8"/>
        <v>0</v>
      </c>
      <c r="T34">
        <f t="shared" si="9"/>
        <v>0</v>
      </c>
      <c r="U34">
        <f t="shared" si="10"/>
        <v>0</v>
      </c>
      <c r="V34">
        <f t="shared" si="11"/>
        <v>0</v>
      </c>
    </row>
    <row r="35" spans="1:22" x14ac:dyDescent="0.4">
      <c r="A35" s="1" t="s">
        <v>147</v>
      </c>
      <c r="B35" s="1" t="s">
        <v>148</v>
      </c>
      <c r="C35" s="1" t="s">
        <v>149</v>
      </c>
      <c r="D35" s="1" t="s">
        <v>44</v>
      </c>
      <c r="E35" s="1" t="s">
        <v>150</v>
      </c>
      <c r="F35" s="5" t="s">
        <v>46</v>
      </c>
      <c r="G35" s="1" t="s">
        <v>27</v>
      </c>
      <c r="H35">
        <f>VLOOKUP(D35,[1]金額リスト!$A$2:$B$6,2,FALSE)</f>
        <v>114300</v>
      </c>
      <c r="I35" s="1" t="s">
        <v>33</v>
      </c>
      <c r="J35">
        <f t="shared" si="0"/>
        <v>0</v>
      </c>
      <c r="K35">
        <f t="shared" si="1"/>
        <v>0</v>
      </c>
      <c r="L35">
        <f t="shared" si="12"/>
        <v>0</v>
      </c>
      <c r="M35">
        <f t="shared" si="2"/>
        <v>0</v>
      </c>
      <c r="N35">
        <f t="shared" si="3"/>
        <v>114300</v>
      </c>
      <c r="O35">
        <f t="shared" si="4"/>
        <v>0</v>
      </c>
      <c r="P35">
        <f t="shared" si="5"/>
        <v>0</v>
      </c>
      <c r="Q35">
        <f t="shared" si="6"/>
        <v>0</v>
      </c>
      <c r="R35">
        <f t="shared" si="7"/>
        <v>0</v>
      </c>
      <c r="S35">
        <f t="shared" si="8"/>
        <v>0</v>
      </c>
      <c r="T35">
        <f t="shared" si="9"/>
        <v>0</v>
      </c>
      <c r="U35">
        <f t="shared" si="10"/>
        <v>0</v>
      </c>
      <c r="V35">
        <f t="shared" si="11"/>
        <v>0</v>
      </c>
    </row>
    <row r="36" spans="1:22" x14ac:dyDescent="0.4">
      <c r="A36" s="1" t="s">
        <v>151</v>
      </c>
      <c r="B36" s="1" t="s">
        <v>152</v>
      </c>
      <c r="C36" s="1" t="s">
        <v>153</v>
      </c>
      <c r="D36" s="1" t="s">
        <v>44</v>
      </c>
      <c r="E36" s="1" t="s">
        <v>112</v>
      </c>
      <c r="F36" s="5" t="s">
        <v>46</v>
      </c>
      <c r="G36" s="1" t="s">
        <v>27</v>
      </c>
      <c r="H36">
        <f>VLOOKUP(D36,[1]金額リスト!$A$2:$B$6,2,FALSE)</f>
        <v>114300</v>
      </c>
      <c r="I36" s="1" t="s">
        <v>33</v>
      </c>
      <c r="J36">
        <f t="shared" si="0"/>
        <v>0</v>
      </c>
      <c r="K36">
        <f t="shared" si="1"/>
        <v>0</v>
      </c>
      <c r="L36">
        <f t="shared" si="12"/>
        <v>0</v>
      </c>
      <c r="M36">
        <f t="shared" si="2"/>
        <v>0</v>
      </c>
      <c r="N36">
        <f t="shared" si="3"/>
        <v>114300</v>
      </c>
      <c r="O36">
        <f t="shared" si="4"/>
        <v>0</v>
      </c>
      <c r="P36">
        <f t="shared" si="5"/>
        <v>0</v>
      </c>
      <c r="Q36">
        <f t="shared" si="6"/>
        <v>0</v>
      </c>
      <c r="R36">
        <f t="shared" si="7"/>
        <v>0</v>
      </c>
      <c r="S36">
        <f t="shared" si="8"/>
        <v>0</v>
      </c>
      <c r="T36">
        <f t="shared" si="9"/>
        <v>0</v>
      </c>
      <c r="U36">
        <f t="shared" si="10"/>
        <v>0</v>
      </c>
      <c r="V36">
        <f t="shared" si="11"/>
        <v>0</v>
      </c>
    </row>
    <row r="37" spans="1:22" x14ac:dyDescent="0.4">
      <c r="A37" s="1" t="s">
        <v>154</v>
      </c>
      <c r="B37" s="1" t="s">
        <v>155</v>
      </c>
      <c r="C37" s="1" t="s">
        <v>156</v>
      </c>
      <c r="D37" s="1" t="s">
        <v>44</v>
      </c>
      <c r="E37" s="1" t="s">
        <v>86</v>
      </c>
      <c r="F37" s="5" t="s">
        <v>46</v>
      </c>
      <c r="G37" s="1" t="s">
        <v>27</v>
      </c>
      <c r="H37">
        <f>VLOOKUP(D37,[1]金額リスト!$A$2:$B$6,2,FALSE)</f>
        <v>114300</v>
      </c>
      <c r="I37" s="1" t="s">
        <v>33</v>
      </c>
      <c r="J37">
        <f t="shared" si="0"/>
        <v>0</v>
      </c>
      <c r="K37">
        <f t="shared" si="1"/>
        <v>0</v>
      </c>
      <c r="L37">
        <f t="shared" si="12"/>
        <v>0</v>
      </c>
      <c r="M37">
        <f t="shared" si="2"/>
        <v>0</v>
      </c>
      <c r="N37">
        <f t="shared" si="3"/>
        <v>114300</v>
      </c>
      <c r="O37">
        <f t="shared" si="4"/>
        <v>0</v>
      </c>
      <c r="P37">
        <f t="shared" si="5"/>
        <v>0</v>
      </c>
      <c r="Q37">
        <f t="shared" si="6"/>
        <v>0</v>
      </c>
      <c r="R37">
        <f t="shared" si="7"/>
        <v>0</v>
      </c>
      <c r="S37">
        <f t="shared" si="8"/>
        <v>0</v>
      </c>
      <c r="T37">
        <f t="shared" si="9"/>
        <v>0</v>
      </c>
      <c r="U37">
        <f t="shared" si="10"/>
        <v>0</v>
      </c>
      <c r="V37">
        <f t="shared" si="11"/>
        <v>0</v>
      </c>
    </row>
    <row r="38" spans="1:22" x14ac:dyDescent="0.4">
      <c r="A38" s="1" t="s">
        <v>157</v>
      </c>
      <c r="B38" s="1" t="s">
        <v>158</v>
      </c>
      <c r="C38" s="1" t="s">
        <v>159</v>
      </c>
      <c r="D38" s="1" t="s">
        <v>44</v>
      </c>
      <c r="E38" s="1" t="s">
        <v>32</v>
      </c>
      <c r="F38" s="5" t="s">
        <v>46</v>
      </c>
      <c r="G38" s="1" t="s">
        <v>27</v>
      </c>
      <c r="H38">
        <f>VLOOKUP(D38,[1]金額リスト!$A$2:$B$6,2,FALSE)</f>
        <v>114300</v>
      </c>
      <c r="I38" s="1" t="s">
        <v>33</v>
      </c>
      <c r="J38">
        <f t="shared" si="0"/>
        <v>0</v>
      </c>
      <c r="K38">
        <f t="shared" si="1"/>
        <v>0</v>
      </c>
      <c r="L38">
        <f t="shared" si="12"/>
        <v>0</v>
      </c>
      <c r="M38">
        <f t="shared" si="2"/>
        <v>0</v>
      </c>
      <c r="N38">
        <f t="shared" si="3"/>
        <v>114300</v>
      </c>
      <c r="O38">
        <f t="shared" si="4"/>
        <v>0</v>
      </c>
      <c r="P38">
        <f t="shared" si="5"/>
        <v>0</v>
      </c>
      <c r="Q38">
        <f t="shared" si="6"/>
        <v>0</v>
      </c>
      <c r="R38">
        <f t="shared" si="7"/>
        <v>0</v>
      </c>
      <c r="S38">
        <f t="shared" si="8"/>
        <v>0</v>
      </c>
      <c r="T38">
        <f t="shared" si="9"/>
        <v>0</v>
      </c>
      <c r="U38">
        <f t="shared" si="10"/>
        <v>0</v>
      </c>
      <c r="V38">
        <f t="shared" si="11"/>
        <v>0</v>
      </c>
    </row>
    <row r="39" spans="1:22" x14ac:dyDescent="0.4">
      <c r="A39" s="1" t="s">
        <v>160</v>
      </c>
      <c r="B39" s="1" t="s">
        <v>161</v>
      </c>
      <c r="C39" s="1" t="s">
        <v>162</v>
      </c>
      <c r="D39" s="1" t="s">
        <v>44</v>
      </c>
      <c r="E39" s="1" t="s">
        <v>56</v>
      </c>
      <c r="F39" s="5" t="s">
        <v>46</v>
      </c>
      <c r="G39" s="1" t="s">
        <v>27</v>
      </c>
      <c r="H39">
        <f>VLOOKUP(D39,[1]金額リスト!$A$2:$B$6,2,FALSE)</f>
        <v>114300</v>
      </c>
      <c r="I39" s="1" t="s">
        <v>33</v>
      </c>
      <c r="J39">
        <f t="shared" si="0"/>
        <v>0</v>
      </c>
      <c r="K39">
        <f t="shared" si="1"/>
        <v>0</v>
      </c>
      <c r="L39">
        <f t="shared" si="12"/>
        <v>0</v>
      </c>
      <c r="M39">
        <f t="shared" si="2"/>
        <v>0</v>
      </c>
      <c r="N39">
        <f t="shared" si="3"/>
        <v>114300</v>
      </c>
      <c r="O39">
        <f t="shared" si="4"/>
        <v>0</v>
      </c>
      <c r="P39">
        <f t="shared" si="5"/>
        <v>0</v>
      </c>
      <c r="Q39">
        <f t="shared" si="6"/>
        <v>0</v>
      </c>
      <c r="R39">
        <f t="shared" si="7"/>
        <v>0</v>
      </c>
      <c r="S39">
        <f t="shared" si="8"/>
        <v>0</v>
      </c>
      <c r="T39">
        <f t="shared" si="9"/>
        <v>0</v>
      </c>
      <c r="U39">
        <f t="shared" si="10"/>
        <v>0</v>
      </c>
      <c r="V39">
        <f t="shared" si="11"/>
        <v>0</v>
      </c>
    </row>
    <row r="40" spans="1:22" x14ac:dyDescent="0.4">
      <c r="A40" s="1" t="s">
        <v>163</v>
      </c>
      <c r="B40" s="1" t="s">
        <v>164</v>
      </c>
      <c r="C40" s="1" t="s">
        <v>165</v>
      </c>
      <c r="D40" s="1" t="s">
        <v>44</v>
      </c>
      <c r="E40" s="1" t="s">
        <v>32</v>
      </c>
      <c r="F40" s="5" t="s">
        <v>46</v>
      </c>
      <c r="G40" s="1" t="s">
        <v>27</v>
      </c>
      <c r="H40">
        <f>VLOOKUP(D40,[1]金額リスト!$A$2:$B$6,2,FALSE)</f>
        <v>114300</v>
      </c>
      <c r="I40" s="1" t="s">
        <v>33</v>
      </c>
      <c r="J40">
        <f t="shared" si="0"/>
        <v>0</v>
      </c>
      <c r="K40">
        <f t="shared" si="1"/>
        <v>0</v>
      </c>
      <c r="L40">
        <f t="shared" si="12"/>
        <v>0</v>
      </c>
      <c r="M40">
        <f t="shared" si="2"/>
        <v>0</v>
      </c>
      <c r="N40">
        <f t="shared" si="3"/>
        <v>114300</v>
      </c>
      <c r="O40">
        <f t="shared" si="4"/>
        <v>0</v>
      </c>
      <c r="P40">
        <f t="shared" si="5"/>
        <v>0</v>
      </c>
      <c r="Q40">
        <f t="shared" si="6"/>
        <v>0</v>
      </c>
      <c r="R40">
        <f t="shared" si="7"/>
        <v>0</v>
      </c>
      <c r="S40">
        <f t="shared" si="8"/>
        <v>0</v>
      </c>
      <c r="T40">
        <f t="shared" si="9"/>
        <v>0</v>
      </c>
      <c r="U40">
        <f t="shared" si="10"/>
        <v>0</v>
      </c>
      <c r="V40">
        <f t="shared" si="11"/>
        <v>0</v>
      </c>
    </row>
    <row r="41" spans="1:22" x14ac:dyDescent="0.4">
      <c r="A41" s="1" t="s">
        <v>166</v>
      </c>
      <c r="B41" s="1" t="s">
        <v>167</v>
      </c>
      <c r="C41" s="1" t="s">
        <v>168</v>
      </c>
      <c r="D41" s="1" t="s">
        <v>44</v>
      </c>
      <c r="E41" s="1" t="s">
        <v>51</v>
      </c>
      <c r="F41" s="5" t="s">
        <v>46</v>
      </c>
      <c r="G41" s="1" t="s">
        <v>27</v>
      </c>
      <c r="H41">
        <f>VLOOKUP(D41,[1]金額リスト!$A$2:$B$6,2,FALSE)</f>
        <v>114300</v>
      </c>
      <c r="I41" s="1" t="s">
        <v>33</v>
      </c>
      <c r="J41">
        <f t="shared" si="0"/>
        <v>0</v>
      </c>
      <c r="K41">
        <f t="shared" si="1"/>
        <v>0</v>
      </c>
      <c r="L41">
        <f t="shared" si="12"/>
        <v>0</v>
      </c>
      <c r="M41">
        <f t="shared" si="2"/>
        <v>0</v>
      </c>
      <c r="N41">
        <f t="shared" si="3"/>
        <v>114300</v>
      </c>
      <c r="O41">
        <f t="shared" si="4"/>
        <v>0</v>
      </c>
      <c r="P41">
        <f t="shared" si="5"/>
        <v>0</v>
      </c>
      <c r="Q41">
        <f t="shared" si="6"/>
        <v>0</v>
      </c>
      <c r="R41">
        <f t="shared" si="7"/>
        <v>0</v>
      </c>
      <c r="S41">
        <f t="shared" si="8"/>
        <v>0</v>
      </c>
      <c r="T41">
        <f t="shared" si="9"/>
        <v>0</v>
      </c>
      <c r="U41">
        <f t="shared" si="10"/>
        <v>0</v>
      </c>
      <c r="V41">
        <f t="shared" si="11"/>
        <v>0</v>
      </c>
    </row>
    <row r="42" spans="1:22" x14ac:dyDescent="0.4">
      <c r="A42" s="1" t="s">
        <v>169</v>
      </c>
      <c r="B42" s="1" t="s">
        <v>170</v>
      </c>
      <c r="C42" s="1" t="s">
        <v>171</v>
      </c>
      <c r="D42" s="1" t="s">
        <v>44</v>
      </c>
      <c r="E42" s="1" t="s">
        <v>63</v>
      </c>
      <c r="F42" s="5" t="s">
        <v>46</v>
      </c>
      <c r="G42" s="1" t="s">
        <v>27</v>
      </c>
      <c r="H42">
        <f>VLOOKUP(D42,[1]金額リスト!$A$2:$B$6,2,FALSE)</f>
        <v>114300</v>
      </c>
      <c r="I42" s="1" t="s">
        <v>33</v>
      </c>
      <c r="J42">
        <f t="shared" si="0"/>
        <v>0</v>
      </c>
      <c r="K42">
        <f t="shared" si="1"/>
        <v>0</v>
      </c>
      <c r="L42">
        <f t="shared" si="12"/>
        <v>0</v>
      </c>
      <c r="M42">
        <f t="shared" si="2"/>
        <v>0</v>
      </c>
      <c r="N42">
        <f t="shared" si="3"/>
        <v>114300</v>
      </c>
      <c r="O42">
        <f t="shared" si="4"/>
        <v>0</v>
      </c>
      <c r="P42">
        <f t="shared" si="5"/>
        <v>0</v>
      </c>
      <c r="Q42">
        <f t="shared" si="6"/>
        <v>0</v>
      </c>
      <c r="R42">
        <f t="shared" si="7"/>
        <v>0</v>
      </c>
      <c r="S42">
        <f t="shared" si="8"/>
        <v>0</v>
      </c>
      <c r="T42">
        <f t="shared" si="9"/>
        <v>0</v>
      </c>
      <c r="U42">
        <f t="shared" si="10"/>
        <v>0</v>
      </c>
      <c r="V42">
        <f t="shared" si="11"/>
        <v>0</v>
      </c>
    </row>
    <row r="43" spans="1:22" x14ac:dyDescent="0.4">
      <c r="A43" s="1" t="s">
        <v>172</v>
      </c>
      <c r="B43" s="1" t="s">
        <v>173</v>
      </c>
      <c r="C43" s="1" t="s">
        <v>174</v>
      </c>
      <c r="D43" s="1" t="s">
        <v>25</v>
      </c>
      <c r="E43" s="1" t="s">
        <v>140</v>
      </c>
      <c r="F43" s="5" t="s">
        <v>10</v>
      </c>
      <c r="G43" s="1" t="s">
        <v>27</v>
      </c>
      <c r="H43">
        <f>VLOOKUP(D43,[1]金額リスト!$A$2:$B$6,2,FALSE)</f>
        <v>59400</v>
      </c>
      <c r="I43" s="1" t="s">
        <v>33</v>
      </c>
      <c r="J43">
        <f t="shared" si="0"/>
        <v>0</v>
      </c>
      <c r="K43">
        <f t="shared" si="1"/>
        <v>59400</v>
      </c>
      <c r="L43">
        <f t="shared" si="12"/>
        <v>0</v>
      </c>
      <c r="M43">
        <f t="shared" si="2"/>
        <v>0</v>
      </c>
      <c r="N43">
        <f t="shared" si="3"/>
        <v>0</v>
      </c>
      <c r="O43">
        <f t="shared" si="4"/>
        <v>0</v>
      </c>
      <c r="P43">
        <f t="shared" si="5"/>
        <v>0</v>
      </c>
      <c r="Q43">
        <f t="shared" si="6"/>
        <v>0</v>
      </c>
      <c r="R43">
        <f t="shared" si="7"/>
        <v>0</v>
      </c>
      <c r="S43">
        <f t="shared" si="8"/>
        <v>0</v>
      </c>
      <c r="T43">
        <f t="shared" si="9"/>
        <v>0</v>
      </c>
      <c r="U43">
        <f t="shared" si="10"/>
        <v>0</v>
      </c>
      <c r="V43">
        <f t="shared" si="11"/>
        <v>0</v>
      </c>
    </row>
    <row r="44" spans="1:22" x14ac:dyDescent="0.4">
      <c r="A44" s="1" t="s">
        <v>175</v>
      </c>
      <c r="B44" s="1" t="s">
        <v>176</v>
      </c>
      <c r="C44" s="1" t="s">
        <v>177</v>
      </c>
      <c r="D44" s="1" t="s">
        <v>44</v>
      </c>
      <c r="E44" s="1" t="s">
        <v>178</v>
      </c>
      <c r="F44" s="5" t="s">
        <v>46</v>
      </c>
      <c r="G44" s="1" t="s">
        <v>27</v>
      </c>
      <c r="H44">
        <f>VLOOKUP(D44,[1]金額リスト!$A$2:$B$6,2,FALSE)</f>
        <v>114300</v>
      </c>
      <c r="I44" s="1" t="s">
        <v>33</v>
      </c>
      <c r="J44">
        <f t="shared" si="0"/>
        <v>0</v>
      </c>
      <c r="K44">
        <f t="shared" si="1"/>
        <v>0</v>
      </c>
      <c r="L44">
        <f t="shared" si="12"/>
        <v>0</v>
      </c>
      <c r="M44">
        <f t="shared" si="2"/>
        <v>0</v>
      </c>
      <c r="N44">
        <f t="shared" si="3"/>
        <v>114300</v>
      </c>
      <c r="O44">
        <f t="shared" si="4"/>
        <v>0</v>
      </c>
      <c r="P44">
        <f t="shared" si="5"/>
        <v>0</v>
      </c>
      <c r="Q44">
        <f t="shared" si="6"/>
        <v>0</v>
      </c>
      <c r="R44">
        <f t="shared" si="7"/>
        <v>0</v>
      </c>
      <c r="S44">
        <f t="shared" si="8"/>
        <v>0</v>
      </c>
      <c r="T44">
        <f t="shared" si="9"/>
        <v>0</v>
      </c>
      <c r="U44">
        <f t="shared" si="10"/>
        <v>0</v>
      </c>
      <c r="V44">
        <f t="shared" si="11"/>
        <v>0</v>
      </c>
    </row>
    <row r="45" spans="1:22" x14ac:dyDescent="0.4">
      <c r="A45" s="1" t="s">
        <v>179</v>
      </c>
      <c r="B45" s="1" t="s">
        <v>180</v>
      </c>
      <c r="C45" s="1" t="s">
        <v>181</v>
      </c>
      <c r="D45" s="1" t="s">
        <v>44</v>
      </c>
      <c r="E45" s="1" t="s">
        <v>32</v>
      </c>
      <c r="F45" s="5" t="s">
        <v>46</v>
      </c>
      <c r="G45" s="1" t="s">
        <v>27</v>
      </c>
      <c r="H45">
        <f>VLOOKUP(D45,[1]金額リスト!$A$2:$B$6,2,FALSE)</f>
        <v>114300</v>
      </c>
      <c r="I45" s="1" t="s">
        <v>33</v>
      </c>
      <c r="J45">
        <f t="shared" si="0"/>
        <v>0</v>
      </c>
      <c r="K45">
        <f t="shared" si="1"/>
        <v>0</v>
      </c>
      <c r="L45">
        <f t="shared" si="12"/>
        <v>0</v>
      </c>
      <c r="M45">
        <f t="shared" si="2"/>
        <v>0</v>
      </c>
      <c r="N45">
        <f t="shared" si="3"/>
        <v>114300</v>
      </c>
      <c r="O45">
        <f t="shared" si="4"/>
        <v>0</v>
      </c>
      <c r="P45">
        <f t="shared" si="5"/>
        <v>0</v>
      </c>
      <c r="Q45">
        <f t="shared" si="6"/>
        <v>0</v>
      </c>
      <c r="R45">
        <f t="shared" si="7"/>
        <v>0</v>
      </c>
      <c r="S45">
        <f t="shared" si="8"/>
        <v>0</v>
      </c>
      <c r="T45">
        <f t="shared" si="9"/>
        <v>0</v>
      </c>
      <c r="U45">
        <f t="shared" si="10"/>
        <v>0</v>
      </c>
      <c r="V45">
        <f t="shared" si="11"/>
        <v>0</v>
      </c>
    </row>
    <row r="46" spans="1:22" x14ac:dyDescent="0.4">
      <c r="A46" s="1" t="s">
        <v>182</v>
      </c>
      <c r="B46" s="1" t="s">
        <v>183</v>
      </c>
      <c r="C46" s="1" t="s">
        <v>184</v>
      </c>
      <c r="D46" s="1" t="s">
        <v>44</v>
      </c>
      <c r="E46" s="1" t="s">
        <v>56</v>
      </c>
      <c r="F46" s="5" t="s">
        <v>46</v>
      </c>
      <c r="G46" s="1" t="s">
        <v>27</v>
      </c>
      <c r="H46">
        <f>VLOOKUP(D46,[1]金額リスト!$A$2:$B$6,2,FALSE)</f>
        <v>114300</v>
      </c>
      <c r="I46" s="1" t="s">
        <v>33</v>
      </c>
      <c r="J46">
        <f t="shared" si="0"/>
        <v>0</v>
      </c>
      <c r="K46">
        <f t="shared" si="1"/>
        <v>0</v>
      </c>
      <c r="L46">
        <f t="shared" si="12"/>
        <v>0</v>
      </c>
      <c r="M46">
        <f t="shared" si="2"/>
        <v>0</v>
      </c>
      <c r="N46">
        <f t="shared" si="3"/>
        <v>114300</v>
      </c>
      <c r="O46">
        <f t="shared" si="4"/>
        <v>0</v>
      </c>
      <c r="P46">
        <f t="shared" si="5"/>
        <v>0</v>
      </c>
      <c r="Q46">
        <f t="shared" si="6"/>
        <v>0</v>
      </c>
      <c r="R46">
        <f t="shared" si="7"/>
        <v>0</v>
      </c>
      <c r="S46">
        <f t="shared" si="8"/>
        <v>0</v>
      </c>
      <c r="T46">
        <f t="shared" si="9"/>
        <v>0</v>
      </c>
      <c r="U46">
        <f t="shared" si="10"/>
        <v>0</v>
      </c>
      <c r="V46">
        <f t="shared" si="11"/>
        <v>0</v>
      </c>
    </row>
    <row r="47" spans="1:22" x14ac:dyDescent="0.4">
      <c r="A47" s="1" t="s">
        <v>185</v>
      </c>
      <c r="B47" s="1" t="s">
        <v>186</v>
      </c>
      <c r="C47" s="1" t="s">
        <v>187</v>
      </c>
      <c r="D47" s="1" t="s">
        <v>44</v>
      </c>
      <c r="E47" s="1" t="s">
        <v>86</v>
      </c>
      <c r="F47" s="5" t="s">
        <v>46</v>
      </c>
      <c r="G47" s="1" t="s">
        <v>27</v>
      </c>
      <c r="H47">
        <f>VLOOKUP(D47,[1]金額リスト!$A$2:$B$6,2,FALSE)</f>
        <v>114300</v>
      </c>
      <c r="I47" s="1" t="s">
        <v>33</v>
      </c>
      <c r="J47">
        <f t="shared" si="0"/>
        <v>0</v>
      </c>
      <c r="K47">
        <f t="shared" si="1"/>
        <v>0</v>
      </c>
      <c r="L47">
        <f t="shared" si="12"/>
        <v>0</v>
      </c>
      <c r="M47">
        <f t="shared" si="2"/>
        <v>0</v>
      </c>
      <c r="N47">
        <f t="shared" si="3"/>
        <v>114300</v>
      </c>
      <c r="O47">
        <f t="shared" si="4"/>
        <v>0</v>
      </c>
      <c r="P47">
        <f t="shared" si="5"/>
        <v>0</v>
      </c>
      <c r="Q47">
        <f t="shared" si="6"/>
        <v>0</v>
      </c>
      <c r="R47">
        <f t="shared" si="7"/>
        <v>0</v>
      </c>
      <c r="S47">
        <f t="shared" si="8"/>
        <v>0</v>
      </c>
      <c r="T47">
        <f t="shared" si="9"/>
        <v>0</v>
      </c>
      <c r="U47">
        <f t="shared" si="10"/>
        <v>0</v>
      </c>
      <c r="V47">
        <f t="shared" si="11"/>
        <v>0</v>
      </c>
    </row>
    <row r="48" spans="1:22" x14ac:dyDescent="0.4">
      <c r="A48" s="1" t="s">
        <v>188</v>
      </c>
      <c r="B48" s="1" t="s">
        <v>189</v>
      </c>
      <c r="C48" s="1" t="s">
        <v>190</v>
      </c>
      <c r="D48" s="1" t="s">
        <v>44</v>
      </c>
      <c r="E48" s="1" t="s">
        <v>32</v>
      </c>
      <c r="F48" s="5" t="s">
        <v>46</v>
      </c>
      <c r="G48" s="1" t="s">
        <v>27</v>
      </c>
      <c r="H48">
        <f>VLOOKUP(D48,[1]金額リスト!$A$2:$B$6,2,FALSE)</f>
        <v>114300</v>
      </c>
      <c r="I48" s="1" t="s">
        <v>33</v>
      </c>
      <c r="J48">
        <f t="shared" si="0"/>
        <v>0</v>
      </c>
      <c r="K48">
        <f t="shared" si="1"/>
        <v>0</v>
      </c>
      <c r="L48">
        <f t="shared" si="12"/>
        <v>0</v>
      </c>
      <c r="M48">
        <f t="shared" si="2"/>
        <v>0</v>
      </c>
      <c r="N48">
        <f t="shared" si="3"/>
        <v>114300</v>
      </c>
      <c r="O48">
        <f t="shared" si="4"/>
        <v>0</v>
      </c>
      <c r="P48">
        <f t="shared" si="5"/>
        <v>0</v>
      </c>
      <c r="Q48">
        <f t="shared" si="6"/>
        <v>0</v>
      </c>
      <c r="R48">
        <f t="shared" si="7"/>
        <v>0</v>
      </c>
      <c r="S48">
        <f t="shared" si="8"/>
        <v>0</v>
      </c>
      <c r="T48">
        <f t="shared" si="9"/>
        <v>0</v>
      </c>
      <c r="U48">
        <f t="shared" si="10"/>
        <v>0</v>
      </c>
      <c r="V48">
        <f t="shared" si="11"/>
        <v>0</v>
      </c>
    </row>
    <row r="49" spans="1:22" x14ac:dyDescent="0.4">
      <c r="A49" s="1" t="s">
        <v>191</v>
      </c>
      <c r="B49" s="1" t="s">
        <v>192</v>
      </c>
      <c r="C49" s="1" t="s">
        <v>193</v>
      </c>
      <c r="D49" s="1" t="s">
        <v>25</v>
      </c>
      <c r="E49" s="1" t="s">
        <v>86</v>
      </c>
      <c r="F49" s="5" t="s">
        <v>10</v>
      </c>
      <c r="G49" s="1" t="s">
        <v>27</v>
      </c>
      <c r="H49">
        <f>VLOOKUP(D49,[1]金額リスト!$A$2:$B$6,2,FALSE)</f>
        <v>59400</v>
      </c>
      <c r="I49" s="1" t="s">
        <v>33</v>
      </c>
      <c r="J49">
        <f t="shared" si="0"/>
        <v>0</v>
      </c>
      <c r="K49">
        <f t="shared" si="1"/>
        <v>59400</v>
      </c>
      <c r="L49">
        <f t="shared" si="12"/>
        <v>0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0</v>
      </c>
      <c r="Q49">
        <f t="shared" si="6"/>
        <v>0</v>
      </c>
      <c r="R49">
        <f t="shared" si="7"/>
        <v>0</v>
      </c>
      <c r="S49">
        <f t="shared" si="8"/>
        <v>0</v>
      </c>
      <c r="T49">
        <f t="shared" si="9"/>
        <v>0</v>
      </c>
      <c r="U49">
        <f t="shared" si="10"/>
        <v>0</v>
      </c>
      <c r="V49">
        <f t="shared" si="11"/>
        <v>0</v>
      </c>
    </row>
    <row r="50" spans="1:22" x14ac:dyDescent="0.4">
      <c r="A50" s="1" t="s">
        <v>194</v>
      </c>
      <c r="B50" s="1" t="s">
        <v>195</v>
      </c>
      <c r="C50" s="1" t="s">
        <v>196</v>
      </c>
      <c r="D50" s="1" t="s">
        <v>25</v>
      </c>
      <c r="E50" s="1" t="s">
        <v>37</v>
      </c>
      <c r="F50" s="5" t="s">
        <v>10</v>
      </c>
      <c r="G50" s="1" t="s">
        <v>27</v>
      </c>
      <c r="H50">
        <f>VLOOKUP(D50,[1]金額リスト!$A$2:$B$6,2,FALSE)</f>
        <v>59400</v>
      </c>
      <c r="I50" s="1" t="s">
        <v>33</v>
      </c>
      <c r="J50">
        <f t="shared" si="0"/>
        <v>0</v>
      </c>
      <c r="K50">
        <f t="shared" si="1"/>
        <v>59400</v>
      </c>
      <c r="L50">
        <f t="shared" si="12"/>
        <v>0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0</v>
      </c>
      <c r="Q50">
        <f t="shared" si="6"/>
        <v>0</v>
      </c>
      <c r="R50">
        <f t="shared" si="7"/>
        <v>0</v>
      </c>
      <c r="S50">
        <f t="shared" si="8"/>
        <v>0</v>
      </c>
      <c r="T50">
        <f t="shared" si="9"/>
        <v>0</v>
      </c>
      <c r="U50">
        <f t="shared" si="10"/>
        <v>0</v>
      </c>
      <c r="V50">
        <f t="shared" si="11"/>
        <v>0</v>
      </c>
    </row>
    <row r="51" spans="1:22" x14ac:dyDescent="0.4">
      <c r="A51" s="1" t="s">
        <v>197</v>
      </c>
      <c r="B51" s="1" t="s">
        <v>198</v>
      </c>
      <c r="C51" s="1" t="s">
        <v>199</v>
      </c>
      <c r="D51" s="1" t="s">
        <v>44</v>
      </c>
      <c r="E51" s="1" t="s">
        <v>37</v>
      </c>
      <c r="F51" s="5" t="s">
        <v>46</v>
      </c>
      <c r="G51" s="1" t="s">
        <v>27</v>
      </c>
      <c r="H51">
        <f>VLOOKUP(D51,[1]金額リスト!$A$2:$B$6,2,FALSE)</f>
        <v>114300</v>
      </c>
      <c r="I51" s="1" t="s">
        <v>33</v>
      </c>
      <c r="J51">
        <f t="shared" si="0"/>
        <v>0</v>
      </c>
      <c r="K51">
        <f t="shared" si="1"/>
        <v>0</v>
      </c>
      <c r="L51">
        <f t="shared" si="12"/>
        <v>0</v>
      </c>
      <c r="M51">
        <f t="shared" si="2"/>
        <v>0</v>
      </c>
      <c r="N51">
        <f t="shared" si="3"/>
        <v>114300</v>
      </c>
      <c r="O51">
        <f t="shared" si="4"/>
        <v>0</v>
      </c>
      <c r="P51">
        <f t="shared" si="5"/>
        <v>0</v>
      </c>
      <c r="Q51">
        <f t="shared" si="6"/>
        <v>0</v>
      </c>
      <c r="R51">
        <f t="shared" si="7"/>
        <v>0</v>
      </c>
      <c r="S51">
        <f t="shared" si="8"/>
        <v>0</v>
      </c>
      <c r="T51">
        <f t="shared" si="9"/>
        <v>0</v>
      </c>
      <c r="U51">
        <f t="shared" si="10"/>
        <v>0</v>
      </c>
      <c r="V51">
        <f t="shared" si="11"/>
        <v>0</v>
      </c>
    </row>
    <row r="52" spans="1:22" x14ac:dyDescent="0.4">
      <c r="A52" s="1" t="s">
        <v>200</v>
      </c>
      <c r="B52" s="1" t="s">
        <v>201</v>
      </c>
      <c r="C52" s="1" t="s">
        <v>202</v>
      </c>
      <c r="D52" s="1" t="s">
        <v>44</v>
      </c>
      <c r="E52" s="1" t="s">
        <v>97</v>
      </c>
      <c r="F52" s="5" t="s">
        <v>46</v>
      </c>
      <c r="G52" s="1" t="s">
        <v>27</v>
      </c>
      <c r="H52">
        <f>VLOOKUP(D52,[1]金額リスト!$A$2:$B$6,2,FALSE)</f>
        <v>114300</v>
      </c>
      <c r="I52" s="1" t="s">
        <v>33</v>
      </c>
      <c r="J52">
        <f t="shared" si="0"/>
        <v>0</v>
      </c>
      <c r="K52">
        <f t="shared" si="1"/>
        <v>0</v>
      </c>
      <c r="L52">
        <f t="shared" si="12"/>
        <v>0</v>
      </c>
      <c r="M52">
        <f t="shared" si="2"/>
        <v>0</v>
      </c>
      <c r="N52">
        <f t="shared" si="3"/>
        <v>114300</v>
      </c>
      <c r="O52">
        <f t="shared" si="4"/>
        <v>0</v>
      </c>
      <c r="P52">
        <f t="shared" si="5"/>
        <v>0</v>
      </c>
      <c r="Q52">
        <f t="shared" si="6"/>
        <v>0</v>
      </c>
      <c r="R52">
        <f t="shared" si="7"/>
        <v>0</v>
      </c>
      <c r="S52">
        <f t="shared" si="8"/>
        <v>0</v>
      </c>
      <c r="T52">
        <f t="shared" si="9"/>
        <v>0</v>
      </c>
      <c r="U52">
        <f t="shared" si="10"/>
        <v>0</v>
      </c>
      <c r="V52">
        <f t="shared" si="11"/>
        <v>0</v>
      </c>
    </row>
    <row r="53" spans="1:22" x14ac:dyDescent="0.4">
      <c r="A53" s="1" t="s">
        <v>203</v>
      </c>
      <c r="B53" s="1" t="s">
        <v>204</v>
      </c>
      <c r="C53" s="1" t="s">
        <v>205</v>
      </c>
      <c r="D53" s="1" t="s">
        <v>44</v>
      </c>
      <c r="E53" s="1" t="s">
        <v>37</v>
      </c>
      <c r="F53" s="5" t="s">
        <v>46</v>
      </c>
      <c r="G53" s="1" t="s">
        <v>27</v>
      </c>
      <c r="H53">
        <f>VLOOKUP(D53,[1]金額リスト!$A$2:$B$6,2,FALSE)</f>
        <v>114300</v>
      </c>
      <c r="I53" s="1" t="s">
        <v>33</v>
      </c>
      <c r="J53">
        <f t="shared" si="0"/>
        <v>0</v>
      </c>
      <c r="K53">
        <f t="shared" si="1"/>
        <v>0</v>
      </c>
      <c r="L53">
        <f t="shared" si="12"/>
        <v>0</v>
      </c>
      <c r="M53">
        <f t="shared" si="2"/>
        <v>0</v>
      </c>
      <c r="N53">
        <f t="shared" si="3"/>
        <v>114300</v>
      </c>
      <c r="O53">
        <f t="shared" si="4"/>
        <v>0</v>
      </c>
      <c r="P53">
        <f t="shared" si="5"/>
        <v>0</v>
      </c>
      <c r="Q53">
        <f t="shared" si="6"/>
        <v>0</v>
      </c>
      <c r="R53">
        <f t="shared" si="7"/>
        <v>0</v>
      </c>
      <c r="S53">
        <f t="shared" si="8"/>
        <v>0</v>
      </c>
      <c r="T53">
        <f t="shared" si="9"/>
        <v>0</v>
      </c>
      <c r="U53">
        <f t="shared" si="10"/>
        <v>0</v>
      </c>
      <c r="V53">
        <f t="shared" si="11"/>
        <v>0</v>
      </c>
    </row>
    <row r="54" spans="1:22" x14ac:dyDescent="0.4">
      <c r="A54" s="1" t="s">
        <v>206</v>
      </c>
      <c r="B54" s="1" t="s">
        <v>207</v>
      </c>
      <c r="C54" s="1" t="s">
        <v>208</v>
      </c>
      <c r="D54" s="1" t="s">
        <v>44</v>
      </c>
      <c r="E54" s="1" t="s">
        <v>32</v>
      </c>
      <c r="F54" s="5" t="s">
        <v>46</v>
      </c>
      <c r="G54" s="1" t="s">
        <v>27</v>
      </c>
      <c r="H54">
        <f>VLOOKUP(D54,[1]金額リスト!$A$2:$B$6,2,FALSE)</f>
        <v>114300</v>
      </c>
      <c r="I54" s="1" t="s">
        <v>33</v>
      </c>
      <c r="J54">
        <f t="shared" si="0"/>
        <v>0</v>
      </c>
      <c r="K54">
        <f t="shared" si="1"/>
        <v>0</v>
      </c>
      <c r="L54">
        <f t="shared" si="12"/>
        <v>0</v>
      </c>
      <c r="M54">
        <f t="shared" si="2"/>
        <v>0</v>
      </c>
      <c r="N54">
        <f t="shared" si="3"/>
        <v>114300</v>
      </c>
      <c r="O54">
        <f t="shared" si="4"/>
        <v>0</v>
      </c>
      <c r="P54">
        <f t="shared" si="5"/>
        <v>0</v>
      </c>
      <c r="Q54">
        <f t="shared" si="6"/>
        <v>0</v>
      </c>
      <c r="R54">
        <f t="shared" si="7"/>
        <v>0</v>
      </c>
      <c r="S54">
        <f t="shared" si="8"/>
        <v>0</v>
      </c>
      <c r="T54">
        <f t="shared" si="9"/>
        <v>0</v>
      </c>
      <c r="U54">
        <f t="shared" si="10"/>
        <v>0</v>
      </c>
      <c r="V54">
        <f t="shared" si="11"/>
        <v>0</v>
      </c>
    </row>
    <row r="55" spans="1:22" x14ac:dyDescent="0.4">
      <c r="A55" s="1" t="s">
        <v>209</v>
      </c>
      <c r="B55" s="1" t="s">
        <v>210</v>
      </c>
      <c r="C55" s="1" t="s">
        <v>211</v>
      </c>
      <c r="D55" s="1" t="s">
        <v>44</v>
      </c>
      <c r="E55" s="1" t="s">
        <v>178</v>
      </c>
      <c r="F55" s="5" t="s">
        <v>46</v>
      </c>
      <c r="G55" s="1" t="s">
        <v>27</v>
      </c>
      <c r="H55">
        <f>VLOOKUP(D55,[1]金額リスト!$A$2:$B$6,2,FALSE)</f>
        <v>114300</v>
      </c>
      <c r="I55" s="1" t="s">
        <v>33</v>
      </c>
      <c r="J55">
        <f t="shared" si="0"/>
        <v>0</v>
      </c>
      <c r="K55">
        <f t="shared" si="1"/>
        <v>0</v>
      </c>
      <c r="L55">
        <f t="shared" si="12"/>
        <v>0</v>
      </c>
      <c r="M55">
        <f t="shared" si="2"/>
        <v>0</v>
      </c>
      <c r="N55">
        <f t="shared" si="3"/>
        <v>114300</v>
      </c>
      <c r="O55">
        <f t="shared" si="4"/>
        <v>0</v>
      </c>
      <c r="P55">
        <f t="shared" si="5"/>
        <v>0</v>
      </c>
      <c r="Q55">
        <f t="shared" si="6"/>
        <v>0</v>
      </c>
      <c r="R55">
        <f t="shared" si="7"/>
        <v>0</v>
      </c>
      <c r="S55">
        <f t="shared" si="8"/>
        <v>0</v>
      </c>
      <c r="T55">
        <f t="shared" si="9"/>
        <v>0</v>
      </c>
      <c r="U55">
        <f t="shared" si="10"/>
        <v>0</v>
      </c>
      <c r="V55">
        <f t="shared" si="11"/>
        <v>0</v>
      </c>
    </row>
    <row r="56" spans="1:22" x14ac:dyDescent="0.4">
      <c r="A56" s="1" t="s">
        <v>212</v>
      </c>
      <c r="B56" s="1" t="s">
        <v>213</v>
      </c>
      <c r="C56" s="1" t="s">
        <v>214</v>
      </c>
      <c r="D56" s="1" t="s">
        <v>25</v>
      </c>
      <c r="E56" s="1" t="s">
        <v>101</v>
      </c>
      <c r="F56" s="5" t="s">
        <v>10</v>
      </c>
      <c r="G56" s="1" t="s">
        <v>27</v>
      </c>
      <c r="H56">
        <f>VLOOKUP(D56,[1]金額リスト!$A$2:$B$6,2,FALSE)</f>
        <v>59400</v>
      </c>
      <c r="I56" s="1" t="s">
        <v>33</v>
      </c>
      <c r="J56">
        <f t="shared" si="0"/>
        <v>0</v>
      </c>
      <c r="K56">
        <f t="shared" si="1"/>
        <v>59400</v>
      </c>
      <c r="L56">
        <f t="shared" si="12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0</v>
      </c>
      <c r="Q56">
        <f t="shared" si="6"/>
        <v>0</v>
      </c>
      <c r="R56">
        <f t="shared" si="7"/>
        <v>0</v>
      </c>
      <c r="S56">
        <f t="shared" si="8"/>
        <v>0</v>
      </c>
      <c r="T56">
        <f t="shared" si="9"/>
        <v>0</v>
      </c>
      <c r="U56">
        <f t="shared" si="10"/>
        <v>0</v>
      </c>
      <c r="V56">
        <f t="shared" si="11"/>
        <v>0</v>
      </c>
    </row>
    <row r="57" spans="1:22" x14ac:dyDescent="0.4">
      <c r="A57" s="1" t="s">
        <v>215</v>
      </c>
      <c r="B57" s="1" t="s">
        <v>216</v>
      </c>
      <c r="C57" s="1" t="s">
        <v>217</v>
      </c>
      <c r="D57" s="1" t="s">
        <v>25</v>
      </c>
      <c r="E57" s="1" t="s">
        <v>63</v>
      </c>
      <c r="F57" s="5" t="s">
        <v>10</v>
      </c>
      <c r="G57" s="1" t="s">
        <v>27</v>
      </c>
      <c r="H57">
        <f>VLOOKUP(D57,[1]金額リスト!$A$2:$B$6,2,FALSE)</f>
        <v>59400</v>
      </c>
      <c r="I57" s="1" t="s">
        <v>33</v>
      </c>
      <c r="J57">
        <f t="shared" si="0"/>
        <v>0</v>
      </c>
      <c r="K57">
        <f t="shared" si="1"/>
        <v>59400</v>
      </c>
      <c r="L57">
        <f t="shared" si="12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0</v>
      </c>
      <c r="Q57">
        <f t="shared" si="6"/>
        <v>0</v>
      </c>
      <c r="R57">
        <f t="shared" si="7"/>
        <v>0</v>
      </c>
      <c r="S57">
        <f t="shared" si="8"/>
        <v>0</v>
      </c>
      <c r="T57">
        <f t="shared" si="9"/>
        <v>0</v>
      </c>
      <c r="U57">
        <f t="shared" si="10"/>
        <v>0</v>
      </c>
      <c r="V57">
        <f t="shared" si="11"/>
        <v>0</v>
      </c>
    </row>
    <row r="58" spans="1:22" x14ac:dyDescent="0.4">
      <c r="A58" s="1" t="s">
        <v>218</v>
      </c>
      <c r="B58" s="1" t="s">
        <v>219</v>
      </c>
      <c r="C58" s="1" t="s">
        <v>220</v>
      </c>
      <c r="D58" s="1" t="s">
        <v>44</v>
      </c>
      <c r="E58" s="1" t="s">
        <v>112</v>
      </c>
      <c r="F58" s="5" t="s">
        <v>46</v>
      </c>
      <c r="G58" s="1" t="s">
        <v>27</v>
      </c>
      <c r="H58">
        <f>VLOOKUP(D58,[1]金額リスト!$A$2:$B$6,2,FALSE)</f>
        <v>114300</v>
      </c>
      <c r="I58" s="1" t="s">
        <v>33</v>
      </c>
      <c r="J58">
        <f t="shared" si="0"/>
        <v>0</v>
      </c>
      <c r="K58">
        <f t="shared" si="1"/>
        <v>0</v>
      </c>
      <c r="L58">
        <f t="shared" si="12"/>
        <v>0</v>
      </c>
      <c r="M58">
        <f t="shared" si="2"/>
        <v>0</v>
      </c>
      <c r="N58">
        <f t="shared" si="3"/>
        <v>114300</v>
      </c>
      <c r="O58">
        <f t="shared" si="4"/>
        <v>0</v>
      </c>
      <c r="P58">
        <f t="shared" si="5"/>
        <v>0</v>
      </c>
      <c r="Q58">
        <f t="shared" si="6"/>
        <v>0</v>
      </c>
      <c r="R58">
        <f t="shared" si="7"/>
        <v>0</v>
      </c>
      <c r="S58">
        <f t="shared" si="8"/>
        <v>0</v>
      </c>
      <c r="T58">
        <f t="shared" si="9"/>
        <v>0</v>
      </c>
      <c r="U58">
        <f t="shared" si="10"/>
        <v>0</v>
      </c>
      <c r="V58">
        <f t="shared" si="11"/>
        <v>0</v>
      </c>
    </row>
    <row r="59" spans="1:22" x14ac:dyDescent="0.4">
      <c r="A59" s="1" t="s">
        <v>221</v>
      </c>
      <c r="B59" s="1" t="s">
        <v>222</v>
      </c>
      <c r="C59" s="1" t="s">
        <v>223</v>
      </c>
      <c r="D59" s="1" t="s">
        <v>44</v>
      </c>
      <c r="E59" s="1" t="s">
        <v>150</v>
      </c>
      <c r="F59" s="5" t="s">
        <v>46</v>
      </c>
      <c r="G59" s="1" t="s">
        <v>27</v>
      </c>
      <c r="H59">
        <f>VLOOKUP(D59,[1]金額リスト!$A$2:$B$6,2,FALSE)</f>
        <v>114300</v>
      </c>
      <c r="I59" s="1" t="s">
        <v>33</v>
      </c>
      <c r="J59">
        <f t="shared" si="0"/>
        <v>0</v>
      </c>
      <c r="K59">
        <f t="shared" si="1"/>
        <v>0</v>
      </c>
      <c r="L59">
        <f t="shared" si="12"/>
        <v>0</v>
      </c>
      <c r="M59">
        <f t="shared" si="2"/>
        <v>0</v>
      </c>
      <c r="N59">
        <f t="shared" si="3"/>
        <v>114300</v>
      </c>
      <c r="O59">
        <f t="shared" si="4"/>
        <v>0</v>
      </c>
      <c r="P59">
        <f t="shared" si="5"/>
        <v>0</v>
      </c>
      <c r="Q59">
        <f t="shared" si="6"/>
        <v>0</v>
      </c>
      <c r="R59">
        <f t="shared" si="7"/>
        <v>0</v>
      </c>
      <c r="S59">
        <f t="shared" si="8"/>
        <v>0</v>
      </c>
      <c r="T59">
        <f t="shared" si="9"/>
        <v>0</v>
      </c>
      <c r="U59">
        <f t="shared" si="10"/>
        <v>0</v>
      </c>
      <c r="V59">
        <f t="shared" si="11"/>
        <v>0</v>
      </c>
    </row>
    <row r="60" spans="1:22" x14ac:dyDescent="0.4">
      <c r="A60" s="1" t="s">
        <v>224</v>
      </c>
      <c r="B60" s="1" t="s">
        <v>225</v>
      </c>
      <c r="C60" s="1" t="s">
        <v>226</v>
      </c>
      <c r="D60" s="1" t="s">
        <v>44</v>
      </c>
      <c r="E60" s="1" t="s">
        <v>227</v>
      </c>
      <c r="F60" s="5" t="s">
        <v>46</v>
      </c>
      <c r="G60" s="1" t="s">
        <v>27</v>
      </c>
      <c r="H60">
        <f>VLOOKUP(D60,[1]金額リスト!$A$2:$B$6,2,FALSE)</f>
        <v>114300</v>
      </c>
      <c r="I60" s="1" t="s">
        <v>33</v>
      </c>
      <c r="J60">
        <f t="shared" si="0"/>
        <v>0</v>
      </c>
      <c r="K60">
        <f t="shared" si="1"/>
        <v>0</v>
      </c>
      <c r="L60">
        <f t="shared" si="12"/>
        <v>0</v>
      </c>
      <c r="M60">
        <f t="shared" si="2"/>
        <v>0</v>
      </c>
      <c r="N60">
        <f t="shared" si="3"/>
        <v>114300</v>
      </c>
      <c r="O60">
        <f t="shared" si="4"/>
        <v>0</v>
      </c>
      <c r="P60">
        <f t="shared" si="5"/>
        <v>0</v>
      </c>
      <c r="Q60">
        <f t="shared" si="6"/>
        <v>0</v>
      </c>
      <c r="R60">
        <f t="shared" si="7"/>
        <v>0</v>
      </c>
      <c r="S60">
        <f t="shared" si="8"/>
        <v>0</v>
      </c>
      <c r="T60">
        <f t="shared" si="9"/>
        <v>0</v>
      </c>
      <c r="U60">
        <f t="shared" si="10"/>
        <v>0</v>
      </c>
      <c r="V60">
        <f t="shared" si="11"/>
        <v>0</v>
      </c>
    </row>
    <row r="61" spans="1:22" x14ac:dyDescent="0.4">
      <c r="A61" s="1" t="s">
        <v>228</v>
      </c>
      <c r="B61" s="1" t="s">
        <v>229</v>
      </c>
      <c r="C61" s="1" t="s">
        <v>230</v>
      </c>
      <c r="D61" s="1" t="s">
        <v>25</v>
      </c>
      <c r="E61" s="1" t="s">
        <v>32</v>
      </c>
      <c r="F61" s="5" t="s">
        <v>10</v>
      </c>
      <c r="G61" s="1" t="s">
        <v>27</v>
      </c>
      <c r="H61">
        <f>VLOOKUP(D61,[1]金額リスト!$A$2:$B$6,2,FALSE)</f>
        <v>59400</v>
      </c>
      <c r="I61" s="1" t="s">
        <v>33</v>
      </c>
      <c r="J61">
        <f t="shared" si="0"/>
        <v>0</v>
      </c>
      <c r="K61">
        <f t="shared" si="1"/>
        <v>59400</v>
      </c>
      <c r="L61">
        <f t="shared" si="12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 t="shared" si="5"/>
        <v>0</v>
      </c>
      <c r="Q61">
        <f t="shared" si="6"/>
        <v>0</v>
      </c>
      <c r="R61">
        <f t="shared" si="7"/>
        <v>0</v>
      </c>
      <c r="S61">
        <f t="shared" si="8"/>
        <v>0</v>
      </c>
      <c r="T61">
        <f t="shared" si="9"/>
        <v>0</v>
      </c>
      <c r="U61">
        <f t="shared" si="10"/>
        <v>0</v>
      </c>
      <c r="V61">
        <f t="shared" si="11"/>
        <v>0</v>
      </c>
    </row>
    <row r="62" spans="1:22" x14ac:dyDescent="0.4">
      <c r="A62" s="1" t="s">
        <v>231</v>
      </c>
      <c r="B62" s="1" t="s">
        <v>232</v>
      </c>
      <c r="C62" s="1" t="s">
        <v>233</v>
      </c>
      <c r="D62" s="1" t="s">
        <v>25</v>
      </c>
      <c r="E62" s="1" t="s">
        <v>37</v>
      </c>
      <c r="F62" s="5" t="s">
        <v>10</v>
      </c>
      <c r="G62" s="1" t="s">
        <v>27</v>
      </c>
      <c r="H62">
        <f>VLOOKUP(D62,[1]金額リスト!$A$2:$B$6,2,FALSE)</f>
        <v>59400</v>
      </c>
      <c r="I62" s="1" t="s">
        <v>33</v>
      </c>
      <c r="J62">
        <f t="shared" si="0"/>
        <v>0</v>
      </c>
      <c r="K62">
        <f t="shared" si="1"/>
        <v>59400</v>
      </c>
      <c r="L62">
        <f t="shared" si="12"/>
        <v>0</v>
      </c>
      <c r="M62">
        <f t="shared" si="2"/>
        <v>0</v>
      </c>
      <c r="N62">
        <f t="shared" si="3"/>
        <v>0</v>
      </c>
      <c r="O62">
        <f t="shared" si="4"/>
        <v>0</v>
      </c>
      <c r="P62">
        <f t="shared" si="5"/>
        <v>0</v>
      </c>
      <c r="Q62">
        <f t="shared" si="6"/>
        <v>0</v>
      </c>
      <c r="R62">
        <f t="shared" si="7"/>
        <v>0</v>
      </c>
      <c r="S62">
        <f t="shared" si="8"/>
        <v>0</v>
      </c>
      <c r="T62">
        <f t="shared" si="9"/>
        <v>0</v>
      </c>
      <c r="U62">
        <f t="shared" si="10"/>
        <v>0</v>
      </c>
      <c r="V62">
        <f t="shared" si="11"/>
        <v>0</v>
      </c>
    </row>
    <row r="63" spans="1:22" x14ac:dyDescent="0.4">
      <c r="A63" s="1" t="s">
        <v>234</v>
      </c>
      <c r="B63" s="1" t="s">
        <v>235</v>
      </c>
      <c r="C63" s="1" t="s">
        <v>236</v>
      </c>
      <c r="D63" s="1" t="s">
        <v>25</v>
      </c>
      <c r="E63" s="1" t="s">
        <v>227</v>
      </c>
      <c r="F63" s="5" t="s">
        <v>10</v>
      </c>
      <c r="G63" s="1" t="s">
        <v>27</v>
      </c>
      <c r="H63">
        <f>VLOOKUP(D63,[1]金額リスト!$A$2:$B$6,2,FALSE)</f>
        <v>59400</v>
      </c>
      <c r="I63" s="1" t="s">
        <v>33</v>
      </c>
      <c r="J63">
        <f t="shared" si="0"/>
        <v>0</v>
      </c>
      <c r="K63">
        <f t="shared" si="1"/>
        <v>59400</v>
      </c>
      <c r="L63">
        <f t="shared" si="12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0</v>
      </c>
      <c r="S63">
        <f t="shared" si="8"/>
        <v>0</v>
      </c>
      <c r="T63">
        <f t="shared" si="9"/>
        <v>0</v>
      </c>
      <c r="U63">
        <f t="shared" si="10"/>
        <v>0</v>
      </c>
      <c r="V63">
        <f t="shared" si="11"/>
        <v>0</v>
      </c>
    </row>
    <row r="64" spans="1:22" x14ac:dyDescent="0.4">
      <c r="A64" s="1" t="s">
        <v>237</v>
      </c>
      <c r="B64" s="1" t="s">
        <v>238</v>
      </c>
      <c r="C64" s="1" t="s">
        <v>239</v>
      </c>
      <c r="D64" s="1" t="s">
        <v>25</v>
      </c>
      <c r="E64" s="1" t="s">
        <v>32</v>
      </c>
      <c r="F64" s="5" t="s">
        <v>10</v>
      </c>
      <c r="G64" s="1" t="s">
        <v>27</v>
      </c>
      <c r="H64">
        <f>VLOOKUP(D64,[1]金額リスト!$A$2:$B$6,2,FALSE)</f>
        <v>59400</v>
      </c>
      <c r="I64" s="1" t="s">
        <v>33</v>
      </c>
      <c r="J64">
        <f t="shared" si="0"/>
        <v>0</v>
      </c>
      <c r="K64">
        <f t="shared" si="1"/>
        <v>59400</v>
      </c>
      <c r="L64">
        <f t="shared" si="12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0</v>
      </c>
      <c r="Q64">
        <f t="shared" si="6"/>
        <v>0</v>
      </c>
      <c r="R64">
        <f t="shared" si="7"/>
        <v>0</v>
      </c>
      <c r="S64">
        <f t="shared" si="8"/>
        <v>0</v>
      </c>
      <c r="T64">
        <f t="shared" si="9"/>
        <v>0</v>
      </c>
      <c r="U64">
        <f t="shared" si="10"/>
        <v>0</v>
      </c>
      <c r="V64">
        <f t="shared" si="11"/>
        <v>0</v>
      </c>
    </row>
    <row r="65" spans="1:22" x14ac:dyDescent="0.4">
      <c r="A65" s="1" t="s">
        <v>240</v>
      </c>
      <c r="B65" s="1" t="s">
        <v>241</v>
      </c>
      <c r="C65" s="1" t="s">
        <v>242</v>
      </c>
      <c r="D65" s="1" t="s">
        <v>44</v>
      </c>
      <c r="E65" s="1" t="s">
        <v>86</v>
      </c>
      <c r="F65" s="5" t="s">
        <v>46</v>
      </c>
      <c r="G65" s="1" t="s">
        <v>27</v>
      </c>
      <c r="H65">
        <f>VLOOKUP(D65,[1]金額リスト!$A$2:$B$6,2,FALSE)</f>
        <v>114300</v>
      </c>
      <c r="I65" s="1" t="s">
        <v>33</v>
      </c>
      <c r="J65">
        <f t="shared" si="0"/>
        <v>0</v>
      </c>
      <c r="K65">
        <f t="shared" si="1"/>
        <v>0</v>
      </c>
      <c r="L65">
        <f t="shared" si="12"/>
        <v>0</v>
      </c>
      <c r="M65">
        <f t="shared" si="2"/>
        <v>0</v>
      </c>
      <c r="N65">
        <f t="shared" si="3"/>
        <v>114300</v>
      </c>
      <c r="O65">
        <f t="shared" si="4"/>
        <v>0</v>
      </c>
      <c r="P65">
        <f t="shared" si="5"/>
        <v>0</v>
      </c>
      <c r="Q65">
        <f t="shared" si="6"/>
        <v>0</v>
      </c>
      <c r="R65">
        <f t="shared" si="7"/>
        <v>0</v>
      </c>
      <c r="S65">
        <f t="shared" si="8"/>
        <v>0</v>
      </c>
      <c r="T65">
        <f t="shared" si="9"/>
        <v>0</v>
      </c>
      <c r="U65">
        <f t="shared" si="10"/>
        <v>0</v>
      </c>
      <c r="V65">
        <f t="shared" si="11"/>
        <v>0</v>
      </c>
    </row>
    <row r="66" spans="1:22" x14ac:dyDescent="0.4">
      <c r="A66" s="1" t="s">
        <v>243</v>
      </c>
      <c r="B66" s="1" t="s">
        <v>244</v>
      </c>
      <c r="C66" s="1" t="s">
        <v>245</v>
      </c>
      <c r="D66" s="1" t="s">
        <v>44</v>
      </c>
      <c r="E66" s="1" t="s">
        <v>86</v>
      </c>
      <c r="F66" s="5" t="s">
        <v>46</v>
      </c>
      <c r="G66" s="1" t="s">
        <v>27</v>
      </c>
      <c r="H66">
        <f>VLOOKUP(D66,[1]金額リスト!$A$2:$B$6,2,FALSE)</f>
        <v>114300</v>
      </c>
      <c r="I66" s="1" t="s">
        <v>33</v>
      </c>
      <c r="J66">
        <f t="shared" si="0"/>
        <v>0</v>
      </c>
      <c r="K66">
        <f t="shared" si="1"/>
        <v>0</v>
      </c>
      <c r="L66">
        <f t="shared" si="12"/>
        <v>0</v>
      </c>
      <c r="M66">
        <f t="shared" si="2"/>
        <v>0</v>
      </c>
      <c r="N66">
        <f t="shared" si="3"/>
        <v>114300</v>
      </c>
      <c r="O66">
        <f t="shared" si="4"/>
        <v>0</v>
      </c>
      <c r="P66">
        <f t="shared" si="5"/>
        <v>0</v>
      </c>
      <c r="Q66">
        <f t="shared" si="6"/>
        <v>0</v>
      </c>
      <c r="R66">
        <f t="shared" si="7"/>
        <v>0</v>
      </c>
      <c r="S66">
        <f t="shared" si="8"/>
        <v>0</v>
      </c>
      <c r="T66">
        <f t="shared" si="9"/>
        <v>0</v>
      </c>
      <c r="U66">
        <f t="shared" si="10"/>
        <v>0</v>
      </c>
      <c r="V66">
        <f t="shared" si="11"/>
        <v>0</v>
      </c>
    </row>
    <row r="67" spans="1:22" x14ac:dyDescent="0.4">
      <c r="A67" s="1" t="s">
        <v>246</v>
      </c>
      <c r="B67" s="1" t="s">
        <v>247</v>
      </c>
      <c r="C67" s="1" t="s">
        <v>248</v>
      </c>
      <c r="D67" s="1" t="s">
        <v>44</v>
      </c>
      <c r="E67" s="1" t="s">
        <v>86</v>
      </c>
      <c r="F67" s="5" t="s">
        <v>46</v>
      </c>
      <c r="G67" s="1" t="s">
        <v>27</v>
      </c>
      <c r="H67">
        <f>VLOOKUP(D67,[1]金額リスト!$A$2:$B$6,2,FALSE)</f>
        <v>114300</v>
      </c>
      <c r="I67" s="1" t="s">
        <v>33</v>
      </c>
      <c r="J67">
        <f t="shared" ref="J67:J130" si="13">IFERROR(INDEX($F67:$H67,MATCH($J$1,$F67,0),3),0)</f>
        <v>0</v>
      </c>
      <c r="K67">
        <f t="shared" ref="K67:K130" si="14">IFERROR(INDEX($F67:$H67,MATCH($K$1,$F67,0),3),0)</f>
        <v>0</v>
      </c>
      <c r="L67">
        <f t="shared" si="12"/>
        <v>0</v>
      </c>
      <c r="M67">
        <f t="shared" ref="M67:M130" si="15">IFERROR(INDEX($F67:$H67,MATCH($M$1,$F67,0),3),0)</f>
        <v>0</v>
      </c>
      <c r="N67">
        <f t="shared" ref="N67:N130" si="16">IFERROR(INDEX($F67:$H67,MATCH($N$1,$F67,0),3),0)</f>
        <v>114300</v>
      </c>
      <c r="O67">
        <f t="shared" ref="O67:O130" si="17">IFERROR(INDEX($F67:$H67,MATCH($O$1,$F67,0),3),0)</f>
        <v>0</v>
      </c>
      <c r="P67">
        <f t="shared" ref="P67:P130" si="18">IFERROR(INDEX($F67:$H67,MATCH($P$1,$F67,0),3),0)</f>
        <v>0</v>
      </c>
      <c r="Q67">
        <f t="shared" ref="Q67:Q130" si="19">IFERROR(INDEX($F67:$H67,MATCH($Q$1,$F67,0),3),0)</f>
        <v>0</v>
      </c>
      <c r="R67">
        <f t="shared" ref="R67:R130" si="20">IFERROR(INDEX($F67:$H67,MATCH($R$1,$F67,0),3),0)</f>
        <v>0</v>
      </c>
      <c r="S67">
        <f t="shared" ref="S67:S130" si="21">IFERROR(INDEX($F67:$H67,MATCH($S$1,$F67,0),3),0)</f>
        <v>0</v>
      </c>
      <c r="T67">
        <f t="shared" ref="T67:T130" si="22">IFERROR(INDEX($F67:$H67,MATCH($T$1,$F67,0),3),0)</f>
        <v>0</v>
      </c>
      <c r="U67">
        <f t="shared" ref="U67:U130" si="23">IFERROR(INDEX($F67:$H67,MATCH($U$1,$F67,0),3),0)</f>
        <v>0</v>
      </c>
      <c r="V67">
        <f t="shared" ref="V67:V130" si="24">IFERROR(INDEX($F67:$H67,MATCH($V$1,$F67,0),3),0)</f>
        <v>0</v>
      </c>
    </row>
    <row r="68" spans="1:22" x14ac:dyDescent="0.4">
      <c r="A68" s="1" t="s">
        <v>249</v>
      </c>
      <c r="B68" s="1" t="s">
        <v>250</v>
      </c>
      <c r="C68" s="1" t="s">
        <v>251</v>
      </c>
      <c r="D68" s="1" t="s">
        <v>44</v>
      </c>
      <c r="E68" s="1" t="s">
        <v>150</v>
      </c>
      <c r="F68" s="5" t="s">
        <v>46</v>
      </c>
      <c r="G68" s="1" t="s">
        <v>27</v>
      </c>
      <c r="H68">
        <f>VLOOKUP(D68,[1]金額リスト!$A$2:$B$6,2,FALSE)</f>
        <v>114300</v>
      </c>
      <c r="I68" s="1" t="s">
        <v>33</v>
      </c>
      <c r="J68">
        <f t="shared" si="13"/>
        <v>0</v>
      </c>
      <c r="K68">
        <f t="shared" si="14"/>
        <v>0</v>
      </c>
      <c r="L68">
        <f t="shared" ref="L68:L131" si="25">IFERROR(INDEX($F68:$H68,MATCH($L$1,$F68,0),3),0)</f>
        <v>0</v>
      </c>
      <c r="M68">
        <f t="shared" si="15"/>
        <v>0</v>
      </c>
      <c r="N68">
        <f t="shared" si="16"/>
        <v>114300</v>
      </c>
      <c r="O68">
        <f t="shared" si="17"/>
        <v>0</v>
      </c>
      <c r="P68">
        <f t="shared" si="18"/>
        <v>0</v>
      </c>
      <c r="Q68">
        <f t="shared" si="19"/>
        <v>0</v>
      </c>
      <c r="R68">
        <f t="shared" si="20"/>
        <v>0</v>
      </c>
      <c r="S68">
        <f t="shared" si="21"/>
        <v>0</v>
      </c>
      <c r="T68">
        <f t="shared" si="22"/>
        <v>0</v>
      </c>
      <c r="U68">
        <f t="shared" si="23"/>
        <v>0</v>
      </c>
      <c r="V68">
        <f t="shared" si="24"/>
        <v>0</v>
      </c>
    </row>
    <row r="69" spans="1:22" x14ac:dyDescent="0.4">
      <c r="A69" s="1" t="s">
        <v>252</v>
      </c>
      <c r="B69" s="1" t="s">
        <v>253</v>
      </c>
      <c r="C69" s="1" t="s">
        <v>254</v>
      </c>
      <c r="D69" s="1" t="s">
        <v>44</v>
      </c>
      <c r="E69" s="1" t="s">
        <v>86</v>
      </c>
      <c r="F69" s="5" t="s">
        <v>46</v>
      </c>
      <c r="G69" s="1" t="s">
        <v>27</v>
      </c>
      <c r="H69">
        <f>VLOOKUP(D69,[1]金額リスト!$A$2:$B$6,2,FALSE)</f>
        <v>114300</v>
      </c>
      <c r="I69" s="1" t="s">
        <v>33</v>
      </c>
      <c r="J69">
        <f t="shared" si="13"/>
        <v>0</v>
      </c>
      <c r="K69">
        <f t="shared" si="14"/>
        <v>0</v>
      </c>
      <c r="L69">
        <f t="shared" si="25"/>
        <v>0</v>
      </c>
      <c r="M69">
        <f t="shared" si="15"/>
        <v>0</v>
      </c>
      <c r="N69">
        <f t="shared" si="16"/>
        <v>114300</v>
      </c>
      <c r="O69">
        <f t="shared" si="17"/>
        <v>0</v>
      </c>
      <c r="P69">
        <f t="shared" si="18"/>
        <v>0</v>
      </c>
      <c r="Q69">
        <f t="shared" si="19"/>
        <v>0</v>
      </c>
      <c r="R69">
        <f t="shared" si="20"/>
        <v>0</v>
      </c>
      <c r="S69">
        <f t="shared" si="21"/>
        <v>0</v>
      </c>
      <c r="T69">
        <f t="shared" si="22"/>
        <v>0</v>
      </c>
      <c r="U69">
        <f t="shared" si="23"/>
        <v>0</v>
      </c>
      <c r="V69">
        <f t="shared" si="24"/>
        <v>0</v>
      </c>
    </row>
    <row r="70" spans="1:22" x14ac:dyDescent="0.4">
      <c r="A70" s="1" t="s">
        <v>255</v>
      </c>
      <c r="B70" s="1" t="s">
        <v>256</v>
      </c>
      <c r="C70" s="1" t="s">
        <v>257</v>
      </c>
      <c r="D70" s="1" t="s">
        <v>44</v>
      </c>
      <c r="E70" s="1" t="s">
        <v>63</v>
      </c>
      <c r="F70" s="5" t="s">
        <v>46</v>
      </c>
      <c r="G70" s="1" t="s">
        <v>27</v>
      </c>
      <c r="H70">
        <f>VLOOKUP(D70,[1]金額リスト!$A$2:$B$6,2,FALSE)</f>
        <v>114300</v>
      </c>
      <c r="I70" s="1" t="s">
        <v>33</v>
      </c>
      <c r="J70">
        <f t="shared" si="13"/>
        <v>0</v>
      </c>
      <c r="K70">
        <f t="shared" si="14"/>
        <v>0</v>
      </c>
      <c r="L70">
        <f t="shared" si="25"/>
        <v>0</v>
      </c>
      <c r="M70">
        <f t="shared" si="15"/>
        <v>0</v>
      </c>
      <c r="N70">
        <f t="shared" si="16"/>
        <v>114300</v>
      </c>
      <c r="O70">
        <f t="shared" si="17"/>
        <v>0</v>
      </c>
      <c r="P70">
        <f t="shared" si="18"/>
        <v>0</v>
      </c>
      <c r="Q70">
        <f t="shared" si="19"/>
        <v>0</v>
      </c>
      <c r="R70">
        <f t="shared" si="20"/>
        <v>0</v>
      </c>
      <c r="S70">
        <f t="shared" si="21"/>
        <v>0</v>
      </c>
      <c r="T70">
        <f t="shared" si="22"/>
        <v>0</v>
      </c>
      <c r="U70">
        <f t="shared" si="23"/>
        <v>0</v>
      </c>
      <c r="V70">
        <f t="shared" si="24"/>
        <v>0</v>
      </c>
    </row>
    <row r="71" spans="1:22" x14ac:dyDescent="0.4">
      <c r="A71" s="1" t="s">
        <v>258</v>
      </c>
      <c r="B71" s="1" t="s">
        <v>259</v>
      </c>
      <c r="C71" s="1" t="s">
        <v>260</v>
      </c>
      <c r="D71" s="1" t="s">
        <v>44</v>
      </c>
      <c r="E71" s="1" t="s">
        <v>63</v>
      </c>
      <c r="F71" s="5" t="s">
        <v>46</v>
      </c>
      <c r="G71" s="1" t="s">
        <v>27</v>
      </c>
      <c r="H71">
        <f>VLOOKUP(D71,[1]金額リスト!$A$2:$B$6,2,FALSE)</f>
        <v>114300</v>
      </c>
      <c r="I71" s="1" t="s">
        <v>33</v>
      </c>
      <c r="J71">
        <f t="shared" si="13"/>
        <v>0</v>
      </c>
      <c r="K71">
        <f t="shared" si="14"/>
        <v>0</v>
      </c>
      <c r="L71">
        <f t="shared" si="25"/>
        <v>0</v>
      </c>
      <c r="M71">
        <f t="shared" si="15"/>
        <v>0</v>
      </c>
      <c r="N71">
        <f t="shared" si="16"/>
        <v>114300</v>
      </c>
      <c r="O71">
        <f t="shared" si="17"/>
        <v>0</v>
      </c>
      <c r="P71">
        <f t="shared" si="18"/>
        <v>0</v>
      </c>
      <c r="Q71">
        <f t="shared" si="19"/>
        <v>0</v>
      </c>
      <c r="R71">
        <f t="shared" si="20"/>
        <v>0</v>
      </c>
      <c r="S71">
        <f t="shared" si="21"/>
        <v>0</v>
      </c>
      <c r="T71">
        <f t="shared" si="22"/>
        <v>0</v>
      </c>
      <c r="U71">
        <f t="shared" si="23"/>
        <v>0</v>
      </c>
      <c r="V71">
        <f t="shared" si="24"/>
        <v>0</v>
      </c>
    </row>
    <row r="72" spans="1:22" x14ac:dyDescent="0.4">
      <c r="A72" s="1" t="s">
        <v>261</v>
      </c>
      <c r="B72" s="1" t="s">
        <v>262</v>
      </c>
      <c r="C72" s="1" t="s">
        <v>263</v>
      </c>
      <c r="D72" s="1" t="s">
        <v>50</v>
      </c>
      <c r="E72" s="1" t="s">
        <v>37</v>
      </c>
      <c r="F72" s="5" t="s">
        <v>46</v>
      </c>
      <c r="G72" s="1" t="s">
        <v>52</v>
      </c>
      <c r="H72">
        <f>VLOOKUP(D72,[1]金額リスト!$A$2:$B$6,2,FALSE)</f>
        <v>114300</v>
      </c>
      <c r="I72" s="1" t="s">
        <v>28</v>
      </c>
      <c r="J72">
        <f t="shared" si="13"/>
        <v>0</v>
      </c>
      <c r="K72">
        <f t="shared" si="14"/>
        <v>0</v>
      </c>
      <c r="L72">
        <f t="shared" si="25"/>
        <v>0</v>
      </c>
      <c r="M72">
        <f t="shared" si="15"/>
        <v>0</v>
      </c>
      <c r="N72">
        <f t="shared" si="16"/>
        <v>114300</v>
      </c>
      <c r="O72">
        <f t="shared" si="17"/>
        <v>0</v>
      </c>
      <c r="P72">
        <f t="shared" si="18"/>
        <v>0</v>
      </c>
      <c r="Q72">
        <f t="shared" si="19"/>
        <v>0</v>
      </c>
      <c r="R72">
        <f t="shared" si="20"/>
        <v>0</v>
      </c>
      <c r="S72">
        <f t="shared" si="21"/>
        <v>0</v>
      </c>
      <c r="T72">
        <f t="shared" si="22"/>
        <v>0</v>
      </c>
      <c r="U72">
        <f t="shared" si="23"/>
        <v>0</v>
      </c>
      <c r="V72">
        <f t="shared" si="24"/>
        <v>0</v>
      </c>
    </row>
    <row r="73" spans="1:22" x14ac:dyDescent="0.4">
      <c r="A73" s="1" t="s">
        <v>264</v>
      </c>
      <c r="B73" s="1" t="s">
        <v>265</v>
      </c>
      <c r="C73" s="1" t="s">
        <v>266</v>
      </c>
      <c r="D73" s="1" t="s">
        <v>50</v>
      </c>
      <c r="E73" s="1" t="s">
        <v>82</v>
      </c>
      <c r="F73" s="5" t="s">
        <v>46</v>
      </c>
      <c r="G73" s="1" t="s">
        <v>52</v>
      </c>
      <c r="H73">
        <f>VLOOKUP(D73,[1]金額リスト!$A$2:$B$6,2,FALSE)</f>
        <v>114300</v>
      </c>
      <c r="I73" s="1" t="s">
        <v>28</v>
      </c>
      <c r="J73">
        <f t="shared" si="13"/>
        <v>0</v>
      </c>
      <c r="K73">
        <f t="shared" si="14"/>
        <v>0</v>
      </c>
      <c r="L73">
        <f t="shared" si="25"/>
        <v>0</v>
      </c>
      <c r="M73">
        <f t="shared" si="15"/>
        <v>0</v>
      </c>
      <c r="N73">
        <f t="shared" si="16"/>
        <v>114300</v>
      </c>
      <c r="O73">
        <f t="shared" si="17"/>
        <v>0</v>
      </c>
      <c r="P73">
        <f t="shared" si="18"/>
        <v>0</v>
      </c>
      <c r="Q73">
        <f t="shared" si="19"/>
        <v>0</v>
      </c>
      <c r="R73">
        <f t="shared" si="20"/>
        <v>0</v>
      </c>
      <c r="S73">
        <f t="shared" si="21"/>
        <v>0</v>
      </c>
      <c r="T73">
        <f t="shared" si="22"/>
        <v>0</v>
      </c>
      <c r="U73">
        <f t="shared" si="23"/>
        <v>0</v>
      </c>
      <c r="V73">
        <f t="shared" si="24"/>
        <v>0</v>
      </c>
    </row>
    <row r="74" spans="1:22" x14ac:dyDescent="0.4">
      <c r="A74" s="1" t="s">
        <v>267</v>
      </c>
      <c r="B74" s="1" t="s">
        <v>268</v>
      </c>
      <c r="C74" s="1" t="s">
        <v>269</v>
      </c>
      <c r="D74" s="1" t="s">
        <v>44</v>
      </c>
      <c r="E74" s="1" t="s">
        <v>82</v>
      </c>
      <c r="F74" s="5" t="s">
        <v>46</v>
      </c>
      <c r="G74" s="1" t="s">
        <v>27</v>
      </c>
      <c r="H74">
        <f>VLOOKUP(D74,[1]金額リスト!$A$2:$B$6,2,FALSE)</f>
        <v>114300</v>
      </c>
      <c r="I74" s="1" t="s">
        <v>33</v>
      </c>
      <c r="J74">
        <f t="shared" si="13"/>
        <v>0</v>
      </c>
      <c r="K74">
        <f t="shared" si="14"/>
        <v>0</v>
      </c>
      <c r="L74">
        <f t="shared" si="25"/>
        <v>0</v>
      </c>
      <c r="M74">
        <f t="shared" si="15"/>
        <v>0</v>
      </c>
      <c r="N74">
        <f t="shared" si="16"/>
        <v>114300</v>
      </c>
      <c r="O74">
        <f t="shared" si="17"/>
        <v>0</v>
      </c>
      <c r="P74">
        <f t="shared" si="18"/>
        <v>0</v>
      </c>
      <c r="Q74">
        <f t="shared" si="19"/>
        <v>0</v>
      </c>
      <c r="R74">
        <f t="shared" si="20"/>
        <v>0</v>
      </c>
      <c r="S74">
        <f t="shared" si="21"/>
        <v>0</v>
      </c>
      <c r="T74">
        <f t="shared" si="22"/>
        <v>0</v>
      </c>
      <c r="U74">
        <f t="shared" si="23"/>
        <v>0</v>
      </c>
      <c r="V74">
        <f t="shared" si="24"/>
        <v>0</v>
      </c>
    </row>
    <row r="75" spans="1:22" x14ac:dyDescent="0.4">
      <c r="A75" s="1" t="s">
        <v>270</v>
      </c>
      <c r="B75" s="1" t="s">
        <v>271</v>
      </c>
      <c r="C75" s="1" t="s">
        <v>272</v>
      </c>
      <c r="D75" s="1" t="s">
        <v>25</v>
      </c>
      <c r="E75" s="1" t="s">
        <v>45</v>
      </c>
      <c r="F75" s="5" t="s">
        <v>10</v>
      </c>
      <c r="G75" s="1" t="s">
        <v>27</v>
      </c>
      <c r="H75">
        <f>VLOOKUP(D75,[1]金額リスト!$A$2:$B$6,2,FALSE)</f>
        <v>59400</v>
      </c>
      <c r="I75" s="1" t="s">
        <v>33</v>
      </c>
      <c r="J75">
        <f t="shared" si="13"/>
        <v>0</v>
      </c>
      <c r="K75">
        <f t="shared" si="14"/>
        <v>59400</v>
      </c>
      <c r="L75">
        <f t="shared" si="25"/>
        <v>0</v>
      </c>
      <c r="M75">
        <f t="shared" si="15"/>
        <v>0</v>
      </c>
      <c r="N75">
        <f t="shared" si="16"/>
        <v>0</v>
      </c>
      <c r="O75">
        <f t="shared" si="17"/>
        <v>0</v>
      </c>
      <c r="P75">
        <f t="shared" si="18"/>
        <v>0</v>
      </c>
      <c r="Q75">
        <f t="shared" si="19"/>
        <v>0</v>
      </c>
      <c r="R75">
        <f t="shared" si="20"/>
        <v>0</v>
      </c>
      <c r="S75">
        <f t="shared" si="21"/>
        <v>0</v>
      </c>
      <c r="T75">
        <f t="shared" si="22"/>
        <v>0</v>
      </c>
      <c r="U75">
        <f t="shared" si="23"/>
        <v>0</v>
      </c>
      <c r="V75">
        <f t="shared" si="24"/>
        <v>0</v>
      </c>
    </row>
    <row r="76" spans="1:22" x14ac:dyDescent="0.4">
      <c r="A76" s="1" t="s">
        <v>273</v>
      </c>
      <c r="B76" s="1" t="s">
        <v>274</v>
      </c>
      <c r="C76" s="1" t="s">
        <v>275</v>
      </c>
      <c r="D76" s="1" t="s">
        <v>44</v>
      </c>
      <c r="E76" s="1" t="s">
        <v>86</v>
      </c>
      <c r="F76" s="5" t="s">
        <v>46</v>
      </c>
      <c r="G76" s="1" t="s">
        <v>27</v>
      </c>
      <c r="H76">
        <f>VLOOKUP(D76,[1]金額リスト!$A$2:$B$6,2,FALSE)</f>
        <v>114300</v>
      </c>
      <c r="I76" s="1" t="s">
        <v>33</v>
      </c>
      <c r="J76">
        <f t="shared" si="13"/>
        <v>0</v>
      </c>
      <c r="K76">
        <f t="shared" si="14"/>
        <v>0</v>
      </c>
      <c r="L76">
        <f t="shared" si="25"/>
        <v>0</v>
      </c>
      <c r="M76">
        <f t="shared" si="15"/>
        <v>0</v>
      </c>
      <c r="N76">
        <f t="shared" si="16"/>
        <v>114300</v>
      </c>
      <c r="O76">
        <f t="shared" si="17"/>
        <v>0</v>
      </c>
      <c r="P76">
        <f t="shared" si="18"/>
        <v>0</v>
      </c>
      <c r="Q76">
        <f t="shared" si="19"/>
        <v>0</v>
      </c>
      <c r="R76">
        <f t="shared" si="20"/>
        <v>0</v>
      </c>
      <c r="S76">
        <f t="shared" si="21"/>
        <v>0</v>
      </c>
      <c r="T76">
        <f t="shared" si="22"/>
        <v>0</v>
      </c>
      <c r="U76">
        <f t="shared" si="23"/>
        <v>0</v>
      </c>
      <c r="V76">
        <f t="shared" si="24"/>
        <v>0</v>
      </c>
    </row>
    <row r="77" spans="1:22" x14ac:dyDescent="0.4">
      <c r="A77" s="1" t="s">
        <v>276</v>
      </c>
      <c r="B77" s="1" t="s">
        <v>277</v>
      </c>
      <c r="C77" s="1" t="s">
        <v>278</v>
      </c>
      <c r="D77" s="1" t="s">
        <v>44</v>
      </c>
      <c r="E77" s="1" t="s">
        <v>86</v>
      </c>
      <c r="F77" s="5" t="s">
        <v>46</v>
      </c>
      <c r="G77" s="1" t="s">
        <v>27</v>
      </c>
      <c r="H77">
        <f>VLOOKUP(D77,[1]金額リスト!$A$2:$B$6,2,FALSE)</f>
        <v>114300</v>
      </c>
      <c r="I77" s="1" t="s">
        <v>33</v>
      </c>
      <c r="J77">
        <f t="shared" si="13"/>
        <v>0</v>
      </c>
      <c r="K77">
        <f t="shared" si="14"/>
        <v>0</v>
      </c>
      <c r="L77">
        <f t="shared" si="25"/>
        <v>0</v>
      </c>
      <c r="M77">
        <f t="shared" si="15"/>
        <v>0</v>
      </c>
      <c r="N77">
        <f t="shared" si="16"/>
        <v>114300</v>
      </c>
      <c r="O77">
        <f t="shared" si="17"/>
        <v>0</v>
      </c>
      <c r="P77">
        <f t="shared" si="18"/>
        <v>0</v>
      </c>
      <c r="Q77">
        <f t="shared" si="19"/>
        <v>0</v>
      </c>
      <c r="R77">
        <f t="shared" si="20"/>
        <v>0</v>
      </c>
      <c r="S77">
        <f t="shared" si="21"/>
        <v>0</v>
      </c>
      <c r="T77">
        <f t="shared" si="22"/>
        <v>0</v>
      </c>
      <c r="U77">
        <f t="shared" si="23"/>
        <v>0</v>
      </c>
      <c r="V77">
        <f t="shared" si="24"/>
        <v>0</v>
      </c>
    </row>
    <row r="78" spans="1:22" x14ac:dyDescent="0.4">
      <c r="A78" s="1" t="s">
        <v>279</v>
      </c>
      <c r="B78" s="1" t="s">
        <v>280</v>
      </c>
      <c r="C78" s="1" t="s">
        <v>281</v>
      </c>
      <c r="D78" s="1" t="s">
        <v>44</v>
      </c>
      <c r="E78" s="1" t="s">
        <v>32</v>
      </c>
      <c r="F78" s="5" t="s">
        <v>46</v>
      </c>
      <c r="G78" s="1" t="s">
        <v>27</v>
      </c>
      <c r="H78">
        <f>VLOOKUP(D78,[1]金額リスト!$A$2:$B$6,2,FALSE)</f>
        <v>114300</v>
      </c>
      <c r="I78" s="1" t="s">
        <v>33</v>
      </c>
      <c r="J78">
        <f t="shared" si="13"/>
        <v>0</v>
      </c>
      <c r="K78">
        <f t="shared" si="14"/>
        <v>0</v>
      </c>
      <c r="L78">
        <f t="shared" si="25"/>
        <v>0</v>
      </c>
      <c r="M78">
        <f t="shared" si="15"/>
        <v>0</v>
      </c>
      <c r="N78">
        <f t="shared" si="16"/>
        <v>114300</v>
      </c>
      <c r="O78">
        <f t="shared" si="17"/>
        <v>0</v>
      </c>
      <c r="P78">
        <f t="shared" si="18"/>
        <v>0</v>
      </c>
      <c r="Q78">
        <f t="shared" si="19"/>
        <v>0</v>
      </c>
      <c r="R78">
        <f t="shared" si="20"/>
        <v>0</v>
      </c>
      <c r="S78">
        <f t="shared" si="21"/>
        <v>0</v>
      </c>
      <c r="T78">
        <f t="shared" si="22"/>
        <v>0</v>
      </c>
      <c r="U78">
        <f t="shared" si="23"/>
        <v>0</v>
      </c>
      <c r="V78">
        <f t="shared" si="24"/>
        <v>0</v>
      </c>
    </row>
    <row r="79" spans="1:22" x14ac:dyDescent="0.4">
      <c r="A79" s="1" t="s">
        <v>282</v>
      </c>
      <c r="B79" s="1" t="s">
        <v>283</v>
      </c>
      <c r="C79" s="1" t="s">
        <v>284</v>
      </c>
      <c r="D79" s="1" t="s">
        <v>44</v>
      </c>
      <c r="E79" s="1" t="s">
        <v>101</v>
      </c>
      <c r="F79" s="5" t="s">
        <v>46</v>
      </c>
      <c r="G79" s="1" t="s">
        <v>27</v>
      </c>
      <c r="H79">
        <f>VLOOKUP(D79,[1]金額リスト!$A$2:$B$6,2,FALSE)</f>
        <v>114300</v>
      </c>
      <c r="I79" s="1" t="s">
        <v>33</v>
      </c>
      <c r="J79">
        <f t="shared" si="13"/>
        <v>0</v>
      </c>
      <c r="K79">
        <f t="shared" si="14"/>
        <v>0</v>
      </c>
      <c r="L79">
        <f t="shared" si="25"/>
        <v>0</v>
      </c>
      <c r="M79">
        <f t="shared" si="15"/>
        <v>0</v>
      </c>
      <c r="N79">
        <f t="shared" si="16"/>
        <v>114300</v>
      </c>
      <c r="O79">
        <f t="shared" si="17"/>
        <v>0</v>
      </c>
      <c r="P79">
        <f t="shared" si="18"/>
        <v>0</v>
      </c>
      <c r="Q79">
        <f t="shared" si="19"/>
        <v>0</v>
      </c>
      <c r="R79">
        <f t="shared" si="20"/>
        <v>0</v>
      </c>
      <c r="S79">
        <f t="shared" si="21"/>
        <v>0</v>
      </c>
      <c r="T79">
        <f t="shared" si="22"/>
        <v>0</v>
      </c>
      <c r="U79">
        <f t="shared" si="23"/>
        <v>0</v>
      </c>
      <c r="V79">
        <f t="shared" si="24"/>
        <v>0</v>
      </c>
    </row>
    <row r="80" spans="1:22" x14ac:dyDescent="0.4">
      <c r="A80" s="1" t="s">
        <v>285</v>
      </c>
      <c r="B80" s="1" t="s">
        <v>286</v>
      </c>
      <c r="C80" s="1" t="s">
        <v>287</v>
      </c>
      <c r="D80" s="1" t="s">
        <v>44</v>
      </c>
      <c r="E80" s="1" t="s">
        <v>45</v>
      </c>
      <c r="F80" s="5" t="s">
        <v>46</v>
      </c>
      <c r="G80" s="1" t="s">
        <v>27</v>
      </c>
      <c r="H80">
        <f>VLOOKUP(D80,[1]金額リスト!$A$2:$B$6,2,FALSE)</f>
        <v>114300</v>
      </c>
      <c r="I80" s="1" t="s">
        <v>33</v>
      </c>
      <c r="J80">
        <f t="shared" si="13"/>
        <v>0</v>
      </c>
      <c r="K80">
        <f t="shared" si="14"/>
        <v>0</v>
      </c>
      <c r="L80">
        <f t="shared" si="25"/>
        <v>0</v>
      </c>
      <c r="M80">
        <f t="shared" si="15"/>
        <v>0</v>
      </c>
      <c r="N80">
        <f t="shared" si="16"/>
        <v>114300</v>
      </c>
      <c r="O80">
        <f t="shared" si="17"/>
        <v>0</v>
      </c>
      <c r="P80">
        <f t="shared" si="18"/>
        <v>0</v>
      </c>
      <c r="Q80">
        <f t="shared" si="19"/>
        <v>0</v>
      </c>
      <c r="R80">
        <f t="shared" si="20"/>
        <v>0</v>
      </c>
      <c r="S80">
        <f t="shared" si="21"/>
        <v>0</v>
      </c>
      <c r="T80">
        <f t="shared" si="22"/>
        <v>0</v>
      </c>
      <c r="U80">
        <f t="shared" si="23"/>
        <v>0</v>
      </c>
      <c r="V80">
        <f t="shared" si="24"/>
        <v>0</v>
      </c>
    </row>
    <row r="81" spans="1:22" x14ac:dyDescent="0.4">
      <c r="A81" s="1" t="s">
        <v>288</v>
      </c>
      <c r="B81" s="1" t="s">
        <v>289</v>
      </c>
      <c r="C81" s="1" t="s">
        <v>290</v>
      </c>
      <c r="D81" s="1" t="s">
        <v>44</v>
      </c>
      <c r="E81" s="1" t="s">
        <v>63</v>
      </c>
      <c r="F81" s="5" t="s">
        <v>46</v>
      </c>
      <c r="G81" s="1" t="s">
        <v>27</v>
      </c>
      <c r="H81">
        <f>VLOOKUP(D81,[1]金額リスト!$A$2:$B$6,2,FALSE)</f>
        <v>114300</v>
      </c>
      <c r="I81" s="1" t="s">
        <v>33</v>
      </c>
      <c r="J81">
        <f t="shared" si="13"/>
        <v>0</v>
      </c>
      <c r="K81">
        <f t="shared" si="14"/>
        <v>0</v>
      </c>
      <c r="L81">
        <f t="shared" si="25"/>
        <v>0</v>
      </c>
      <c r="M81">
        <f t="shared" si="15"/>
        <v>0</v>
      </c>
      <c r="N81">
        <f t="shared" si="16"/>
        <v>114300</v>
      </c>
      <c r="O81">
        <f t="shared" si="17"/>
        <v>0</v>
      </c>
      <c r="P81">
        <f t="shared" si="18"/>
        <v>0</v>
      </c>
      <c r="Q81">
        <f t="shared" si="19"/>
        <v>0</v>
      </c>
      <c r="R81">
        <f t="shared" si="20"/>
        <v>0</v>
      </c>
      <c r="S81">
        <f t="shared" si="21"/>
        <v>0</v>
      </c>
      <c r="T81">
        <f t="shared" si="22"/>
        <v>0</v>
      </c>
      <c r="U81">
        <f t="shared" si="23"/>
        <v>0</v>
      </c>
      <c r="V81">
        <f t="shared" si="24"/>
        <v>0</v>
      </c>
    </row>
    <row r="82" spans="1:22" x14ac:dyDescent="0.4">
      <c r="A82" s="1" t="s">
        <v>291</v>
      </c>
      <c r="B82" s="1" t="s">
        <v>292</v>
      </c>
      <c r="C82" s="1" t="s">
        <v>293</v>
      </c>
      <c r="D82" s="1" t="s">
        <v>50</v>
      </c>
      <c r="E82" s="1" t="s">
        <v>86</v>
      </c>
      <c r="F82" s="5" t="s">
        <v>46</v>
      </c>
      <c r="G82" s="1" t="s">
        <v>52</v>
      </c>
      <c r="H82">
        <f>VLOOKUP(D82,[1]金額リスト!$A$2:$B$6,2,FALSE)</f>
        <v>114300</v>
      </c>
      <c r="I82" s="1" t="s">
        <v>28</v>
      </c>
      <c r="J82">
        <f t="shared" si="13"/>
        <v>0</v>
      </c>
      <c r="K82">
        <f t="shared" si="14"/>
        <v>0</v>
      </c>
      <c r="L82">
        <f t="shared" si="25"/>
        <v>0</v>
      </c>
      <c r="M82">
        <f t="shared" si="15"/>
        <v>0</v>
      </c>
      <c r="N82">
        <f t="shared" si="16"/>
        <v>114300</v>
      </c>
      <c r="O82">
        <f t="shared" si="17"/>
        <v>0</v>
      </c>
      <c r="P82">
        <f t="shared" si="18"/>
        <v>0</v>
      </c>
      <c r="Q82">
        <f t="shared" si="19"/>
        <v>0</v>
      </c>
      <c r="R82">
        <f t="shared" si="20"/>
        <v>0</v>
      </c>
      <c r="S82">
        <f t="shared" si="21"/>
        <v>0</v>
      </c>
      <c r="T82">
        <f t="shared" si="22"/>
        <v>0</v>
      </c>
      <c r="U82">
        <f t="shared" si="23"/>
        <v>0</v>
      </c>
      <c r="V82">
        <f t="shared" si="24"/>
        <v>0</v>
      </c>
    </row>
    <row r="83" spans="1:22" x14ac:dyDescent="0.4">
      <c r="A83" s="1" t="s">
        <v>294</v>
      </c>
      <c r="B83" s="1" t="s">
        <v>295</v>
      </c>
      <c r="C83" s="1" t="s">
        <v>296</v>
      </c>
      <c r="D83" s="1" t="s">
        <v>44</v>
      </c>
      <c r="E83" s="1" t="s">
        <v>45</v>
      </c>
      <c r="F83" s="5" t="s">
        <v>46</v>
      </c>
      <c r="G83" s="1" t="s">
        <v>27</v>
      </c>
      <c r="H83">
        <f>VLOOKUP(D83,[1]金額リスト!$A$2:$B$6,2,FALSE)</f>
        <v>114300</v>
      </c>
      <c r="I83" s="1" t="s">
        <v>33</v>
      </c>
      <c r="J83">
        <f t="shared" si="13"/>
        <v>0</v>
      </c>
      <c r="K83">
        <f t="shared" si="14"/>
        <v>0</v>
      </c>
      <c r="L83">
        <f t="shared" si="25"/>
        <v>0</v>
      </c>
      <c r="M83">
        <f t="shared" si="15"/>
        <v>0</v>
      </c>
      <c r="N83">
        <f t="shared" si="16"/>
        <v>114300</v>
      </c>
      <c r="O83">
        <f t="shared" si="17"/>
        <v>0</v>
      </c>
      <c r="P83">
        <f t="shared" si="18"/>
        <v>0</v>
      </c>
      <c r="Q83">
        <f t="shared" si="19"/>
        <v>0</v>
      </c>
      <c r="R83">
        <f t="shared" si="20"/>
        <v>0</v>
      </c>
      <c r="S83">
        <f t="shared" si="21"/>
        <v>0</v>
      </c>
      <c r="T83">
        <f t="shared" si="22"/>
        <v>0</v>
      </c>
      <c r="U83">
        <f t="shared" si="23"/>
        <v>0</v>
      </c>
      <c r="V83">
        <f t="shared" si="24"/>
        <v>0</v>
      </c>
    </row>
    <row r="84" spans="1:22" x14ac:dyDescent="0.4">
      <c r="A84" s="1" t="s">
        <v>297</v>
      </c>
      <c r="B84" s="1" t="s">
        <v>298</v>
      </c>
      <c r="C84" s="1" t="s">
        <v>299</v>
      </c>
      <c r="D84" s="1" t="s">
        <v>44</v>
      </c>
      <c r="E84" s="1" t="s">
        <v>63</v>
      </c>
      <c r="F84" s="5" t="s">
        <v>46</v>
      </c>
      <c r="G84" s="1" t="s">
        <v>27</v>
      </c>
      <c r="H84">
        <f>VLOOKUP(D84,[1]金額リスト!$A$2:$B$6,2,FALSE)</f>
        <v>114300</v>
      </c>
      <c r="I84" s="1" t="s">
        <v>33</v>
      </c>
      <c r="J84">
        <f t="shared" si="13"/>
        <v>0</v>
      </c>
      <c r="K84">
        <f t="shared" si="14"/>
        <v>0</v>
      </c>
      <c r="L84">
        <f t="shared" si="25"/>
        <v>0</v>
      </c>
      <c r="M84">
        <f t="shared" si="15"/>
        <v>0</v>
      </c>
      <c r="N84">
        <f t="shared" si="16"/>
        <v>114300</v>
      </c>
      <c r="O84">
        <f t="shared" si="17"/>
        <v>0</v>
      </c>
      <c r="P84">
        <f t="shared" si="18"/>
        <v>0</v>
      </c>
      <c r="Q84">
        <f t="shared" si="19"/>
        <v>0</v>
      </c>
      <c r="R84">
        <f t="shared" si="20"/>
        <v>0</v>
      </c>
      <c r="S84">
        <f t="shared" si="21"/>
        <v>0</v>
      </c>
      <c r="T84">
        <f t="shared" si="22"/>
        <v>0</v>
      </c>
      <c r="U84">
        <f t="shared" si="23"/>
        <v>0</v>
      </c>
      <c r="V84">
        <f t="shared" si="24"/>
        <v>0</v>
      </c>
    </row>
    <row r="85" spans="1:22" x14ac:dyDescent="0.4">
      <c r="A85" s="1" t="s">
        <v>300</v>
      </c>
      <c r="B85" s="1" t="s">
        <v>301</v>
      </c>
      <c r="C85" s="1" t="s">
        <v>302</v>
      </c>
      <c r="D85" s="1" t="s">
        <v>44</v>
      </c>
      <c r="E85" s="1" t="s">
        <v>90</v>
      </c>
      <c r="F85" s="5" t="s">
        <v>46</v>
      </c>
      <c r="G85" s="1" t="s">
        <v>27</v>
      </c>
      <c r="H85">
        <f>VLOOKUP(D85,[1]金額リスト!$A$2:$B$6,2,FALSE)</f>
        <v>114300</v>
      </c>
      <c r="I85" s="1" t="s">
        <v>33</v>
      </c>
      <c r="J85">
        <f t="shared" si="13"/>
        <v>0</v>
      </c>
      <c r="K85">
        <f t="shared" si="14"/>
        <v>0</v>
      </c>
      <c r="L85">
        <f t="shared" si="25"/>
        <v>0</v>
      </c>
      <c r="M85">
        <f t="shared" si="15"/>
        <v>0</v>
      </c>
      <c r="N85">
        <f t="shared" si="16"/>
        <v>114300</v>
      </c>
      <c r="O85">
        <f t="shared" si="17"/>
        <v>0</v>
      </c>
      <c r="P85">
        <f t="shared" si="18"/>
        <v>0</v>
      </c>
      <c r="Q85">
        <f t="shared" si="19"/>
        <v>0</v>
      </c>
      <c r="R85">
        <f t="shared" si="20"/>
        <v>0</v>
      </c>
      <c r="S85">
        <f t="shared" si="21"/>
        <v>0</v>
      </c>
      <c r="T85">
        <f t="shared" si="22"/>
        <v>0</v>
      </c>
      <c r="U85">
        <f t="shared" si="23"/>
        <v>0</v>
      </c>
      <c r="V85">
        <f t="shared" si="24"/>
        <v>0</v>
      </c>
    </row>
    <row r="86" spans="1:22" x14ac:dyDescent="0.4">
      <c r="A86" s="1" t="s">
        <v>303</v>
      </c>
      <c r="B86" s="1" t="s">
        <v>304</v>
      </c>
      <c r="C86" s="1" t="s">
        <v>305</v>
      </c>
      <c r="D86" s="1" t="s">
        <v>44</v>
      </c>
      <c r="E86" s="1" t="s">
        <v>56</v>
      </c>
      <c r="F86" s="5" t="s">
        <v>46</v>
      </c>
      <c r="G86" s="1" t="s">
        <v>27</v>
      </c>
      <c r="H86">
        <f>VLOOKUP(D86,[1]金額リスト!$A$2:$B$6,2,FALSE)</f>
        <v>114300</v>
      </c>
      <c r="I86" s="1" t="s">
        <v>33</v>
      </c>
      <c r="J86">
        <f t="shared" si="13"/>
        <v>0</v>
      </c>
      <c r="K86">
        <f t="shared" si="14"/>
        <v>0</v>
      </c>
      <c r="L86">
        <f t="shared" si="25"/>
        <v>0</v>
      </c>
      <c r="M86">
        <f t="shared" si="15"/>
        <v>0</v>
      </c>
      <c r="N86">
        <f t="shared" si="16"/>
        <v>114300</v>
      </c>
      <c r="O86">
        <f t="shared" si="17"/>
        <v>0</v>
      </c>
      <c r="P86">
        <f t="shared" si="18"/>
        <v>0</v>
      </c>
      <c r="Q86">
        <f t="shared" si="19"/>
        <v>0</v>
      </c>
      <c r="R86">
        <f t="shared" si="20"/>
        <v>0</v>
      </c>
      <c r="S86">
        <f t="shared" si="21"/>
        <v>0</v>
      </c>
      <c r="T86">
        <f t="shared" si="22"/>
        <v>0</v>
      </c>
      <c r="U86">
        <f t="shared" si="23"/>
        <v>0</v>
      </c>
      <c r="V86">
        <f t="shared" si="24"/>
        <v>0</v>
      </c>
    </row>
    <row r="87" spans="1:22" x14ac:dyDescent="0.4">
      <c r="A87" s="1" t="s">
        <v>306</v>
      </c>
      <c r="B87" s="1" t="s">
        <v>307</v>
      </c>
      <c r="C87" s="1" t="s">
        <v>308</v>
      </c>
      <c r="D87" s="1" t="s">
        <v>44</v>
      </c>
      <c r="E87" s="1" t="s">
        <v>45</v>
      </c>
      <c r="F87" s="5" t="s">
        <v>46</v>
      </c>
      <c r="G87" s="1" t="s">
        <v>27</v>
      </c>
      <c r="H87">
        <f>VLOOKUP(D87,[1]金額リスト!$A$2:$B$6,2,FALSE)</f>
        <v>114300</v>
      </c>
      <c r="I87" s="1" t="s">
        <v>33</v>
      </c>
      <c r="J87">
        <f t="shared" si="13"/>
        <v>0</v>
      </c>
      <c r="K87">
        <f t="shared" si="14"/>
        <v>0</v>
      </c>
      <c r="L87">
        <f t="shared" si="25"/>
        <v>0</v>
      </c>
      <c r="M87">
        <f t="shared" si="15"/>
        <v>0</v>
      </c>
      <c r="N87">
        <f t="shared" si="16"/>
        <v>114300</v>
      </c>
      <c r="O87">
        <f t="shared" si="17"/>
        <v>0</v>
      </c>
      <c r="P87">
        <f t="shared" si="18"/>
        <v>0</v>
      </c>
      <c r="Q87">
        <f t="shared" si="19"/>
        <v>0</v>
      </c>
      <c r="R87">
        <f t="shared" si="20"/>
        <v>0</v>
      </c>
      <c r="S87">
        <f t="shared" si="21"/>
        <v>0</v>
      </c>
      <c r="T87">
        <f t="shared" si="22"/>
        <v>0</v>
      </c>
      <c r="U87">
        <f t="shared" si="23"/>
        <v>0</v>
      </c>
      <c r="V87">
        <f t="shared" si="24"/>
        <v>0</v>
      </c>
    </row>
    <row r="88" spans="1:22" x14ac:dyDescent="0.4">
      <c r="A88" s="1" t="s">
        <v>309</v>
      </c>
      <c r="B88" s="1" t="s">
        <v>310</v>
      </c>
      <c r="C88" s="1" t="s">
        <v>311</v>
      </c>
      <c r="D88" s="1" t="s">
        <v>44</v>
      </c>
      <c r="E88" s="1" t="s">
        <v>56</v>
      </c>
      <c r="F88" s="5" t="s">
        <v>46</v>
      </c>
      <c r="G88" s="1" t="s">
        <v>27</v>
      </c>
      <c r="H88">
        <f>VLOOKUP(D88,[1]金額リスト!$A$2:$B$6,2,FALSE)</f>
        <v>114300</v>
      </c>
      <c r="I88" s="1" t="s">
        <v>33</v>
      </c>
      <c r="J88">
        <f t="shared" si="13"/>
        <v>0</v>
      </c>
      <c r="K88">
        <f t="shared" si="14"/>
        <v>0</v>
      </c>
      <c r="L88">
        <f t="shared" si="25"/>
        <v>0</v>
      </c>
      <c r="M88">
        <f t="shared" si="15"/>
        <v>0</v>
      </c>
      <c r="N88">
        <f t="shared" si="16"/>
        <v>114300</v>
      </c>
      <c r="O88">
        <f t="shared" si="17"/>
        <v>0</v>
      </c>
      <c r="P88">
        <f t="shared" si="18"/>
        <v>0</v>
      </c>
      <c r="Q88">
        <f t="shared" si="19"/>
        <v>0</v>
      </c>
      <c r="R88">
        <f t="shared" si="20"/>
        <v>0</v>
      </c>
      <c r="S88">
        <f t="shared" si="21"/>
        <v>0</v>
      </c>
      <c r="T88">
        <f t="shared" si="22"/>
        <v>0</v>
      </c>
      <c r="U88">
        <f t="shared" si="23"/>
        <v>0</v>
      </c>
      <c r="V88">
        <f t="shared" si="24"/>
        <v>0</v>
      </c>
    </row>
    <row r="89" spans="1:22" x14ac:dyDescent="0.4">
      <c r="A89" s="1" t="s">
        <v>312</v>
      </c>
      <c r="B89" s="1" t="s">
        <v>313</v>
      </c>
      <c r="C89" s="1" t="s">
        <v>314</v>
      </c>
      <c r="D89" s="1" t="s">
        <v>44</v>
      </c>
      <c r="E89" s="1" t="s">
        <v>56</v>
      </c>
      <c r="F89" s="5" t="s">
        <v>46</v>
      </c>
      <c r="G89" s="1" t="s">
        <v>27</v>
      </c>
      <c r="H89">
        <f>VLOOKUP(D89,[1]金額リスト!$A$2:$B$6,2,FALSE)</f>
        <v>114300</v>
      </c>
      <c r="I89" s="1" t="s">
        <v>33</v>
      </c>
      <c r="J89">
        <f t="shared" si="13"/>
        <v>0</v>
      </c>
      <c r="K89">
        <f t="shared" si="14"/>
        <v>0</v>
      </c>
      <c r="L89">
        <f t="shared" si="25"/>
        <v>0</v>
      </c>
      <c r="M89">
        <f t="shared" si="15"/>
        <v>0</v>
      </c>
      <c r="N89">
        <f t="shared" si="16"/>
        <v>114300</v>
      </c>
      <c r="O89">
        <f t="shared" si="17"/>
        <v>0</v>
      </c>
      <c r="P89">
        <f t="shared" si="18"/>
        <v>0</v>
      </c>
      <c r="Q89">
        <f t="shared" si="19"/>
        <v>0</v>
      </c>
      <c r="R89">
        <f t="shared" si="20"/>
        <v>0</v>
      </c>
      <c r="S89">
        <f t="shared" si="21"/>
        <v>0</v>
      </c>
      <c r="T89">
        <f t="shared" si="22"/>
        <v>0</v>
      </c>
      <c r="U89">
        <f t="shared" si="23"/>
        <v>0</v>
      </c>
      <c r="V89">
        <f t="shared" si="24"/>
        <v>0</v>
      </c>
    </row>
    <row r="90" spans="1:22" x14ac:dyDescent="0.4">
      <c r="A90" s="1" t="s">
        <v>315</v>
      </c>
      <c r="B90" s="1" t="s">
        <v>316</v>
      </c>
      <c r="C90" s="1" t="s">
        <v>317</v>
      </c>
      <c r="D90" s="1" t="s">
        <v>44</v>
      </c>
      <c r="E90" s="1" t="s">
        <v>56</v>
      </c>
      <c r="F90" s="5" t="s">
        <v>46</v>
      </c>
      <c r="G90" s="1" t="s">
        <v>27</v>
      </c>
      <c r="H90">
        <f>VLOOKUP(D90,[1]金額リスト!$A$2:$B$6,2,FALSE)</f>
        <v>114300</v>
      </c>
      <c r="I90" s="1" t="s">
        <v>33</v>
      </c>
      <c r="J90">
        <f t="shared" si="13"/>
        <v>0</v>
      </c>
      <c r="K90">
        <f t="shared" si="14"/>
        <v>0</v>
      </c>
      <c r="L90">
        <f t="shared" si="25"/>
        <v>0</v>
      </c>
      <c r="M90">
        <f t="shared" si="15"/>
        <v>0</v>
      </c>
      <c r="N90">
        <f t="shared" si="16"/>
        <v>114300</v>
      </c>
      <c r="O90">
        <f t="shared" si="17"/>
        <v>0</v>
      </c>
      <c r="P90">
        <f t="shared" si="18"/>
        <v>0</v>
      </c>
      <c r="Q90">
        <f t="shared" si="19"/>
        <v>0</v>
      </c>
      <c r="R90">
        <f t="shared" si="20"/>
        <v>0</v>
      </c>
      <c r="S90">
        <f t="shared" si="21"/>
        <v>0</v>
      </c>
      <c r="T90">
        <f t="shared" si="22"/>
        <v>0</v>
      </c>
      <c r="U90">
        <f t="shared" si="23"/>
        <v>0</v>
      </c>
      <c r="V90">
        <f t="shared" si="24"/>
        <v>0</v>
      </c>
    </row>
    <row r="91" spans="1:22" x14ac:dyDescent="0.4">
      <c r="A91" s="1" t="s">
        <v>318</v>
      </c>
      <c r="B91" s="1" t="s">
        <v>319</v>
      </c>
      <c r="C91" s="1" t="s">
        <v>320</v>
      </c>
      <c r="D91" s="1" t="s">
        <v>44</v>
      </c>
      <c r="E91" s="1" t="s">
        <v>112</v>
      </c>
      <c r="F91" s="5" t="s">
        <v>46</v>
      </c>
      <c r="G91" s="1" t="s">
        <v>27</v>
      </c>
      <c r="H91">
        <f>VLOOKUP(D91,[1]金額リスト!$A$2:$B$6,2,FALSE)</f>
        <v>114300</v>
      </c>
      <c r="I91" s="1" t="s">
        <v>33</v>
      </c>
      <c r="J91">
        <f t="shared" si="13"/>
        <v>0</v>
      </c>
      <c r="K91">
        <f t="shared" si="14"/>
        <v>0</v>
      </c>
      <c r="L91">
        <f t="shared" si="25"/>
        <v>0</v>
      </c>
      <c r="M91">
        <f t="shared" si="15"/>
        <v>0</v>
      </c>
      <c r="N91">
        <f t="shared" si="16"/>
        <v>114300</v>
      </c>
      <c r="O91">
        <f t="shared" si="17"/>
        <v>0</v>
      </c>
      <c r="P91">
        <f t="shared" si="18"/>
        <v>0</v>
      </c>
      <c r="Q91">
        <f t="shared" si="19"/>
        <v>0</v>
      </c>
      <c r="R91">
        <f t="shared" si="20"/>
        <v>0</v>
      </c>
      <c r="S91">
        <f t="shared" si="21"/>
        <v>0</v>
      </c>
      <c r="T91">
        <f t="shared" si="22"/>
        <v>0</v>
      </c>
      <c r="U91">
        <f t="shared" si="23"/>
        <v>0</v>
      </c>
      <c r="V91">
        <f t="shared" si="24"/>
        <v>0</v>
      </c>
    </row>
    <row r="92" spans="1:22" x14ac:dyDescent="0.4">
      <c r="A92" s="1" t="s">
        <v>321</v>
      </c>
      <c r="B92" s="1" t="s">
        <v>322</v>
      </c>
      <c r="C92" s="1" t="s">
        <v>323</v>
      </c>
      <c r="D92" s="1" t="s">
        <v>44</v>
      </c>
      <c r="E92" s="1" t="s">
        <v>56</v>
      </c>
      <c r="F92" s="5" t="s">
        <v>46</v>
      </c>
      <c r="G92" s="1" t="s">
        <v>27</v>
      </c>
      <c r="H92">
        <f>VLOOKUP(D92,[1]金額リスト!$A$2:$B$6,2,FALSE)</f>
        <v>114300</v>
      </c>
      <c r="I92" s="1" t="s">
        <v>33</v>
      </c>
      <c r="J92">
        <f t="shared" si="13"/>
        <v>0</v>
      </c>
      <c r="K92">
        <f t="shared" si="14"/>
        <v>0</v>
      </c>
      <c r="L92">
        <f t="shared" si="25"/>
        <v>0</v>
      </c>
      <c r="M92">
        <f t="shared" si="15"/>
        <v>0</v>
      </c>
      <c r="N92">
        <f t="shared" si="16"/>
        <v>114300</v>
      </c>
      <c r="O92">
        <f t="shared" si="17"/>
        <v>0</v>
      </c>
      <c r="P92">
        <f t="shared" si="18"/>
        <v>0</v>
      </c>
      <c r="Q92">
        <f t="shared" si="19"/>
        <v>0</v>
      </c>
      <c r="R92">
        <f t="shared" si="20"/>
        <v>0</v>
      </c>
      <c r="S92">
        <f t="shared" si="21"/>
        <v>0</v>
      </c>
      <c r="T92">
        <f t="shared" si="22"/>
        <v>0</v>
      </c>
      <c r="U92">
        <f t="shared" si="23"/>
        <v>0</v>
      </c>
      <c r="V92">
        <f t="shared" si="24"/>
        <v>0</v>
      </c>
    </row>
    <row r="93" spans="1:22" x14ac:dyDescent="0.4">
      <c r="A93" s="1" t="s">
        <v>324</v>
      </c>
      <c r="B93" s="1" t="s">
        <v>325</v>
      </c>
      <c r="C93" s="1" t="s">
        <v>326</v>
      </c>
      <c r="D93" s="1" t="s">
        <v>50</v>
      </c>
      <c r="E93" s="1" t="s">
        <v>63</v>
      </c>
      <c r="F93" s="5" t="s">
        <v>46</v>
      </c>
      <c r="G93" s="1" t="s">
        <v>52</v>
      </c>
      <c r="H93">
        <f>VLOOKUP(D93,[1]金額リスト!$A$2:$B$6,2,FALSE)</f>
        <v>114300</v>
      </c>
      <c r="I93" s="1" t="s">
        <v>28</v>
      </c>
      <c r="J93">
        <f t="shared" si="13"/>
        <v>0</v>
      </c>
      <c r="K93">
        <f t="shared" si="14"/>
        <v>0</v>
      </c>
      <c r="L93">
        <f t="shared" si="25"/>
        <v>0</v>
      </c>
      <c r="M93">
        <f t="shared" si="15"/>
        <v>0</v>
      </c>
      <c r="N93">
        <f t="shared" si="16"/>
        <v>114300</v>
      </c>
      <c r="O93">
        <f t="shared" si="17"/>
        <v>0</v>
      </c>
      <c r="P93">
        <f t="shared" si="18"/>
        <v>0</v>
      </c>
      <c r="Q93">
        <f t="shared" si="19"/>
        <v>0</v>
      </c>
      <c r="R93">
        <f t="shared" si="20"/>
        <v>0</v>
      </c>
      <c r="S93">
        <f t="shared" si="21"/>
        <v>0</v>
      </c>
      <c r="T93">
        <f t="shared" si="22"/>
        <v>0</v>
      </c>
      <c r="U93">
        <f t="shared" si="23"/>
        <v>0</v>
      </c>
      <c r="V93">
        <f t="shared" si="24"/>
        <v>0</v>
      </c>
    </row>
    <row r="94" spans="1:22" x14ac:dyDescent="0.4">
      <c r="A94" s="1" t="s">
        <v>327</v>
      </c>
      <c r="B94" s="1" t="s">
        <v>328</v>
      </c>
      <c r="C94" s="1" t="s">
        <v>329</v>
      </c>
      <c r="D94" s="1" t="s">
        <v>44</v>
      </c>
      <c r="E94" s="1" t="s">
        <v>86</v>
      </c>
      <c r="F94" s="5" t="s">
        <v>46</v>
      </c>
      <c r="G94" s="1" t="s">
        <v>27</v>
      </c>
      <c r="H94">
        <f>VLOOKUP(D94,[1]金額リスト!$A$2:$B$6,2,FALSE)</f>
        <v>114300</v>
      </c>
      <c r="I94" s="1" t="s">
        <v>33</v>
      </c>
      <c r="J94">
        <f t="shared" si="13"/>
        <v>0</v>
      </c>
      <c r="K94">
        <f t="shared" si="14"/>
        <v>0</v>
      </c>
      <c r="L94">
        <f t="shared" si="25"/>
        <v>0</v>
      </c>
      <c r="M94">
        <f t="shared" si="15"/>
        <v>0</v>
      </c>
      <c r="N94">
        <f t="shared" si="16"/>
        <v>114300</v>
      </c>
      <c r="O94">
        <f t="shared" si="17"/>
        <v>0</v>
      </c>
      <c r="P94">
        <f t="shared" si="18"/>
        <v>0</v>
      </c>
      <c r="Q94">
        <f t="shared" si="19"/>
        <v>0</v>
      </c>
      <c r="R94">
        <f t="shared" si="20"/>
        <v>0</v>
      </c>
      <c r="S94">
        <f t="shared" si="21"/>
        <v>0</v>
      </c>
      <c r="T94">
        <f t="shared" si="22"/>
        <v>0</v>
      </c>
      <c r="U94">
        <f t="shared" si="23"/>
        <v>0</v>
      </c>
      <c r="V94">
        <f t="shared" si="24"/>
        <v>0</v>
      </c>
    </row>
    <row r="95" spans="1:22" x14ac:dyDescent="0.4">
      <c r="A95" s="1" t="s">
        <v>330</v>
      </c>
      <c r="B95" s="1" t="s">
        <v>331</v>
      </c>
      <c r="C95" s="1" t="s">
        <v>332</v>
      </c>
      <c r="D95" s="1" t="s">
        <v>44</v>
      </c>
      <c r="E95" s="1" t="s">
        <v>333</v>
      </c>
      <c r="F95" s="5" t="s">
        <v>46</v>
      </c>
      <c r="G95" s="1" t="s">
        <v>27</v>
      </c>
      <c r="H95">
        <f>VLOOKUP(D95,[1]金額リスト!$A$2:$B$6,2,FALSE)</f>
        <v>114300</v>
      </c>
      <c r="I95" s="1" t="s">
        <v>33</v>
      </c>
      <c r="J95">
        <f t="shared" si="13"/>
        <v>0</v>
      </c>
      <c r="K95">
        <f t="shared" si="14"/>
        <v>0</v>
      </c>
      <c r="L95">
        <f t="shared" si="25"/>
        <v>0</v>
      </c>
      <c r="M95">
        <f t="shared" si="15"/>
        <v>0</v>
      </c>
      <c r="N95">
        <f t="shared" si="16"/>
        <v>114300</v>
      </c>
      <c r="O95">
        <f t="shared" si="17"/>
        <v>0</v>
      </c>
      <c r="P95">
        <f t="shared" si="18"/>
        <v>0</v>
      </c>
      <c r="Q95">
        <f t="shared" si="19"/>
        <v>0</v>
      </c>
      <c r="R95">
        <f t="shared" si="20"/>
        <v>0</v>
      </c>
      <c r="S95">
        <f t="shared" si="21"/>
        <v>0</v>
      </c>
      <c r="T95">
        <f t="shared" si="22"/>
        <v>0</v>
      </c>
      <c r="U95">
        <f t="shared" si="23"/>
        <v>0</v>
      </c>
      <c r="V95">
        <f t="shared" si="24"/>
        <v>0</v>
      </c>
    </row>
    <row r="96" spans="1:22" x14ac:dyDescent="0.4">
      <c r="A96" s="1" t="s">
        <v>334</v>
      </c>
      <c r="B96" s="1" t="s">
        <v>335</v>
      </c>
      <c r="C96" s="1" t="s">
        <v>336</v>
      </c>
      <c r="D96" s="1" t="s">
        <v>44</v>
      </c>
      <c r="E96" s="1" t="s">
        <v>45</v>
      </c>
      <c r="F96" s="5" t="s">
        <v>46</v>
      </c>
      <c r="G96" s="1" t="s">
        <v>27</v>
      </c>
      <c r="H96">
        <f>VLOOKUP(D96,[1]金額リスト!$A$2:$B$6,2,FALSE)</f>
        <v>114300</v>
      </c>
      <c r="I96" s="1" t="s">
        <v>33</v>
      </c>
      <c r="J96">
        <f t="shared" si="13"/>
        <v>0</v>
      </c>
      <c r="K96">
        <f t="shared" si="14"/>
        <v>0</v>
      </c>
      <c r="L96">
        <f t="shared" si="25"/>
        <v>0</v>
      </c>
      <c r="M96">
        <f t="shared" si="15"/>
        <v>0</v>
      </c>
      <c r="N96">
        <f t="shared" si="16"/>
        <v>114300</v>
      </c>
      <c r="O96">
        <f t="shared" si="17"/>
        <v>0</v>
      </c>
      <c r="P96">
        <f t="shared" si="18"/>
        <v>0</v>
      </c>
      <c r="Q96">
        <f t="shared" si="19"/>
        <v>0</v>
      </c>
      <c r="R96">
        <f t="shared" si="20"/>
        <v>0</v>
      </c>
      <c r="S96">
        <f t="shared" si="21"/>
        <v>0</v>
      </c>
      <c r="T96">
        <f t="shared" si="22"/>
        <v>0</v>
      </c>
      <c r="U96">
        <f t="shared" si="23"/>
        <v>0</v>
      </c>
      <c r="V96">
        <f t="shared" si="24"/>
        <v>0</v>
      </c>
    </row>
    <row r="97" spans="1:22" x14ac:dyDescent="0.4">
      <c r="A97" s="1" t="s">
        <v>337</v>
      </c>
      <c r="B97" s="1" t="s">
        <v>338</v>
      </c>
      <c r="C97" s="1" t="s">
        <v>339</v>
      </c>
      <c r="D97" s="1" t="s">
        <v>44</v>
      </c>
      <c r="E97" s="1" t="s">
        <v>32</v>
      </c>
      <c r="F97" s="5" t="s">
        <v>46</v>
      </c>
      <c r="G97" s="1" t="s">
        <v>27</v>
      </c>
      <c r="H97">
        <f>VLOOKUP(D97,[1]金額リスト!$A$2:$B$6,2,FALSE)</f>
        <v>114300</v>
      </c>
      <c r="I97" s="1" t="s">
        <v>33</v>
      </c>
      <c r="J97">
        <f t="shared" si="13"/>
        <v>0</v>
      </c>
      <c r="K97">
        <f t="shared" si="14"/>
        <v>0</v>
      </c>
      <c r="L97">
        <f t="shared" si="25"/>
        <v>0</v>
      </c>
      <c r="M97">
        <f t="shared" si="15"/>
        <v>0</v>
      </c>
      <c r="N97">
        <f t="shared" si="16"/>
        <v>114300</v>
      </c>
      <c r="O97">
        <f t="shared" si="17"/>
        <v>0</v>
      </c>
      <c r="P97">
        <f t="shared" si="18"/>
        <v>0</v>
      </c>
      <c r="Q97">
        <f t="shared" si="19"/>
        <v>0</v>
      </c>
      <c r="R97">
        <f t="shared" si="20"/>
        <v>0</v>
      </c>
      <c r="S97">
        <f t="shared" si="21"/>
        <v>0</v>
      </c>
      <c r="T97">
        <f t="shared" si="22"/>
        <v>0</v>
      </c>
      <c r="U97">
        <f t="shared" si="23"/>
        <v>0</v>
      </c>
      <c r="V97">
        <f t="shared" si="24"/>
        <v>0</v>
      </c>
    </row>
    <row r="98" spans="1:22" x14ac:dyDescent="0.4">
      <c r="A98" s="1" t="s">
        <v>340</v>
      </c>
      <c r="B98" s="1" t="s">
        <v>341</v>
      </c>
      <c r="C98" s="1" t="s">
        <v>342</v>
      </c>
      <c r="D98" s="1" t="s">
        <v>44</v>
      </c>
      <c r="E98" s="1" t="s">
        <v>56</v>
      </c>
      <c r="F98" s="5" t="s">
        <v>46</v>
      </c>
      <c r="G98" s="1" t="s">
        <v>27</v>
      </c>
      <c r="H98">
        <f>VLOOKUP(D98,[1]金額リスト!$A$2:$B$6,2,FALSE)</f>
        <v>114300</v>
      </c>
      <c r="I98" s="1" t="s">
        <v>33</v>
      </c>
      <c r="J98">
        <f t="shared" si="13"/>
        <v>0</v>
      </c>
      <c r="K98">
        <f t="shared" si="14"/>
        <v>0</v>
      </c>
      <c r="L98">
        <f t="shared" si="25"/>
        <v>0</v>
      </c>
      <c r="M98">
        <f t="shared" si="15"/>
        <v>0</v>
      </c>
      <c r="N98">
        <f t="shared" si="16"/>
        <v>114300</v>
      </c>
      <c r="O98">
        <f t="shared" si="17"/>
        <v>0</v>
      </c>
      <c r="P98">
        <f t="shared" si="18"/>
        <v>0</v>
      </c>
      <c r="Q98">
        <f t="shared" si="19"/>
        <v>0</v>
      </c>
      <c r="R98">
        <f t="shared" si="20"/>
        <v>0</v>
      </c>
      <c r="S98">
        <f t="shared" si="21"/>
        <v>0</v>
      </c>
      <c r="T98">
        <f t="shared" si="22"/>
        <v>0</v>
      </c>
      <c r="U98">
        <f t="shared" si="23"/>
        <v>0</v>
      </c>
      <c r="V98">
        <f t="shared" si="24"/>
        <v>0</v>
      </c>
    </row>
    <row r="99" spans="1:22" x14ac:dyDescent="0.4">
      <c r="A99" s="1" t="s">
        <v>343</v>
      </c>
      <c r="B99" s="1" t="s">
        <v>344</v>
      </c>
      <c r="C99" s="1" t="s">
        <v>345</v>
      </c>
      <c r="D99" s="1" t="s">
        <v>44</v>
      </c>
      <c r="E99" s="1" t="s">
        <v>37</v>
      </c>
      <c r="F99" s="5" t="s">
        <v>46</v>
      </c>
      <c r="G99" s="1" t="s">
        <v>27</v>
      </c>
      <c r="H99">
        <f>VLOOKUP(D99,[1]金額リスト!$A$2:$B$6,2,FALSE)</f>
        <v>114300</v>
      </c>
      <c r="I99" s="1" t="s">
        <v>33</v>
      </c>
      <c r="J99">
        <f t="shared" si="13"/>
        <v>0</v>
      </c>
      <c r="K99">
        <f t="shared" si="14"/>
        <v>0</v>
      </c>
      <c r="L99">
        <f t="shared" si="25"/>
        <v>0</v>
      </c>
      <c r="M99">
        <f t="shared" si="15"/>
        <v>0</v>
      </c>
      <c r="N99">
        <f t="shared" si="16"/>
        <v>114300</v>
      </c>
      <c r="O99">
        <f t="shared" si="17"/>
        <v>0</v>
      </c>
      <c r="P99">
        <f t="shared" si="18"/>
        <v>0</v>
      </c>
      <c r="Q99">
        <f t="shared" si="19"/>
        <v>0</v>
      </c>
      <c r="R99">
        <f t="shared" si="20"/>
        <v>0</v>
      </c>
      <c r="S99">
        <f t="shared" si="21"/>
        <v>0</v>
      </c>
      <c r="T99">
        <f t="shared" si="22"/>
        <v>0</v>
      </c>
      <c r="U99">
        <f t="shared" si="23"/>
        <v>0</v>
      </c>
      <c r="V99">
        <f t="shared" si="24"/>
        <v>0</v>
      </c>
    </row>
    <row r="100" spans="1:22" x14ac:dyDescent="0.4">
      <c r="A100" s="1" t="s">
        <v>346</v>
      </c>
      <c r="B100" s="1" t="s">
        <v>347</v>
      </c>
      <c r="C100" s="1" t="s">
        <v>348</v>
      </c>
      <c r="D100" s="1" t="s">
        <v>44</v>
      </c>
      <c r="E100" s="1" t="s">
        <v>150</v>
      </c>
      <c r="F100" s="5" t="s">
        <v>46</v>
      </c>
      <c r="G100" s="1" t="s">
        <v>27</v>
      </c>
      <c r="H100">
        <f>VLOOKUP(D100,[1]金額リスト!$A$2:$B$6,2,FALSE)</f>
        <v>114300</v>
      </c>
      <c r="I100" s="1" t="s">
        <v>33</v>
      </c>
      <c r="J100">
        <f t="shared" si="13"/>
        <v>0</v>
      </c>
      <c r="K100">
        <f t="shared" si="14"/>
        <v>0</v>
      </c>
      <c r="L100">
        <f t="shared" si="25"/>
        <v>0</v>
      </c>
      <c r="M100">
        <f t="shared" si="15"/>
        <v>0</v>
      </c>
      <c r="N100">
        <f t="shared" si="16"/>
        <v>114300</v>
      </c>
      <c r="O100">
        <f t="shared" si="17"/>
        <v>0</v>
      </c>
      <c r="P100">
        <f t="shared" si="18"/>
        <v>0</v>
      </c>
      <c r="Q100">
        <f t="shared" si="19"/>
        <v>0</v>
      </c>
      <c r="R100">
        <f t="shared" si="20"/>
        <v>0</v>
      </c>
      <c r="S100">
        <f t="shared" si="21"/>
        <v>0</v>
      </c>
      <c r="T100">
        <f t="shared" si="22"/>
        <v>0</v>
      </c>
      <c r="U100">
        <f t="shared" si="23"/>
        <v>0</v>
      </c>
      <c r="V100">
        <f t="shared" si="24"/>
        <v>0</v>
      </c>
    </row>
    <row r="101" spans="1:22" x14ac:dyDescent="0.4">
      <c r="A101" s="1" t="s">
        <v>349</v>
      </c>
      <c r="B101" s="1" t="s">
        <v>350</v>
      </c>
      <c r="C101" s="1" t="s">
        <v>351</v>
      </c>
      <c r="D101" s="1" t="s">
        <v>44</v>
      </c>
      <c r="E101" s="1" t="s">
        <v>112</v>
      </c>
      <c r="F101" s="5" t="s">
        <v>46</v>
      </c>
      <c r="G101" s="1" t="s">
        <v>27</v>
      </c>
      <c r="H101">
        <f>VLOOKUP(D101,[1]金額リスト!$A$2:$B$6,2,FALSE)</f>
        <v>114300</v>
      </c>
      <c r="I101" s="1" t="s">
        <v>33</v>
      </c>
      <c r="J101">
        <f t="shared" si="13"/>
        <v>0</v>
      </c>
      <c r="K101">
        <f t="shared" si="14"/>
        <v>0</v>
      </c>
      <c r="L101">
        <f t="shared" si="25"/>
        <v>0</v>
      </c>
      <c r="M101">
        <f t="shared" si="15"/>
        <v>0</v>
      </c>
      <c r="N101">
        <f t="shared" si="16"/>
        <v>114300</v>
      </c>
      <c r="O101">
        <f t="shared" si="17"/>
        <v>0</v>
      </c>
      <c r="P101">
        <f t="shared" si="18"/>
        <v>0</v>
      </c>
      <c r="Q101">
        <f t="shared" si="19"/>
        <v>0</v>
      </c>
      <c r="R101">
        <f t="shared" si="20"/>
        <v>0</v>
      </c>
      <c r="S101">
        <f t="shared" si="21"/>
        <v>0</v>
      </c>
      <c r="T101">
        <f t="shared" si="22"/>
        <v>0</v>
      </c>
      <c r="U101">
        <f t="shared" si="23"/>
        <v>0</v>
      </c>
      <c r="V101">
        <f t="shared" si="24"/>
        <v>0</v>
      </c>
    </row>
    <row r="102" spans="1:22" x14ac:dyDescent="0.4">
      <c r="A102" s="1" t="s">
        <v>352</v>
      </c>
      <c r="B102" s="1" t="s">
        <v>353</v>
      </c>
      <c r="C102" s="1" t="s">
        <v>354</v>
      </c>
      <c r="D102" s="1" t="s">
        <v>44</v>
      </c>
      <c r="E102" s="1" t="s">
        <v>56</v>
      </c>
      <c r="F102" s="5" t="s">
        <v>46</v>
      </c>
      <c r="G102" s="1" t="s">
        <v>27</v>
      </c>
      <c r="H102">
        <f>VLOOKUP(D102,[1]金額リスト!$A$2:$B$6,2,FALSE)</f>
        <v>114300</v>
      </c>
      <c r="I102" s="1" t="s">
        <v>33</v>
      </c>
      <c r="J102">
        <f t="shared" si="13"/>
        <v>0</v>
      </c>
      <c r="K102">
        <f t="shared" si="14"/>
        <v>0</v>
      </c>
      <c r="L102">
        <f t="shared" si="25"/>
        <v>0</v>
      </c>
      <c r="M102">
        <f t="shared" si="15"/>
        <v>0</v>
      </c>
      <c r="N102">
        <f t="shared" si="16"/>
        <v>114300</v>
      </c>
      <c r="O102">
        <f t="shared" si="17"/>
        <v>0</v>
      </c>
      <c r="P102">
        <f t="shared" si="18"/>
        <v>0</v>
      </c>
      <c r="Q102">
        <f t="shared" si="19"/>
        <v>0</v>
      </c>
      <c r="R102">
        <f t="shared" si="20"/>
        <v>0</v>
      </c>
      <c r="S102">
        <f t="shared" si="21"/>
        <v>0</v>
      </c>
      <c r="T102">
        <f t="shared" si="22"/>
        <v>0</v>
      </c>
      <c r="U102">
        <f t="shared" si="23"/>
        <v>0</v>
      </c>
      <c r="V102">
        <f t="shared" si="24"/>
        <v>0</v>
      </c>
    </row>
    <row r="103" spans="1:22" x14ac:dyDescent="0.4">
      <c r="A103" s="1" t="s">
        <v>355</v>
      </c>
      <c r="B103" s="1" t="s">
        <v>356</v>
      </c>
      <c r="C103" s="1" t="s">
        <v>357</v>
      </c>
      <c r="D103" s="1" t="s">
        <v>44</v>
      </c>
      <c r="E103" s="1" t="s">
        <v>112</v>
      </c>
      <c r="F103" s="5" t="s">
        <v>46</v>
      </c>
      <c r="G103" s="1" t="s">
        <v>27</v>
      </c>
      <c r="H103">
        <f>VLOOKUP(D103,[1]金額リスト!$A$2:$B$6,2,FALSE)</f>
        <v>114300</v>
      </c>
      <c r="I103" s="1" t="s">
        <v>33</v>
      </c>
      <c r="J103">
        <f t="shared" si="13"/>
        <v>0</v>
      </c>
      <c r="K103">
        <f t="shared" si="14"/>
        <v>0</v>
      </c>
      <c r="L103">
        <f t="shared" si="25"/>
        <v>0</v>
      </c>
      <c r="M103">
        <f t="shared" si="15"/>
        <v>0</v>
      </c>
      <c r="N103">
        <f t="shared" si="16"/>
        <v>114300</v>
      </c>
      <c r="O103">
        <f t="shared" si="17"/>
        <v>0</v>
      </c>
      <c r="P103">
        <f t="shared" si="18"/>
        <v>0</v>
      </c>
      <c r="Q103">
        <f t="shared" si="19"/>
        <v>0</v>
      </c>
      <c r="R103">
        <f t="shared" si="20"/>
        <v>0</v>
      </c>
      <c r="S103">
        <f t="shared" si="21"/>
        <v>0</v>
      </c>
      <c r="T103">
        <f t="shared" si="22"/>
        <v>0</v>
      </c>
      <c r="U103">
        <f t="shared" si="23"/>
        <v>0</v>
      </c>
      <c r="V103">
        <f t="shared" si="24"/>
        <v>0</v>
      </c>
    </row>
    <row r="104" spans="1:22" x14ac:dyDescent="0.4">
      <c r="A104" s="1" t="s">
        <v>358</v>
      </c>
      <c r="B104" s="1" t="s">
        <v>359</v>
      </c>
      <c r="C104" s="1" t="s">
        <v>360</v>
      </c>
      <c r="D104" s="1" t="s">
        <v>44</v>
      </c>
      <c r="E104" s="1" t="s">
        <v>86</v>
      </c>
      <c r="F104" s="5" t="s">
        <v>46</v>
      </c>
      <c r="G104" s="1" t="s">
        <v>27</v>
      </c>
      <c r="H104">
        <f>VLOOKUP(D104,[1]金額リスト!$A$2:$B$6,2,FALSE)</f>
        <v>114300</v>
      </c>
      <c r="I104" s="1" t="s">
        <v>33</v>
      </c>
      <c r="J104">
        <f t="shared" si="13"/>
        <v>0</v>
      </c>
      <c r="K104">
        <f t="shared" si="14"/>
        <v>0</v>
      </c>
      <c r="L104">
        <f t="shared" si="25"/>
        <v>0</v>
      </c>
      <c r="M104">
        <f t="shared" si="15"/>
        <v>0</v>
      </c>
      <c r="N104">
        <f t="shared" si="16"/>
        <v>114300</v>
      </c>
      <c r="O104">
        <f t="shared" si="17"/>
        <v>0</v>
      </c>
      <c r="P104">
        <f t="shared" si="18"/>
        <v>0</v>
      </c>
      <c r="Q104">
        <f t="shared" si="19"/>
        <v>0</v>
      </c>
      <c r="R104">
        <f t="shared" si="20"/>
        <v>0</v>
      </c>
      <c r="S104">
        <f t="shared" si="21"/>
        <v>0</v>
      </c>
      <c r="T104">
        <f t="shared" si="22"/>
        <v>0</v>
      </c>
      <c r="U104">
        <f t="shared" si="23"/>
        <v>0</v>
      </c>
      <c r="V104">
        <f t="shared" si="24"/>
        <v>0</v>
      </c>
    </row>
    <row r="105" spans="1:22" x14ac:dyDescent="0.4">
      <c r="A105" s="1" t="s">
        <v>361</v>
      </c>
      <c r="B105" s="1" t="s">
        <v>362</v>
      </c>
      <c r="C105" s="1" t="s">
        <v>363</v>
      </c>
      <c r="D105" s="1" t="s">
        <v>44</v>
      </c>
      <c r="E105" s="1" t="s">
        <v>45</v>
      </c>
      <c r="F105" s="5" t="s">
        <v>46</v>
      </c>
      <c r="G105" s="1" t="s">
        <v>27</v>
      </c>
      <c r="H105">
        <f>VLOOKUP(D105,[1]金額リスト!$A$2:$B$6,2,FALSE)</f>
        <v>114300</v>
      </c>
      <c r="I105" s="1" t="s">
        <v>33</v>
      </c>
      <c r="J105">
        <f t="shared" si="13"/>
        <v>0</v>
      </c>
      <c r="K105">
        <f t="shared" si="14"/>
        <v>0</v>
      </c>
      <c r="L105">
        <f t="shared" si="25"/>
        <v>0</v>
      </c>
      <c r="M105">
        <f t="shared" si="15"/>
        <v>0</v>
      </c>
      <c r="N105">
        <f t="shared" si="16"/>
        <v>114300</v>
      </c>
      <c r="O105">
        <f t="shared" si="17"/>
        <v>0</v>
      </c>
      <c r="P105">
        <f t="shared" si="18"/>
        <v>0</v>
      </c>
      <c r="Q105">
        <f t="shared" si="19"/>
        <v>0</v>
      </c>
      <c r="R105">
        <f t="shared" si="20"/>
        <v>0</v>
      </c>
      <c r="S105">
        <f t="shared" si="21"/>
        <v>0</v>
      </c>
      <c r="T105">
        <f t="shared" si="22"/>
        <v>0</v>
      </c>
      <c r="U105">
        <f t="shared" si="23"/>
        <v>0</v>
      </c>
      <c r="V105">
        <f t="shared" si="24"/>
        <v>0</v>
      </c>
    </row>
    <row r="106" spans="1:22" x14ac:dyDescent="0.4">
      <c r="A106" s="1" t="s">
        <v>364</v>
      </c>
      <c r="B106" s="1" t="s">
        <v>365</v>
      </c>
      <c r="C106" s="1" t="s">
        <v>366</v>
      </c>
      <c r="D106" s="1" t="s">
        <v>44</v>
      </c>
      <c r="E106" s="1" t="s">
        <v>56</v>
      </c>
      <c r="F106" s="5" t="s">
        <v>46</v>
      </c>
      <c r="G106" s="1" t="s">
        <v>27</v>
      </c>
      <c r="H106">
        <f>VLOOKUP(D106,[1]金額リスト!$A$2:$B$6,2,FALSE)</f>
        <v>114300</v>
      </c>
      <c r="I106" s="1" t="s">
        <v>33</v>
      </c>
      <c r="J106">
        <f t="shared" si="13"/>
        <v>0</v>
      </c>
      <c r="K106">
        <f t="shared" si="14"/>
        <v>0</v>
      </c>
      <c r="L106">
        <f t="shared" si="25"/>
        <v>0</v>
      </c>
      <c r="M106">
        <f t="shared" si="15"/>
        <v>0</v>
      </c>
      <c r="N106">
        <f t="shared" si="16"/>
        <v>114300</v>
      </c>
      <c r="O106">
        <f t="shared" si="17"/>
        <v>0</v>
      </c>
      <c r="P106">
        <f t="shared" si="18"/>
        <v>0</v>
      </c>
      <c r="Q106">
        <f t="shared" si="19"/>
        <v>0</v>
      </c>
      <c r="R106">
        <f t="shared" si="20"/>
        <v>0</v>
      </c>
      <c r="S106">
        <f t="shared" si="21"/>
        <v>0</v>
      </c>
      <c r="T106">
        <f t="shared" si="22"/>
        <v>0</v>
      </c>
      <c r="U106">
        <f t="shared" si="23"/>
        <v>0</v>
      </c>
      <c r="V106">
        <f t="shared" si="24"/>
        <v>0</v>
      </c>
    </row>
    <row r="107" spans="1:22" x14ac:dyDescent="0.4">
      <c r="A107" s="1" t="s">
        <v>367</v>
      </c>
      <c r="B107" s="1" t="s">
        <v>368</v>
      </c>
      <c r="C107" s="1" t="s">
        <v>369</v>
      </c>
      <c r="D107" s="1" t="s">
        <v>44</v>
      </c>
      <c r="E107" s="1" t="s">
        <v>227</v>
      </c>
      <c r="F107" s="5" t="s">
        <v>46</v>
      </c>
      <c r="G107" s="1" t="s">
        <v>27</v>
      </c>
      <c r="H107">
        <f>VLOOKUP(D107,[1]金額リスト!$A$2:$B$6,2,FALSE)</f>
        <v>114300</v>
      </c>
      <c r="I107" s="1" t="s">
        <v>33</v>
      </c>
      <c r="J107">
        <f t="shared" si="13"/>
        <v>0</v>
      </c>
      <c r="K107">
        <f t="shared" si="14"/>
        <v>0</v>
      </c>
      <c r="L107">
        <f t="shared" si="25"/>
        <v>0</v>
      </c>
      <c r="M107">
        <f t="shared" si="15"/>
        <v>0</v>
      </c>
      <c r="N107">
        <f t="shared" si="16"/>
        <v>114300</v>
      </c>
      <c r="O107">
        <f t="shared" si="17"/>
        <v>0</v>
      </c>
      <c r="P107">
        <f t="shared" si="18"/>
        <v>0</v>
      </c>
      <c r="Q107">
        <f t="shared" si="19"/>
        <v>0</v>
      </c>
      <c r="R107">
        <f t="shared" si="20"/>
        <v>0</v>
      </c>
      <c r="S107">
        <f t="shared" si="21"/>
        <v>0</v>
      </c>
      <c r="T107">
        <f t="shared" si="22"/>
        <v>0</v>
      </c>
      <c r="U107">
        <f t="shared" si="23"/>
        <v>0</v>
      </c>
      <c r="V107">
        <f t="shared" si="24"/>
        <v>0</v>
      </c>
    </row>
    <row r="108" spans="1:22" x14ac:dyDescent="0.4">
      <c r="A108" s="1" t="s">
        <v>370</v>
      </c>
      <c r="B108" s="1" t="s">
        <v>371</v>
      </c>
      <c r="C108" s="1" t="s">
        <v>372</v>
      </c>
      <c r="D108" s="1" t="s">
        <v>44</v>
      </c>
      <c r="E108" s="1" t="s">
        <v>82</v>
      </c>
      <c r="F108" s="5" t="s">
        <v>46</v>
      </c>
      <c r="G108" s="1" t="s">
        <v>27</v>
      </c>
      <c r="H108">
        <f>VLOOKUP(D108,[1]金額リスト!$A$2:$B$6,2,FALSE)</f>
        <v>114300</v>
      </c>
      <c r="I108" s="1" t="s">
        <v>33</v>
      </c>
      <c r="J108">
        <f t="shared" si="13"/>
        <v>0</v>
      </c>
      <c r="K108">
        <f t="shared" si="14"/>
        <v>0</v>
      </c>
      <c r="L108">
        <f t="shared" si="25"/>
        <v>0</v>
      </c>
      <c r="M108">
        <f t="shared" si="15"/>
        <v>0</v>
      </c>
      <c r="N108">
        <f t="shared" si="16"/>
        <v>114300</v>
      </c>
      <c r="O108">
        <f t="shared" si="17"/>
        <v>0</v>
      </c>
      <c r="P108">
        <f t="shared" si="18"/>
        <v>0</v>
      </c>
      <c r="Q108">
        <f t="shared" si="19"/>
        <v>0</v>
      </c>
      <c r="R108">
        <f t="shared" si="20"/>
        <v>0</v>
      </c>
      <c r="S108">
        <f t="shared" si="21"/>
        <v>0</v>
      </c>
      <c r="T108">
        <f t="shared" si="22"/>
        <v>0</v>
      </c>
      <c r="U108">
        <f t="shared" si="23"/>
        <v>0</v>
      </c>
      <c r="V108">
        <f t="shared" si="24"/>
        <v>0</v>
      </c>
    </row>
    <row r="109" spans="1:22" x14ac:dyDescent="0.4">
      <c r="A109" s="1" t="s">
        <v>373</v>
      </c>
      <c r="B109" s="1" t="s">
        <v>374</v>
      </c>
      <c r="C109" s="1" t="s">
        <v>375</v>
      </c>
      <c r="D109" s="1" t="s">
        <v>44</v>
      </c>
      <c r="E109" s="1" t="s">
        <v>376</v>
      </c>
      <c r="F109" s="5" t="s">
        <v>46</v>
      </c>
      <c r="G109" s="1" t="s">
        <v>27</v>
      </c>
      <c r="H109">
        <f>VLOOKUP(D109,[1]金額リスト!$A$2:$B$6,2,FALSE)</f>
        <v>114300</v>
      </c>
      <c r="I109" s="1" t="s">
        <v>33</v>
      </c>
      <c r="J109">
        <f t="shared" si="13"/>
        <v>0</v>
      </c>
      <c r="K109">
        <f t="shared" si="14"/>
        <v>0</v>
      </c>
      <c r="L109">
        <f t="shared" si="25"/>
        <v>0</v>
      </c>
      <c r="M109">
        <f t="shared" si="15"/>
        <v>0</v>
      </c>
      <c r="N109">
        <f t="shared" si="16"/>
        <v>114300</v>
      </c>
      <c r="O109">
        <f t="shared" si="17"/>
        <v>0</v>
      </c>
      <c r="P109">
        <f t="shared" si="18"/>
        <v>0</v>
      </c>
      <c r="Q109">
        <f t="shared" si="19"/>
        <v>0</v>
      </c>
      <c r="R109">
        <f t="shared" si="20"/>
        <v>0</v>
      </c>
      <c r="S109">
        <f t="shared" si="21"/>
        <v>0</v>
      </c>
      <c r="T109">
        <f t="shared" si="22"/>
        <v>0</v>
      </c>
      <c r="U109">
        <f t="shared" si="23"/>
        <v>0</v>
      </c>
      <c r="V109">
        <f t="shared" si="24"/>
        <v>0</v>
      </c>
    </row>
    <row r="110" spans="1:22" x14ac:dyDescent="0.4">
      <c r="A110" s="1" t="s">
        <v>377</v>
      </c>
      <c r="B110" s="1" t="s">
        <v>378</v>
      </c>
      <c r="C110" s="1" t="s">
        <v>379</v>
      </c>
      <c r="D110" s="1" t="s">
        <v>44</v>
      </c>
      <c r="E110" s="1" t="s">
        <v>56</v>
      </c>
      <c r="F110" s="5" t="s">
        <v>46</v>
      </c>
      <c r="G110" s="1" t="s">
        <v>27</v>
      </c>
      <c r="H110">
        <f>VLOOKUP(D110,[1]金額リスト!$A$2:$B$6,2,FALSE)</f>
        <v>114300</v>
      </c>
      <c r="I110" s="1" t="s">
        <v>33</v>
      </c>
      <c r="J110">
        <f t="shared" si="13"/>
        <v>0</v>
      </c>
      <c r="K110">
        <f t="shared" si="14"/>
        <v>0</v>
      </c>
      <c r="L110">
        <f t="shared" si="25"/>
        <v>0</v>
      </c>
      <c r="M110">
        <f t="shared" si="15"/>
        <v>0</v>
      </c>
      <c r="N110">
        <f t="shared" si="16"/>
        <v>114300</v>
      </c>
      <c r="O110">
        <f t="shared" si="17"/>
        <v>0</v>
      </c>
      <c r="P110">
        <f t="shared" si="18"/>
        <v>0</v>
      </c>
      <c r="Q110">
        <f t="shared" si="19"/>
        <v>0</v>
      </c>
      <c r="R110">
        <f t="shared" si="20"/>
        <v>0</v>
      </c>
      <c r="S110">
        <f t="shared" si="21"/>
        <v>0</v>
      </c>
      <c r="T110">
        <f t="shared" si="22"/>
        <v>0</v>
      </c>
      <c r="U110">
        <f t="shared" si="23"/>
        <v>0</v>
      </c>
      <c r="V110">
        <f t="shared" si="24"/>
        <v>0</v>
      </c>
    </row>
    <row r="111" spans="1:22" x14ac:dyDescent="0.4">
      <c r="A111" s="1" t="s">
        <v>380</v>
      </c>
      <c r="B111" s="1" t="s">
        <v>381</v>
      </c>
      <c r="C111" s="1" t="s">
        <v>382</v>
      </c>
      <c r="D111" s="1" t="s">
        <v>44</v>
      </c>
      <c r="E111" s="1" t="s">
        <v>86</v>
      </c>
      <c r="F111" s="5" t="s">
        <v>46</v>
      </c>
      <c r="G111" s="1" t="s">
        <v>27</v>
      </c>
      <c r="H111">
        <f>VLOOKUP(D111,[1]金額リスト!$A$2:$B$6,2,FALSE)</f>
        <v>114300</v>
      </c>
      <c r="I111" s="1" t="s">
        <v>33</v>
      </c>
      <c r="J111">
        <f t="shared" si="13"/>
        <v>0</v>
      </c>
      <c r="K111">
        <f t="shared" si="14"/>
        <v>0</v>
      </c>
      <c r="L111">
        <f t="shared" si="25"/>
        <v>0</v>
      </c>
      <c r="M111">
        <f t="shared" si="15"/>
        <v>0</v>
      </c>
      <c r="N111">
        <f t="shared" si="16"/>
        <v>114300</v>
      </c>
      <c r="O111">
        <f t="shared" si="17"/>
        <v>0</v>
      </c>
      <c r="P111">
        <f t="shared" si="18"/>
        <v>0</v>
      </c>
      <c r="Q111">
        <f t="shared" si="19"/>
        <v>0</v>
      </c>
      <c r="R111">
        <f t="shared" si="20"/>
        <v>0</v>
      </c>
      <c r="S111">
        <f t="shared" si="21"/>
        <v>0</v>
      </c>
      <c r="T111">
        <f t="shared" si="22"/>
        <v>0</v>
      </c>
      <c r="U111">
        <f t="shared" si="23"/>
        <v>0</v>
      </c>
      <c r="V111">
        <f t="shared" si="24"/>
        <v>0</v>
      </c>
    </row>
    <row r="112" spans="1:22" x14ac:dyDescent="0.4">
      <c r="A112" s="1" t="s">
        <v>383</v>
      </c>
      <c r="B112" s="1" t="s">
        <v>384</v>
      </c>
      <c r="C112" s="1" t="s">
        <v>385</v>
      </c>
      <c r="D112" s="1" t="s">
        <v>25</v>
      </c>
      <c r="E112" s="1" t="s">
        <v>227</v>
      </c>
      <c r="F112" s="5" t="s">
        <v>10</v>
      </c>
      <c r="G112" s="1" t="s">
        <v>27</v>
      </c>
      <c r="H112">
        <f>VLOOKUP(D112,[1]金額リスト!$A$2:$B$6,2,FALSE)</f>
        <v>59400</v>
      </c>
      <c r="I112" s="1" t="s">
        <v>33</v>
      </c>
      <c r="J112">
        <f t="shared" si="13"/>
        <v>0</v>
      </c>
      <c r="K112">
        <f t="shared" si="14"/>
        <v>59400</v>
      </c>
      <c r="L112">
        <f t="shared" si="25"/>
        <v>0</v>
      </c>
      <c r="M112">
        <f t="shared" si="15"/>
        <v>0</v>
      </c>
      <c r="N112">
        <f t="shared" si="16"/>
        <v>0</v>
      </c>
      <c r="O112">
        <f t="shared" si="17"/>
        <v>0</v>
      </c>
      <c r="P112">
        <f t="shared" si="18"/>
        <v>0</v>
      </c>
      <c r="Q112">
        <f t="shared" si="19"/>
        <v>0</v>
      </c>
      <c r="R112">
        <f t="shared" si="20"/>
        <v>0</v>
      </c>
      <c r="S112">
        <f t="shared" si="21"/>
        <v>0</v>
      </c>
      <c r="T112">
        <f t="shared" si="22"/>
        <v>0</v>
      </c>
      <c r="U112">
        <f t="shared" si="23"/>
        <v>0</v>
      </c>
      <c r="V112">
        <f t="shared" si="24"/>
        <v>0</v>
      </c>
    </row>
    <row r="113" spans="1:22" x14ac:dyDescent="0.4">
      <c r="A113" s="1" t="s">
        <v>386</v>
      </c>
      <c r="B113" s="1" t="s">
        <v>387</v>
      </c>
      <c r="C113" s="1" t="s">
        <v>388</v>
      </c>
      <c r="D113" s="1" t="s">
        <v>44</v>
      </c>
      <c r="E113" s="1" t="s">
        <v>86</v>
      </c>
      <c r="F113" s="5" t="s">
        <v>46</v>
      </c>
      <c r="G113" s="1" t="s">
        <v>27</v>
      </c>
      <c r="H113">
        <f>VLOOKUP(D113,[1]金額リスト!$A$2:$B$6,2,FALSE)</f>
        <v>114300</v>
      </c>
      <c r="I113" s="1" t="s">
        <v>33</v>
      </c>
      <c r="J113">
        <f t="shared" si="13"/>
        <v>0</v>
      </c>
      <c r="K113">
        <f t="shared" si="14"/>
        <v>0</v>
      </c>
      <c r="L113">
        <f t="shared" si="25"/>
        <v>0</v>
      </c>
      <c r="M113">
        <f t="shared" si="15"/>
        <v>0</v>
      </c>
      <c r="N113">
        <f t="shared" si="16"/>
        <v>114300</v>
      </c>
      <c r="O113">
        <f t="shared" si="17"/>
        <v>0</v>
      </c>
      <c r="P113">
        <f t="shared" si="18"/>
        <v>0</v>
      </c>
      <c r="Q113">
        <f t="shared" si="19"/>
        <v>0</v>
      </c>
      <c r="R113">
        <f t="shared" si="20"/>
        <v>0</v>
      </c>
      <c r="S113">
        <f t="shared" si="21"/>
        <v>0</v>
      </c>
      <c r="T113">
        <f t="shared" si="22"/>
        <v>0</v>
      </c>
      <c r="U113">
        <f t="shared" si="23"/>
        <v>0</v>
      </c>
      <c r="V113">
        <f t="shared" si="24"/>
        <v>0</v>
      </c>
    </row>
    <row r="114" spans="1:22" x14ac:dyDescent="0.4">
      <c r="A114" s="1" t="s">
        <v>389</v>
      </c>
      <c r="B114" s="1" t="s">
        <v>390</v>
      </c>
      <c r="C114" s="1" t="s">
        <v>391</v>
      </c>
      <c r="D114" s="1" t="s">
        <v>44</v>
      </c>
      <c r="E114" s="1" t="s">
        <v>32</v>
      </c>
      <c r="F114" s="5" t="s">
        <v>46</v>
      </c>
      <c r="G114" s="1" t="s">
        <v>27</v>
      </c>
      <c r="H114">
        <f>VLOOKUP(D114,[1]金額リスト!$A$2:$B$6,2,FALSE)</f>
        <v>114300</v>
      </c>
      <c r="I114" s="1" t="s">
        <v>33</v>
      </c>
      <c r="J114">
        <f t="shared" si="13"/>
        <v>0</v>
      </c>
      <c r="K114">
        <f t="shared" si="14"/>
        <v>0</v>
      </c>
      <c r="L114">
        <f t="shared" si="25"/>
        <v>0</v>
      </c>
      <c r="M114">
        <f t="shared" si="15"/>
        <v>0</v>
      </c>
      <c r="N114">
        <f t="shared" si="16"/>
        <v>114300</v>
      </c>
      <c r="O114">
        <f t="shared" si="17"/>
        <v>0</v>
      </c>
      <c r="P114">
        <f t="shared" si="18"/>
        <v>0</v>
      </c>
      <c r="Q114">
        <f t="shared" si="19"/>
        <v>0</v>
      </c>
      <c r="R114">
        <f t="shared" si="20"/>
        <v>0</v>
      </c>
      <c r="S114">
        <f t="shared" si="21"/>
        <v>0</v>
      </c>
      <c r="T114">
        <f t="shared" si="22"/>
        <v>0</v>
      </c>
      <c r="U114">
        <f t="shared" si="23"/>
        <v>0</v>
      </c>
      <c r="V114">
        <f t="shared" si="24"/>
        <v>0</v>
      </c>
    </row>
    <row r="115" spans="1:22" x14ac:dyDescent="0.4">
      <c r="A115" s="1" t="s">
        <v>392</v>
      </c>
      <c r="B115" s="1" t="s">
        <v>393</v>
      </c>
      <c r="C115" s="1" t="s">
        <v>394</v>
      </c>
      <c r="D115" s="1" t="s">
        <v>44</v>
      </c>
      <c r="E115" s="1" t="s">
        <v>90</v>
      </c>
      <c r="F115" s="5" t="s">
        <v>46</v>
      </c>
      <c r="G115" s="1" t="s">
        <v>27</v>
      </c>
      <c r="H115">
        <f>VLOOKUP(D115,[1]金額リスト!$A$2:$B$6,2,FALSE)</f>
        <v>114300</v>
      </c>
      <c r="I115" s="1" t="s">
        <v>33</v>
      </c>
      <c r="J115">
        <f t="shared" si="13"/>
        <v>0</v>
      </c>
      <c r="K115">
        <f t="shared" si="14"/>
        <v>0</v>
      </c>
      <c r="L115">
        <f t="shared" si="25"/>
        <v>0</v>
      </c>
      <c r="M115">
        <f t="shared" si="15"/>
        <v>0</v>
      </c>
      <c r="N115">
        <f t="shared" si="16"/>
        <v>114300</v>
      </c>
      <c r="O115">
        <f t="shared" si="17"/>
        <v>0</v>
      </c>
      <c r="P115">
        <f t="shared" si="18"/>
        <v>0</v>
      </c>
      <c r="Q115">
        <f t="shared" si="19"/>
        <v>0</v>
      </c>
      <c r="R115">
        <f t="shared" si="20"/>
        <v>0</v>
      </c>
      <c r="S115">
        <f t="shared" si="21"/>
        <v>0</v>
      </c>
      <c r="T115">
        <f t="shared" si="22"/>
        <v>0</v>
      </c>
      <c r="U115">
        <f t="shared" si="23"/>
        <v>0</v>
      </c>
      <c r="V115">
        <f t="shared" si="24"/>
        <v>0</v>
      </c>
    </row>
    <row r="116" spans="1:22" x14ac:dyDescent="0.4">
      <c r="A116" s="1" t="s">
        <v>395</v>
      </c>
      <c r="B116" s="1" t="s">
        <v>396</v>
      </c>
      <c r="C116" s="1" t="s">
        <v>397</v>
      </c>
      <c r="D116" s="1" t="s">
        <v>25</v>
      </c>
      <c r="E116" s="1" t="s">
        <v>45</v>
      </c>
      <c r="F116" s="5" t="s">
        <v>10</v>
      </c>
      <c r="G116" s="1" t="s">
        <v>27</v>
      </c>
      <c r="H116">
        <f>VLOOKUP(D116,[1]金額リスト!$A$2:$B$6,2,FALSE)</f>
        <v>59400</v>
      </c>
      <c r="I116" s="1" t="s">
        <v>33</v>
      </c>
      <c r="J116">
        <f t="shared" si="13"/>
        <v>0</v>
      </c>
      <c r="K116">
        <f t="shared" si="14"/>
        <v>59400</v>
      </c>
      <c r="L116">
        <f t="shared" si="25"/>
        <v>0</v>
      </c>
      <c r="M116">
        <f t="shared" si="15"/>
        <v>0</v>
      </c>
      <c r="N116">
        <f t="shared" si="16"/>
        <v>0</v>
      </c>
      <c r="O116">
        <f t="shared" si="17"/>
        <v>0</v>
      </c>
      <c r="P116">
        <f t="shared" si="18"/>
        <v>0</v>
      </c>
      <c r="Q116">
        <f t="shared" si="19"/>
        <v>0</v>
      </c>
      <c r="R116">
        <f t="shared" si="20"/>
        <v>0</v>
      </c>
      <c r="S116">
        <f t="shared" si="21"/>
        <v>0</v>
      </c>
      <c r="T116">
        <f t="shared" si="22"/>
        <v>0</v>
      </c>
      <c r="U116">
        <f t="shared" si="23"/>
        <v>0</v>
      </c>
      <c r="V116">
        <f t="shared" si="24"/>
        <v>0</v>
      </c>
    </row>
    <row r="117" spans="1:22" x14ac:dyDescent="0.4">
      <c r="A117" s="1" t="s">
        <v>398</v>
      </c>
      <c r="B117" s="1" t="s">
        <v>399</v>
      </c>
      <c r="C117" s="1" t="s">
        <v>400</v>
      </c>
      <c r="D117" s="1" t="s">
        <v>44</v>
      </c>
      <c r="E117" s="1" t="s">
        <v>86</v>
      </c>
      <c r="F117" s="5" t="s">
        <v>46</v>
      </c>
      <c r="G117" s="1" t="s">
        <v>27</v>
      </c>
      <c r="H117">
        <f>VLOOKUP(D117,[1]金額リスト!$A$2:$B$6,2,FALSE)</f>
        <v>114300</v>
      </c>
      <c r="I117" s="1" t="s">
        <v>33</v>
      </c>
      <c r="J117">
        <f t="shared" si="13"/>
        <v>0</v>
      </c>
      <c r="K117">
        <f t="shared" si="14"/>
        <v>0</v>
      </c>
      <c r="L117">
        <f t="shared" si="25"/>
        <v>0</v>
      </c>
      <c r="M117">
        <f t="shared" si="15"/>
        <v>0</v>
      </c>
      <c r="N117">
        <f t="shared" si="16"/>
        <v>114300</v>
      </c>
      <c r="O117">
        <f t="shared" si="17"/>
        <v>0</v>
      </c>
      <c r="P117">
        <f t="shared" si="18"/>
        <v>0</v>
      </c>
      <c r="Q117">
        <f t="shared" si="19"/>
        <v>0</v>
      </c>
      <c r="R117">
        <f t="shared" si="20"/>
        <v>0</v>
      </c>
      <c r="S117">
        <f t="shared" si="21"/>
        <v>0</v>
      </c>
      <c r="T117">
        <f t="shared" si="22"/>
        <v>0</v>
      </c>
      <c r="U117">
        <f t="shared" si="23"/>
        <v>0</v>
      </c>
      <c r="V117">
        <f t="shared" si="24"/>
        <v>0</v>
      </c>
    </row>
    <row r="118" spans="1:22" x14ac:dyDescent="0.4">
      <c r="A118" s="1" t="s">
        <v>401</v>
      </c>
      <c r="B118" s="1" t="s">
        <v>402</v>
      </c>
      <c r="C118" s="1" t="s">
        <v>403</v>
      </c>
      <c r="D118" s="1" t="s">
        <v>44</v>
      </c>
      <c r="E118" s="1" t="s">
        <v>90</v>
      </c>
      <c r="F118" s="5" t="s">
        <v>46</v>
      </c>
      <c r="G118" s="1" t="s">
        <v>27</v>
      </c>
      <c r="H118">
        <f>VLOOKUP(D118,[1]金額リスト!$A$2:$B$6,2,FALSE)</f>
        <v>114300</v>
      </c>
      <c r="I118" s="1" t="s">
        <v>33</v>
      </c>
      <c r="J118">
        <f t="shared" si="13"/>
        <v>0</v>
      </c>
      <c r="K118">
        <f t="shared" si="14"/>
        <v>0</v>
      </c>
      <c r="L118">
        <f t="shared" si="25"/>
        <v>0</v>
      </c>
      <c r="M118">
        <f t="shared" si="15"/>
        <v>0</v>
      </c>
      <c r="N118">
        <f t="shared" si="16"/>
        <v>114300</v>
      </c>
      <c r="O118">
        <f t="shared" si="17"/>
        <v>0</v>
      </c>
      <c r="P118">
        <f t="shared" si="18"/>
        <v>0</v>
      </c>
      <c r="Q118">
        <f t="shared" si="19"/>
        <v>0</v>
      </c>
      <c r="R118">
        <f t="shared" si="20"/>
        <v>0</v>
      </c>
      <c r="S118">
        <f t="shared" si="21"/>
        <v>0</v>
      </c>
      <c r="T118">
        <f t="shared" si="22"/>
        <v>0</v>
      </c>
      <c r="U118">
        <f t="shared" si="23"/>
        <v>0</v>
      </c>
      <c r="V118">
        <f t="shared" si="24"/>
        <v>0</v>
      </c>
    </row>
    <row r="119" spans="1:22" x14ac:dyDescent="0.4">
      <c r="A119" s="1" t="s">
        <v>404</v>
      </c>
      <c r="B119" s="1" t="s">
        <v>405</v>
      </c>
      <c r="C119" s="1" t="s">
        <v>406</v>
      </c>
      <c r="D119" s="1" t="s">
        <v>44</v>
      </c>
      <c r="E119" s="1" t="s">
        <v>112</v>
      </c>
      <c r="F119" s="5" t="s">
        <v>46</v>
      </c>
      <c r="G119" s="1" t="s">
        <v>27</v>
      </c>
      <c r="H119">
        <f>VLOOKUP(D119,[1]金額リスト!$A$2:$B$6,2,FALSE)</f>
        <v>114300</v>
      </c>
      <c r="I119" s="1" t="s">
        <v>33</v>
      </c>
      <c r="J119">
        <f t="shared" si="13"/>
        <v>0</v>
      </c>
      <c r="K119">
        <f t="shared" si="14"/>
        <v>0</v>
      </c>
      <c r="L119">
        <f t="shared" si="25"/>
        <v>0</v>
      </c>
      <c r="M119">
        <f t="shared" si="15"/>
        <v>0</v>
      </c>
      <c r="N119">
        <f t="shared" si="16"/>
        <v>114300</v>
      </c>
      <c r="O119">
        <f t="shared" si="17"/>
        <v>0</v>
      </c>
      <c r="P119">
        <f t="shared" si="18"/>
        <v>0</v>
      </c>
      <c r="Q119">
        <f t="shared" si="19"/>
        <v>0</v>
      </c>
      <c r="R119">
        <f t="shared" si="20"/>
        <v>0</v>
      </c>
      <c r="S119">
        <f t="shared" si="21"/>
        <v>0</v>
      </c>
      <c r="T119">
        <f t="shared" si="22"/>
        <v>0</v>
      </c>
      <c r="U119">
        <f t="shared" si="23"/>
        <v>0</v>
      </c>
      <c r="V119">
        <f t="shared" si="24"/>
        <v>0</v>
      </c>
    </row>
    <row r="120" spans="1:22" x14ac:dyDescent="0.4">
      <c r="A120" s="1" t="s">
        <v>407</v>
      </c>
      <c r="B120" s="1" t="s">
        <v>408</v>
      </c>
      <c r="C120" s="1" t="s">
        <v>409</v>
      </c>
      <c r="D120" s="1" t="s">
        <v>50</v>
      </c>
      <c r="E120" s="1" t="s">
        <v>86</v>
      </c>
      <c r="F120" s="5" t="s">
        <v>46</v>
      </c>
      <c r="G120" s="1" t="s">
        <v>52</v>
      </c>
      <c r="H120">
        <f>VLOOKUP(D120,[1]金額リスト!$A$2:$B$6,2,FALSE)</f>
        <v>114300</v>
      </c>
      <c r="I120" s="1" t="s">
        <v>28</v>
      </c>
      <c r="J120">
        <f t="shared" si="13"/>
        <v>0</v>
      </c>
      <c r="K120">
        <f t="shared" si="14"/>
        <v>0</v>
      </c>
      <c r="L120">
        <f t="shared" si="25"/>
        <v>0</v>
      </c>
      <c r="M120">
        <f t="shared" si="15"/>
        <v>0</v>
      </c>
      <c r="N120">
        <f t="shared" si="16"/>
        <v>114300</v>
      </c>
      <c r="O120">
        <f t="shared" si="17"/>
        <v>0</v>
      </c>
      <c r="P120">
        <f t="shared" si="18"/>
        <v>0</v>
      </c>
      <c r="Q120">
        <f t="shared" si="19"/>
        <v>0</v>
      </c>
      <c r="R120">
        <f t="shared" si="20"/>
        <v>0</v>
      </c>
      <c r="S120">
        <f t="shared" si="21"/>
        <v>0</v>
      </c>
      <c r="T120">
        <f t="shared" si="22"/>
        <v>0</v>
      </c>
      <c r="U120">
        <f t="shared" si="23"/>
        <v>0</v>
      </c>
      <c r="V120">
        <f t="shared" si="24"/>
        <v>0</v>
      </c>
    </row>
    <row r="121" spans="1:22" x14ac:dyDescent="0.4">
      <c r="A121" s="1" t="s">
        <v>410</v>
      </c>
      <c r="B121" s="1" t="s">
        <v>411</v>
      </c>
      <c r="C121" s="1" t="s">
        <v>412</v>
      </c>
      <c r="D121" s="1" t="s">
        <v>44</v>
      </c>
      <c r="E121" s="1" t="s">
        <v>86</v>
      </c>
      <c r="F121" s="5" t="s">
        <v>46</v>
      </c>
      <c r="G121" s="1" t="s">
        <v>27</v>
      </c>
      <c r="H121">
        <f>VLOOKUP(D121,[1]金額リスト!$A$2:$B$6,2,FALSE)</f>
        <v>114300</v>
      </c>
      <c r="I121" s="1" t="s">
        <v>33</v>
      </c>
      <c r="J121">
        <f t="shared" si="13"/>
        <v>0</v>
      </c>
      <c r="K121">
        <f t="shared" si="14"/>
        <v>0</v>
      </c>
      <c r="L121">
        <f t="shared" si="25"/>
        <v>0</v>
      </c>
      <c r="M121">
        <f t="shared" si="15"/>
        <v>0</v>
      </c>
      <c r="N121">
        <f t="shared" si="16"/>
        <v>114300</v>
      </c>
      <c r="O121">
        <f t="shared" si="17"/>
        <v>0</v>
      </c>
      <c r="P121">
        <f t="shared" si="18"/>
        <v>0</v>
      </c>
      <c r="Q121">
        <f t="shared" si="19"/>
        <v>0</v>
      </c>
      <c r="R121">
        <f t="shared" si="20"/>
        <v>0</v>
      </c>
      <c r="S121">
        <f t="shared" si="21"/>
        <v>0</v>
      </c>
      <c r="T121">
        <f t="shared" si="22"/>
        <v>0</v>
      </c>
      <c r="U121">
        <f t="shared" si="23"/>
        <v>0</v>
      </c>
      <c r="V121">
        <f t="shared" si="24"/>
        <v>0</v>
      </c>
    </row>
    <row r="122" spans="1:22" x14ac:dyDescent="0.4">
      <c r="A122" s="1" t="s">
        <v>413</v>
      </c>
      <c r="B122" s="1" t="s">
        <v>414</v>
      </c>
      <c r="C122" s="1" t="s">
        <v>415</v>
      </c>
      <c r="D122" s="1" t="s">
        <v>44</v>
      </c>
      <c r="E122" s="1" t="s">
        <v>86</v>
      </c>
      <c r="F122" s="5" t="s">
        <v>46</v>
      </c>
      <c r="G122" s="1" t="s">
        <v>27</v>
      </c>
      <c r="H122">
        <f>VLOOKUP(D122,[1]金額リスト!$A$2:$B$6,2,FALSE)</f>
        <v>114300</v>
      </c>
      <c r="I122" s="1" t="s">
        <v>33</v>
      </c>
      <c r="J122">
        <f t="shared" si="13"/>
        <v>0</v>
      </c>
      <c r="K122">
        <f t="shared" si="14"/>
        <v>0</v>
      </c>
      <c r="L122">
        <f t="shared" si="25"/>
        <v>0</v>
      </c>
      <c r="M122">
        <f t="shared" si="15"/>
        <v>0</v>
      </c>
      <c r="N122">
        <f t="shared" si="16"/>
        <v>114300</v>
      </c>
      <c r="O122">
        <f t="shared" si="17"/>
        <v>0</v>
      </c>
      <c r="P122">
        <f t="shared" si="18"/>
        <v>0</v>
      </c>
      <c r="Q122">
        <f t="shared" si="19"/>
        <v>0</v>
      </c>
      <c r="R122">
        <f t="shared" si="20"/>
        <v>0</v>
      </c>
      <c r="S122">
        <f t="shared" si="21"/>
        <v>0</v>
      </c>
      <c r="T122">
        <f t="shared" si="22"/>
        <v>0</v>
      </c>
      <c r="U122">
        <f t="shared" si="23"/>
        <v>0</v>
      </c>
      <c r="V122">
        <f t="shared" si="24"/>
        <v>0</v>
      </c>
    </row>
    <row r="123" spans="1:22" x14ac:dyDescent="0.4">
      <c r="A123" s="1" t="s">
        <v>416</v>
      </c>
      <c r="B123" s="1" t="s">
        <v>417</v>
      </c>
      <c r="C123" s="1" t="s">
        <v>418</v>
      </c>
      <c r="D123" s="1" t="s">
        <v>44</v>
      </c>
      <c r="E123" s="1" t="s">
        <v>86</v>
      </c>
      <c r="F123" s="5" t="s">
        <v>46</v>
      </c>
      <c r="G123" s="1" t="s">
        <v>27</v>
      </c>
      <c r="H123">
        <f>VLOOKUP(D123,[1]金額リスト!$A$2:$B$6,2,FALSE)</f>
        <v>114300</v>
      </c>
      <c r="I123" s="1" t="s">
        <v>33</v>
      </c>
      <c r="J123">
        <f t="shared" si="13"/>
        <v>0</v>
      </c>
      <c r="K123">
        <f t="shared" si="14"/>
        <v>0</v>
      </c>
      <c r="L123">
        <f t="shared" si="25"/>
        <v>0</v>
      </c>
      <c r="M123">
        <f t="shared" si="15"/>
        <v>0</v>
      </c>
      <c r="N123">
        <f t="shared" si="16"/>
        <v>114300</v>
      </c>
      <c r="O123">
        <f t="shared" si="17"/>
        <v>0</v>
      </c>
      <c r="P123">
        <f t="shared" si="18"/>
        <v>0</v>
      </c>
      <c r="Q123">
        <f t="shared" si="19"/>
        <v>0</v>
      </c>
      <c r="R123">
        <f t="shared" si="20"/>
        <v>0</v>
      </c>
      <c r="S123">
        <f t="shared" si="21"/>
        <v>0</v>
      </c>
      <c r="T123">
        <f t="shared" si="22"/>
        <v>0</v>
      </c>
      <c r="U123">
        <f t="shared" si="23"/>
        <v>0</v>
      </c>
      <c r="V123">
        <f t="shared" si="24"/>
        <v>0</v>
      </c>
    </row>
    <row r="124" spans="1:22" x14ac:dyDescent="0.4">
      <c r="A124" s="1" t="s">
        <v>419</v>
      </c>
      <c r="B124" s="1" t="s">
        <v>420</v>
      </c>
      <c r="C124" s="1" t="s">
        <v>421</v>
      </c>
      <c r="D124" s="1" t="s">
        <v>44</v>
      </c>
      <c r="E124" s="1" t="s">
        <v>150</v>
      </c>
      <c r="F124" s="5" t="s">
        <v>46</v>
      </c>
      <c r="G124" s="1" t="s">
        <v>27</v>
      </c>
      <c r="H124">
        <f>VLOOKUP(D124,[1]金額リスト!$A$2:$B$6,2,FALSE)</f>
        <v>114300</v>
      </c>
      <c r="I124" s="1" t="s">
        <v>33</v>
      </c>
      <c r="J124">
        <f t="shared" si="13"/>
        <v>0</v>
      </c>
      <c r="K124">
        <f t="shared" si="14"/>
        <v>0</v>
      </c>
      <c r="L124">
        <f t="shared" si="25"/>
        <v>0</v>
      </c>
      <c r="M124">
        <f t="shared" si="15"/>
        <v>0</v>
      </c>
      <c r="N124">
        <f t="shared" si="16"/>
        <v>114300</v>
      </c>
      <c r="O124">
        <f t="shared" si="17"/>
        <v>0</v>
      </c>
      <c r="P124">
        <f t="shared" si="18"/>
        <v>0</v>
      </c>
      <c r="Q124">
        <f t="shared" si="19"/>
        <v>0</v>
      </c>
      <c r="R124">
        <f t="shared" si="20"/>
        <v>0</v>
      </c>
      <c r="S124">
        <f t="shared" si="21"/>
        <v>0</v>
      </c>
      <c r="T124">
        <f t="shared" si="22"/>
        <v>0</v>
      </c>
      <c r="U124">
        <f t="shared" si="23"/>
        <v>0</v>
      </c>
      <c r="V124">
        <f t="shared" si="24"/>
        <v>0</v>
      </c>
    </row>
    <row r="125" spans="1:22" x14ac:dyDescent="0.4">
      <c r="A125" s="1" t="s">
        <v>422</v>
      </c>
      <c r="B125" s="1" t="s">
        <v>423</v>
      </c>
      <c r="C125" s="1" t="s">
        <v>424</v>
      </c>
      <c r="D125" s="1" t="s">
        <v>44</v>
      </c>
      <c r="E125" s="1" t="s">
        <v>86</v>
      </c>
      <c r="F125" s="5" t="s">
        <v>46</v>
      </c>
      <c r="G125" s="1" t="s">
        <v>27</v>
      </c>
      <c r="H125">
        <f>VLOOKUP(D125,[1]金額リスト!$A$2:$B$6,2,FALSE)</f>
        <v>114300</v>
      </c>
      <c r="I125" s="1" t="s">
        <v>33</v>
      </c>
      <c r="J125">
        <f t="shared" si="13"/>
        <v>0</v>
      </c>
      <c r="K125">
        <f t="shared" si="14"/>
        <v>0</v>
      </c>
      <c r="L125">
        <f t="shared" si="25"/>
        <v>0</v>
      </c>
      <c r="M125">
        <f t="shared" si="15"/>
        <v>0</v>
      </c>
      <c r="N125">
        <f t="shared" si="16"/>
        <v>114300</v>
      </c>
      <c r="O125">
        <f t="shared" si="17"/>
        <v>0</v>
      </c>
      <c r="P125">
        <f t="shared" si="18"/>
        <v>0</v>
      </c>
      <c r="Q125">
        <f t="shared" si="19"/>
        <v>0</v>
      </c>
      <c r="R125">
        <f t="shared" si="20"/>
        <v>0</v>
      </c>
      <c r="S125">
        <f t="shared" si="21"/>
        <v>0</v>
      </c>
      <c r="T125">
        <f t="shared" si="22"/>
        <v>0</v>
      </c>
      <c r="U125">
        <f t="shared" si="23"/>
        <v>0</v>
      </c>
      <c r="V125">
        <f t="shared" si="24"/>
        <v>0</v>
      </c>
    </row>
    <row r="126" spans="1:22" x14ac:dyDescent="0.4">
      <c r="A126" s="1" t="s">
        <v>425</v>
      </c>
      <c r="B126" s="1" t="s">
        <v>426</v>
      </c>
      <c r="C126" s="1" t="s">
        <v>427</v>
      </c>
      <c r="D126" s="1" t="s">
        <v>44</v>
      </c>
      <c r="E126" s="1" t="s">
        <v>227</v>
      </c>
      <c r="F126" s="5" t="s">
        <v>46</v>
      </c>
      <c r="G126" s="1" t="s">
        <v>27</v>
      </c>
      <c r="H126">
        <f>VLOOKUP(D126,[1]金額リスト!$A$2:$B$6,2,FALSE)</f>
        <v>114300</v>
      </c>
      <c r="I126" s="1" t="s">
        <v>33</v>
      </c>
      <c r="J126">
        <f t="shared" si="13"/>
        <v>0</v>
      </c>
      <c r="K126">
        <f t="shared" si="14"/>
        <v>0</v>
      </c>
      <c r="L126">
        <f t="shared" si="25"/>
        <v>0</v>
      </c>
      <c r="M126">
        <f t="shared" si="15"/>
        <v>0</v>
      </c>
      <c r="N126">
        <f t="shared" si="16"/>
        <v>114300</v>
      </c>
      <c r="O126">
        <f t="shared" si="17"/>
        <v>0</v>
      </c>
      <c r="P126">
        <f t="shared" si="18"/>
        <v>0</v>
      </c>
      <c r="Q126">
        <f t="shared" si="19"/>
        <v>0</v>
      </c>
      <c r="R126">
        <f t="shared" si="20"/>
        <v>0</v>
      </c>
      <c r="S126">
        <f t="shared" si="21"/>
        <v>0</v>
      </c>
      <c r="T126">
        <f t="shared" si="22"/>
        <v>0</v>
      </c>
      <c r="U126">
        <f t="shared" si="23"/>
        <v>0</v>
      </c>
      <c r="V126">
        <f t="shared" si="24"/>
        <v>0</v>
      </c>
    </row>
    <row r="127" spans="1:22" x14ac:dyDescent="0.4">
      <c r="A127" s="1" t="s">
        <v>428</v>
      </c>
      <c r="B127" s="1" t="s">
        <v>429</v>
      </c>
      <c r="C127" s="1" t="s">
        <v>430</v>
      </c>
      <c r="D127" s="1" t="s">
        <v>44</v>
      </c>
      <c r="E127" s="1" t="s">
        <v>45</v>
      </c>
      <c r="F127" s="5" t="s">
        <v>46</v>
      </c>
      <c r="G127" s="1" t="s">
        <v>27</v>
      </c>
      <c r="H127">
        <f>VLOOKUP(D127,[1]金額リスト!$A$2:$B$6,2,FALSE)</f>
        <v>114300</v>
      </c>
      <c r="I127" s="1" t="s">
        <v>33</v>
      </c>
      <c r="J127">
        <f t="shared" si="13"/>
        <v>0</v>
      </c>
      <c r="K127">
        <f t="shared" si="14"/>
        <v>0</v>
      </c>
      <c r="L127">
        <f t="shared" si="25"/>
        <v>0</v>
      </c>
      <c r="M127">
        <f t="shared" si="15"/>
        <v>0</v>
      </c>
      <c r="N127">
        <f t="shared" si="16"/>
        <v>114300</v>
      </c>
      <c r="O127">
        <f t="shared" si="17"/>
        <v>0</v>
      </c>
      <c r="P127">
        <f t="shared" si="18"/>
        <v>0</v>
      </c>
      <c r="Q127">
        <f t="shared" si="19"/>
        <v>0</v>
      </c>
      <c r="R127">
        <f t="shared" si="20"/>
        <v>0</v>
      </c>
      <c r="S127">
        <f t="shared" si="21"/>
        <v>0</v>
      </c>
      <c r="T127">
        <f t="shared" si="22"/>
        <v>0</v>
      </c>
      <c r="U127">
        <f t="shared" si="23"/>
        <v>0</v>
      </c>
      <c r="V127">
        <f t="shared" si="24"/>
        <v>0</v>
      </c>
    </row>
    <row r="128" spans="1:22" x14ac:dyDescent="0.4">
      <c r="A128" s="1" t="s">
        <v>431</v>
      </c>
      <c r="B128" s="1" t="s">
        <v>432</v>
      </c>
      <c r="C128" s="1" t="s">
        <v>433</v>
      </c>
      <c r="D128" s="1" t="s">
        <v>44</v>
      </c>
      <c r="E128" s="1" t="s">
        <v>97</v>
      </c>
      <c r="F128" s="5" t="s">
        <v>46</v>
      </c>
      <c r="G128" s="1" t="s">
        <v>27</v>
      </c>
      <c r="H128">
        <f>VLOOKUP(D128,[1]金額リスト!$A$2:$B$6,2,FALSE)</f>
        <v>114300</v>
      </c>
      <c r="I128" s="1" t="s">
        <v>33</v>
      </c>
      <c r="J128">
        <f t="shared" si="13"/>
        <v>0</v>
      </c>
      <c r="K128">
        <f t="shared" si="14"/>
        <v>0</v>
      </c>
      <c r="L128">
        <f t="shared" si="25"/>
        <v>0</v>
      </c>
      <c r="M128">
        <f t="shared" si="15"/>
        <v>0</v>
      </c>
      <c r="N128">
        <f t="shared" si="16"/>
        <v>114300</v>
      </c>
      <c r="O128">
        <f t="shared" si="17"/>
        <v>0</v>
      </c>
      <c r="P128">
        <f t="shared" si="18"/>
        <v>0</v>
      </c>
      <c r="Q128">
        <f t="shared" si="19"/>
        <v>0</v>
      </c>
      <c r="R128">
        <f t="shared" si="20"/>
        <v>0</v>
      </c>
      <c r="S128">
        <f t="shared" si="21"/>
        <v>0</v>
      </c>
      <c r="T128">
        <f t="shared" si="22"/>
        <v>0</v>
      </c>
      <c r="U128">
        <f t="shared" si="23"/>
        <v>0</v>
      </c>
      <c r="V128">
        <f t="shared" si="24"/>
        <v>0</v>
      </c>
    </row>
    <row r="129" spans="1:22" x14ac:dyDescent="0.4">
      <c r="A129" s="1" t="s">
        <v>434</v>
      </c>
      <c r="B129" s="1" t="s">
        <v>435</v>
      </c>
      <c r="C129" s="1" t="s">
        <v>436</v>
      </c>
      <c r="D129" s="1" t="s">
        <v>50</v>
      </c>
      <c r="E129" s="1" t="s">
        <v>178</v>
      </c>
      <c r="F129" s="5" t="s">
        <v>46</v>
      </c>
      <c r="G129" s="1" t="s">
        <v>52</v>
      </c>
      <c r="H129">
        <f>VLOOKUP(D129,[1]金額リスト!$A$2:$B$6,2,FALSE)</f>
        <v>114300</v>
      </c>
      <c r="I129" s="1" t="s">
        <v>28</v>
      </c>
      <c r="J129">
        <f t="shared" si="13"/>
        <v>0</v>
      </c>
      <c r="K129">
        <f t="shared" si="14"/>
        <v>0</v>
      </c>
      <c r="L129">
        <f t="shared" si="25"/>
        <v>0</v>
      </c>
      <c r="M129">
        <f t="shared" si="15"/>
        <v>0</v>
      </c>
      <c r="N129">
        <f t="shared" si="16"/>
        <v>114300</v>
      </c>
      <c r="O129">
        <f t="shared" si="17"/>
        <v>0</v>
      </c>
      <c r="P129">
        <f t="shared" si="18"/>
        <v>0</v>
      </c>
      <c r="Q129">
        <f t="shared" si="19"/>
        <v>0</v>
      </c>
      <c r="R129">
        <f t="shared" si="20"/>
        <v>0</v>
      </c>
      <c r="S129">
        <f t="shared" si="21"/>
        <v>0</v>
      </c>
      <c r="T129">
        <f t="shared" si="22"/>
        <v>0</v>
      </c>
      <c r="U129">
        <f t="shared" si="23"/>
        <v>0</v>
      </c>
      <c r="V129">
        <f t="shared" si="24"/>
        <v>0</v>
      </c>
    </row>
    <row r="130" spans="1:22" x14ac:dyDescent="0.4">
      <c r="A130" s="1" t="s">
        <v>437</v>
      </c>
      <c r="B130" s="1" t="s">
        <v>438</v>
      </c>
      <c r="C130" s="1" t="s">
        <v>439</v>
      </c>
      <c r="D130" s="1" t="s">
        <v>44</v>
      </c>
      <c r="E130" s="1" t="s">
        <v>86</v>
      </c>
      <c r="F130" s="5" t="s">
        <v>46</v>
      </c>
      <c r="G130" s="1" t="s">
        <v>27</v>
      </c>
      <c r="H130">
        <f>VLOOKUP(D130,[1]金額リスト!$A$2:$B$6,2,FALSE)</f>
        <v>114300</v>
      </c>
      <c r="I130" s="1" t="s">
        <v>33</v>
      </c>
      <c r="J130">
        <f t="shared" si="13"/>
        <v>0</v>
      </c>
      <c r="K130">
        <f t="shared" si="14"/>
        <v>0</v>
      </c>
      <c r="L130">
        <f t="shared" si="25"/>
        <v>0</v>
      </c>
      <c r="M130">
        <f t="shared" si="15"/>
        <v>0</v>
      </c>
      <c r="N130">
        <f t="shared" si="16"/>
        <v>114300</v>
      </c>
      <c r="O130">
        <f t="shared" si="17"/>
        <v>0</v>
      </c>
      <c r="P130">
        <f t="shared" si="18"/>
        <v>0</v>
      </c>
      <c r="Q130">
        <f t="shared" si="19"/>
        <v>0</v>
      </c>
      <c r="R130">
        <f t="shared" si="20"/>
        <v>0</v>
      </c>
      <c r="S130">
        <f t="shared" si="21"/>
        <v>0</v>
      </c>
      <c r="T130">
        <f t="shared" si="22"/>
        <v>0</v>
      </c>
      <c r="U130">
        <f t="shared" si="23"/>
        <v>0</v>
      </c>
      <c r="V130">
        <f t="shared" si="24"/>
        <v>0</v>
      </c>
    </row>
    <row r="131" spans="1:22" x14ac:dyDescent="0.4">
      <c r="A131" s="1" t="s">
        <v>440</v>
      </c>
      <c r="B131" s="1" t="s">
        <v>441</v>
      </c>
      <c r="C131" s="1" t="s">
        <v>442</v>
      </c>
      <c r="D131" s="1" t="s">
        <v>44</v>
      </c>
      <c r="E131" s="1" t="s">
        <v>86</v>
      </c>
      <c r="F131" s="5" t="s">
        <v>46</v>
      </c>
      <c r="G131" s="1" t="s">
        <v>27</v>
      </c>
      <c r="H131">
        <f>VLOOKUP(D131,[1]金額リスト!$A$2:$B$6,2,FALSE)</f>
        <v>114300</v>
      </c>
      <c r="I131" s="1" t="s">
        <v>33</v>
      </c>
      <c r="J131">
        <f t="shared" ref="J131:J194" si="26">IFERROR(INDEX($F131:$H131,MATCH($J$1,$F131,0),3),0)</f>
        <v>0</v>
      </c>
      <c r="K131">
        <f t="shared" ref="K131:K194" si="27">IFERROR(INDEX($F131:$H131,MATCH($K$1,$F131,0),3),0)</f>
        <v>0</v>
      </c>
      <c r="L131">
        <f t="shared" si="25"/>
        <v>0</v>
      </c>
      <c r="M131">
        <f t="shared" ref="M131:M194" si="28">IFERROR(INDEX($F131:$H131,MATCH($M$1,$F131,0),3),0)</f>
        <v>0</v>
      </c>
      <c r="N131">
        <f t="shared" ref="N131:N194" si="29">IFERROR(INDEX($F131:$H131,MATCH($N$1,$F131,0),3),0)</f>
        <v>114300</v>
      </c>
      <c r="O131">
        <f t="shared" ref="O131:O194" si="30">IFERROR(INDEX($F131:$H131,MATCH($O$1,$F131,0),3),0)</f>
        <v>0</v>
      </c>
      <c r="P131">
        <f t="shared" ref="P131:P194" si="31">IFERROR(INDEX($F131:$H131,MATCH($P$1,$F131,0),3),0)</f>
        <v>0</v>
      </c>
      <c r="Q131">
        <f t="shared" ref="Q131:Q194" si="32">IFERROR(INDEX($F131:$H131,MATCH($Q$1,$F131,0),3),0)</f>
        <v>0</v>
      </c>
      <c r="R131">
        <f t="shared" ref="R131:R194" si="33">IFERROR(INDEX($F131:$H131,MATCH($R$1,$F131,0),3),0)</f>
        <v>0</v>
      </c>
      <c r="S131">
        <f t="shared" ref="S131:S194" si="34">IFERROR(INDEX($F131:$H131,MATCH($S$1,$F131,0),3),0)</f>
        <v>0</v>
      </c>
      <c r="T131">
        <f t="shared" ref="T131:T194" si="35">IFERROR(INDEX($F131:$H131,MATCH($T$1,$F131,0),3),0)</f>
        <v>0</v>
      </c>
      <c r="U131">
        <f t="shared" ref="U131:U194" si="36">IFERROR(INDEX($F131:$H131,MATCH($U$1,$F131,0),3),0)</f>
        <v>0</v>
      </c>
      <c r="V131">
        <f t="shared" ref="V131:V194" si="37">IFERROR(INDEX($F131:$H131,MATCH($V$1,$F131,0),3),0)</f>
        <v>0</v>
      </c>
    </row>
    <row r="132" spans="1:22" x14ac:dyDescent="0.4">
      <c r="A132" s="1" t="s">
        <v>443</v>
      </c>
      <c r="B132" s="1" t="s">
        <v>444</v>
      </c>
      <c r="C132" s="1" t="s">
        <v>445</v>
      </c>
      <c r="D132" s="1" t="s">
        <v>25</v>
      </c>
      <c r="E132" s="1" t="s">
        <v>45</v>
      </c>
      <c r="F132" s="5" t="s">
        <v>10</v>
      </c>
      <c r="G132" s="1" t="s">
        <v>27</v>
      </c>
      <c r="H132">
        <f>VLOOKUP(D132,[1]金額リスト!$A$2:$B$6,2,FALSE)</f>
        <v>59400</v>
      </c>
      <c r="I132" s="1" t="s">
        <v>33</v>
      </c>
      <c r="J132">
        <f t="shared" si="26"/>
        <v>0</v>
      </c>
      <c r="K132">
        <f t="shared" si="27"/>
        <v>59400</v>
      </c>
      <c r="L132">
        <f t="shared" ref="L132:L195" si="38">IFERROR(INDEX($F132:$H132,MATCH($L$1,$F132,0),3),0)</f>
        <v>0</v>
      </c>
      <c r="M132">
        <f t="shared" si="28"/>
        <v>0</v>
      </c>
      <c r="N132">
        <f t="shared" si="29"/>
        <v>0</v>
      </c>
      <c r="O132">
        <f t="shared" si="30"/>
        <v>0</v>
      </c>
      <c r="P132">
        <f t="shared" si="31"/>
        <v>0</v>
      </c>
      <c r="Q132">
        <f t="shared" si="32"/>
        <v>0</v>
      </c>
      <c r="R132">
        <f t="shared" si="33"/>
        <v>0</v>
      </c>
      <c r="S132">
        <f t="shared" si="34"/>
        <v>0</v>
      </c>
      <c r="T132">
        <f t="shared" si="35"/>
        <v>0</v>
      </c>
      <c r="U132">
        <f t="shared" si="36"/>
        <v>0</v>
      </c>
      <c r="V132">
        <f t="shared" si="37"/>
        <v>0</v>
      </c>
    </row>
    <row r="133" spans="1:22" x14ac:dyDescent="0.4">
      <c r="A133" s="1" t="s">
        <v>446</v>
      </c>
      <c r="B133" s="1" t="s">
        <v>447</v>
      </c>
      <c r="C133" s="1" t="s">
        <v>448</v>
      </c>
      <c r="D133" s="1" t="s">
        <v>44</v>
      </c>
      <c r="E133" s="1" t="s">
        <v>56</v>
      </c>
      <c r="F133" s="5" t="s">
        <v>46</v>
      </c>
      <c r="G133" s="1" t="s">
        <v>27</v>
      </c>
      <c r="H133">
        <f>VLOOKUP(D133,[1]金額リスト!$A$2:$B$6,2,FALSE)</f>
        <v>114300</v>
      </c>
      <c r="I133" s="1" t="s">
        <v>33</v>
      </c>
      <c r="J133">
        <f t="shared" si="26"/>
        <v>0</v>
      </c>
      <c r="K133">
        <f t="shared" si="27"/>
        <v>0</v>
      </c>
      <c r="L133">
        <f t="shared" si="38"/>
        <v>0</v>
      </c>
      <c r="M133">
        <f t="shared" si="28"/>
        <v>0</v>
      </c>
      <c r="N133">
        <f t="shared" si="29"/>
        <v>114300</v>
      </c>
      <c r="O133">
        <f t="shared" si="30"/>
        <v>0</v>
      </c>
      <c r="P133">
        <f t="shared" si="31"/>
        <v>0</v>
      </c>
      <c r="Q133">
        <f t="shared" si="32"/>
        <v>0</v>
      </c>
      <c r="R133">
        <f t="shared" si="33"/>
        <v>0</v>
      </c>
      <c r="S133">
        <f t="shared" si="34"/>
        <v>0</v>
      </c>
      <c r="T133">
        <f t="shared" si="35"/>
        <v>0</v>
      </c>
      <c r="U133">
        <f t="shared" si="36"/>
        <v>0</v>
      </c>
      <c r="V133">
        <f t="shared" si="37"/>
        <v>0</v>
      </c>
    </row>
    <row r="134" spans="1:22" x14ac:dyDescent="0.4">
      <c r="A134" s="1" t="s">
        <v>449</v>
      </c>
      <c r="B134" s="1" t="s">
        <v>450</v>
      </c>
      <c r="C134" s="1" t="s">
        <v>451</v>
      </c>
      <c r="D134" s="1" t="s">
        <v>44</v>
      </c>
      <c r="E134" s="1" t="s">
        <v>56</v>
      </c>
      <c r="F134" s="5" t="s">
        <v>46</v>
      </c>
      <c r="G134" s="1" t="s">
        <v>27</v>
      </c>
      <c r="H134">
        <f>VLOOKUP(D134,[1]金額リスト!$A$2:$B$6,2,FALSE)</f>
        <v>114300</v>
      </c>
      <c r="I134" s="1" t="s">
        <v>33</v>
      </c>
      <c r="J134">
        <f t="shared" si="26"/>
        <v>0</v>
      </c>
      <c r="K134">
        <f t="shared" si="27"/>
        <v>0</v>
      </c>
      <c r="L134">
        <f t="shared" si="38"/>
        <v>0</v>
      </c>
      <c r="M134">
        <f t="shared" si="28"/>
        <v>0</v>
      </c>
      <c r="N134">
        <f t="shared" si="29"/>
        <v>114300</v>
      </c>
      <c r="O134">
        <f t="shared" si="30"/>
        <v>0</v>
      </c>
      <c r="P134">
        <f t="shared" si="31"/>
        <v>0</v>
      </c>
      <c r="Q134">
        <f t="shared" si="32"/>
        <v>0</v>
      </c>
      <c r="R134">
        <f t="shared" si="33"/>
        <v>0</v>
      </c>
      <c r="S134">
        <f t="shared" si="34"/>
        <v>0</v>
      </c>
      <c r="T134">
        <f t="shared" si="35"/>
        <v>0</v>
      </c>
      <c r="U134">
        <f t="shared" si="36"/>
        <v>0</v>
      </c>
      <c r="V134">
        <f t="shared" si="37"/>
        <v>0</v>
      </c>
    </row>
    <row r="135" spans="1:22" x14ac:dyDescent="0.4">
      <c r="A135" s="1" t="s">
        <v>452</v>
      </c>
      <c r="B135" s="1" t="s">
        <v>453</v>
      </c>
      <c r="C135" s="1" t="s">
        <v>454</v>
      </c>
      <c r="D135" s="1" t="s">
        <v>50</v>
      </c>
      <c r="E135" s="1" t="s">
        <v>56</v>
      </c>
      <c r="F135" s="5" t="s">
        <v>46</v>
      </c>
      <c r="G135" s="1" t="s">
        <v>52</v>
      </c>
      <c r="H135">
        <f>VLOOKUP(D135,[1]金額リスト!$A$2:$B$6,2,FALSE)</f>
        <v>114300</v>
      </c>
      <c r="I135" s="1" t="s">
        <v>28</v>
      </c>
      <c r="J135">
        <f t="shared" si="26"/>
        <v>0</v>
      </c>
      <c r="K135">
        <f t="shared" si="27"/>
        <v>0</v>
      </c>
      <c r="L135">
        <f t="shared" si="38"/>
        <v>0</v>
      </c>
      <c r="M135">
        <f t="shared" si="28"/>
        <v>0</v>
      </c>
      <c r="N135">
        <f t="shared" si="29"/>
        <v>114300</v>
      </c>
      <c r="O135">
        <f t="shared" si="30"/>
        <v>0</v>
      </c>
      <c r="P135">
        <f t="shared" si="31"/>
        <v>0</v>
      </c>
      <c r="Q135">
        <f t="shared" si="32"/>
        <v>0</v>
      </c>
      <c r="R135">
        <f t="shared" si="33"/>
        <v>0</v>
      </c>
      <c r="S135">
        <f t="shared" si="34"/>
        <v>0</v>
      </c>
      <c r="T135">
        <f t="shared" si="35"/>
        <v>0</v>
      </c>
      <c r="U135">
        <f t="shared" si="36"/>
        <v>0</v>
      </c>
      <c r="V135">
        <f t="shared" si="37"/>
        <v>0</v>
      </c>
    </row>
    <row r="136" spans="1:22" x14ac:dyDescent="0.4">
      <c r="A136" s="1" t="s">
        <v>455</v>
      </c>
      <c r="B136" s="1" t="s">
        <v>456</v>
      </c>
      <c r="C136" s="1" t="s">
        <v>457</v>
      </c>
      <c r="D136" s="1" t="s">
        <v>44</v>
      </c>
      <c r="E136" s="1" t="s">
        <v>112</v>
      </c>
      <c r="F136" s="5" t="s">
        <v>46</v>
      </c>
      <c r="G136" s="1" t="s">
        <v>27</v>
      </c>
      <c r="H136">
        <f>VLOOKUP(D136,[1]金額リスト!$A$2:$B$6,2,FALSE)</f>
        <v>114300</v>
      </c>
      <c r="I136" s="1" t="s">
        <v>33</v>
      </c>
      <c r="J136">
        <f t="shared" si="26"/>
        <v>0</v>
      </c>
      <c r="K136">
        <f t="shared" si="27"/>
        <v>0</v>
      </c>
      <c r="L136">
        <f t="shared" si="38"/>
        <v>0</v>
      </c>
      <c r="M136">
        <f t="shared" si="28"/>
        <v>0</v>
      </c>
      <c r="N136">
        <f t="shared" si="29"/>
        <v>114300</v>
      </c>
      <c r="O136">
        <f t="shared" si="30"/>
        <v>0</v>
      </c>
      <c r="P136">
        <f t="shared" si="31"/>
        <v>0</v>
      </c>
      <c r="Q136">
        <f t="shared" si="32"/>
        <v>0</v>
      </c>
      <c r="R136">
        <f t="shared" si="33"/>
        <v>0</v>
      </c>
      <c r="S136">
        <f t="shared" si="34"/>
        <v>0</v>
      </c>
      <c r="T136">
        <f t="shared" si="35"/>
        <v>0</v>
      </c>
      <c r="U136">
        <f t="shared" si="36"/>
        <v>0</v>
      </c>
      <c r="V136">
        <f t="shared" si="37"/>
        <v>0</v>
      </c>
    </row>
    <row r="137" spans="1:22" x14ac:dyDescent="0.4">
      <c r="A137" s="1" t="s">
        <v>458</v>
      </c>
      <c r="B137" s="1" t="s">
        <v>459</v>
      </c>
      <c r="C137" s="1" t="s">
        <v>460</v>
      </c>
      <c r="D137" s="1" t="s">
        <v>25</v>
      </c>
      <c r="E137" s="1" t="s">
        <v>37</v>
      </c>
      <c r="F137" s="5" t="s">
        <v>10</v>
      </c>
      <c r="G137" s="1" t="s">
        <v>27</v>
      </c>
      <c r="H137">
        <f>VLOOKUP(D137,[1]金額リスト!$A$2:$B$6,2,FALSE)</f>
        <v>59400</v>
      </c>
      <c r="I137" s="1" t="s">
        <v>33</v>
      </c>
      <c r="J137">
        <f t="shared" si="26"/>
        <v>0</v>
      </c>
      <c r="K137">
        <f t="shared" si="27"/>
        <v>59400</v>
      </c>
      <c r="L137">
        <f t="shared" si="38"/>
        <v>0</v>
      </c>
      <c r="M137">
        <f t="shared" si="28"/>
        <v>0</v>
      </c>
      <c r="N137">
        <f t="shared" si="29"/>
        <v>0</v>
      </c>
      <c r="O137">
        <f t="shared" si="30"/>
        <v>0</v>
      </c>
      <c r="P137">
        <f t="shared" si="31"/>
        <v>0</v>
      </c>
      <c r="Q137">
        <f t="shared" si="32"/>
        <v>0</v>
      </c>
      <c r="R137">
        <f t="shared" si="33"/>
        <v>0</v>
      </c>
      <c r="S137">
        <f t="shared" si="34"/>
        <v>0</v>
      </c>
      <c r="T137">
        <f t="shared" si="35"/>
        <v>0</v>
      </c>
      <c r="U137">
        <f t="shared" si="36"/>
        <v>0</v>
      </c>
      <c r="V137">
        <f t="shared" si="37"/>
        <v>0</v>
      </c>
    </row>
    <row r="138" spans="1:22" x14ac:dyDescent="0.4">
      <c r="A138" s="1" t="s">
        <v>461</v>
      </c>
      <c r="B138" s="1" t="s">
        <v>462</v>
      </c>
      <c r="C138" s="1" t="s">
        <v>463</v>
      </c>
      <c r="D138" s="1" t="s">
        <v>44</v>
      </c>
      <c r="E138" s="1" t="s">
        <v>32</v>
      </c>
      <c r="F138" s="5" t="s">
        <v>46</v>
      </c>
      <c r="G138" s="1" t="s">
        <v>27</v>
      </c>
      <c r="H138">
        <f>VLOOKUP(D138,[1]金額リスト!$A$2:$B$6,2,FALSE)</f>
        <v>114300</v>
      </c>
      <c r="I138" s="1" t="s">
        <v>33</v>
      </c>
      <c r="J138">
        <f t="shared" si="26"/>
        <v>0</v>
      </c>
      <c r="K138">
        <f t="shared" si="27"/>
        <v>0</v>
      </c>
      <c r="L138">
        <f t="shared" si="38"/>
        <v>0</v>
      </c>
      <c r="M138">
        <f t="shared" si="28"/>
        <v>0</v>
      </c>
      <c r="N138">
        <f t="shared" si="29"/>
        <v>114300</v>
      </c>
      <c r="O138">
        <f t="shared" si="30"/>
        <v>0</v>
      </c>
      <c r="P138">
        <f t="shared" si="31"/>
        <v>0</v>
      </c>
      <c r="Q138">
        <f t="shared" si="32"/>
        <v>0</v>
      </c>
      <c r="R138">
        <f t="shared" si="33"/>
        <v>0</v>
      </c>
      <c r="S138">
        <f t="shared" si="34"/>
        <v>0</v>
      </c>
      <c r="T138">
        <f t="shared" si="35"/>
        <v>0</v>
      </c>
      <c r="U138">
        <f t="shared" si="36"/>
        <v>0</v>
      </c>
      <c r="V138">
        <f t="shared" si="37"/>
        <v>0</v>
      </c>
    </row>
    <row r="139" spans="1:22" x14ac:dyDescent="0.4">
      <c r="A139" s="1" t="s">
        <v>464</v>
      </c>
      <c r="B139" s="1" t="s">
        <v>465</v>
      </c>
      <c r="C139" s="1" t="s">
        <v>466</v>
      </c>
      <c r="D139" s="1" t="s">
        <v>44</v>
      </c>
      <c r="E139" s="1" t="s">
        <v>37</v>
      </c>
      <c r="F139" s="5" t="s">
        <v>46</v>
      </c>
      <c r="G139" s="1" t="s">
        <v>27</v>
      </c>
      <c r="H139">
        <f>VLOOKUP(D139,[1]金額リスト!$A$2:$B$6,2,FALSE)</f>
        <v>114300</v>
      </c>
      <c r="I139" s="1" t="s">
        <v>33</v>
      </c>
      <c r="J139">
        <f t="shared" si="26"/>
        <v>0</v>
      </c>
      <c r="K139">
        <f t="shared" si="27"/>
        <v>0</v>
      </c>
      <c r="L139">
        <f t="shared" si="38"/>
        <v>0</v>
      </c>
      <c r="M139">
        <f t="shared" si="28"/>
        <v>0</v>
      </c>
      <c r="N139">
        <f t="shared" si="29"/>
        <v>114300</v>
      </c>
      <c r="O139">
        <f t="shared" si="30"/>
        <v>0</v>
      </c>
      <c r="P139">
        <f t="shared" si="31"/>
        <v>0</v>
      </c>
      <c r="Q139">
        <f t="shared" si="32"/>
        <v>0</v>
      </c>
      <c r="R139">
        <f t="shared" si="33"/>
        <v>0</v>
      </c>
      <c r="S139">
        <f t="shared" si="34"/>
        <v>0</v>
      </c>
      <c r="T139">
        <f t="shared" si="35"/>
        <v>0</v>
      </c>
      <c r="U139">
        <f t="shared" si="36"/>
        <v>0</v>
      </c>
      <c r="V139">
        <f t="shared" si="37"/>
        <v>0</v>
      </c>
    </row>
    <row r="140" spans="1:22" x14ac:dyDescent="0.4">
      <c r="A140" s="1" t="s">
        <v>467</v>
      </c>
      <c r="B140" s="1" t="s">
        <v>468</v>
      </c>
      <c r="C140" s="1" t="s">
        <v>469</v>
      </c>
      <c r="D140" s="1" t="s">
        <v>44</v>
      </c>
      <c r="E140" s="1" t="s">
        <v>45</v>
      </c>
      <c r="F140" s="5" t="s">
        <v>46</v>
      </c>
      <c r="G140" s="1" t="s">
        <v>27</v>
      </c>
      <c r="H140">
        <f>VLOOKUP(D140,[1]金額リスト!$A$2:$B$6,2,FALSE)</f>
        <v>114300</v>
      </c>
      <c r="I140" s="1" t="s">
        <v>33</v>
      </c>
      <c r="J140">
        <f t="shared" si="26"/>
        <v>0</v>
      </c>
      <c r="K140">
        <f t="shared" si="27"/>
        <v>0</v>
      </c>
      <c r="L140">
        <f t="shared" si="38"/>
        <v>0</v>
      </c>
      <c r="M140">
        <f t="shared" si="28"/>
        <v>0</v>
      </c>
      <c r="N140">
        <f t="shared" si="29"/>
        <v>114300</v>
      </c>
      <c r="O140">
        <f t="shared" si="30"/>
        <v>0</v>
      </c>
      <c r="P140">
        <f t="shared" si="31"/>
        <v>0</v>
      </c>
      <c r="Q140">
        <f t="shared" si="32"/>
        <v>0</v>
      </c>
      <c r="R140">
        <f t="shared" si="33"/>
        <v>0</v>
      </c>
      <c r="S140">
        <f t="shared" si="34"/>
        <v>0</v>
      </c>
      <c r="T140">
        <f t="shared" si="35"/>
        <v>0</v>
      </c>
      <c r="U140">
        <f t="shared" si="36"/>
        <v>0</v>
      </c>
      <c r="V140">
        <f t="shared" si="37"/>
        <v>0</v>
      </c>
    </row>
    <row r="141" spans="1:22" x14ac:dyDescent="0.4">
      <c r="A141" s="1" t="s">
        <v>470</v>
      </c>
      <c r="B141" s="1" t="s">
        <v>471</v>
      </c>
      <c r="C141" s="1" t="s">
        <v>472</v>
      </c>
      <c r="D141" s="1" t="s">
        <v>25</v>
      </c>
      <c r="E141" s="1" t="s">
        <v>333</v>
      </c>
      <c r="F141" s="5" t="s">
        <v>10</v>
      </c>
      <c r="G141" s="1" t="s">
        <v>27</v>
      </c>
      <c r="H141">
        <f>VLOOKUP(D141,[1]金額リスト!$A$2:$B$6,2,FALSE)</f>
        <v>59400</v>
      </c>
      <c r="I141" s="1" t="s">
        <v>33</v>
      </c>
      <c r="J141">
        <f t="shared" si="26"/>
        <v>0</v>
      </c>
      <c r="K141">
        <f t="shared" si="27"/>
        <v>59400</v>
      </c>
      <c r="L141">
        <f t="shared" si="38"/>
        <v>0</v>
      </c>
      <c r="M141">
        <f t="shared" si="28"/>
        <v>0</v>
      </c>
      <c r="N141">
        <f t="shared" si="29"/>
        <v>0</v>
      </c>
      <c r="O141">
        <f t="shared" si="30"/>
        <v>0</v>
      </c>
      <c r="P141">
        <f t="shared" si="31"/>
        <v>0</v>
      </c>
      <c r="Q141">
        <f t="shared" si="32"/>
        <v>0</v>
      </c>
      <c r="R141">
        <f t="shared" si="33"/>
        <v>0</v>
      </c>
      <c r="S141">
        <f t="shared" si="34"/>
        <v>0</v>
      </c>
      <c r="T141">
        <f t="shared" si="35"/>
        <v>0</v>
      </c>
      <c r="U141">
        <f t="shared" si="36"/>
        <v>0</v>
      </c>
      <c r="V141">
        <f t="shared" si="37"/>
        <v>0</v>
      </c>
    </row>
    <row r="142" spans="1:22" x14ac:dyDescent="0.4">
      <c r="A142" s="1" t="s">
        <v>473</v>
      </c>
      <c r="B142" s="1" t="s">
        <v>474</v>
      </c>
      <c r="C142" s="1" t="s">
        <v>475</v>
      </c>
      <c r="D142" s="1" t="s">
        <v>44</v>
      </c>
      <c r="E142" s="1" t="s">
        <v>86</v>
      </c>
      <c r="F142" s="5" t="s">
        <v>46</v>
      </c>
      <c r="G142" s="1" t="s">
        <v>27</v>
      </c>
      <c r="H142">
        <f>VLOOKUP(D142,[1]金額リスト!$A$2:$B$6,2,FALSE)</f>
        <v>114300</v>
      </c>
      <c r="I142" s="1" t="s">
        <v>33</v>
      </c>
      <c r="J142">
        <f t="shared" si="26"/>
        <v>0</v>
      </c>
      <c r="K142">
        <f t="shared" si="27"/>
        <v>0</v>
      </c>
      <c r="L142">
        <f t="shared" si="38"/>
        <v>0</v>
      </c>
      <c r="M142">
        <f t="shared" si="28"/>
        <v>0</v>
      </c>
      <c r="N142">
        <f t="shared" si="29"/>
        <v>114300</v>
      </c>
      <c r="O142">
        <f t="shared" si="30"/>
        <v>0</v>
      </c>
      <c r="P142">
        <f t="shared" si="31"/>
        <v>0</v>
      </c>
      <c r="Q142">
        <f t="shared" si="32"/>
        <v>0</v>
      </c>
      <c r="R142">
        <f t="shared" si="33"/>
        <v>0</v>
      </c>
      <c r="S142">
        <f t="shared" si="34"/>
        <v>0</v>
      </c>
      <c r="T142">
        <f t="shared" si="35"/>
        <v>0</v>
      </c>
      <c r="U142">
        <f t="shared" si="36"/>
        <v>0</v>
      </c>
      <c r="V142">
        <f t="shared" si="37"/>
        <v>0</v>
      </c>
    </row>
    <row r="143" spans="1:22" x14ac:dyDescent="0.4">
      <c r="A143" s="1" t="s">
        <v>476</v>
      </c>
      <c r="B143" s="1" t="s">
        <v>477</v>
      </c>
      <c r="C143" s="1" t="s">
        <v>478</v>
      </c>
      <c r="D143" s="1" t="s">
        <v>25</v>
      </c>
      <c r="E143" s="1" t="s">
        <v>26</v>
      </c>
      <c r="F143" s="5" t="s">
        <v>479</v>
      </c>
      <c r="G143" s="1" t="s">
        <v>27</v>
      </c>
      <c r="H143">
        <f>VLOOKUP(D143,[1]金額リスト!$A$2:$B$6,2,FALSE)</f>
        <v>59400</v>
      </c>
      <c r="I143" s="1" t="s">
        <v>28</v>
      </c>
      <c r="J143">
        <f t="shared" si="26"/>
        <v>0</v>
      </c>
      <c r="K143">
        <f t="shared" si="27"/>
        <v>0</v>
      </c>
      <c r="L143">
        <f t="shared" si="38"/>
        <v>59400</v>
      </c>
      <c r="M143">
        <f t="shared" si="28"/>
        <v>0</v>
      </c>
      <c r="N143">
        <f t="shared" si="29"/>
        <v>0</v>
      </c>
      <c r="O143">
        <f t="shared" si="30"/>
        <v>0</v>
      </c>
      <c r="P143">
        <f t="shared" si="31"/>
        <v>0</v>
      </c>
      <c r="Q143">
        <f t="shared" si="32"/>
        <v>0</v>
      </c>
      <c r="R143">
        <f t="shared" si="33"/>
        <v>0</v>
      </c>
      <c r="S143">
        <f t="shared" si="34"/>
        <v>0</v>
      </c>
      <c r="T143">
        <f t="shared" si="35"/>
        <v>0</v>
      </c>
      <c r="U143">
        <f t="shared" si="36"/>
        <v>0</v>
      </c>
      <c r="V143">
        <f t="shared" si="37"/>
        <v>0</v>
      </c>
    </row>
    <row r="144" spans="1:22" x14ac:dyDescent="0.4">
      <c r="A144" s="1" t="s">
        <v>480</v>
      </c>
      <c r="B144" s="1" t="s">
        <v>481</v>
      </c>
      <c r="C144" s="1" t="s">
        <v>482</v>
      </c>
      <c r="D144" s="1" t="s">
        <v>25</v>
      </c>
      <c r="E144" s="1" t="s">
        <v>45</v>
      </c>
      <c r="F144" s="5" t="s">
        <v>10</v>
      </c>
      <c r="G144" s="1" t="s">
        <v>27</v>
      </c>
      <c r="H144">
        <f>VLOOKUP(D144,[1]金額リスト!$A$2:$B$6,2,FALSE)</f>
        <v>59400</v>
      </c>
      <c r="I144" s="1" t="s">
        <v>33</v>
      </c>
      <c r="J144">
        <f t="shared" si="26"/>
        <v>0</v>
      </c>
      <c r="K144">
        <f t="shared" si="27"/>
        <v>59400</v>
      </c>
      <c r="L144">
        <f t="shared" si="38"/>
        <v>0</v>
      </c>
      <c r="M144">
        <f t="shared" si="28"/>
        <v>0</v>
      </c>
      <c r="N144">
        <f t="shared" si="29"/>
        <v>0</v>
      </c>
      <c r="O144">
        <f t="shared" si="30"/>
        <v>0</v>
      </c>
      <c r="P144">
        <f t="shared" si="31"/>
        <v>0</v>
      </c>
      <c r="Q144">
        <f t="shared" si="32"/>
        <v>0</v>
      </c>
      <c r="R144">
        <f t="shared" si="33"/>
        <v>0</v>
      </c>
      <c r="S144">
        <f t="shared" si="34"/>
        <v>0</v>
      </c>
      <c r="T144">
        <f t="shared" si="35"/>
        <v>0</v>
      </c>
      <c r="U144">
        <f t="shared" si="36"/>
        <v>0</v>
      </c>
      <c r="V144">
        <f t="shared" si="37"/>
        <v>0</v>
      </c>
    </row>
    <row r="145" spans="1:22" x14ac:dyDescent="0.4">
      <c r="A145" s="1" t="s">
        <v>483</v>
      </c>
      <c r="B145" s="1" t="s">
        <v>484</v>
      </c>
      <c r="C145" s="1" t="s">
        <v>485</v>
      </c>
      <c r="D145" s="1" t="s">
        <v>44</v>
      </c>
      <c r="E145" s="1" t="s">
        <v>90</v>
      </c>
      <c r="F145" s="5" t="s">
        <v>46</v>
      </c>
      <c r="G145" s="1" t="s">
        <v>27</v>
      </c>
      <c r="H145">
        <f>VLOOKUP(D145,[1]金額リスト!$A$2:$B$6,2,FALSE)</f>
        <v>114300</v>
      </c>
      <c r="I145" s="1" t="s">
        <v>33</v>
      </c>
      <c r="J145">
        <f t="shared" si="26"/>
        <v>0</v>
      </c>
      <c r="K145">
        <f t="shared" si="27"/>
        <v>0</v>
      </c>
      <c r="L145">
        <f t="shared" si="38"/>
        <v>0</v>
      </c>
      <c r="M145">
        <f t="shared" si="28"/>
        <v>0</v>
      </c>
      <c r="N145">
        <f t="shared" si="29"/>
        <v>114300</v>
      </c>
      <c r="O145">
        <f t="shared" si="30"/>
        <v>0</v>
      </c>
      <c r="P145">
        <f t="shared" si="31"/>
        <v>0</v>
      </c>
      <c r="Q145">
        <f t="shared" si="32"/>
        <v>0</v>
      </c>
      <c r="R145">
        <f t="shared" si="33"/>
        <v>0</v>
      </c>
      <c r="S145">
        <f t="shared" si="34"/>
        <v>0</v>
      </c>
      <c r="T145">
        <f t="shared" si="35"/>
        <v>0</v>
      </c>
      <c r="U145">
        <f t="shared" si="36"/>
        <v>0</v>
      </c>
      <c r="V145">
        <f t="shared" si="37"/>
        <v>0</v>
      </c>
    </row>
    <row r="146" spans="1:22" x14ac:dyDescent="0.4">
      <c r="A146" s="1" t="s">
        <v>486</v>
      </c>
      <c r="B146" s="1" t="s">
        <v>487</v>
      </c>
      <c r="C146" s="1" t="s">
        <v>488</v>
      </c>
      <c r="D146" s="1" t="s">
        <v>70</v>
      </c>
      <c r="E146" s="1" t="s">
        <v>37</v>
      </c>
      <c r="F146" s="5" t="s">
        <v>479</v>
      </c>
      <c r="G146" s="1" t="s">
        <v>52</v>
      </c>
      <c r="H146">
        <f>VLOOKUP(D146,[1]金額リスト!$A$2:$B$6,2,FALSE)</f>
        <v>59400</v>
      </c>
      <c r="I146" s="1" t="s">
        <v>28</v>
      </c>
      <c r="J146">
        <f t="shared" si="26"/>
        <v>0</v>
      </c>
      <c r="K146">
        <f t="shared" si="27"/>
        <v>0</v>
      </c>
      <c r="L146">
        <f t="shared" si="38"/>
        <v>59400</v>
      </c>
      <c r="M146">
        <f t="shared" si="28"/>
        <v>0</v>
      </c>
      <c r="N146">
        <f t="shared" si="29"/>
        <v>0</v>
      </c>
      <c r="O146">
        <f t="shared" si="30"/>
        <v>0</v>
      </c>
      <c r="P146">
        <f t="shared" si="31"/>
        <v>0</v>
      </c>
      <c r="Q146">
        <f t="shared" si="32"/>
        <v>0</v>
      </c>
      <c r="R146">
        <f t="shared" si="33"/>
        <v>0</v>
      </c>
      <c r="S146">
        <f t="shared" si="34"/>
        <v>0</v>
      </c>
      <c r="T146">
        <f t="shared" si="35"/>
        <v>0</v>
      </c>
      <c r="U146">
        <f t="shared" si="36"/>
        <v>0</v>
      </c>
      <c r="V146">
        <f t="shared" si="37"/>
        <v>0</v>
      </c>
    </row>
    <row r="147" spans="1:22" x14ac:dyDescent="0.4">
      <c r="A147" s="1" t="s">
        <v>489</v>
      </c>
      <c r="B147" s="1" t="s">
        <v>490</v>
      </c>
      <c r="C147" s="1" t="s">
        <v>491</v>
      </c>
      <c r="D147" s="1" t="s">
        <v>44</v>
      </c>
      <c r="E147" s="1" t="s">
        <v>140</v>
      </c>
      <c r="F147" s="5" t="s">
        <v>46</v>
      </c>
      <c r="G147" s="1" t="s">
        <v>27</v>
      </c>
      <c r="H147">
        <f>VLOOKUP(D147,[1]金額リスト!$A$2:$B$6,2,FALSE)</f>
        <v>114300</v>
      </c>
      <c r="I147" s="1" t="s">
        <v>33</v>
      </c>
      <c r="J147">
        <f t="shared" si="26"/>
        <v>0</v>
      </c>
      <c r="K147">
        <f t="shared" si="27"/>
        <v>0</v>
      </c>
      <c r="L147">
        <f t="shared" si="38"/>
        <v>0</v>
      </c>
      <c r="M147">
        <f t="shared" si="28"/>
        <v>0</v>
      </c>
      <c r="N147">
        <f t="shared" si="29"/>
        <v>114300</v>
      </c>
      <c r="O147">
        <f t="shared" si="30"/>
        <v>0</v>
      </c>
      <c r="P147">
        <f t="shared" si="31"/>
        <v>0</v>
      </c>
      <c r="Q147">
        <f t="shared" si="32"/>
        <v>0</v>
      </c>
      <c r="R147">
        <f t="shared" si="33"/>
        <v>0</v>
      </c>
      <c r="S147">
        <f t="shared" si="34"/>
        <v>0</v>
      </c>
      <c r="T147">
        <f t="shared" si="35"/>
        <v>0</v>
      </c>
      <c r="U147">
        <f t="shared" si="36"/>
        <v>0</v>
      </c>
      <c r="V147">
        <f t="shared" si="37"/>
        <v>0</v>
      </c>
    </row>
    <row r="148" spans="1:22" x14ac:dyDescent="0.4">
      <c r="A148" s="1" t="s">
        <v>492</v>
      </c>
      <c r="B148" s="1" t="s">
        <v>493</v>
      </c>
      <c r="C148" s="1" t="s">
        <v>494</v>
      </c>
      <c r="D148" s="1" t="s">
        <v>44</v>
      </c>
      <c r="E148" s="1" t="s">
        <v>32</v>
      </c>
      <c r="F148" s="5" t="s">
        <v>46</v>
      </c>
      <c r="G148" s="1" t="s">
        <v>27</v>
      </c>
      <c r="H148">
        <f>VLOOKUP(D148,[1]金額リスト!$A$2:$B$6,2,FALSE)</f>
        <v>114300</v>
      </c>
      <c r="I148" s="1" t="s">
        <v>33</v>
      </c>
      <c r="J148">
        <f t="shared" si="26"/>
        <v>0</v>
      </c>
      <c r="K148">
        <f t="shared" si="27"/>
        <v>0</v>
      </c>
      <c r="L148">
        <f t="shared" si="38"/>
        <v>0</v>
      </c>
      <c r="M148">
        <f t="shared" si="28"/>
        <v>0</v>
      </c>
      <c r="N148">
        <f t="shared" si="29"/>
        <v>114300</v>
      </c>
      <c r="O148">
        <f t="shared" si="30"/>
        <v>0</v>
      </c>
      <c r="P148">
        <f t="shared" si="31"/>
        <v>0</v>
      </c>
      <c r="Q148">
        <f t="shared" si="32"/>
        <v>0</v>
      </c>
      <c r="R148">
        <f t="shared" si="33"/>
        <v>0</v>
      </c>
      <c r="S148">
        <f t="shared" si="34"/>
        <v>0</v>
      </c>
      <c r="T148">
        <f t="shared" si="35"/>
        <v>0</v>
      </c>
      <c r="U148">
        <f t="shared" si="36"/>
        <v>0</v>
      </c>
      <c r="V148">
        <f t="shared" si="37"/>
        <v>0</v>
      </c>
    </row>
    <row r="149" spans="1:22" x14ac:dyDescent="0.4">
      <c r="A149" s="1" t="s">
        <v>495</v>
      </c>
      <c r="B149" s="1" t="s">
        <v>496</v>
      </c>
      <c r="C149" s="1" t="s">
        <v>497</v>
      </c>
      <c r="D149" s="1" t="s">
        <v>25</v>
      </c>
      <c r="E149" s="1" t="s">
        <v>37</v>
      </c>
      <c r="F149" s="5" t="s">
        <v>10</v>
      </c>
      <c r="G149" s="1" t="s">
        <v>27</v>
      </c>
      <c r="H149">
        <f>VLOOKUP(D149,[1]金額リスト!$A$2:$B$6,2,FALSE)</f>
        <v>59400</v>
      </c>
      <c r="I149" s="1" t="s">
        <v>33</v>
      </c>
      <c r="J149">
        <f t="shared" si="26"/>
        <v>0</v>
      </c>
      <c r="K149">
        <f t="shared" si="27"/>
        <v>59400</v>
      </c>
      <c r="L149">
        <f t="shared" si="38"/>
        <v>0</v>
      </c>
      <c r="M149">
        <f t="shared" si="28"/>
        <v>0</v>
      </c>
      <c r="N149">
        <f t="shared" si="29"/>
        <v>0</v>
      </c>
      <c r="O149">
        <f t="shared" si="30"/>
        <v>0</v>
      </c>
      <c r="P149">
        <f t="shared" si="31"/>
        <v>0</v>
      </c>
      <c r="Q149">
        <f t="shared" si="32"/>
        <v>0</v>
      </c>
      <c r="R149">
        <f t="shared" si="33"/>
        <v>0</v>
      </c>
      <c r="S149">
        <f t="shared" si="34"/>
        <v>0</v>
      </c>
      <c r="T149">
        <f t="shared" si="35"/>
        <v>0</v>
      </c>
      <c r="U149">
        <f t="shared" si="36"/>
        <v>0</v>
      </c>
      <c r="V149">
        <f t="shared" si="37"/>
        <v>0</v>
      </c>
    </row>
    <row r="150" spans="1:22" x14ac:dyDescent="0.4">
      <c r="A150" s="1" t="s">
        <v>498</v>
      </c>
      <c r="B150" s="1" t="s">
        <v>499</v>
      </c>
      <c r="C150" s="1" t="s">
        <v>500</v>
      </c>
      <c r="D150" s="1" t="s">
        <v>44</v>
      </c>
      <c r="E150" s="1" t="s">
        <v>37</v>
      </c>
      <c r="F150" s="5" t="s">
        <v>46</v>
      </c>
      <c r="G150" s="1" t="s">
        <v>27</v>
      </c>
      <c r="H150">
        <f>VLOOKUP(D150,[1]金額リスト!$A$2:$B$6,2,FALSE)</f>
        <v>114300</v>
      </c>
      <c r="I150" s="1" t="s">
        <v>33</v>
      </c>
      <c r="J150">
        <f t="shared" si="26"/>
        <v>0</v>
      </c>
      <c r="K150">
        <f t="shared" si="27"/>
        <v>0</v>
      </c>
      <c r="L150">
        <f t="shared" si="38"/>
        <v>0</v>
      </c>
      <c r="M150">
        <f t="shared" si="28"/>
        <v>0</v>
      </c>
      <c r="N150">
        <f t="shared" si="29"/>
        <v>114300</v>
      </c>
      <c r="O150">
        <f t="shared" si="30"/>
        <v>0</v>
      </c>
      <c r="P150">
        <f t="shared" si="31"/>
        <v>0</v>
      </c>
      <c r="Q150">
        <f t="shared" si="32"/>
        <v>0</v>
      </c>
      <c r="R150">
        <f t="shared" si="33"/>
        <v>0</v>
      </c>
      <c r="S150">
        <f t="shared" si="34"/>
        <v>0</v>
      </c>
      <c r="T150">
        <f t="shared" si="35"/>
        <v>0</v>
      </c>
      <c r="U150">
        <f t="shared" si="36"/>
        <v>0</v>
      </c>
      <c r="V150">
        <f t="shared" si="37"/>
        <v>0</v>
      </c>
    </row>
    <row r="151" spans="1:22" x14ac:dyDescent="0.4">
      <c r="A151" s="1" t="s">
        <v>501</v>
      </c>
      <c r="B151" s="1" t="s">
        <v>502</v>
      </c>
      <c r="C151" s="1" t="s">
        <v>503</v>
      </c>
      <c r="D151" s="1" t="s">
        <v>44</v>
      </c>
      <c r="E151" s="1" t="s">
        <v>37</v>
      </c>
      <c r="F151" s="5" t="s">
        <v>46</v>
      </c>
      <c r="G151" s="1" t="s">
        <v>27</v>
      </c>
      <c r="H151">
        <f>VLOOKUP(D151,[1]金額リスト!$A$2:$B$6,2,FALSE)</f>
        <v>114300</v>
      </c>
      <c r="I151" s="1" t="s">
        <v>33</v>
      </c>
      <c r="J151">
        <f t="shared" si="26"/>
        <v>0</v>
      </c>
      <c r="K151">
        <f t="shared" si="27"/>
        <v>0</v>
      </c>
      <c r="L151">
        <f t="shared" si="38"/>
        <v>0</v>
      </c>
      <c r="M151">
        <f t="shared" si="28"/>
        <v>0</v>
      </c>
      <c r="N151">
        <f t="shared" si="29"/>
        <v>114300</v>
      </c>
      <c r="O151">
        <f t="shared" si="30"/>
        <v>0</v>
      </c>
      <c r="P151">
        <f t="shared" si="31"/>
        <v>0</v>
      </c>
      <c r="Q151">
        <f t="shared" si="32"/>
        <v>0</v>
      </c>
      <c r="R151">
        <f t="shared" si="33"/>
        <v>0</v>
      </c>
      <c r="S151">
        <f t="shared" si="34"/>
        <v>0</v>
      </c>
      <c r="T151">
        <f t="shared" si="35"/>
        <v>0</v>
      </c>
      <c r="U151">
        <f t="shared" si="36"/>
        <v>0</v>
      </c>
      <c r="V151">
        <f t="shared" si="37"/>
        <v>0</v>
      </c>
    </row>
    <row r="152" spans="1:22" x14ac:dyDescent="0.4">
      <c r="A152" s="1" t="s">
        <v>504</v>
      </c>
      <c r="B152" s="1" t="s">
        <v>505</v>
      </c>
      <c r="C152" s="1" t="s">
        <v>506</v>
      </c>
      <c r="D152" s="1" t="s">
        <v>44</v>
      </c>
      <c r="E152" s="1" t="s">
        <v>333</v>
      </c>
      <c r="F152" s="5" t="s">
        <v>46</v>
      </c>
      <c r="G152" s="1" t="s">
        <v>27</v>
      </c>
      <c r="H152">
        <f>VLOOKUP(D152,[1]金額リスト!$A$2:$B$6,2,FALSE)</f>
        <v>114300</v>
      </c>
      <c r="I152" s="1" t="s">
        <v>33</v>
      </c>
      <c r="J152">
        <f t="shared" si="26"/>
        <v>0</v>
      </c>
      <c r="K152">
        <f t="shared" si="27"/>
        <v>0</v>
      </c>
      <c r="L152">
        <f t="shared" si="38"/>
        <v>0</v>
      </c>
      <c r="M152">
        <f t="shared" si="28"/>
        <v>0</v>
      </c>
      <c r="N152">
        <f t="shared" si="29"/>
        <v>114300</v>
      </c>
      <c r="O152">
        <f t="shared" si="30"/>
        <v>0</v>
      </c>
      <c r="P152">
        <f t="shared" si="31"/>
        <v>0</v>
      </c>
      <c r="Q152">
        <f t="shared" si="32"/>
        <v>0</v>
      </c>
      <c r="R152">
        <f t="shared" si="33"/>
        <v>0</v>
      </c>
      <c r="S152">
        <f t="shared" si="34"/>
        <v>0</v>
      </c>
      <c r="T152">
        <f t="shared" si="35"/>
        <v>0</v>
      </c>
      <c r="U152">
        <f t="shared" si="36"/>
        <v>0</v>
      </c>
      <c r="V152">
        <f t="shared" si="37"/>
        <v>0</v>
      </c>
    </row>
    <row r="153" spans="1:22" x14ac:dyDescent="0.4">
      <c r="A153" s="1" t="s">
        <v>507</v>
      </c>
      <c r="B153" s="1" t="s">
        <v>508</v>
      </c>
      <c r="C153" s="1" t="s">
        <v>509</v>
      </c>
      <c r="D153" s="1" t="s">
        <v>25</v>
      </c>
      <c r="E153" s="1" t="s">
        <v>45</v>
      </c>
      <c r="F153" s="5" t="s">
        <v>10</v>
      </c>
      <c r="G153" s="1" t="s">
        <v>27</v>
      </c>
      <c r="H153">
        <f>VLOOKUP(D153,[1]金額リスト!$A$2:$B$6,2,FALSE)</f>
        <v>59400</v>
      </c>
      <c r="I153" s="1" t="s">
        <v>33</v>
      </c>
      <c r="J153">
        <f t="shared" si="26"/>
        <v>0</v>
      </c>
      <c r="K153">
        <f t="shared" si="27"/>
        <v>59400</v>
      </c>
      <c r="L153">
        <f t="shared" si="38"/>
        <v>0</v>
      </c>
      <c r="M153">
        <f t="shared" si="28"/>
        <v>0</v>
      </c>
      <c r="N153">
        <f t="shared" si="29"/>
        <v>0</v>
      </c>
      <c r="O153">
        <f t="shared" si="30"/>
        <v>0</v>
      </c>
      <c r="P153">
        <f t="shared" si="31"/>
        <v>0</v>
      </c>
      <c r="Q153">
        <f t="shared" si="32"/>
        <v>0</v>
      </c>
      <c r="R153">
        <f t="shared" si="33"/>
        <v>0</v>
      </c>
      <c r="S153">
        <f t="shared" si="34"/>
        <v>0</v>
      </c>
      <c r="T153">
        <f t="shared" si="35"/>
        <v>0</v>
      </c>
      <c r="U153">
        <f t="shared" si="36"/>
        <v>0</v>
      </c>
      <c r="V153">
        <f t="shared" si="37"/>
        <v>0</v>
      </c>
    </row>
    <row r="154" spans="1:22" x14ac:dyDescent="0.4">
      <c r="A154" s="1" t="s">
        <v>510</v>
      </c>
      <c r="B154" s="1" t="s">
        <v>511</v>
      </c>
      <c r="C154" s="1" t="s">
        <v>512</v>
      </c>
      <c r="D154" s="1" t="s">
        <v>25</v>
      </c>
      <c r="E154" s="1" t="s">
        <v>32</v>
      </c>
      <c r="F154" s="5" t="s">
        <v>10</v>
      </c>
      <c r="G154" s="1" t="s">
        <v>27</v>
      </c>
      <c r="H154">
        <f>VLOOKUP(D154,[1]金額リスト!$A$2:$B$6,2,FALSE)</f>
        <v>59400</v>
      </c>
      <c r="I154" s="1" t="s">
        <v>33</v>
      </c>
      <c r="J154">
        <f t="shared" si="26"/>
        <v>0</v>
      </c>
      <c r="K154">
        <f t="shared" si="27"/>
        <v>59400</v>
      </c>
      <c r="L154">
        <f t="shared" si="38"/>
        <v>0</v>
      </c>
      <c r="M154">
        <f t="shared" si="28"/>
        <v>0</v>
      </c>
      <c r="N154">
        <f t="shared" si="29"/>
        <v>0</v>
      </c>
      <c r="O154">
        <f t="shared" si="30"/>
        <v>0</v>
      </c>
      <c r="P154">
        <f t="shared" si="31"/>
        <v>0</v>
      </c>
      <c r="Q154">
        <f t="shared" si="32"/>
        <v>0</v>
      </c>
      <c r="R154">
        <f t="shared" si="33"/>
        <v>0</v>
      </c>
      <c r="S154">
        <f t="shared" si="34"/>
        <v>0</v>
      </c>
      <c r="T154">
        <f t="shared" si="35"/>
        <v>0</v>
      </c>
      <c r="U154">
        <f t="shared" si="36"/>
        <v>0</v>
      </c>
      <c r="V154">
        <f t="shared" si="37"/>
        <v>0</v>
      </c>
    </row>
    <row r="155" spans="1:22" x14ac:dyDescent="0.4">
      <c r="A155" s="1" t="s">
        <v>513</v>
      </c>
      <c r="B155" s="1" t="s">
        <v>514</v>
      </c>
      <c r="C155" s="1" t="s">
        <v>515</v>
      </c>
      <c r="D155" s="1" t="s">
        <v>44</v>
      </c>
      <c r="E155" s="1" t="s">
        <v>86</v>
      </c>
      <c r="F155" s="5" t="s">
        <v>46</v>
      </c>
      <c r="G155" s="1" t="s">
        <v>27</v>
      </c>
      <c r="H155">
        <f>VLOOKUP(D155,[1]金額リスト!$A$2:$B$6,2,FALSE)</f>
        <v>114300</v>
      </c>
      <c r="I155" s="1" t="s">
        <v>33</v>
      </c>
      <c r="J155">
        <f t="shared" si="26"/>
        <v>0</v>
      </c>
      <c r="K155">
        <f t="shared" si="27"/>
        <v>0</v>
      </c>
      <c r="L155">
        <f t="shared" si="38"/>
        <v>0</v>
      </c>
      <c r="M155">
        <f t="shared" si="28"/>
        <v>0</v>
      </c>
      <c r="N155">
        <f t="shared" si="29"/>
        <v>114300</v>
      </c>
      <c r="O155">
        <f t="shared" si="30"/>
        <v>0</v>
      </c>
      <c r="P155">
        <f t="shared" si="31"/>
        <v>0</v>
      </c>
      <c r="Q155">
        <f t="shared" si="32"/>
        <v>0</v>
      </c>
      <c r="R155">
        <f t="shared" si="33"/>
        <v>0</v>
      </c>
      <c r="S155">
        <f t="shared" si="34"/>
        <v>0</v>
      </c>
      <c r="T155">
        <f t="shared" si="35"/>
        <v>0</v>
      </c>
      <c r="U155">
        <f t="shared" si="36"/>
        <v>0</v>
      </c>
      <c r="V155">
        <f t="shared" si="37"/>
        <v>0</v>
      </c>
    </row>
    <row r="156" spans="1:22" x14ac:dyDescent="0.4">
      <c r="A156" s="1" t="s">
        <v>516</v>
      </c>
      <c r="B156" s="1" t="s">
        <v>517</v>
      </c>
      <c r="C156" s="1" t="s">
        <v>518</v>
      </c>
      <c r="D156" s="1" t="s">
        <v>44</v>
      </c>
      <c r="E156" s="1" t="s">
        <v>37</v>
      </c>
      <c r="F156" s="5" t="s">
        <v>46</v>
      </c>
      <c r="G156" s="1" t="s">
        <v>27</v>
      </c>
      <c r="H156">
        <f>VLOOKUP(D156,[1]金額リスト!$A$2:$B$6,2,FALSE)</f>
        <v>114300</v>
      </c>
      <c r="I156" s="1" t="s">
        <v>33</v>
      </c>
      <c r="J156">
        <f t="shared" si="26"/>
        <v>0</v>
      </c>
      <c r="K156">
        <f t="shared" si="27"/>
        <v>0</v>
      </c>
      <c r="L156">
        <f t="shared" si="38"/>
        <v>0</v>
      </c>
      <c r="M156">
        <f t="shared" si="28"/>
        <v>0</v>
      </c>
      <c r="N156">
        <f t="shared" si="29"/>
        <v>114300</v>
      </c>
      <c r="O156">
        <f t="shared" si="30"/>
        <v>0</v>
      </c>
      <c r="P156">
        <f t="shared" si="31"/>
        <v>0</v>
      </c>
      <c r="Q156">
        <f t="shared" si="32"/>
        <v>0</v>
      </c>
      <c r="R156">
        <f t="shared" si="33"/>
        <v>0</v>
      </c>
      <c r="S156">
        <f t="shared" si="34"/>
        <v>0</v>
      </c>
      <c r="T156">
        <f t="shared" si="35"/>
        <v>0</v>
      </c>
      <c r="U156">
        <f t="shared" si="36"/>
        <v>0</v>
      </c>
      <c r="V156">
        <f t="shared" si="37"/>
        <v>0</v>
      </c>
    </row>
    <row r="157" spans="1:22" x14ac:dyDescent="0.4">
      <c r="A157" s="1" t="s">
        <v>519</v>
      </c>
      <c r="B157" s="1" t="s">
        <v>520</v>
      </c>
      <c r="C157" s="1" t="s">
        <v>521</v>
      </c>
      <c r="D157" s="1" t="s">
        <v>25</v>
      </c>
      <c r="E157" s="1" t="s">
        <v>37</v>
      </c>
      <c r="F157" s="5" t="s">
        <v>10</v>
      </c>
      <c r="G157" s="1" t="s">
        <v>27</v>
      </c>
      <c r="H157">
        <f>VLOOKUP(D157,[1]金額リスト!$A$2:$B$6,2,FALSE)</f>
        <v>59400</v>
      </c>
      <c r="I157" s="1" t="s">
        <v>33</v>
      </c>
      <c r="J157">
        <f t="shared" si="26"/>
        <v>0</v>
      </c>
      <c r="K157">
        <f t="shared" si="27"/>
        <v>59400</v>
      </c>
      <c r="L157">
        <f t="shared" si="38"/>
        <v>0</v>
      </c>
      <c r="M157">
        <f t="shared" si="28"/>
        <v>0</v>
      </c>
      <c r="N157">
        <f t="shared" si="29"/>
        <v>0</v>
      </c>
      <c r="O157">
        <f t="shared" si="30"/>
        <v>0</v>
      </c>
      <c r="P157">
        <f t="shared" si="31"/>
        <v>0</v>
      </c>
      <c r="Q157">
        <f t="shared" si="32"/>
        <v>0</v>
      </c>
      <c r="R157">
        <f t="shared" si="33"/>
        <v>0</v>
      </c>
      <c r="S157">
        <f t="shared" si="34"/>
        <v>0</v>
      </c>
      <c r="T157">
        <f t="shared" si="35"/>
        <v>0</v>
      </c>
      <c r="U157">
        <f t="shared" si="36"/>
        <v>0</v>
      </c>
      <c r="V157">
        <f t="shared" si="37"/>
        <v>0</v>
      </c>
    </row>
    <row r="158" spans="1:22" x14ac:dyDescent="0.4">
      <c r="A158" s="1" t="s">
        <v>522</v>
      </c>
      <c r="B158" s="1" t="s">
        <v>523</v>
      </c>
      <c r="C158" s="1" t="s">
        <v>524</v>
      </c>
      <c r="D158" s="1" t="s">
        <v>44</v>
      </c>
      <c r="E158" s="1" t="s">
        <v>37</v>
      </c>
      <c r="F158" s="5" t="s">
        <v>46</v>
      </c>
      <c r="G158" s="1" t="s">
        <v>27</v>
      </c>
      <c r="H158">
        <f>VLOOKUP(D158,[1]金額リスト!$A$2:$B$6,2,FALSE)</f>
        <v>114300</v>
      </c>
      <c r="I158" s="1" t="s">
        <v>33</v>
      </c>
      <c r="J158">
        <f t="shared" si="26"/>
        <v>0</v>
      </c>
      <c r="K158">
        <f t="shared" si="27"/>
        <v>0</v>
      </c>
      <c r="L158">
        <f t="shared" si="38"/>
        <v>0</v>
      </c>
      <c r="M158">
        <f t="shared" si="28"/>
        <v>0</v>
      </c>
      <c r="N158">
        <f t="shared" si="29"/>
        <v>114300</v>
      </c>
      <c r="O158">
        <f t="shared" si="30"/>
        <v>0</v>
      </c>
      <c r="P158">
        <f t="shared" si="31"/>
        <v>0</v>
      </c>
      <c r="Q158">
        <f t="shared" si="32"/>
        <v>0</v>
      </c>
      <c r="R158">
        <f t="shared" si="33"/>
        <v>0</v>
      </c>
      <c r="S158">
        <f t="shared" si="34"/>
        <v>0</v>
      </c>
      <c r="T158">
        <f t="shared" si="35"/>
        <v>0</v>
      </c>
      <c r="U158">
        <f t="shared" si="36"/>
        <v>0</v>
      </c>
      <c r="V158">
        <f t="shared" si="37"/>
        <v>0</v>
      </c>
    </row>
    <row r="159" spans="1:22" x14ac:dyDescent="0.4">
      <c r="A159" s="1" t="s">
        <v>525</v>
      </c>
      <c r="B159" s="1" t="s">
        <v>526</v>
      </c>
      <c r="C159" s="1" t="s">
        <v>527</v>
      </c>
      <c r="D159" s="1" t="s">
        <v>44</v>
      </c>
      <c r="E159" s="1" t="s">
        <v>376</v>
      </c>
      <c r="F159" s="5" t="s">
        <v>46</v>
      </c>
      <c r="G159" s="1" t="s">
        <v>27</v>
      </c>
      <c r="H159">
        <f>VLOOKUP(D159,[1]金額リスト!$A$2:$B$6,2,FALSE)</f>
        <v>114300</v>
      </c>
      <c r="I159" s="1" t="s">
        <v>33</v>
      </c>
      <c r="J159">
        <f t="shared" si="26"/>
        <v>0</v>
      </c>
      <c r="K159">
        <f t="shared" si="27"/>
        <v>0</v>
      </c>
      <c r="L159">
        <f t="shared" si="38"/>
        <v>0</v>
      </c>
      <c r="M159">
        <f t="shared" si="28"/>
        <v>0</v>
      </c>
      <c r="N159">
        <f t="shared" si="29"/>
        <v>114300</v>
      </c>
      <c r="O159">
        <f t="shared" si="30"/>
        <v>0</v>
      </c>
      <c r="P159">
        <f t="shared" si="31"/>
        <v>0</v>
      </c>
      <c r="Q159">
        <f t="shared" si="32"/>
        <v>0</v>
      </c>
      <c r="R159">
        <f t="shared" si="33"/>
        <v>0</v>
      </c>
      <c r="S159">
        <f t="shared" si="34"/>
        <v>0</v>
      </c>
      <c r="T159">
        <f t="shared" si="35"/>
        <v>0</v>
      </c>
      <c r="U159">
        <f t="shared" si="36"/>
        <v>0</v>
      </c>
      <c r="V159">
        <f t="shared" si="37"/>
        <v>0</v>
      </c>
    </row>
    <row r="160" spans="1:22" x14ac:dyDescent="0.4">
      <c r="A160" s="1" t="s">
        <v>528</v>
      </c>
      <c r="B160" s="1" t="s">
        <v>529</v>
      </c>
      <c r="C160" s="1" t="s">
        <v>530</v>
      </c>
      <c r="D160" s="1" t="s">
        <v>44</v>
      </c>
      <c r="E160" s="1" t="s">
        <v>56</v>
      </c>
      <c r="F160" s="5" t="s">
        <v>46</v>
      </c>
      <c r="G160" s="1" t="s">
        <v>27</v>
      </c>
      <c r="H160">
        <f>VLOOKUP(D160,[1]金額リスト!$A$2:$B$6,2,FALSE)</f>
        <v>114300</v>
      </c>
      <c r="I160" s="1" t="s">
        <v>33</v>
      </c>
      <c r="J160">
        <f t="shared" si="26"/>
        <v>0</v>
      </c>
      <c r="K160">
        <f t="shared" si="27"/>
        <v>0</v>
      </c>
      <c r="L160">
        <f t="shared" si="38"/>
        <v>0</v>
      </c>
      <c r="M160">
        <f t="shared" si="28"/>
        <v>0</v>
      </c>
      <c r="N160">
        <f t="shared" si="29"/>
        <v>114300</v>
      </c>
      <c r="O160">
        <f t="shared" si="30"/>
        <v>0</v>
      </c>
      <c r="P160">
        <f t="shared" si="31"/>
        <v>0</v>
      </c>
      <c r="Q160">
        <f t="shared" si="32"/>
        <v>0</v>
      </c>
      <c r="R160">
        <f t="shared" si="33"/>
        <v>0</v>
      </c>
      <c r="S160">
        <f t="shared" si="34"/>
        <v>0</v>
      </c>
      <c r="T160">
        <f t="shared" si="35"/>
        <v>0</v>
      </c>
      <c r="U160">
        <f t="shared" si="36"/>
        <v>0</v>
      </c>
      <c r="V160">
        <f t="shared" si="37"/>
        <v>0</v>
      </c>
    </row>
    <row r="161" spans="1:22" x14ac:dyDescent="0.4">
      <c r="A161" s="1" t="s">
        <v>531</v>
      </c>
      <c r="B161" s="1" t="s">
        <v>532</v>
      </c>
      <c r="C161" s="1" t="s">
        <v>533</v>
      </c>
      <c r="D161" s="1" t="s">
        <v>25</v>
      </c>
      <c r="E161" s="1" t="s">
        <v>37</v>
      </c>
      <c r="F161" s="5" t="s">
        <v>10</v>
      </c>
      <c r="G161" s="1" t="s">
        <v>27</v>
      </c>
      <c r="H161">
        <f>VLOOKUP(D161,[1]金額リスト!$A$2:$B$6,2,FALSE)</f>
        <v>59400</v>
      </c>
      <c r="I161" s="1" t="s">
        <v>33</v>
      </c>
      <c r="J161">
        <f t="shared" si="26"/>
        <v>0</v>
      </c>
      <c r="K161">
        <f t="shared" si="27"/>
        <v>59400</v>
      </c>
      <c r="L161">
        <f t="shared" si="38"/>
        <v>0</v>
      </c>
      <c r="M161">
        <f t="shared" si="28"/>
        <v>0</v>
      </c>
      <c r="N161">
        <f t="shared" si="29"/>
        <v>0</v>
      </c>
      <c r="O161">
        <f t="shared" si="30"/>
        <v>0</v>
      </c>
      <c r="P161">
        <f t="shared" si="31"/>
        <v>0</v>
      </c>
      <c r="Q161">
        <f t="shared" si="32"/>
        <v>0</v>
      </c>
      <c r="R161">
        <f t="shared" si="33"/>
        <v>0</v>
      </c>
      <c r="S161">
        <f t="shared" si="34"/>
        <v>0</v>
      </c>
      <c r="T161">
        <f t="shared" si="35"/>
        <v>0</v>
      </c>
      <c r="U161">
        <f t="shared" si="36"/>
        <v>0</v>
      </c>
      <c r="V161">
        <f t="shared" si="37"/>
        <v>0</v>
      </c>
    </row>
    <row r="162" spans="1:22" x14ac:dyDescent="0.4">
      <c r="A162" s="1" t="s">
        <v>534</v>
      </c>
      <c r="B162" s="1" t="s">
        <v>535</v>
      </c>
      <c r="C162" s="1" t="s">
        <v>536</v>
      </c>
      <c r="D162" s="1" t="s">
        <v>25</v>
      </c>
      <c r="E162" s="1" t="s">
        <v>45</v>
      </c>
      <c r="F162" s="5" t="s">
        <v>10</v>
      </c>
      <c r="G162" s="1" t="s">
        <v>27</v>
      </c>
      <c r="H162">
        <f>VLOOKUP(D162,[1]金額リスト!$A$2:$B$6,2,FALSE)</f>
        <v>59400</v>
      </c>
      <c r="I162" s="1" t="s">
        <v>33</v>
      </c>
      <c r="J162">
        <f t="shared" si="26"/>
        <v>0</v>
      </c>
      <c r="K162">
        <f t="shared" si="27"/>
        <v>59400</v>
      </c>
      <c r="L162">
        <f t="shared" si="38"/>
        <v>0</v>
      </c>
      <c r="M162">
        <f t="shared" si="28"/>
        <v>0</v>
      </c>
      <c r="N162">
        <f t="shared" si="29"/>
        <v>0</v>
      </c>
      <c r="O162">
        <f t="shared" si="30"/>
        <v>0</v>
      </c>
      <c r="P162">
        <f t="shared" si="31"/>
        <v>0</v>
      </c>
      <c r="Q162">
        <f t="shared" si="32"/>
        <v>0</v>
      </c>
      <c r="R162">
        <f t="shared" si="33"/>
        <v>0</v>
      </c>
      <c r="S162">
        <f t="shared" si="34"/>
        <v>0</v>
      </c>
      <c r="T162">
        <f t="shared" si="35"/>
        <v>0</v>
      </c>
      <c r="U162">
        <f t="shared" si="36"/>
        <v>0</v>
      </c>
      <c r="V162">
        <f t="shared" si="37"/>
        <v>0</v>
      </c>
    </row>
    <row r="163" spans="1:22" x14ac:dyDescent="0.4">
      <c r="A163" s="1" t="s">
        <v>537</v>
      </c>
      <c r="B163" s="1" t="s">
        <v>538</v>
      </c>
      <c r="C163" s="1" t="s">
        <v>539</v>
      </c>
      <c r="D163" s="1" t="s">
        <v>44</v>
      </c>
      <c r="E163" s="1" t="s">
        <v>37</v>
      </c>
      <c r="F163" s="5" t="s">
        <v>46</v>
      </c>
      <c r="G163" s="1" t="s">
        <v>27</v>
      </c>
      <c r="H163">
        <f>VLOOKUP(D163,[1]金額リスト!$A$2:$B$6,2,FALSE)</f>
        <v>114300</v>
      </c>
      <c r="I163" s="1" t="s">
        <v>33</v>
      </c>
      <c r="J163">
        <f t="shared" si="26"/>
        <v>0</v>
      </c>
      <c r="K163">
        <f t="shared" si="27"/>
        <v>0</v>
      </c>
      <c r="L163">
        <f t="shared" si="38"/>
        <v>0</v>
      </c>
      <c r="M163">
        <f t="shared" si="28"/>
        <v>0</v>
      </c>
      <c r="N163">
        <f t="shared" si="29"/>
        <v>114300</v>
      </c>
      <c r="O163">
        <f t="shared" si="30"/>
        <v>0</v>
      </c>
      <c r="P163">
        <f t="shared" si="31"/>
        <v>0</v>
      </c>
      <c r="Q163">
        <f t="shared" si="32"/>
        <v>0</v>
      </c>
      <c r="R163">
        <f t="shared" si="33"/>
        <v>0</v>
      </c>
      <c r="S163">
        <f t="shared" si="34"/>
        <v>0</v>
      </c>
      <c r="T163">
        <f t="shared" si="35"/>
        <v>0</v>
      </c>
      <c r="U163">
        <f t="shared" si="36"/>
        <v>0</v>
      </c>
      <c r="V163">
        <f t="shared" si="37"/>
        <v>0</v>
      </c>
    </row>
    <row r="164" spans="1:22" x14ac:dyDescent="0.4">
      <c r="A164" s="1" t="s">
        <v>540</v>
      </c>
      <c r="B164" s="1" t="s">
        <v>541</v>
      </c>
      <c r="C164" s="1" t="s">
        <v>542</v>
      </c>
      <c r="D164" s="1" t="s">
        <v>25</v>
      </c>
      <c r="E164" s="1" t="s">
        <v>101</v>
      </c>
      <c r="F164" s="5" t="s">
        <v>10</v>
      </c>
      <c r="G164" s="1" t="s">
        <v>27</v>
      </c>
      <c r="H164">
        <f>VLOOKUP(D164,[1]金額リスト!$A$2:$B$6,2,FALSE)</f>
        <v>59400</v>
      </c>
      <c r="I164" s="1" t="s">
        <v>33</v>
      </c>
      <c r="J164">
        <f t="shared" si="26"/>
        <v>0</v>
      </c>
      <c r="K164">
        <f t="shared" si="27"/>
        <v>59400</v>
      </c>
      <c r="L164">
        <f t="shared" si="38"/>
        <v>0</v>
      </c>
      <c r="M164">
        <f t="shared" si="28"/>
        <v>0</v>
      </c>
      <c r="N164">
        <f t="shared" si="29"/>
        <v>0</v>
      </c>
      <c r="O164">
        <f t="shared" si="30"/>
        <v>0</v>
      </c>
      <c r="P164">
        <f t="shared" si="31"/>
        <v>0</v>
      </c>
      <c r="Q164">
        <f t="shared" si="32"/>
        <v>0</v>
      </c>
      <c r="R164">
        <f t="shared" si="33"/>
        <v>0</v>
      </c>
      <c r="S164">
        <f t="shared" si="34"/>
        <v>0</v>
      </c>
      <c r="T164">
        <f t="shared" si="35"/>
        <v>0</v>
      </c>
      <c r="U164">
        <f t="shared" si="36"/>
        <v>0</v>
      </c>
      <c r="V164">
        <f t="shared" si="37"/>
        <v>0</v>
      </c>
    </row>
    <row r="165" spans="1:22" x14ac:dyDescent="0.4">
      <c r="A165" s="1" t="s">
        <v>543</v>
      </c>
      <c r="B165" s="1" t="s">
        <v>544</v>
      </c>
      <c r="C165" s="1" t="s">
        <v>545</v>
      </c>
      <c r="D165" s="1" t="s">
        <v>44</v>
      </c>
      <c r="E165" s="1" t="s">
        <v>86</v>
      </c>
      <c r="F165" s="5" t="s">
        <v>46</v>
      </c>
      <c r="G165" s="1" t="s">
        <v>27</v>
      </c>
      <c r="H165">
        <f>VLOOKUP(D165,[1]金額リスト!$A$2:$B$6,2,FALSE)</f>
        <v>114300</v>
      </c>
      <c r="I165" s="1" t="s">
        <v>33</v>
      </c>
      <c r="J165">
        <f t="shared" si="26"/>
        <v>0</v>
      </c>
      <c r="K165">
        <f t="shared" si="27"/>
        <v>0</v>
      </c>
      <c r="L165">
        <f t="shared" si="38"/>
        <v>0</v>
      </c>
      <c r="M165">
        <f t="shared" si="28"/>
        <v>0</v>
      </c>
      <c r="N165">
        <f t="shared" si="29"/>
        <v>114300</v>
      </c>
      <c r="O165">
        <f t="shared" si="30"/>
        <v>0</v>
      </c>
      <c r="P165">
        <f t="shared" si="31"/>
        <v>0</v>
      </c>
      <c r="Q165">
        <f t="shared" si="32"/>
        <v>0</v>
      </c>
      <c r="R165">
        <f t="shared" si="33"/>
        <v>0</v>
      </c>
      <c r="S165">
        <f t="shared" si="34"/>
        <v>0</v>
      </c>
      <c r="T165">
        <f t="shared" si="35"/>
        <v>0</v>
      </c>
      <c r="U165">
        <f t="shared" si="36"/>
        <v>0</v>
      </c>
      <c r="V165">
        <f t="shared" si="37"/>
        <v>0</v>
      </c>
    </row>
    <row r="166" spans="1:22" x14ac:dyDescent="0.4">
      <c r="A166" s="1" t="s">
        <v>546</v>
      </c>
      <c r="B166" s="1" t="s">
        <v>547</v>
      </c>
      <c r="C166" s="1" t="s">
        <v>548</v>
      </c>
      <c r="D166" s="1" t="s">
        <v>44</v>
      </c>
      <c r="E166" s="1" t="s">
        <v>97</v>
      </c>
      <c r="F166" s="5" t="s">
        <v>46</v>
      </c>
      <c r="G166" s="1" t="s">
        <v>27</v>
      </c>
      <c r="H166">
        <f>VLOOKUP(D166,[1]金額リスト!$A$2:$B$6,2,FALSE)</f>
        <v>114300</v>
      </c>
      <c r="I166" s="1" t="s">
        <v>33</v>
      </c>
      <c r="J166">
        <f t="shared" si="26"/>
        <v>0</v>
      </c>
      <c r="K166">
        <f t="shared" si="27"/>
        <v>0</v>
      </c>
      <c r="L166">
        <f t="shared" si="38"/>
        <v>0</v>
      </c>
      <c r="M166">
        <f t="shared" si="28"/>
        <v>0</v>
      </c>
      <c r="N166">
        <f t="shared" si="29"/>
        <v>114300</v>
      </c>
      <c r="O166">
        <f t="shared" si="30"/>
        <v>0</v>
      </c>
      <c r="P166">
        <f t="shared" si="31"/>
        <v>0</v>
      </c>
      <c r="Q166">
        <f t="shared" si="32"/>
        <v>0</v>
      </c>
      <c r="R166">
        <f t="shared" si="33"/>
        <v>0</v>
      </c>
      <c r="S166">
        <f t="shared" si="34"/>
        <v>0</v>
      </c>
      <c r="T166">
        <f t="shared" si="35"/>
        <v>0</v>
      </c>
      <c r="U166">
        <f t="shared" si="36"/>
        <v>0</v>
      </c>
      <c r="V166">
        <f t="shared" si="37"/>
        <v>0</v>
      </c>
    </row>
    <row r="167" spans="1:22" x14ac:dyDescent="0.4">
      <c r="A167" s="1" t="s">
        <v>549</v>
      </c>
      <c r="B167" s="1" t="s">
        <v>550</v>
      </c>
      <c r="C167" s="1" t="s">
        <v>551</v>
      </c>
      <c r="D167" s="1" t="s">
        <v>70</v>
      </c>
      <c r="E167" s="1" t="s">
        <v>45</v>
      </c>
      <c r="F167" s="5" t="s">
        <v>10</v>
      </c>
      <c r="G167" s="1" t="s">
        <v>52</v>
      </c>
      <c r="H167">
        <f>VLOOKUP(D167,[1]金額リスト!$A$2:$B$6,2,FALSE)</f>
        <v>59400</v>
      </c>
      <c r="I167" s="1" t="s">
        <v>28</v>
      </c>
      <c r="J167">
        <f t="shared" si="26"/>
        <v>0</v>
      </c>
      <c r="K167">
        <f t="shared" si="27"/>
        <v>59400</v>
      </c>
      <c r="L167">
        <f t="shared" si="38"/>
        <v>0</v>
      </c>
      <c r="M167">
        <f t="shared" si="28"/>
        <v>0</v>
      </c>
      <c r="N167">
        <f t="shared" si="29"/>
        <v>0</v>
      </c>
      <c r="O167">
        <f t="shared" si="30"/>
        <v>0</v>
      </c>
      <c r="P167">
        <f t="shared" si="31"/>
        <v>0</v>
      </c>
      <c r="Q167">
        <f t="shared" si="32"/>
        <v>0</v>
      </c>
      <c r="R167">
        <f t="shared" si="33"/>
        <v>0</v>
      </c>
      <c r="S167">
        <f t="shared" si="34"/>
        <v>0</v>
      </c>
      <c r="T167">
        <f t="shared" si="35"/>
        <v>0</v>
      </c>
      <c r="U167">
        <f t="shared" si="36"/>
        <v>0</v>
      </c>
      <c r="V167">
        <f t="shared" si="37"/>
        <v>0</v>
      </c>
    </row>
    <row r="168" spans="1:22" x14ac:dyDescent="0.4">
      <c r="A168" s="1" t="s">
        <v>552</v>
      </c>
      <c r="B168" s="1" t="s">
        <v>553</v>
      </c>
      <c r="C168" s="1" t="s">
        <v>554</v>
      </c>
      <c r="D168" s="1" t="s">
        <v>44</v>
      </c>
      <c r="E168" s="1" t="s">
        <v>178</v>
      </c>
      <c r="F168" s="5" t="s">
        <v>46</v>
      </c>
      <c r="G168" s="1" t="s">
        <v>27</v>
      </c>
      <c r="H168">
        <f>VLOOKUP(D168,[1]金額リスト!$A$2:$B$6,2,FALSE)</f>
        <v>114300</v>
      </c>
      <c r="I168" s="1" t="s">
        <v>33</v>
      </c>
      <c r="J168">
        <f t="shared" si="26"/>
        <v>0</v>
      </c>
      <c r="K168">
        <f t="shared" si="27"/>
        <v>0</v>
      </c>
      <c r="L168">
        <f t="shared" si="38"/>
        <v>0</v>
      </c>
      <c r="M168">
        <f t="shared" si="28"/>
        <v>0</v>
      </c>
      <c r="N168">
        <f t="shared" si="29"/>
        <v>114300</v>
      </c>
      <c r="O168">
        <f t="shared" si="30"/>
        <v>0</v>
      </c>
      <c r="P168">
        <f t="shared" si="31"/>
        <v>0</v>
      </c>
      <c r="Q168">
        <f t="shared" si="32"/>
        <v>0</v>
      </c>
      <c r="R168">
        <f t="shared" si="33"/>
        <v>0</v>
      </c>
      <c r="S168">
        <f t="shared" si="34"/>
        <v>0</v>
      </c>
      <c r="T168">
        <f t="shared" si="35"/>
        <v>0</v>
      </c>
      <c r="U168">
        <f t="shared" si="36"/>
        <v>0</v>
      </c>
      <c r="V168">
        <f t="shared" si="37"/>
        <v>0</v>
      </c>
    </row>
    <row r="169" spans="1:22" x14ac:dyDescent="0.4">
      <c r="A169" s="1" t="s">
        <v>555</v>
      </c>
      <c r="B169" s="1" t="s">
        <v>556</v>
      </c>
      <c r="C169" s="1" t="s">
        <v>557</v>
      </c>
      <c r="D169" s="1" t="s">
        <v>25</v>
      </c>
      <c r="E169" s="1" t="s">
        <v>37</v>
      </c>
      <c r="F169" s="5" t="s">
        <v>10</v>
      </c>
      <c r="G169" s="1" t="s">
        <v>27</v>
      </c>
      <c r="H169">
        <f>VLOOKUP(D169,[1]金額リスト!$A$2:$B$6,2,FALSE)</f>
        <v>59400</v>
      </c>
      <c r="I169" s="1" t="s">
        <v>33</v>
      </c>
      <c r="J169">
        <f t="shared" si="26"/>
        <v>0</v>
      </c>
      <c r="K169">
        <f t="shared" si="27"/>
        <v>59400</v>
      </c>
      <c r="L169">
        <f t="shared" si="38"/>
        <v>0</v>
      </c>
      <c r="M169">
        <f t="shared" si="28"/>
        <v>0</v>
      </c>
      <c r="N169">
        <f t="shared" si="29"/>
        <v>0</v>
      </c>
      <c r="O169">
        <f t="shared" si="30"/>
        <v>0</v>
      </c>
      <c r="P169">
        <f t="shared" si="31"/>
        <v>0</v>
      </c>
      <c r="Q169">
        <f t="shared" si="32"/>
        <v>0</v>
      </c>
      <c r="R169">
        <f t="shared" si="33"/>
        <v>0</v>
      </c>
      <c r="S169">
        <f t="shared" si="34"/>
        <v>0</v>
      </c>
      <c r="T169">
        <f t="shared" si="35"/>
        <v>0</v>
      </c>
      <c r="U169">
        <f t="shared" si="36"/>
        <v>0</v>
      </c>
      <c r="V169">
        <f t="shared" si="37"/>
        <v>0</v>
      </c>
    </row>
    <row r="170" spans="1:22" x14ac:dyDescent="0.4">
      <c r="A170" s="1" t="s">
        <v>558</v>
      </c>
      <c r="B170" s="1" t="s">
        <v>559</v>
      </c>
      <c r="C170" s="1" t="s">
        <v>560</v>
      </c>
      <c r="D170" s="1" t="s">
        <v>25</v>
      </c>
      <c r="E170" s="1" t="s">
        <v>561</v>
      </c>
      <c r="F170" s="5" t="s">
        <v>479</v>
      </c>
      <c r="G170" s="1" t="s">
        <v>27</v>
      </c>
      <c r="H170">
        <f>VLOOKUP(D170,[1]金額リスト!$A$2:$B$6,2,FALSE)</f>
        <v>59400</v>
      </c>
      <c r="I170" s="1" t="s">
        <v>28</v>
      </c>
      <c r="J170">
        <f t="shared" si="26"/>
        <v>0</v>
      </c>
      <c r="K170">
        <f t="shared" si="27"/>
        <v>0</v>
      </c>
      <c r="L170">
        <f t="shared" si="38"/>
        <v>59400</v>
      </c>
      <c r="M170">
        <f t="shared" si="28"/>
        <v>0</v>
      </c>
      <c r="N170">
        <f t="shared" si="29"/>
        <v>0</v>
      </c>
      <c r="O170">
        <f t="shared" si="30"/>
        <v>0</v>
      </c>
      <c r="P170">
        <f t="shared" si="31"/>
        <v>0</v>
      </c>
      <c r="Q170">
        <f t="shared" si="32"/>
        <v>0</v>
      </c>
      <c r="R170">
        <f t="shared" si="33"/>
        <v>0</v>
      </c>
      <c r="S170">
        <f t="shared" si="34"/>
        <v>0</v>
      </c>
      <c r="T170">
        <f t="shared" si="35"/>
        <v>0</v>
      </c>
      <c r="U170">
        <f t="shared" si="36"/>
        <v>0</v>
      </c>
      <c r="V170">
        <f t="shared" si="37"/>
        <v>0</v>
      </c>
    </row>
    <row r="171" spans="1:22" x14ac:dyDescent="0.4">
      <c r="A171" s="1" t="s">
        <v>562</v>
      </c>
      <c r="B171" s="1" t="s">
        <v>563</v>
      </c>
      <c r="C171" s="1" t="s">
        <v>564</v>
      </c>
      <c r="D171" s="1" t="s">
        <v>25</v>
      </c>
      <c r="E171" s="1" t="s">
        <v>90</v>
      </c>
      <c r="F171" s="5" t="s">
        <v>10</v>
      </c>
      <c r="G171" s="1" t="s">
        <v>27</v>
      </c>
      <c r="H171">
        <f>VLOOKUP(D171,[1]金額リスト!$A$2:$B$6,2,FALSE)</f>
        <v>59400</v>
      </c>
      <c r="I171" s="1" t="s">
        <v>33</v>
      </c>
      <c r="J171">
        <f t="shared" si="26"/>
        <v>0</v>
      </c>
      <c r="K171">
        <f t="shared" si="27"/>
        <v>59400</v>
      </c>
      <c r="L171">
        <f t="shared" si="38"/>
        <v>0</v>
      </c>
      <c r="M171">
        <f t="shared" si="28"/>
        <v>0</v>
      </c>
      <c r="N171">
        <f t="shared" si="29"/>
        <v>0</v>
      </c>
      <c r="O171">
        <f t="shared" si="30"/>
        <v>0</v>
      </c>
      <c r="P171">
        <f t="shared" si="31"/>
        <v>0</v>
      </c>
      <c r="Q171">
        <f t="shared" si="32"/>
        <v>0</v>
      </c>
      <c r="R171">
        <f t="shared" si="33"/>
        <v>0</v>
      </c>
      <c r="S171">
        <f t="shared" si="34"/>
        <v>0</v>
      </c>
      <c r="T171">
        <f t="shared" si="35"/>
        <v>0</v>
      </c>
      <c r="U171">
        <f t="shared" si="36"/>
        <v>0</v>
      </c>
      <c r="V171">
        <f t="shared" si="37"/>
        <v>0</v>
      </c>
    </row>
    <row r="172" spans="1:22" x14ac:dyDescent="0.4">
      <c r="A172" s="1" t="s">
        <v>565</v>
      </c>
      <c r="B172" s="1" t="s">
        <v>566</v>
      </c>
      <c r="C172" s="1" t="s">
        <v>567</v>
      </c>
      <c r="D172" s="1" t="s">
        <v>44</v>
      </c>
      <c r="E172" s="1" t="s">
        <v>51</v>
      </c>
      <c r="F172" s="5" t="s">
        <v>46</v>
      </c>
      <c r="G172" s="1" t="s">
        <v>27</v>
      </c>
      <c r="H172">
        <f>VLOOKUP(D172,[1]金額リスト!$A$2:$B$6,2,FALSE)</f>
        <v>114300</v>
      </c>
      <c r="I172" s="1" t="s">
        <v>33</v>
      </c>
      <c r="J172">
        <f t="shared" si="26"/>
        <v>0</v>
      </c>
      <c r="K172">
        <f t="shared" si="27"/>
        <v>0</v>
      </c>
      <c r="L172">
        <f t="shared" si="38"/>
        <v>0</v>
      </c>
      <c r="M172">
        <f t="shared" si="28"/>
        <v>0</v>
      </c>
      <c r="N172">
        <f t="shared" si="29"/>
        <v>114300</v>
      </c>
      <c r="O172">
        <f t="shared" si="30"/>
        <v>0</v>
      </c>
      <c r="P172">
        <f t="shared" si="31"/>
        <v>0</v>
      </c>
      <c r="Q172">
        <f t="shared" si="32"/>
        <v>0</v>
      </c>
      <c r="R172">
        <f t="shared" si="33"/>
        <v>0</v>
      </c>
      <c r="S172">
        <f t="shared" si="34"/>
        <v>0</v>
      </c>
      <c r="T172">
        <f t="shared" si="35"/>
        <v>0</v>
      </c>
      <c r="U172">
        <f t="shared" si="36"/>
        <v>0</v>
      </c>
      <c r="V172">
        <f t="shared" si="37"/>
        <v>0</v>
      </c>
    </row>
    <row r="173" spans="1:22" x14ac:dyDescent="0.4">
      <c r="A173" s="1" t="s">
        <v>568</v>
      </c>
      <c r="B173" s="1" t="s">
        <v>569</v>
      </c>
      <c r="C173" s="1" t="s">
        <v>570</v>
      </c>
      <c r="D173" s="1" t="s">
        <v>25</v>
      </c>
      <c r="E173" s="1" t="s">
        <v>140</v>
      </c>
      <c r="F173" s="5" t="s">
        <v>10</v>
      </c>
      <c r="G173" s="1" t="s">
        <v>27</v>
      </c>
      <c r="H173">
        <f>VLOOKUP(D173,[1]金額リスト!$A$2:$B$6,2,FALSE)</f>
        <v>59400</v>
      </c>
      <c r="I173" s="1" t="s">
        <v>33</v>
      </c>
      <c r="J173">
        <f t="shared" si="26"/>
        <v>0</v>
      </c>
      <c r="K173">
        <f t="shared" si="27"/>
        <v>59400</v>
      </c>
      <c r="L173">
        <f t="shared" si="38"/>
        <v>0</v>
      </c>
      <c r="M173">
        <f t="shared" si="28"/>
        <v>0</v>
      </c>
      <c r="N173">
        <f t="shared" si="29"/>
        <v>0</v>
      </c>
      <c r="O173">
        <f t="shared" si="30"/>
        <v>0</v>
      </c>
      <c r="P173">
        <f t="shared" si="31"/>
        <v>0</v>
      </c>
      <c r="Q173">
        <f t="shared" si="32"/>
        <v>0</v>
      </c>
      <c r="R173">
        <f t="shared" si="33"/>
        <v>0</v>
      </c>
      <c r="S173">
        <f t="shared" si="34"/>
        <v>0</v>
      </c>
      <c r="T173">
        <f t="shared" si="35"/>
        <v>0</v>
      </c>
      <c r="U173">
        <f t="shared" si="36"/>
        <v>0</v>
      </c>
      <c r="V173">
        <f t="shared" si="37"/>
        <v>0</v>
      </c>
    </row>
    <row r="174" spans="1:22" x14ac:dyDescent="0.4">
      <c r="A174" s="1" t="s">
        <v>571</v>
      </c>
      <c r="B174" s="1" t="s">
        <v>572</v>
      </c>
      <c r="C174" s="1" t="s">
        <v>573</v>
      </c>
      <c r="D174" s="1" t="s">
        <v>25</v>
      </c>
      <c r="E174" s="1" t="s">
        <v>112</v>
      </c>
      <c r="F174" s="5" t="s">
        <v>10</v>
      </c>
      <c r="G174" s="1" t="s">
        <v>27</v>
      </c>
      <c r="H174">
        <f>VLOOKUP(D174,[1]金額リスト!$A$2:$B$6,2,FALSE)</f>
        <v>59400</v>
      </c>
      <c r="I174" s="1" t="s">
        <v>33</v>
      </c>
      <c r="J174">
        <f t="shared" si="26"/>
        <v>0</v>
      </c>
      <c r="K174">
        <f t="shared" si="27"/>
        <v>59400</v>
      </c>
      <c r="L174">
        <f t="shared" si="38"/>
        <v>0</v>
      </c>
      <c r="M174">
        <f t="shared" si="28"/>
        <v>0</v>
      </c>
      <c r="N174">
        <f t="shared" si="29"/>
        <v>0</v>
      </c>
      <c r="O174">
        <f t="shared" si="30"/>
        <v>0</v>
      </c>
      <c r="P174">
        <f t="shared" si="31"/>
        <v>0</v>
      </c>
      <c r="Q174">
        <f t="shared" si="32"/>
        <v>0</v>
      </c>
      <c r="R174">
        <f t="shared" si="33"/>
        <v>0</v>
      </c>
      <c r="S174">
        <f t="shared" si="34"/>
        <v>0</v>
      </c>
      <c r="T174">
        <f t="shared" si="35"/>
        <v>0</v>
      </c>
      <c r="U174">
        <f t="shared" si="36"/>
        <v>0</v>
      </c>
      <c r="V174">
        <f t="shared" si="37"/>
        <v>0</v>
      </c>
    </row>
    <row r="175" spans="1:22" x14ac:dyDescent="0.4">
      <c r="A175" s="1" t="s">
        <v>574</v>
      </c>
      <c r="B175" s="1" t="s">
        <v>575</v>
      </c>
      <c r="C175" s="1" t="s">
        <v>576</v>
      </c>
      <c r="D175" s="1" t="s">
        <v>44</v>
      </c>
      <c r="E175" s="1" t="s">
        <v>97</v>
      </c>
      <c r="F175" s="5" t="s">
        <v>46</v>
      </c>
      <c r="G175" s="1" t="s">
        <v>27</v>
      </c>
      <c r="H175">
        <f>VLOOKUP(D175,[1]金額リスト!$A$2:$B$6,2,FALSE)</f>
        <v>114300</v>
      </c>
      <c r="I175" s="1" t="s">
        <v>33</v>
      </c>
      <c r="J175">
        <f t="shared" si="26"/>
        <v>0</v>
      </c>
      <c r="K175">
        <f t="shared" si="27"/>
        <v>0</v>
      </c>
      <c r="L175">
        <f t="shared" si="38"/>
        <v>0</v>
      </c>
      <c r="M175">
        <f t="shared" si="28"/>
        <v>0</v>
      </c>
      <c r="N175">
        <f t="shared" si="29"/>
        <v>114300</v>
      </c>
      <c r="O175">
        <f t="shared" si="30"/>
        <v>0</v>
      </c>
      <c r="P175">
        <f t="shared" si="31"/>
        <v>0</v>
      </c>
      <c r="Q175">
        <f t="shared" si="32"/>
        <v>0</v>
      </c>
      <c r="R175">
        <f t="shared" si="33"/>
        <v>0</v>
      </c>
      <c r="S175">
        <f t="shared" si="34"/>
        <v>0</v>
      </c>
      <c r="T175">
        <f t="shared" si="35"/>
        <v>0</v>
      </c>
      <c r="U175">
        <f t="shared" si="36"/>
        <v>0</v>
      </c>
      <c r="V175">
        <f t="shared" si="37"/>
        <v>0</v>
      </c>
    </row>
    <row r="176" spans="1:22" x14ac:dyDescent="0.4">
      <c r="A176" s="1" t="s">
        <v>577</v>
      </c>
      <c r="B176" s="1" t="s">
        <v>578</v>
      </c>
      <c r="C176" s="1" t="s">
        <v>579</v>
      </c>
      <c r="D176" s="1" t="s">
        <v>50</v>
      </c>
      <c r="E176" s="1" t="s">
        <v>227</v>
      </c>
      <c r="F176" s="5" t="s">
        <v>46</v>
      </c>
      <c r="G176" s="1" t="s">
        <v>52</v>
      </c>
      <c r="H176">
        <f>VLOOKUP(D176,[1]金額リスト!$A$2:$B$6,2,FALSE)</f>
        <v>114300</v>
      </c>
      <c r="I176" s="1" t="s">
        <v>28</v>
      </c>
      <c r="J176">
        <f t="shared" si="26"/>
        <v>0</v>
      </c>
      <c r="K176">
        <f t="shared" si="27"/>
        <v>0</v>
      </c>
      <c r="L176">
        <f t="shared" si="38"/>
        <v>0</v>
      </c>
      <c r="M176">
        <f t="shared" si="28"/>
        <v>0</v>
      </c>
      <c r="N176">
        <f t="shared" si="29"/>
        <v>114300</v>
      </c>
      <c r="O176">
        <f t="shared" si="30"/>
        <v>0</v>
      </c>
      <c r="P176">
        <f t="shared" si="31"/>
        <v>0</v>
      </c>
      <c r="Q176">
        <f t="shared" si="32"/>
        <v>0</v>
      </c>
      <c r="R176">
        <f t="shared" si="33"/>
        <v>0</v>
      </c>
      <c r="S176">
        <f t="shared" si="34"/>
        <v>0</v>
      </c>
      <c r="T176">
        <f t="shared" si="35"/>
        <v>0</v>
      </c>
      <c r="U176">
        <f t="shared" si="36"/>
        <v>0</v>
      </c>
      <c r="V176">
        <f t="shared" si="37"/>
        <v>0</v>
      </c>
    </row>
    <row r="177" spans="1:22" x14ac:dyDescent="0.4">
      <c r="A177" s="1" t="s">
        <v>580</v>
      </c>
      <c r="B177" s="1" t="s">
        <v>581</v>
      </c>
      <c r="C177" s="1" t="s">
        <v>582</v>
      </c>
      <c r="D177" s="1" t="s">
        <v>44</v>
      </c>
      <c r="E177" s="1" t="s">
        <v>97</v>
      </c>
      <c r="F177" s="5" t="s">
        <v>46</v>
      </c>
      <c r="G177" s="1" t="s">
        <v>27</v>
      </c>
      <c r="H177">
        <f>VLOOKUP(D177,[1]金額リスト!$A$2:$B$6,2,FALSE)</f>
        <v>114300</v>
      </c>
      <c r="I177" s="1" t="s">
        <v>33</v>
      </c>
      <c r="J177">
        <f t="shared" si="26"/>
        <v>0</v>
      </c>
      <c r="K177">
        <f t="shared" si="27"/>
        <v>0</v>
      </c>
      <c r="L177">
        <f t="shared" si="38"/>
        <v>0</v>
      </c>
      <c r="M177">
        <f t="shared" si="28"/>
        <v>0</v>
      </c>
      <c r="N177">
        <f t="shared" si="29"/>
        <v>114300</v>
      </c>
      <c r="O177">
        <f t="shared" si="30"/>
        <v>0</v>
      </c>
      <c r="P177">
        <f t="shared" si="31"/>
        <v>0</v>
      </c>
      <c r="Q177">
        <f t="shared" si="32"/>
        <v>0</v>
      </c>
      <c r="R177">
        <f t="shared" si="33"/>
        <v>0</v>
      </c>
      <c r="S177">
        <f t="shared" si="34"/>
        <v>0</v>
      </c>
      <c r="T177">
        <f t="shared" si="35"/>
        <v>0</v>
      </c>
      <c r="U177">
        <f t="shared" si="36"/>
        <v>0</v>
      </c>
      <c r="V177">
        <f t="shared" si="37"/>
        <v>0</v>
      </c>
    </row>
    <row r="178" spans="1:22" x14ac:dyDescent="0.4">
      <c r="A178" s="1" t="s">
        <v>583</v>
      </c>
      <c r="B178" s="1" t="s">
        <v>584</v>
      </c>
      <c r="C178" s="1" t="s">
        <v>585</v>
      </c>
      <c r="D178" s="1" t="s">
        <v>44</v>
      </c>
      <c r="E178" s="1" t="s">
        <v>51</v>
      </c>
      <c r="F178" s="5" t="s">
        <v>46</v>
      </c>
      <c r="G178" s="1" t="s">
        <v>27</v>
      </c>
      <c r="H178">
        <f>VLOOKUP(D178,[1]金額リスト!$A$2:$B$6,2,FALSE)</f>
        <v>114300</v>
      </c>
      <c r="I178" s="1" t="s">
        <v>33</v>
      </c>
      <c r="J178">
        <f t="shared" si="26"/>
        <v>0</v>
      </c>
      <c r="K178">
        <f t="shared" si="27"/>
        <v>0</v>
      </c>
      <c r="L178">
        <f t="shared" si="38"/>
        <v>0</v>
      </c>
      <c r="M178">
        <f t="shared" si="28"/>
        <v>0</v>
      </c>
      <c r="N178">
        <f t="shared" si="29"/>
        <v>114300</v>
      </c>
      <c r="O178">
        <f t="shared" si="30"/>
        <v>0</v>
      </c>
      <c r="P178">
        <f t="shared" si="31"/>
        <v>0</v>
      </c>
      <c r="Q178">
        <f t="shared" si="32"/>
        <v>0</v>
      </c>
      <c r="R178">
        <f t="shared" si="33"/>
        <v>0</v>
      </c>
      <c r="S178">
        <f t="shared" si="34"/>
        <v>0</v>
      </c>
      <c r="T178">
        <f t="shared" si="35"/>
        <v>0</v>
      </c>
      <c r="U178">
        <f t="shared" si="36"/>
        <v>0</v>
      </c>
      <c r="V178">
        <f t="shared" si="37"/>
        <v>0</v>
      </c>
    </row>
    <row r="179" spans="1:22" x14ac:dyDescent="0.4">
      <c r="A179" s="1" t="s">
        <v>586</v>
      </c>
      <c r="B179" s="1" t="s">
        <v>587</v>
      </c>
      <c r="C179" s="1" t="s">
        <v>588</v>
      </c>
      <c r="D179" s="1" t="s">
        <v>44</v>
      </c>
      <c r="E179" s="1" t="s">
        <v>86</v>
      </c>
      <c r="F179" s="5" t="s">
        <v>46</v>
      </c>
      <c r="G179" s="1" t="s">
        <v>27</v>
      </c>
      <c r="H179">
        <f>VLOOKUP(D179,[1]金額リスト!$A$2:$B$6,2,FALSE)</f>
        <v>114300</v>
      </c>
      <c r="I179" s="1" t="s">
        <v>33</v>
      </c>
      <c r="J179">
        <f t="shared" si="26"/>
        <v>0</v>
      </c>
      <c r="K179">
        <f t="shared" si="27"/>
        <v>0</v>
      </c>
      <c r="L179">
        <f t="shared" si="38"/>
        <v>0</v>
      </c>
      <c r="M179">
        <f t="shared" si="28"/>
        <v>0</v>
      </c>
      <c r="N179">
        <f t="shared" si="29"/>
        <v>114300</v>
      </c>
      <c r="O179">
        <f t="shared" si="30"/>
        <v>0</v>
      </c>
      <c r="P179">
        <f t="shared" si="31"/>
        <v>0</v>
      </c>
      <c r="Q179">
        <f t="shared" si="32"/>
        <v>0</v>
      </c>
      <c r="R179">
        <f t="shared" si="33"/>
        <v>0</v>
      </c>
      <c r="S179">
        <f t="shared" si="34"/>
        <v>0</v>
      </c>
      <c r="T179">
        <f t="shared" si="35"/>
        <v>0</v>
      </c>
      <c r="U179">
        <f t="shared" si="36"/>
        <v>0</v>
      </c>
      <c r="V179">
        <f t="shared" si="37"/>
        <v>0</v>
      </c>
    </row>
    <row r="180" spans="1:22" x14ac:dyDescent="0.4">
      <c r="A180" s="1" t="s">
        <v>589</v>
      </c>
      <c r="B180" s="1" t="s">
        <v>590</v>
      </c>
      <c r="C180" s="1" t="s">
        <v>591</v>
      </c>
      <c r="D180" s="1" t="s">
        <v>44</v>
      </c>
      <c r="E180" s="1" t="s">
        <v>150</v>
      </c>
      <c r="F180" s="5" t="s">
        <v>46</v>
      </c>
      <c r="G180" s="1" t="s">
        <v>27</v>
      </c>
      <c r="H180">
        <f>VLOOKUP(D180,[1]金額リスト!$A$2:$B$6,2,FALSE)</f>
        <v>114300</v>
      </c>
      <c r="I180" s="1" t="s">
        <v>33</v>
      </c>
      <c r="J180">
        <f t="shared" si="26"/>
        <v>0</v>
      </c>
      <c r="K180">
        <f t="shared" si="27"/>
        <v>0</v>
      </c>
      <c r="L180">
        <f t="shared" si="38"/>
        <v>0</v>
      </c>
      <c r="M180">
        <f t="shared" si="28"/>
        <v>0</v>
      </c>
      <c r="N180">
        <f t="shared" si="29"/>
        <v>114300</v>
      </c>
      <c r="O180">
        <f t="shared" si="30"/>
        <v>0</v>
      </c>
      <c r="P180">
        <f t="shared" si="31"/>
        <v>0</v>
      </c>
      <c r="Q180">
        <f t="shared" si="32"/>
        <v>0</v>
      </c>
      <c r="R180">
        <f t="shared" si="33"/>
        <v>0</v>
      </c>
      <c r="S180">
        <f t="shared" si="34"/>
        <v>0</v>
      </c>
      <c r="T180">
        <f t="shared" si="35"/>
        <v>0</v>
      </c>
      <c r="U180">
        <f t="shared" si="36"/>
        <v>0</v>
      </c>
      <c r="V180">
        <f t="shared" si="37"/>
        <v>0</v>
      </c>
    </row>
    <row r="181" spans="1:22" x14ac:dyDescent="0.4">
      <c r="A181" s="1" t="s">
        <v>592</v>
      </c>
      <c r="B181" s="1" t="s">
        <v>593</v>
      </c>
      <c r="C181" s="1" t="s">
        <v>594</v>
      </c>
      <c r="D181" s="1" t="s">
        <v>70</v>
      </c>
      <c r="E181" s="1" t="s">
        <v>101</v>
      </c>
      <c r="F181" s="5" t="s">
        <v>10</v>
      </c>
      <c r="G181" s="1" t="s">
        <v>52</v>
      </c>
      <c r="H181">
        <f>VLOOKUP(D181,[1]金額リスト!$A$2:$B$6,2,FALSE)</f>
        <v>59400</v>
      </c>
      <c r="I181" s="1" t="s">
        <v>28</v>
      </c>
      <c r="J181">
        <f t="shared" si="26"/>
        <v>0</v>
      </c>
      <c r="K181">
        <f t="shared" si="27"/>
        <v>59400</v>
      </c>
      <c r="L181">
        <f t="shared" si="38"/>
        <v>0</v>
      </c>
      <c r="M181">
        <f t="shared" si="28"/>
        <v>0</v>
      </c>
      <c r="N181">
        <f t="shared" si="29"/>
        <v>0</v>
      </c>
      <c r="O181">
        <f t="shared" si="30"/>
        <v>0</v>
      </c>
      <c r="P181">
        <f t="shared" si="31"/>
        <v>0</v>
      </c>
      <c r="Q181">
        <f t="shared" si="32"/>
        <v>0</v>
      </c>
      <c r="R181">
        <f t="shared" si="33"/>
        <v>0</v>
      </c>
      <c r="S181">
        <f t="shared" si="34"/>
        <v>0</v>
      </c>
      <c r="T181">
        <f t="shared" si="35"/>
        <v>0</v>
      </c>
      <c r="U181">
        <f t="shared" si="36"/>
        <v>0</v>
      </c>
      <c r="V181">
        <f t="shared" si="37"/>
        <v>0</v>
      </c>
    </row>
    <row r="182" spans="1:22" x14ac:dyDescent="0.4">
      <c r="A182" s="1" t="s">
        <v>595</v>
      </c>
      <c r="B182" s="1" t="s">
        <v>596</v>
      </c>
      <c r="C182" s="1" t="s">
        <v>597</v>
      </c>
      <c r="D182" s="1" t="s">
        <v>44</v>
      </c>
      <c r="E182" s="1" t="s">
        <v>45</v>
      </c>
      <c r="F182" s="5" t="s">
        <v>46</v>
      </c>
      <c r="G182" s="1" t="s">
        <v>27</v>
      </c>
      <c r="H182">
        <f>VLOOKUP(D182,[1]金額リスト!$A$2:$B$6,2,FALSE)</f>
        <v>114300</v>
      </c>
      <c r="I182" s="1" t="s">
        <v>33</v>
      </c>
      <c r="J182">
        <f t="shared" si="26"/>
        <v>0</v>
      </c>
      <c r="K182">
        <f t="shared" si="27"/>
        <v>0</v>
      </c>
      <c r="L182">
        <f t="shared" si="38"/>
        <v>0</v>
      </c>
      <c r="M182">
        <f t="shared" si="28"/>
        <v>0</v>
      </c>
      <c r="N182">
        <f t="shared" si="29"/>
        <v>114300</v>
      </c>
      <c r="O182">
        <f t="shared" si="30"/>
        <v>0</v>
      </c>
      <c r="P182">
        <f t="shared" si="31"/>
        <v>0</v>
      </c>
      <c r="Q182">
        <f t="shared" si="32"/>
        <v>0</v>
      </c>
      <c r="R182">
        <f t="shared" si="33"/>
        <v>0</v>
      </c>
      <c r="S182">
        <f t="shared" si="34"/>
        <v>0</v>
      </c>
      <c r="T182">
        <f t="shared" si="35"/>
        <v>0</v>
      </c>
      <c r="U182">
        <f t="shared" si="36"/>
        <v>0</v>
      </c>
      <c r="V182">
        <f t="shared" si="37"/>
        <v>0</v>
      </c>
    </row>
    <row r="183" spans="1:22" x14ac:dyDescent="0.4">
      <c r="A183" s="1" t="s">
        <v>598</v>
      </c>
      <c r="B183" s="1" t="s">
        <v>599</v>
      </c>
      <c r="C183" s="1" t="s">
        <v>600</v>
      </c>
      <c r="D183" s="1" t="s">
        <v>44</v>
      </c>
      <c r="E183" s="1" t="s">
        <v>86</v>
      </c>
      <c r="F183" s="5" t="s">
        <v>46</v>
      </c>
      <c r="G183" s="1" t="s">
        <v>27</v>
      </c>
      <c r="H183">
        <f>VLOOKUP(D183,[1]金額リスト!$A$2:$B$6,2,FALSE)</f>
        <v>114300</v>
      </c>
      <c r="I183" s="1" t="s">
        <v>33</v>
      </c>
      <c r="J183">
        <f t="shared" si="26"/>
        <v>0</v>
      </c>
      <c r="K183">
        <f t="shared" si="27"/>
        <v>0</v>
      </c>
      <c r="L183">
        <f t="shared" si="38"/>
        <v>0</v>
      </c>
      <c r="M183">
        <f t="shared" si="28"/>
        <v>0</v>
      </c>
      <c r="N183">
        <f t="shared" si="29"/>
        <v>114300</v>
      </c>
      <c r="O183">
        <f t="shared" si="30"/>
        <v>0</v>
      </c>
      <c r="P183">
        <f t="shared" si="31"/>
        <v>0</v>
      </c>
      <c r="Q183">
        <f t="shared" si="32"/>
        <v>0</v>
      </c>
      <c r="R183">
        <f t="shared" si="33"/>
        <v>0</v>
      </c>
      <c r="S183">
        <f t="shared" si="34"/>
        <v>0</v>
      </c>
      <c r="T183">
        <f t="shared" si="35"/>
        <v>0</v>
      </c>
      <c r="U183">
        <f t="shared" si="36"/>
        <v>0</v>
      </c>
      <c r="V183">
        <f t="shared" si="37"/>
        <v>0</v>
      </c>
    </row>
    <row r="184" spans="1:22" x14ac:dyDescent="0.4">
      <c r="A184" s="1" t="s">
        <v>601</v>
      </c>
      <c r="B184" s="1" t="s">
        <v>602</v>
      </c>
      <c r="C184" s="1" t="s">
        <v>603</v>
      </c>
      <c r="D184" s="1" t="s">
        <v>44</v>
      </c>
      <c r="E184" s="1" t="s">
        <v>86</v>
      </c>
      <c r="F184" s="5" t="s">
        <v>46</v>
      </c>
      <c r="G184" s="1" t="s">
        <v>27</v>
      </c>
      <c r="H184">
        <f>VLOOKUP(D184,[1]金額リスト!$A$2:$B$6,2,FALSE)</f>
        <v>114300</v>
      </c>
      <c r="I184" s="1" t="s">
        <v>33</v>
      </c>
      <c r="J184">
        <f t="shared" si="26"/>
        <v>0</v>
      </c>
      <c r="K184">
        <f t="shared" si="27"/>
        <v>0</v>
      </c>
      <c r="L184">
        <f t="shared" si="38"/>
        <v>0</v>
      </c>
      <c r="M184">
        <f t="shared" si="28"/>
        <v>0</v>
      </c>
      <c r="N184">
        <f t="shared" si="29"/>
        <v>114300</v>
      </c>
      <c r="O184">
        <f t="shared" si="30"/>
        <v>0</v>
      </c>
      <c r="P184">
        <f t="shared" si="31"/>
        <v>0</v>
      </c>
      <c r="Q184">
        <f t="shared" si="32"/>
        <v>0</v>
      </c>
      <c r="R184">
        <f t="shared" si="33"/>
        <v>0</v>
      </c>
      <c r="S184">
        <f t="shared" si="34"/>
        <v>0</v>
      </c>
      <c r="T184">
        <f t="shared" si="35"/>
        <v>0</v>
      </c>
      <c r="U184">
        <f t="shared" si="36"/>
        <v>0</v>
      </c>
      <c r="V184">
        <f t="shared" si="37"/>
        <v>0</v>
      </c>
    </row>
    <row r="185" spans="1:22" x14ac:dyDescent="0.4">
      <c r="A185" s="1" t="s">
        <v>604</v>
      </c>
      <c r="B185" s="1" t="s">
        <v>605</v>
      </c>
      <c r="C185" s="1" t="s">
        <v>606</v>
      </c>
      <c r="D185" s="1" t="s">
        <v>44</v>
      </c>
      <c r="E185" s="1" t="s">
        <v>63</v>
      </c>
      <c r="F185" s="5" t="s">
        <v>46</v>
      </c>
      <c r="G185" s="1" t="s">
        <v>27</v>
      </c>
      <c r="H185">
        <f>VLOOKUP(D185,[1]金額リスト!$A$2:$B$6,2,FALSE)</f>
        <v>114300</v>
      </c>
      <c r="I185" s="1" t="s">
        <v>33</v>
      </c>
      <c r="J185">
        <f t="shared" si="26"/>
        <v>0</v>
      </c>
      <c r="K185">
        <f t="shared" si="27"/>
        <v>0</v>
      </c>
      <c r="L185">
        <f t="shared" si="38"/>
        <v>0</v>
      </c>
      <c r="M185">
        <f t="shared" si="28"/>
        <v>0</v>
      </c>
      <c r="N185">
        <f t="shared" si="29"/>
        <v>114300</v>
      </c>
      <c r="O185">
        <f t="shared" si="30"/>
        <v>0</v>
      </c>
      <c r="P185">
        <f t="shared" si="31"/>
        <v>0</v>
      </c>
      <c r="Q185">
        <f t="shared" si="32"/>
        <v>0</v>
      </c>
      <c r="R185">
        <f t="shared" si="33"/>
        <v>0</v>
      </c>
      <c r="S185">
        <f t="shared" si="34"/>
        <v>0</v>
      </c>
      <c r="T185">
        <f t="shared" si="35"/>
        <v>0</v>
      </c>
      <c r="U185">
        <f t="shared" si="36"/>
        <v>0</v>
      </c>
      <c r="V185">
        <f t="shared" si="37"/>
        <v>0</v>
      </c>
    </row>
    <row r="186" spans="1:22" x14ac:dyDescent="0.4">
      <c r="A186" s="1" t="s">
        <v>607</v>
      </c>
      <c r="B186" s="1" t="s">
        <v>608</v>
      </c>
      <c r="C186" s="1" t="s">
        <v>609</v>
      </c>
      <c r="D186" s="1" t="s">
        <v>44</v>
      </c>
      <c r="E186" s="1" t="s">
        <v>45</v>
      </c>
      <c r="F186" s="5" t="s">
        <v>46</v>
      </c>
      <c r="G186" s="1" t="s">
        <v>27</v>
      </c>
      <c r="H186">
        <f>VLOOKUP(D186,[1]金額リスト!$A$2:$B$6,2,FALSE)</f>
        <v>114300</v>
      </c>
      <c r="I186" s="1" t="s">
        <v>33</v>
      </c>
      <c r="J186">
        <f t="shared" si="26"/>
        <v>0</v>
      </c>
      <c r="K186">
        <f t="shared" si="27"/>
        <v>0</v>
      </c>
      <c r="L186">
        <f t="shared" si="38"/>
        <v>0</v>
      </c>
      <c r="M186">
        <f t="shared" si="28"/>
        <v>0</v>
      </c>
      <c r="N186">
        <f t="shared" si="29"/>
        <v>114300</v>
      </c>
      <c r="O186">
        <f t="shared" si="30"/>
        <v>0</v>
      </c>
      <c r="P186">
        <f t="shared" si="31"/>
        <v>0</v>
      </c>
      <c r="Q186">
        <f t="shared" si="32"/>
        <v>0</v>
      </c>
      <c r="R186">
        <f t="shared" si="33"/>
        <v>0</v>
      </c>
      <c r="S186">
        <f t="shared" si="34"/>
        <v>0</v>
      </c>
      <c r="T186">
        <f t="shared" si="35"/>
        <v>0</v>
      </c>
      <c r="U186">
        <f t="shared" si="36"/>
        <v>0</v>
      </c>
      <c r="V186">
        <f t="shared" si="37"/>
        <v>0</v>
      </c>
    </row>
    <row r="187" spans="1:22" x14ac:dyDescent="0.4">
      <c r="A187" s="1" t="s">
        <v>610</v>
      </c>
      <c r="B187" s="1" t="s">
        <v>611</v>
      </c>
      <c r="C187" s="1" t="s">
        <v>612</v>
      </c>
      <c r="D187" s="1" t="s">
        <v>44</v>
      </c>
      <c r="E187" s="1" t="s">
        <v>45</v>
      </c>
      <c r="F187" s="5" t="s">
        <v>46</v>
      </c>
      <c r="G187" s="1" t="s">
        <v>27</v>
      </c>
      <c r="H187">
        <f>VLOOKUP(D187,[1]金額リスト!$A$2:$B$6,2,FALSE)</f>
        <v>114300</v>
      </c>
      <c r="I187" s="1" t="s">
        <v>33</v>
      </c>
      <c r="J187">
        <f t="shared" si="26"/>
        <v>0</v>
      </c>
      <c r="K187">
        <f t="shared" si="27"/>
        <v>0</v>
      </c>
      <c r="L187">
        <f t="shared" si="38"/>
        <v>0</v>
      </c>
      <c r="M187">
        <f t="shared" si="28"/>
        <v>0</v>
      </c>
      <c r="N187">
        <f t="shared" si="29"/>
        <v>114300</v>
      </c>
      <c r="O187">
        <f t="shared" si="30"/>
        <v>0</v>
      </c>
      <c r="P187">
        <f t="shared" si="31"/>
        <v>0</v>
      </c>
      <c r="Q187">
        <f t="shared" si="32"/>
        <v>0</v>
      </c>
      <c r="R187">
        <f t="shared" si="33"/>
        <v>0</v>
      </c>
      <c r="S187">
        <f t="shared" si="34"/>
        <v>0</v>
      </c>
      <c r="T187">
        <f t="shared" si="35"/>
        <v>0</v>
      </c>
      <c r="U187">
        <f t="shared" si="36"/>
        <v>0</v>
      </c>
      <c r="V187">
        <f t="shared" si="37"/>
        <v>0</v>
      </c>
    </row>
    <row r="188" spans="1:22" x14ac:dyDescent="0.4">
      <c r="A188" s="1" t="s">
        <v>613</v>
      </c>
      <c r="B188" s="1" t="s">
        <v>614</v>
      </c>
      <c r="C188" s="1" t="s">
        <v>615</v>
      </c>
      <c r="D188" s="1" t="s">
        <v>25</v>
      </c>
      <c r="E188" s="1" t="s">
        <v>86</v>
      </c>
      <c r="F188" s="5" t="s">
        <v>10</v>
      </c>
      <c r="G188" s="1" t="s">
        <v>27</v>
      </c>
      <c r="H188">
        <f>VLOOKUP(D188,[1]金額リスト!$A$2:$B$6,2,FALSE)</f>
        <v>59400</v>
      </c>
      <c r="I188" s="1" t="s">
        <v>33</v>
      </c>
      <c r="J188">
        <f t="shared" si="26"/>
        <v>0</v>
      </c>
      <c r="K188">
        <f t="shared" si="27"/>
        <v>59400</v>
      </c>
      <c r="L188">
        <f t="shared" si="38"/>
        <v>0</v>
      </c>
      <c r="M188">
        <f t="shared" si="28"/>
        <v>0</v>
      </c>
      <c r="N188">
        <f t="shared" si="29"/>
        <v>0</v>
      </c>
      <c r="O188">
        <f t="shared" si="30"/>
        <v>0</v>
      </c>
      <c r="P188">
        <f t="shared" si="31"/>
        <v>0</v>
      </c>
      <c r="Q188">
        <f t="shared" si="32"/>
        <v>0</v>
      </c>
      <c r="R188">
        <f t="shared" si="33"/>
        <v>0</v>
      </c>
      <c r="S188">
        <f t="shared" si="34"/>
        <v>0</v>
      </c>
      <c r="T188">
        <f t="shared" si="35"/>
        <v>0</v>
      </c>
      <c r="U188">
        <f t="shared" si="36"/>
        <v>0</v>
      </c>
      <c r="V188">
        <f t="shared" si="37"/>
        <v>0</v>
      </c>
    </row>
    <row r="189" spans="1:22" x14ac:dyDescent="0.4">
      <c r="A189" s="1" t="s">
        <v>616</v>
      </c>
      <c r="B189" s="1" t="s">
        <v>617</v>
      </c>
      <c r="C189" s="1" t="s">
        <v>618</v>
      </c>
      <c r="D189" s="1" t="s">
        <v>44</v>
      </c>
      <c r="E189" s="1" t="s">
        <v>82</v>
      </c>
      <c r="F189" s="5" t="s">
        <v>46</v>
      </c>
      <c r="G189" s="1" t="s">
        <v>27</v>
      </c>
      <c r="H189">
        <f>VLOOKUP(D189,[1]金額リスト!$A$2:$B$6,2,FALSE)</f>
        <v>114300</v>
      </c>
      <c r="I189" s="1" t="s">
        <v>33</v>
      </c>
      <c r="J189">
        <f t="shared" si="26"/>
        <v>0</v>
      </c>
      <c r="K189">
        <f t="shared" si="27"/>
        <v>0</v>
      </c>
      <c r="L189">
        <f t="shared" si="38"/>
        <v>0</v>
      </c>
      <c r="M189">
        <f t="shared" si="28"/>
        <v>0</v>
      </c>
      <c r="N189">
        <f t="shared" si="29"/>
        <v>114300</v>
      </c>
      <c r="O189">
        <f t="shared" si="30"/>
        <v>0</v>
      </c>
      <c r="P189">
        <f t="shared" si="31"/>
        <v>0</v>
      </c>
      <c r="Q189">
        <f t="shared" si="32"/>
        <v>0</v>
      </c>
      <c r="R189">
        <f t="shared" si="33"/>
        <v>0</v>
      </c>
      <c r="S189">
        <f t="shared" si="34"/>
        <v>0</v>
      </c>
      <c r="T189">
        <f t="shared" si="35"/>
        <v>0</v>
      </c>
      <c r="U189">
        <f t="shared" si="36"/>
        <v>0</v>
      </c>
      <c r="V189">
        <f t="shared" si="37"/>
        <v>0</v>
      </c>
    </row>
    <row r="190" spans="1:22" x14ac:dyDescent="0.4">
      <c r="A190" s="1" t="s">
        <v>619</v>
      </c>
      <c r="B190" s="1" t="s">
        <v>620</v>
      </c>
      <c r="C190" s="1" t="s">
        <v>621</v>
      </c>
      <c r="D190" s="1" t="s">
        <v>25</v>
      </c>
      <c r="E190" s="1" t="s">
        <v>37</v>
      </c>
      <c r="F190" s="5" t="s">
        <v>10</v>
      </c>
      <c r="G190" s="1" t="s">
        <v>27</v>
      </c>
      <c r="H190">
        <f>VLOOKUP(D190,[1]金額リスト!$A$2:$B$6,2,FALSE)</f>
        <v>59400</v>
      </c>
      <c r="I190" s="1" t="s">
        <v>33</v>
      </c>
      <c r="J190">
        <f t="shared" si="26"/>
        <v>0</v>
      </c>
      <c r="K190">
        <f t="shared" si="27"/>
        <v>59400</v>
      </c>
      <c r="L190">
        <f t="shared" si="38"/>
        <v>0</v>
      </c>
      <c r="M190">
        <f t="shared" si="28"/>
        <v>0</v>
      </c>
      <c r="N190">
        <f t="shared" si="29"/>
        <v>0</v>
      </c>
      <c r="O190">
        <f t="shared" si="30"/>
        <v>0</v>
      </c>
      <c r="P190">
        <f t="shared" si="31"/>
        <v>0</v>
      </c>
      <c r="Q190">
        <f t="shared" si="32"/>
        <v>0</v>
      </c>
      <c r="R190">
        <f t="shared" si="33"/>
        <v>0</v>
      </c>
      <c r="S190">
        <f t="shared" si="34"/>
        <v>0</v>
      </c>
      <c r="T190">
        <f t="shared" si="35"/>
        <v>0</v>
      </c>
      <c r="U190">
        <f t="shared" si="36"/>
        <v>0</v>
      </c>
      <c r="V190">
        <f t="shared" si="37"/>
        <v>0</v>
      </c>
    </row>
    <row r="191" spans="1:22" x14ac:dyDescent="0.4">
      <c r="A191" s="1" t="s">
        <v>622</v>
      </c>
      <c r="B191" s="1" t="s">
        <v>623</v>
      </c>
      <c r="C191" s="1" t="s">
        <v>624</v>
      </c>
      <c r="D191" s="1" t="s">
        <v>44</v>
      </c>
      <c r="E191" s="1" t="s">
        <v>45</v>
      </c>
      <c r="F191" s="5" t="s">
        <v>46</v>
      </c>
      <c r="G191" s="1" t="s">
        <v>27</v>
      </c>
      <c r="H191">
        <f>VLOOKUP(D191,[1]金額リスト!$A$2:$B$6,2,FALSE)</f>
        <v>114300</v>
      </c>
      <c r="I191" s="1" t="s">
        <v>33</v>
      </c>
      <c r="J191">
        <f t="shared" si="26"/>
        <v>0</v>
      </c>
      <c r="K191">
        <f t="shared" si="27"/>
        <v>0</v>
      </c>
      <c r="L191">
        <f t="shared" si="38"/>
        <v>0</v>
      </c>
      <c r="M191">
        <f t="shared" si="28"/>
        <v>0</v>
      </c>
      <c r="N191">
        <f t="shared" si="29"/>
        <v>114300</v>
      </c>
      <c r="O191">
        <f t="shared" si="30"/>
        <v>0</v>
      </c>
      <c r="P191">
        <f t="shared" si="31"/>
        <v>0</v>
      </c>
      <c r="Q191">
        <f t="shared" si="32"/>
        <v>0</v>
      </c>
      <c r="R191">
        <f t="shared" si="33"/>
        <v>0</v>
      </c>
      <c r="S191">
        <f t="shared" si="34"/>
        <v>0</v>
      </c>
      <c r="T191">
        <f t="shared" si="35"/>
        <v>0</v>
      </c>
      <c r="U191">
        <f t="shared" si="36"/>
        <v>0</v>
      </c>
      <c r="V191">
        <f t="shared" si="37"/>
        <v>0</v>
      </c>
    </row>
    <row r="192" spans="1:22" x14ac:dyDescent="0.4">
      <c r="A192" s="1" t="s">
        <v>625</v>
      </c>
      <c r="B192" s="1" t="s">
        <v>626</v>
      </c>
      <c r="C192" s="1" t="s">
        <v>627</v>
      </c>
      <c r="D192" s="1" t="s">
        <v>44</v>
      </c>
      <c r="E192" s="1" t="s">
        <v>51</v>
      </c>
      <c r="F192" s="5" t="s">
        <v>46</v>
      </c>
      <c r="G192" s="1" t="s">
        <v>27</v>
      </c>
      <c r="H192">
        <f>VLOOKUP(D192,[1]金額リスト!$A$2:$B$6,2,FALSE)</f>
        <v>114300</v>
      </c>
      <c r="I192" s="1" t="s">
        <v>33</v>
      </c>
      <c r="J192">
        <f t="shared" si="26"/>
        <v>0</v>
      </c>
      <c r="K192">
        <f t="shared" si="27"/>
        <v>0</v>
      </c>
      <c r="L192">
        <f t="shared" si="38"/>
        <v>0</v>
      </c>
      <c r="M192">
        <f t="shared" si="28"/>
        <v>0</v>
      </c>
      <c r="N192">
        <f t="shared" si="29"/>
        <v>114300</v>
      </c>
      <c r="O192">
        <f t="shared" si="30"/>
        <v>0</v>
      </c>
      <c r="P192">
        <f t="shared" si="31"/>
        <v>0</v>
      </c>
      <c r="Q192">
        <f t="shared" si="32"/>
        <v>0</v>
      </c>
      <c r="R192">
        <f t="shared" si="33"/>
        <v>0</v>
      </c>
      <c r="S192">
        <f t="shared" si="34"/>
        <v>0</v>
      </c>
      <c r="T192">
        <f t="shared" si="35"/>
        <v>0</v>
      </c>
      <c r="U192">
        <f t="shared" si="36"/>
        <v>0</v>
      </c>
      <c r="V192">
        <f t="shared" si="37"/>
        <v>0</v>
      </c>
    </row>
    <row r="193" spans="1:22" x14ac:dyDescent="0.4">
      <c r="A193" s="1" t="s">
        <v>628</v>
      </c>
      <c r="B193" s="1" t="s">
        <v>629</v>
      </c>
      <c r="C193" s="1" t="s">
        <v>630</v>
      </c>
      <c r="D193" s="1" t="s">
        <v>25</v>
      </c>
      <c r="E193" s="1" t="s">
        <v>101</v>
      </c>
      <c r="F193" s="5" t="s">
        <v>10</v>
      </c>
      <c r="G193" s="1" t="s">
        <v>27</v>
      </c>
      <c r="H193">
        <f>VLOOKUP(D193,[1]金額リスト!$A$2:$B$6,2,FALSE)</f>
        <v>59400</v>
      </c>
      <c r="I193" s="1" t="s">
        <v>33</v>
      </c>
      <c r="J193">
        <f t="shared" si="26"/>
        <v>0</v>
      </c>
      <c r="K193">
        <f t="shared" si="27"/>
        <v>59400</v>
      </c>
      <c r="L193">
        <f t="shared" si="38"/>
        <v>0</v>
      </c>
      <c r="M193">
        <f t="shared" si="28"/>
        <v>0</v>
      </c>
      <c r="N193">
        <f t="shared" si="29"/>
        <v>0</v>
      </c>
      <c r="O193">
        <f t="shared" si="30"/>
        <v>0</v>
      </c>
      <c r="P193">
        <f t="shared" si="31"/>
        <v>0</v>
      </c>
      <c r="Q193">
        <f t="shared" si="32"/>
        <v>0</v>
      </c>
      <c r="R193">
        <f t="shared" si="33"/>
        <v>0</v>
      </c>
      <c r="S193">
        <f t="shared" si="34"/>
        <v>0</v>
      </c>
      <c r="T193">
        <f t="shared" si="35"/>
        <v>0</v>
      </c>
      <c r="U193">
        <f t="shared" si="36"/>
        <v>0</v>
      </c>
      <c r="V193">
        <f t="shared" si="37"/>
        <v>0</v>
      </c>
    </row>
    <row r="194" spans="1:22" x14ac:dyDescent="0.4">
      <c r="A194" s="1" t="s">
        <v>631</v>
      </c>
      <c r="B194" s="1" t="s">
        <v>632</v>
      </c>
      <c r="C194" s="1" t="s">
        <v>633</v>
      </c>
      <c r="D194" s="1" t="s">
        <v>25</v>
      </c>
      <c r="E194" s="1" t="s">
        <v>63</v>
      </c>
      <c r="F194" s="5" t="s">
        <v>10</v>
      </c>
      <c r="G194" s="1" t="s">
        <v>27</v>
      </c>
      <c r="H194">
        <f>VLOOKUP(D194,[1]金額リスト!$A$2:$B$6,2,FALSE)</f>
        <v>59400</v>
      </c>
      <c r="I194" s="1" t="s">
        <v>33</v>
      </c>
      <c r="J194">
        <f t="shared" si="26"/>
        <v>0</v>
      </c>
      <c r="K194">
        <f t="shared" si="27"/>
        <v>59400</v>
      </c>
      <c r="L194">
        <f t="shared" si="38"/>
        <v>0</v>
      </c>
      <c r="M194">
        <f t="shared" si="28"/>
        <v>0</v>
      </c>
      <c r="N194">
        <f t="shared" si="29"/>
        <v>0</v>
      </c>
      <c r="O194">
        <f t="shared" si="30"/>
        <v>0</v>
      </c>
      <c r="P194">
        <f t="shared" si="31"/>
        <v>0</v>
      </c>
      <c r="Q194">
        <f t="shared" si="32"/>
        <v>0</v>
      </c>
      <c r="R194">
        <f t="shared" si="33"/>
        <v>0</v>
      </c>
      <c r="S194">
        <f t="shared" si="34"/>
        <v>0</v>
      </c>
      <c r="T194">
        <f t="shared" si="35"/>
        <v>0</v>
      </c>
      <c r="U194">
        <f t="shared" si="36"/>
        <v>0</v>
      </c>
      <c r="V194">
        <f t="shared" si="37"/>
        <v>0</v>
      </c>
    </row>
    <row r="195" spans="1:22" x14ac:dyDescent="0.4">
      <c r="A195" s="1" t="s">
        <v>634</v>
      </c>
      <c r="B195" s="1" t="s">
        <v>635</v>
      </c>
      <c r="C195" s="1" t="s">
        <v>636</v>
      </c>
      <c r="D195" s="1" t="s">
        <v>44</v>
      </c>
      <c r="E195" s="1" t="s">
        <v>37</v>
      </c>
      <c r="F195" s="5" t="s">
        <v>46</v>
      </c>
      <c r="G195" s="1" t="s">
        <v>27</v>
      </c>
      <c r="H195">
        <f>VLOOKUP(D195,[1]金額リスト!$A$2:$B$6,2,FALSE)</f>
        <v>114300</v>
      </c>
      <c r="I195" s="1" t="s">
        <v>33</v>
      </c>
      <c r="J195">
        <f t="shared" ref="J195:J258" si="39">IFERROR(INDEX($F195:$H195,MATCH($J$1,$F195,0),3),0)</f>
        <v>0</v>
      </c>
      <c r="K195">
        <f t="shared" ref="K195:K258" si="40">IFERROR(INDEX($F195:$H195,MATCH($K$1,$F195,0),3),0)</f>
        <v>0</v>
      </c>
      <c r="L195">
        <f t="shared" si="38"/>
        <v>0</v>
      </c>
      <c r="M195">
        <f t="shared" ref="M195:M258" si="41">IFERROR(INDEX($F195:$H195,MATCH($M$1,$F195,0),3),0)</f>
        <v>0</v>
      </c>
      <c r="N195">
        <f t="shared" ref="N195:N258" si="42">IFERROR(INDEX($F195:$H195,MATCH($N$1,$F195,0),3),0)</f>
        <v>114300</v>
      </c>
      <c r="O195">
        <f t="shared" ref="O195:O258" si="43">IFERROR(INDEX($F195:$H195,MATCH($O$1,$F195,0),3),0)</f>
        <v>0</v>
      </c>
      <c r="P195">
        <f t="shared" ref="P195:P258" si="44">IFERROR(INDEX($F195:$H195,MATCH($P$1,$F195,0),3),0)</f>
        <v>0</v>
      </c>
      <c r="Q195">
        <f t="shared" ref="Q195:Q258" si="45">IFERROR(INDEX($F195:$H195,MATCH($Q$1,$F195,0),3),0)</f>
        <v>0</v>
      </c>
      <c r="R195">
        <f t="shared" ref="R195:R258" si="46">IFERROR(INDEX($F195:$H195,MATCH($R$1,$F195,0),3),0)</f>
        <v>0</v>
      </c>
      <c r="S195">
        <f t="shared" ref="S195:S258" si="47">IFERROR(INDEX($F195:$H195,MATCH($S$1,$F195,0),3),0)</f>
        <v>0</v>
      </c>
      <c r="T195">
        <f t="shared" ref="T195:T258" si="48">IFERROR(INDEX($F195:$H195,MATCH($T$1,$F195,0),3),0)</f>
        <v>0</v>
      </c>
      <c r="U195">
        <f t="shared" ref="U195:U258" si="49">IFERROR(INDEX($F195:$H195,MATCH($U$1,$F195,0),3),0)</f>
        <v>0</v>
      </c>
      <c r="V195">
        <f t="shared" ref="V195:V258" si="50">IFERROR(INDEX($F195:$H195,MATCH($V$1,$F195,0),3),0)</f>
        <v>0</v>
      </c>
    </row>
    <row r="196" spans="1:22" x14ac:dyDescent="0.4">
      <c r="A196" s="1" t="s">
        <v>637</v>
      </c>
      <c r="B196" s="1" t="s">
        <v>638</v>
      </c>
      <c r="C196" s="1" t="s">
        <v>639</v>
      </c>
      <c r="D196" s="1" t="s">
        <v>25</v>
      </c>
      <c r="E196" s="1" t="s">
        <v>32</v>
      </c>
      <c r="F196" s="5" t="s">
        <v>10</v>
      </c>
      <c r="G196" s="1" t="s">
        <v>27</v>
      </c>
      <c r="H196">
        <f>VLOOKUP(D196,[1]金額リスト!$A$2:$B$6,2,FALSE)</f>
        <v>59400</v>
      </c>
      <c r="I196" s="1" t="s">
        <v>33</v>
      </c>
      <c r="J196">
        <f t="shared" si="39"/>
        <v>0</v>
      </c>
      <c r="K196">
        <f t="shared" si="40"/>
        <v>59400</v>
      </c>
      <c r="L196">
        <f t="shared" ref="L196:L259" si="51">IFERROR(INDEX($F196:$H196,MATCH($L$1,$F196,0),3),0)</f>
        <v>0</v>
      </c>
      <c r="M196">
        <f t="shared" si="41"/>
        <v>0</v>
      </c>
      <c r="N196">
        <f t="shared" si="42"/>
        <v>0</v>
      </c>
      <c r="O196">
        <f t="shared" si="43"/>
        <v>0</v>
      </c>
      <c r="P196">
        <f t="shared" si="44"/>
        <v>0</v>
      </c>
      <c r="Q196">
        <f t="shared" si="45"/>
        <v>0</v>
      </c>
      <c r="R196">
        <f t="shared" si="46"/>
        <v>0</v>
      </c>
      <c r="S196">
        <f t="shared" si="47"/>
        <v>0</v>
      </c>
      <c r="T196">
        <f t="shared" si="48"/>
        <v>0</v>
      </c>
      <c r="U196">
        <f t="shared" si="49"/>
        <v>0</v>
      </c>
      <c r="V196">
        <f t="shared" si="50"/>
        <v>0</v>
      </c>
    </row>
    <row r="197" spans="1:22" x14ac:dyDescent="0.4">
      <c r="A197" s="1" t="s">
        <v>640</v>
      </c>
      <c r="B197" s="1" t="s">
        <v>641</v>
      </c>
      <c r="C197" s="1" t="s">
        <v>642</v>
      </c>
      <c r="D197" s="1" t="s">
        <v>44</v>
      </c>
      <c r="E197" s="1" t="s">
        <v>97</v>
      </c>
      <c r="F197" s="5" t="s">
        <v>46</v>
      </c>
      <c r="G197" s="1" t="s">
        <v>27</v>
      </c>
      <c r="H197">
        <f>VLOOKUP(D197,[1]金額リスト!$A$2:$B$6,2,FALSE)</f>
        <v>114300</v>
      </c>
      <c r="I197" s="1" t="s">
        <v>33</v>
      </c>
      <c r="J197">
        <f t="shared" si="39"/>
        <v>0</v>
      </c>
      <c r="K197">
        <f t="shared" si="40"/>
        <v>0</v>
      </c>
      <c r="L197">
        <f t="shared" si="51"/>
        <v>0</v>
      </c>
      <c r="M197">
        <f t="shared" si="41"/>
        <v>0</v>
      </c>
      <c r="N197">
        <f t="shared" si="42"/>
        <v>114300</v>
      </c>
      <c r="O197">
        <f t="shared" si="43"/>
        <v>0</v>
      </c>
      <c r="P197">
        <f t="shared" si="44"/>
        <v>0</v>
      </c>
      <c r="Q197">
        <f t="shared" si="45"/>
        <v>0</v>
      </c>
      <c r="R197">
        <f t="shared" si="46"/>
        <v>0</v>
      </c>
      <c r="S197">
        <f t="shared" si="47"/>
        <v>0</v>
      </c>
      <c r="T197">
        <f t="shared" si="48"/>
        <v>0</v>
      </c>
      <c r="U197">
        <f t="shared" si="49"/>
        <v>0</v>
      </c>
      <c r="V197">
        <f t="shared" si="50"/>
        <v>0</v>
      </c>
    </row>
    <row r="198" spans="1:22" x14ac:dyDescent="0.4">
      <c r="A198" s="1" t="s">
        <v>643</v>
      </c>
      <c r="B198" s="1" t="s">
        <v>644</v>
      </c>
      <c r="C198" s="1" t="s">
        <v>645</v>
      </c>
      <c r="D198" s="1" t="s">
        <v>25</v>
      </c>
      <c r="E198" s="1" t="s">
        <v>150</v>
      </c>
      <c r="F198" s="5" t="s">
        <v>10</v>
      </c>
      <c r="G198" s="1" t="s">
        <v>27</v>
      </c>
      <c r="H198">
        <f>VLOOKUP(D198,[1]金額リスト!$A$2:$B$6,2,FALSE)</f>
        <v>59400</v>
      </c>
      <c r="I198" s="1" t="s">
        <v>33</v>
      </c>
      <c r="J198">
        <f t="shared" si="39"/>
        <v>0</v>
      </c>
      <c r="K198">
        <f t="shared" si="40"/>
        <v>59400</v>
      </c>
      <c r="L198">
        <f t="shared" si="51"/>
        <v>0</v>
      </c>
      <c r="M198">
        <f t="shared" si="41"/>
        <v>0</v>
      </c>
      <c r="N198">
        <f t="shared" si="42"/>
        <v>0</v>
      </c>
      <c r="O198">
        <f t="shared" si="43"/>
        <v>0</v>
      </c>
      <c r="P198">
        <f t="shared" si="44"/>
        <v>0</v>
      </c>
      <c r="Q198">
        <f t="shared" si="45"/>
        <v>0</v>
      </c>
      <c r="R198">
        <f t="shared" si="46"/>
        <v>0</v>
      </c>
      <c r="S198">
        <f t="shared" si="47"/>
        <v>0</v>
      </c>
      <c r="T198">
        <f t="shared" si="48"/>
        <v>0</v>
      </c>
      <c r="U198">
        <f t="shared" si="49"/>
        <v>0</v>
      </c>
      <c r="V198">
        <f t="shared" si="50"/>
        <v>0</v>
      </c>
    </row>
    <row r="199" spans="1:22" x14ac:dyDescent="0.4">
      <c r="A199" s="1" t="s">
        <v>646</v>
      </c>
      <c r="B199" s="1" t="s">
        <v>647</v>
      </c>
      <c r="C199" s="1" t="s">
        <v>648</v>
      </c>
      <c r="D199" s="1" t="s">
        <v>44</v>
      </c>
      <c r="E199" s="1" t="s">
        <v>51</v>
      </c>
      <c r="F199" s="5" t="s">
        <v>46</v>
      </c>
      <c r="G199" s="1" t="s">
        <v>27</v>
      </c>
      <c r="H199">
        <f>VLOOKUP(D199,[1]金額リスト!$A$2:$B$6,2,FALSE)</f>
        <v>114300</v>
      </c>
      <c r="I199" s="1" t="s">
        <v>33</v>
      </c>
      <c r="J199">
        <f t="shared" si="39"/>
        <v>0</v>
      </c>
      <c r="K199">
        <f t="shared" si="40"/>
        <v>0</v>
      </c>
      <c r="L199">
        <f t="shared" si="51"/>
        <v>0</v>
      </c>
      <c r="M199">
        <f t="shared" si="41"/>
        <v>0</v>
      </c>
      <c r="N199">
        <f t="shared" si="42"/>
        <v>114300</v>
      </c>
      <c r="O199">
        <f t="shared" si="43"/>
        <v>0</v>
      </c>
      <c r="P199">
        <f t="shared" si="44"/>
        <v>0</v>
      </c>
      <c r="Q199">
        <f t="shared" si="45"/>
        <v>0</v>
      </c>
      <c r="R199">
        <f t="shared" si="46"/>
        <v>0</v>
      </c>
      <c r="S199">
        <f t="shared" si="47"/>
        <v>0</v>
      </c>
      <c r="T199">
        <f t="shared" si="48"/>
        <v>0</v>
      </c>
      <c r="U199">
        <f t="shared" si="49"/>
        <v>0</v>
      </c>
      <c r="V199">
        <f t="shared" si="50"/>
        <v>0</v>
      </c>
    </row>
    <row r="200" spans="1:22" x14ac:dyDescent="0.4">
      <c r="A200" s="1" t="s">
        <v>649</v>
      </c>
      <c r="B200" s="1" t="s">
        <v>650</v>
      </c>
      <c r="C200" s="1" t="s">
        <v>651</v>
      </c>
      <c r="D200" s="1" t="s">
        <v>44</v>
      </c>
      <c r="E200" s="1" t="s">
        <v>37</v>
      </c>
      <c r="F200" s="5" t="s">
        <v>46</v>
      </c>
      <c r="G200" s="1" t="s">
        <v>27</v>
      </c>
      <c r="H200">
        <f>VLOOKUP(D200,[1]金額リスト!$A$2:$B$6,2,FALSE)</f>
        <v>114300</v>
      </c>
      <c r="I200" s="1" t="s">
        <v>33</v>
      </c>
      <c r="J200">
        <f t="shared" si="39"/>
        <v>0</v>
      </c>
      <c r="K200">
        <f t="shared" si="40"/>
        <v>0</v>
      </c>
      <c r="L200">
        <f t="shared" si="51"/>
        <v>0</v>
      </c>
      <c r="M200">
        <f t="shared" si="41"/>
        <v>0</v>
      </c>
      <c r="N200">
        <f t="shared" si="42"/>
        <v>114300</v>
      </c>
      <c r="O200">
        <f t="shared" si="43"/>
        <v>0</v>
      </c>
      <c r="P200">
        <f t="shared" si="44"/>
        <v>0</v>
      </c>
      <c r="Q200">
        <f t="shared" si="45"/>
        <v>0</v>
      </c>
      <c r="R200">
        <f t="shared" si="46"/>
        <v>0</v>
      </c>
      <c r="S200">
        <f t="shared" si="47"/>
        <v>0</v>
      </c>
      <c r="T200">
        <f t="shared" si="48"/>
        <v>0</v>
      </c>
      <c r="U200">
        <f t="shared" si="49"/>
        <v>0</v>
      </c>
      <c r="V200">
        <f t="shared" si="50"/>
        <v>0</v>
      </c>
    </row>
    <row r="201" spans="1:22" x14ac:dyDescent="0.4">
      <c r="A201" s="1" t="s">
        <v>652</v>
      </c>
      <c r="B201" s="1" t="s">
        <v>653</v>
      </c>
      <c r="C201" s="1" t="s">
        <v>654</v>
      </c>
      <c r="D201" s="1" t="s">
        <v>25</v>
      </c>
      <c r="E201" s="1" t="s">
        <v>82</v>
      </c>
      <c r="F201" s="5" t="s">
        <v>10</v>
      </c>
      <c r="G201" s="1" t="s">
        <v>27</v>
      </c>
      <c r="H201">
        <f>VLOOKUP(D201,[1]金額リスト!$A$2:$B$6,2,FALSE)</f>
        <v>59400</v>
      </c>
      <c r="I201" s="1" t="s">
        <v>33</v>
      </c>
      <c r="J201">
        <f t="shared" si="39"/>
        <v>0</v>
      </c>
      <c r="K201">
        <f t="shared" si="40"/>
        <v>59400</v>
      </c>
      <c r="L201">
        <f t="shared" si="51"/>
        <v>0</v>
      </c>
      <c r="M201">
        <f t="shared" si="41"/>
        <v>0</v>
      </c>
      <c r="N201">
        <f t="shared" si="42"/>
        <v>0</v>
      </c>
      <c r="O201">
        <f t="shared" si="43"/>
        <v>0</v>
      </c>
      <c r="P201">
        <f t="shared" si="44"/>
        <v>0</v>
      </c>
      <c r="Q201">
        <f t="shared" si="45"/>
        <v>0</v>
      </c>
      <c r="R201">
        <f t="shared" si="46"/>
        <v>0</v>
      </c>
      <c r="S201">
        <f t="shared" si="47"/>
        <v>0</v>
      </c>
      <c r="T201">
        <f t="shared" si="48"/>
        <v>0</v>
      </c>
      <c r="U201">
        <f t="shared" si="49"/>
        <v>0</v>
      </c>
      <c r="V201">
        <f t="shared" si="50"/>
        <v>0</v>
      </c>
    </row>
    <row r="202" spans="1:22" x14ac:dyDescent="0.4">
      <c r="A202" s="1" t="s">
        <v>655</v>
      </c>
      <c r="B202" s="1" t="s">
        <v>656</v>
      </c>
      <c r="C202" s="1" t="s">
        <v>657</v>
      </c>
      <c r="D202" s="1" t="s">
        <v>25</v>
      </c>
      <c r="E202" s="1" t="s">
        <v>376</v>
      </c>
      <c r="F202" s="5" t="s">
        <v>10</v>
      </c>
      <c r="G202" s="1" t="s">
        <v>27</v>
      </c>
      <c r="H202">
        <f>VLOOKUP(D202,[1]金額リスト!$A$2:$B$6,2,FALSE)</f>
        <v>59400</v>
      </c>
      <c r="I202" s="1" t="s">
        <v>33</v>
      </c>
      <c r="J202">
        <f t="shared" si="39"/>
        <v>0</v>
      </c>
      <c r="K202">
        <f t="shared" si="40"/>
        <v>59400</v>
      </c>
      <c r="L202">
        <f t="shared" si="51"/>
        <v>0</v>
      </c>
      <c r="M202">
        <f t="shared" si="41"/>
        <v>0</v>
      </c>
      <c r="N202">
        <f t="shared" si="42"/>
        <v>0</v>
      </c>
      <c r="O202">
        <f t="shared" si="43"/>
        <v>0</v>
      </c>
      <c r="P202">
        <f t="shared" si="44"/>
        <v>0</v>
      </c>
      <c r="Q202">
        <f t="shared" si="45"/>
        <v>0</v>
      </c>
      <c r="R202">
        <f t="shared" si="46"/>
        <v>0</v>
      </c>
      <c r="S202">
        <f t="shared" si="47"/>
        <v>0</v>
      </c>
      <c r="T202">
        <f t="shared" si="48"/>
        <v>0</v>
      </c>
      <c r="U202">
        <f t="shared" si="49"/>
        <v>0</v>
      </c>
      <c r="V202">
        <f t="shared" si="50"/>
        <v>0</v>
      </c>
    </row>
    <row r="203" spans="1:22" x14ac:dyDescent="0.4">
      <c r="A203" s="1" t="s">
        <v>658</v>
      </c>
      <c r="B203" s="1" t="s">
        <v>659</v>
      </c>
      <c r="C203" s="1" t="s">
        <v>660</v>
      </c>
      <c r="D203" s="1" t="s">
        <v>44</v>
      </c>
      <c r="E203" s="1" t="s">
        <v>90</v>
      </c>
      <c r="F203" s="5" t="s">
        <v>46</v>
      </c>
      <c r="G203" s="1" t="s">
        <v>27</v>
      </c>
      <c r="H203">
        <f>VLOOKUP(D203,[1]金額リスト!$A$2:$B$6,2,FALSE)</f>
        <v>114300</v>
      </c>
      <c r="I203" s="1" t="s">
        <v>33</v>
      </c>
      <c r="J203">
        <f t="shared" si="39"/>
        <v>0</v>
      </c>
      <c r="K203">
        <f t="shared" si="40"/>
        <v>0</v>
      </c>
      <c r="L203">
        <f t="shared" si="51"/>
        <v>0</v>
      </c>
      <c r="M203">
        <f t="shared" si="41"/>
        <v>0</v>
      </c>
      <c r="N203">
        <f t="shared" si="42"/>
        <v>114300</v>
      </c>
      <c r="O203">
        <f t="shared" si="43"/>
        <v>0</v>
      </c>
      <c r="P203">
        <f t="shared" si="44"/>
        <v>0</v>
      </c>
      <c r="Q203">
        <f t="shared" si="45"/>
        <v>0</v>
      </c>
      <c r="R203">
        <f t="shared" si="46"/>
        <v>0</v>
      </c>
      <c r="S203">
        <f t="shared" si="47"/>
        <v>0</v>
      </c>
      <c r="T203">
        <f t="shared" si="48"/>
        <v>0</v>
      </c>
      <c r="U203">
        <f t="shared" si="49"/>
        <v>0</v>
      </c>
      <c r="V203">
        <f t="shared" si="50"/>
        <v>0</v>
      </c>
    </row>
    <row r="204" spans="1:22" x14ac:dyDescent="0.4">
      <c r="A204" s="1" t="s">
        <v>661</v>
      </c>
      <c r="B204" s="1" t="s">
        <v>662</v>
      </c>
      <c r="C204" s="1" t="s">
        <v>663</v>
      </c>
      <c r="D204" s="1" t="s">
        <v>44</v>
      </c>
      <c r="E204" s="1" t="s">
        <v>63</v>
      </c>
      <c r="F204" s="5" t="s">
        <v>46</v>
      </c>
      <c r="G204" s="1" t="s">
        <v>27</v>
      </c>
      <c r="H204">
        <f>VLOOKUP(D204,[1]金額リスト!$A$2:$B$6,2,FALSE)</f>
        <v>114300</v>
      </c>
      <c r="I204" s="1" t="s">
        <v>33</v>
      </c>
      <c r="J204">
        <f t="shared" si="39"/>
        <v>0</v>
      </c>
      <c r="K204">
        <f t="shared" si="40"/>
        <v>0</v>
      </c>
      <c r="L204">
        <f t="shared" si="51"/>
        <v>0</v>
      </c>
      <c r="M204">
        <f t="shared" si="41"/>
        <v>0</v>
      </c>
      <c r="N204">
        <f t="shared" si="42"/>
        <v>114300</v>
      </c>
      <c r="O204">
        <f t="shared" si="43"/>
        <v>0</v>
      </c>
      <c r="P204">
        <f t="shared" si="44"/>
        <v>0</v>
      </c>
      <c r="Q204">
        <f t="shared" si="45"/>
        <v>0</v>
      </c>
      <c r="R204">
        <f t="shared" si="46"/>
        <v>0</v>
      </c>
      <c r="S204">
        <f t="shared" si="47"/>
        <v>0</v>
      </c>
      <c r="T204">
        <f t="shared" si="48"/>
        <v>0</v>
      </c>
      <c r="U204">
        <f t="shared" si="49"/>
        <v>0</v>
      </c>
      <c r="V204">
        <f t="shared" si="50"/>
        <v>0</v>
      </c>
    </row>
    <row r="205" spans="1:22" x14ac:dyDescent="0.4">
      <c r="A205" s="1" t="s">
        <v>664</v>
      </c>
      <c r="B205" s="1" t="s">
        <v>665</v>
      </c>
      <c r="C205" s="1" t="s">
        <v>666</v>
      </c>
      <c r="D205" s="1" t="s">
        <v>44</v>
      </c>
      <c r="E205" s="1" t="s">
        <v>150</v>
      </c>
      <c r="F205" s="5" t="s">
        <v>46</v>
      </c>
      <c r="G205" s="1" t="s">
        <v>27</v>
      </c>
      <c r="H205">
        <f>VLOOKUP(D205,[1]金額リスト!$A$2:$B$6,2,FALSE)</f>
        <v>114300</v>
      </c>
      <c r="I205" s="1" t="s">
        <v>33</v>
      </c>
      <c r="J205">
        <f t="shared" si="39"/>
        <v>0</v>
      </c>
      <c r="K205">
        <f t="shared" si="40"/>
        <v>0</v>
      </c>
      <c r="L205">
        <f t="shared" si="51"/>
        <v>0</v>
      </c>
      <c r="M205">
        <f t="shared" si="41"/>
        <v>0</v>
      </c>
      <c r="N205">
        <f t="shared" si="42"/>
        <v>114300</v>
      </c>
      <c r="O205">
        <f t="shared" si="43"/>
        <v>0</v>
      </c>
      <c r="P205">
        <f t="shared" si="44"/>
        <v>0</v>
      </c>
      <c r="Q205">
        <f t="shared" si="45"/>
        <v>0</v>
      </c>
      <c r="R205">
        <f t="shared" si="46"/>
        <v>0</v>
      </c>
      <c r="S205">
        <f t="shared" si="47"/>
        <v>0</v>
      </c>
      <c r="T205">
        <f t="shared" si="48"/>
        <v>0</v>
      </c>
      <c r="U205">
        <f t="shared" si="49"/>
        <v>0</v>
      </c>
      <c r="V205">
        <f t="shared" si="50"/>
        <v>0</v>
      </c>
    </row>
    <row r="206" spans="1:22" x14ac:dyDescent="0.4">
      <c r="A206" s="1" t="s">
        <v>667</v>
      </c>
      <c r="B206" s="1" t="s">
        <v>668</v>
      </c>
      <c r="C206" s="1" t="s">
        <v>669</v>
      </c>
      <c r="D206" s="1" t="s">
        <v>70</v>
      </c>
      <c r="E206" s="1" t="s">
        <v>51</v>
      </c>
      <c r="F206" s="5" t="s">
        <v>10</v>
      </c>
      <c r="G206" s="1" t="s">
        <v>52</v>
      </c>
      <c r="H206">
        <f>VLOOKUP(D206,[1]金額リスト!$A$2:$B$6,2,FALSE)</f>
        <v>59400</v>
      </c>
      <c r="I206" s="1" t="s">
        <v>28</v>
      </c>
      <c r="J206">
        <f t="shared" si="39"/>
        <v>0</v>
      </c>
      <c r="K206">
        <f t="shared" si="40"/>
        <v>59400</v>
      </c>
      <c r="L206">
        <f t="shared" si="51"/>
        <v>0</v>
      </c>
      <c r="M206">
        <f t="shared" si="41"/>
        <v>0</v>
      </c>
      <c r="N206">
        <f t="shared" si="42"/>
        <v>0</v>
      </c>
      <c r="O206">
        <f t="shared" si="43"/>
        <v>0</v>
      </c>
      <c r="P206">
        <f t="shared" si="44"/>
        <v>0</v>
      </c>
      <c r="Q206">
        <f t="shared" si="45"/>
        <v>0</v>
      </c>
      <c r="R206">
        <f t="shared" si="46"/>
        <v>0</v>
      </c>
      <c r="S206">
        <f t="shared" si="47"/>
        <v>0</v>
      </c>
      <c r="T206">
        <f t="shared" si="48"/>
        <v>0</v>
      </c>
      <c r="U206">
        <f t="shared" si="49"/>
        <v>0</v>
      </c>
      <c r="V206">
        <f t="shared" si="50"/>
        <v>0</v>
      </c>
    </row>
    <row r="207" spans="1:22" x14ac:dyDescent="0.4">
      <c r="A207" s="1" t="s">
        <v>670</v>
      </c>
      <c r="B207" s="1" t="s">
        <v>671</v>
      </c>
      <c r="C207" s="1" t="s">
        <v>672</v>
      </c>
      <c r="D207" s="1" t="s">
        <v>25</v>
      </c>
      <c r="E207" s="1" t="s">
        <v>333</v>
      </c>
      <c r="F207" s="5" t="s">
        <v>10</v>
      </c>
      <c r="G207" s="1" t="s">
        <v>27</v>
      </c>
      <c r="H207">
        <f>VLOOKUP(D207,[1]金額リスト!$A$2:$B$6,2,FALSE)</f>
        <v>59400</v>
      </c>
      <c r="I207" s="1" t="s">
        <v>33</v>
      </c>
      <c r="J207">
        <f t="shared" si="39"/>
        <v>0</v>
      </c>
      <c r="K207">
        <f t="shared" si="40"/>
        <v>59400</v>
      </c>
      <c r="L207">
        <f t="shared" si="51"/>
        <v>0</v>
      </c>
      <c r="M207">
        <f t="shared" si="41"/>
        <v>0</v>
      </c>
      <c r="N207">
        <f t="shared" si="42"/>
        <v>0</v>
      </c>
      <c r="O207">
        <f t="shared" si="43"/>
        <v>0</v>
      </c>
      <c r="P207">
        <f t="shared" si="44"/>
        <v>0</v>
      </c>
      <c r="Q207">
        <f t="shared" si="45"/>
        <v>0</v>
      </c>
      <c r="R207">
        <f t="shared" si="46"/>
        <v>0</v>
      </c>
      <c r="S207">
        <f t="shared" si="47"/>
        <v>0</v>
      </c>
      <c r="T207">
        <f t="shared" si="48"/>
        <v>0</v>
      </c>
      <c r="U207">
        <f t="shared" si="49"/>
        <v>0</v>
      </c>
      <c r="V207">
        <f t="shared" si="50"/>
        <v>0</v>
      </c>
    </row>
    <row r="208" spans="1:22" x14ac:dyDescent="0.4">
      <c r="A208" s="1" t="s">
        <v>673</v>
      </c>
      <c r="B208" s="1" t="s">
        <v>674</v>
      </c>
      <c r="C208" s="1" t="s">
        <v>675</v>
      </c>
      <c r="D208" s="1" t="s">
        <v>44</v>
      </c>
      <c r="E208" s="1" t="s">
        <v>90</v>
      </c>
      <c r="F208" s="5" t="s">
        <v>46</v>
      </c>
      <c r="G208" s="1" t="s">
        <v>27</v>
      </c>
      <c r="H208">
        <f>VLOOKUP(D208,[1]金額リスト!$A$2:$B$6,2,FALSE)</f>
        <v>114300</v>
      </c>
      <c r="I208" s="1" t="s">
        <v>33</v>
      </c>
      <c r="J208">
        <f t="shared" si="39"/>
        <v>0</v>
      </c>
      <c r="K208">
        <f t="shared" si="40"/>
        <v>0</v>
      </c>
      <c r="L208">
        <f t="shared" si="51"/>
        <v>0</v>
      </c>
      <c r="M208">
        <f t="shared" si="41"/>
        <v>0</v>
      </c>
      <c r="N208">
        <f t="shared" si="42"/>
        <v>114300</v>
      </c>
      <c r="O208">
        <f t="shared" si="43"/>
        <v>0</v>
      </c>
      <c r="P208">
        <f t="shared" si="44"/>
        <v>0</v>
      </c>
      <c r="Q208">
        <f t="shared" si="45"/>
        <v>0</v>
      </c>
      <c r="R208">
        <f t="shared" si="46"/>
        <v>0</v>
      </c>
      <c r="S208">
        <f t="shared" si="47"/>
        <v>0</v>
      </c>
      <c r="T208">
        <f t="shared" si="48"/>
        <v>0</v>
      </c>
      <c r="U208">
        <f t="shared" si="49"/>
        <v>0</v>
      </c>
      <c r="V208">
        <f t="shared" si="50"/>
        <v>0</v>
      </c>
    </row>
    <row r="209" spans="1:22" x14ac:dyDescent="0.4">
      <c r="A209" s="1" t="s">
        <v>676</v>
      </c>
      <c r="B209" s="1" t="s">
        <v>677</v>
      </c>
      <c r="C209" s="1" t="s">
        <v>678</v>
      </c>
      <c r="D209" s="1" t="s">
        <v>44</v>
      </c>
      <c r="E209" s="1" t="s">
        <v>97</v>
      </c>
      <c r="F209" s="5" t="s">
        <v>46</v>
      </c>
      <c r="G209" s="1" t="s">
        <v>27</v>
      </c>
      <c r="H209">
        <f>VLOOKUP(D209,[1]金額リスト!$A$2:$B$6,2,FALSE)</f>
        <v>114300</v>
      </c>
      <c r="I209" s="1" t="s">
        <v>33</v>
      </c>
      <c r="J209">
        <f t="shared" si="39"/>
        <v>0</v>
      </c>
      <c r="K209">
        <f t="shared" si="40"/>
        <v>0</v>
      </c>
      <c r="L209">
        <f t="shared" si="51"/>
        <v>0</v>
      </c>
      <c r="M209">
        <f t="shared" si="41"/>
        <v>0</v>
      </c>
      <c r="N209">
        <f t="shared" si="42"/>
        <v>114300</v>
      </c>
      <c r="O209">
        <f t="shared" si="43"/>
        <v>0</v>
      </c>
      <c r="P209">
        <f t="shared" si="44"/>
        <v>0</v>
      </c>
      <c r="Q209">
        <f t="shared" si="45"/>
        <v>0</v>
      </c>
      <c r="R209">
        <f t="shared" si="46"/>
        <v>0</v>
      </c>
      <c r="S209">
        <f t="shared" si="47"/>
        <v>0</v>
      </c>
      <c r="T209">
        <f t="shared" si="48"/>
        <v>0</v>
      </c>
      <c r="U209">
        <f t="shared" si="49"/>
        <v>0</v>
      </c>
      <c r="V209">
        <f t="shared" si="50"/>
        <v>0</v>
      </c>
    </row>
    <row r="210" spans="1:22" x14ac:dyDescent="0.4">
      <c r="A210" s="1" t="s">
        <v>679</v>
      </c>
      <c r="B210" s="1" t="s">
        <v>680</v>
      </c>
      <c r="C210" s="1" t="s">
        <v>681</v>
      </c>
      <c r="D210" s="1" t="s">
        <v>44</v>
      </c>
      <c r="E210" s="1" t="s">
        <v>32</v>
      </c>
      <c r="F210" s="5" t="s">
        <v>46</v>
      </c>
      <c r="G210" s="1" t="s">
        <v>27</v>
      </c>
      <c r="H210">
        <f>VLOOKUP(D210,[1]金額リスト!$A$2:$B$6,2,FALSE)</f>
        <v>114300</v>
      </c>
      <c r="I210" s="1" t="s">
        <v>33</v>
      </c>
      <c r="J210">
        <f t="shared" si="39"/>
        <v>0</v>
      </c>
      <c r="K210">
        <f t="shared" si="40"/>
        <v>0</v>
      </c>
      <c r="L210">
        <f t="shared" si="51"/>
        <v>0</v>
      </c>
      <c r="M210">
        <f t="shared" si="41"/>
        <v>0</v>
      </c>
      <c r="N210">
        <f t="shared" si="42"/>
        <v>114300</v>
      </c>
      <c r="O210">
        <f t="shared" si="43"/>
        <v>0</v>
      </c>
      <c r="P210">
        <f t="shared" si="44"/>
        <v>0</v>
      </c>
      <c r="Q210">
        <f t="shared" si="45"/>
        <v>0</v>
      </c>
      <c r="R210">
        <f t="shared" si="46"/>
        <v>0</v>
      </c>
      <c r="S210">
        <f t="shared" si="47"/>
        <v>0</v>
      </c>
      <c r="T210">
        <f t="shared" si="48"/>
        <v>0</v>
      </c>
      <c r="U210">
        <f t="shared" si="49"/>
        <v>0</v>
      </c>
      <c r="V210">
        <f t="shared" si="50"/>
        <v>0</v>
      </c>
    </row>
    <row r="211" spans="1:22" x14ac:dyDescent="0.4">
      <c r="A211" s="1" t="s">
        <v>682</v>
      </c>
      <c r="B211" s="1" t="s">
        <v>683</v>
      </c>
      <c r="C211" s="1" t="s">
        <v>684</v>
      </c>
      <c r="D211" s="1" t="s">
        <v>44</v>
      </c>
      <c r="E211" s="1" t="s">
        <v>37</v>
      </c>
      <c r="F211" s="5" t="s">
        <v>46</v>
      </c>
      <c r="G211" s="1" t="s">
        <v>27</v>
      </c>
      <c r="H211">
        <f>VLOOKUP(D211,[1]金額リスト!$A$2:$B$6,2,FALSE)</f>
        <v>114300</v>
      </c>
      <c r="I211" s="1" t="s">
        <v>33</v>
      </c>
      <c r="J211">
        <f t="shared" si="39"/>
        <v>0</v>
      </c>
      <c r="K211">
        <f t="shared" si="40"/>
        <v>0</v>
      </c>
      <c r="L211">
        <f t="shared" si="51"/>
        <v>0</v>
      </c>
      <c r="M211">
        <f t="shared" si="41"/>
        <v>0</v>
      </c>
      <c r="N211">
        <f t="shared" si="42"/>
        <v>114300</v>
      </c>
      <c r="O211">
        <f t="shared" si="43"/>
        <v>0</v>
      </c>
      <c r="P211">
        <f t="shared" si="44"/>
        <v>0</v>
      </c>
      <c r="Q211">
        <f t="shared" si="45"/>
        <v>0</v>
      </c>
      <c r="R211">
        <f t="shared" si="46"/>
        <v>0</v>
      </c>
      <c r="S211">
        <f t="shared" si="47"/>
        <v>0</v>
      </c>
      <c r="T211">
        <f t="shared" si="48"/>
        <v>0</v>
      </c>
      <c r="U211">
        <f t="shared" si="49"/>
        <v>0</v>
      </c>
      <c r="V211">
        <f t="shared" si="50"/>
        <v>0</v>
      </c>
    </row>
    <row r="212" spans="1:22" x14ac:dyDescent="0.4">
      <c r="A212" s="1" t="s">
        <v>685</v>
      </c>
      <c r="B212" s="1" t="s">
        <v>686</v>
      </c>
      <c r="C212" s="1" t="s">
        <v>687</v>
      </c>
      <c r="D212" s="1" t="s">
        <v>44</v>
      </c>
      <c r="E212" s="1" t="s">
        <v>56</v>
      </c>
      <c r="F212" s="5" t="s">
        <v>46</v>
      </c>
      <c r="G212" s="1" t="s">
        <v>27</v>
      </c>
      <c r="H212">
        <f>VLOOKUP(D212,[1]金額リスト!$A$2:$B$6,2,FALSE)</f>
        <v>114300</v>
      </c>
      <c r="I212" s="1" t="s">
        <v>33</v>
      </c>
      <c r="J212">
        <f t="shared" si="39"/>
        <v>0</v>
      </c>
      <c r="K212">
        <f t="shared" si="40"/>
        <v>0</v>
      </c>
      <c r="L212">
        <f t="shared" si="51"/>
        <v>0</v>
      </c>
      <c r="M212">
        <f t="shared" si="41"/>
        <v>0</v>
      </c>
      <c r="N212">
        <f t="shared" si="42"/>
        <v>114300</v>
      </c>
      <c r="O212">
        <f t="shared" si="43"/>
        <v>0</v>
      </c>
      <c r="P212">
        <f t="shared" si="44"/>
        <v>0</v>
      </c>
      <c r="Q212">
        <f t="shared" si="45"/>
        <v>0</v>
      </c>
      <c r="R212">
        <f t="shared" si="46"/>
        <v>0</v>
      </c>
      <c r="S212">
        <f t="shared" si="47"/>
        <v>0</v>
      </c>
      <c r="T212">
        <f t="shared" si="48"/>
        <v>0</v>
      </c>
      <c r="U212">
        <f t="shared" si="49"/>
        <v>0</v>
      </c>
      <c r="V212">
        <f t="shared" si="50"/>
        <v>0</v>
      </c>
    </row>
    <row r="213" spans="1:22" x14ac:dyDescent="0.4">
      <c r="A213" s="1" t="s">
        <v>688</v>
      </c>
      <c r="B213" s="1" t="s">
        <v>689</v>
      </c>
      <c r="C213" s="1" t="s">
        <v>690</v>
      </c>
      <c r="D213" s="1" t="s">
        <v>44</v>
      </c>
      <c r="E213" s="1" t="s">
        <v>101</v>
      </c>
      <c r="F213" s="5" t="s">
        <v>46</v>
      </c>
      <c r="G213" s="1" t="s">
        <v>27</v>
      </c>
      <c r="H213">
        <f>VLOOKUP(D213,[1]金額リスト!$A$2:$B$6,2,FALSE)</f>
        <v>114300</v>
      </c>
      <c r="I213" s="1" t="s">
        <v>33</v>
      </c>
      <c r="J213">
        <f t="shared" si="39"/>
        <v>0</v>
      </c>
      <c r="K213">
        <f t="shared" si="40"/>
        <v>0</v>
      </c>
      <c r="L213">
        <f t="shared" si="51"/>
        <v>0</v>
      </c>
      <c r="M213">
        <f t="shared" si="41"/>
        <v>0</v>
      </c>
      <c r="N213">
        <f t="shared" si="42"/>
        <v>114300</v>
      </c>
      <c r="O213">
        <f t="shared" si="43"/>
        <v>0</v>
      </c>
      <c r="P213">
        <f t="shared" si="44"/>
        <v>0</v>
      </c>
      <c r="Q213">
        <f t="shared" si="45"/>
        <v>0</v>
      </c>
      <c r="R213">
        <f t="shared" si="46"/>
        <v>0</v>
      </c>
      <c r="S213">
        <f t="shared" si="47"/>
        <v>0</v>
      </c>
      <c r="T213">
        <f t="shared" si="48"/>
        <v>0</v>
      </c>
      <c r="U213">
        <f t="shared" si="49"/>
        <v>0</v>
      </c>
      <c r="V213">
        <f t="shared" si="50"/>
        <v>0</v>
      </c>
    </row>
    <row r="214" spans="1:22" x14ac:dyDescent="0.4">
      <c r="A214" s="1" t="s">
        <v>691</v>
      </c>
      <c r="B214" s="1" t="s">
        <v>692</v>
      </c>
      <c r="C214" s="1" t="s">
        <v>693</v>
      </c>
      <c r="D214" s="1" t="s">
        <v>44</v>
      </c>
      <c r="E214" s="1" t="s">
        <v>86</v>
      </c>
      <c r="F214" s="5" t="s">
        <v>46</v>
      </c>
      <c r="G214" s="1" t="s">
        <v>27</v>
      </c>
      <c r="H214">
        <f>VLOOKUP(D214,[1]金額リスト!$A$2:$B$6,2,FALSE)</f>
        <v>114300</v>
      </c>
      <c r="I214" s="1" t="s">
        <v>33</v>
      </c>
      <c r="J214">
        <f t="shared" si="39"/>
        <v>0</v>
      </c>
      <c r="K214">
        <f t="shared" si="40"/>
        <v>0</v>
      </c>
      <c r="L214">
        <f t="shared" si="51"/>
        <v>0</v>
      </c>
      <c r="M214">
        <f t="shared" si="41"/>
        <v>0</v>
      </c>
      <c r="N214">
        <f t="shared" si="42"/>
        <v>114300</v>
      </c>
      <c r="O214">
        <f t="shared" si="43"/>
        <v>0</v>
      </c>
      <c r="P214">
        <f t="shared" si="44"/>
        <v>0</v>
      </c>
      <c r="Q214">
        <f t="shared" si="45"/>
        <v>0</v>
      </c>
      <c r="R214">
        <f t="shared" si="46"/>
        <v>0</v>
      </c>
      <c r="S214">
        <f t="shared" si="47"/>
        <v>0</v>
      </c>
      <c r="T214">
        <f t="shared" si="48"/>
        <v>0</v>
      </c>
      <c r="U214">
        <f t="shared" si="49"/>
        <v>0</v>
      </c>
      <c r="V214">
        <f t="shared" si="50"/>
        <v>0</v>
      </c>
    </row>
    <row r="215" spans="1:22" x14ac:dyDescent="0.4">
      <c r="A215" s="1" t="s">
        <v>694</v>
      </c>
      <c r="B215" s="1" t="s">
        <v>695</v>
      </c>
      <c r="C215" s="1" t="s">
        <v>696</v>
      </c>
      <c r="D215" s="1" t="s">
        <v>25</v>
      </c>
      <c r="E215" s="1" t="s">
        <v>26</v>
      </c>
      <c r="F215" s="5" t="s">
        <v>479</v>
      </c>
      <c r="G215" s="1" t="s">
        <v>27</v>
      </c>
      <c r="H215">
        <f>VLOOKUP(D215,[1]金額リスト!$A$2:$B$6,2,FALSE)</f>
        <v>59400</v>
      </c>
      <c r="I215" s="1" t="s">
        <v>28</v>
      </c>
      <c r="J215">
        <f t="shared" si="39"/>
        <v>0</v>
      </c>
      <c r="K215">
        <f t="shared" si="40"/>
        <v>0</v>
      </c>
      <c r="L215">
        <f t="shared" si="51"/>
        <v>59400</v>
      </c>
      <c r="M215">
        <f t="shared" si="41"/>
        <v>0</v>
      </c>
      <c r="N215">
        <f t="shared" si="42"/>
        <v>0</v>
      </c>
      <c r="O215">
        <f t="shared" si="43"/>
        <v>0</v>
      </c>
      <c r="P215">
        <f t="shared" si="44"/>
        <v>0</v>
      </c>
      <c r="Q215">
        <f t="shared" si="45"/>
        <v>0</v>
      </c>
      <c r="R215">
        <f t="shared" si="46"/>
        <v>0</v>
      </c>
      <c r="S215">
        <f t="shared" si="47"/>
        <v>0</v>
      </c>
      <c r="T215">
        <f t="shared" si="48"/>
        <v>0</v>
      </c>
      <c r="U215">
        <f t="shared" si="49"/>
        <v>0</v>
      </c>
      <c r="V215">
        <f t="shared" si="50"/>
        <v>0</v>
      </c>
    </row>
    <row r="216" spans="1:22" x14ac:dyDescent="0.4">
      <c r="A216" s="1" t="s">
        <v>697</v>
      </c>
      <c r="B216" s="1" t="s">
        <v>698</v>
      </c>
      <c r="C216" s="1" t="s">
        <v>699</v>
      </c>
      <c r="D216" s="1" t="s">
        <v>44</v>
      </c>
      <c r="E216" s="1" t="s">
        <v>178</v>
      </c>
      <c r="F216" s="5" t="s">
        <v>46</v>
      </c>
      <c r="G216" s="1" t="s">
        <v>27</v>
      </c>
      <c r="H216">
        <f>VLOOKUP(D216,[1]金額リスト!$A$2:$B$6,2,FALSE)</f>
        <v>114300</v>
      </c>
      <c r="I216" s="1" t="s">
        <v>33</v>
      </c>
      <c r="J216">
        <f t="shared" si="39"/>
        <v>0</v>
      </c>
      <c r="K216">
        <f t="shared" si="40"/>
        <v>0</v>
      </c>
      <c r="L216">
        <f t="shared" si="51"/>
        <v>0</v>
      </c>
      <c r="M216">
        <f t="shared" si="41"/>
        <v>0</v>
      </c>
      <c r="N216">
        <f t="shared" si="42"/>
        <v>114300</v>
      </c>
      <c r="O216">
        <f t="shared" si="43"/>
        <v>0</v>
      </c>
      <c r="P216">
        <f t="shared" si="44"/>
        <v>0</v>
      </c>
      <c r="Q216">
        <f t="shared" si="45"/>
        <v>0</v>
      </c>
      <c r="R216">
        <f t="shared" si="46"/>
        <v>0</v>
      </c>
      <c r="S216">
        <f t="shared" si="47"/>
        <v>0</v>
      </c>
      <c r="T216">
        <f t="shared" si="48"/>
        <v>0</v>
      </c>
      <c r="U216">
        <f t="shared" si="49"/>
        <v>0</v>
      </c>
      <c r="V216">
        <f t="shared" si="50"/>
        <v>0</v>
      </c>
    </row>
    <row r="217" spans="1:22" x14ac:dyDescent="0.4">
      <c r="A217" s="1" t="s">
        <v>700</v>
      </c>
      <c r="B217" s="1" t="s">
        <v>701</v>
      </c>
      <c r="C217" s="1" t="s">
        <v>702</v>
      </c>
      <c r="D217" s="1" t="s">
        <v>44</v>
      </c>
      <c r="E217" s="1" t="s">
        <v>140</v>
      </c>
      <c r="F217" s="5" t="s">
        <v>46</v>
      </c>
      <c r="G217" s="1" t="s">
        <v>27</v>
      </c>
      <c r="H217">
        <f>VLOOKUP(D217,[1]金額リスト!$A$2:$B$6,2,FALSE)</f>
        <v>114300</v>
      </c>
      <c r="I217" s="1" t="s">
        <v>33</v>
      </c>
      <c r="J217">
        <f t="shared" si="39"/>
        <v>0</v>
      </c>
      <c r="K217">
        <f t="shared" si="40"/>
        <v>0</v>
      </c>
      <c r="L217">
        <f t="shared" si="51"/>
        <v>0</v>
      </c>
      <c r="M217">
        <f t="shared" si="41"/>
        <v>0</v>
      </c>
      <c r="N217">
        <f t="shared" si="42"/>
        <v>114300</v>
      </c>
      <c r="O217">
        <f t="shared" si="43"/>
        <v>0</v>
      </c>
      <c r="P217">
        <f t="shared" si="44"/>
        <v>0</v>
      </c>
      <c r="Q217">
        <f t="shared" si="45"/>
        <v>0</v>
      </c>
      <c r="R217">
        <f t="shared" si="46"/>
        <v>0</v>
      </c>
      <c r="S217">
        <f t="shared" si="47"/>
        <v>0</v>
      </c>
      <c r="T217">
        <f t="shared" si="48"/>
        <v>0</v>
      </c>
      <c r="U217">
        <f t="shared" si="49"/>
        <v>0</v>
      </c>
      <c r="V217">
        <f t="shared" si="50"/>
        <v>0</v>
      </c>
    </row>
    <row r="218" spans="1:22" x14ac:dyDescent="0.4">
      <c r="A218" s="1" t="s">
        <v>703</v>
      </c>
      <c r="B218" s="1" t="s">
        <v>704</v>
      </c>
      <c r="C218" s="1" t="s">
        <v>705</v>
      </c>
      <c r="D218" s="1" t="s">
        <v>44</v>
      </c>
      <c r="E218" s="1" t="s">
        <v>37</v>
      </c>
      <c r="F218" s="5" t="s">
        <v>46</v>
      </c>
      <c r="G218" s="1" t="s">
        <v>27</v>
      </c>
      <c r="H218">
        <f>VLOOKUP(D218,[1]金額リスト!$A$2:$B$6,2,FALSE)</f>
        <v>114300</v>
      </c>
      <c r="I218" s="1" t="s">
        <v>33</v>
      </c>
      <c r="J218">
        <f t="shared" si="39"/>
        <v>0</v>
      </c>
      <c r="K218">
        <f t="shared" si="40"/>
        <v>0</v>
      </c>
      <c r="L218">
        <f t="shared" si="51"/>
        <v>0</v>
      </c>
      <c r="M218">
        <f t="shared" si="41"/>
        <v>0</v>
      </c>
      <c r="N218">
        <f t="shared" si="42"/>
        <v>114300</v>
      </c>
      <c r="O218">
        <f t="shared" si="43"/>
        <v>0</v>
      </c>
      <c r="P218">
        <f t="shared" si="44"/>
        <v>0</v>
      </c>
      <c r="Q218">
        <f t="shared" si="45"/>
        <v>0</v>
      </c>
      <c r="R218">
        <f t="shared" si="46"/>
        <v>0</v>
      </c>
      <c r="S218">
        <f t="shared" si="47"/>
        <v>0</v>
      </c>
      <c r="T218">
        <f t="shared" si="48"/>
        <v>0</v>
      </c>
      <c r="U218">
        <f t="shared" si="49"/>
        <v>0</v>
      </c>
      <c r="V218">
        <f t="shared" si="50"/>
        <v>0</v>
      </c>
    </row>
    <row r="219" spans="1:22" x14ac:dyDescent="0.4">
      <c r="A219" s="1" t="s">
        <v>706</v>
      </c>
      <c r="B219" s="1" t="s">
        <v>707</v>
      </c>
      <c r="C219" s="1" t="s">
        <v>708</v>
      </c>
      <c r="D219" s="1" t="s">
        <v>44</v>
      </c>
      <c r="E219" s="1" t="s">
        <v>56</v>
      </c>
      <c r="F219" s="5" t="s">
        <v>46</v>
      </c>
      <c r="G219" s="1" t="s">
        <v>27</v>
      </c>
      <c r="H219">
        <f>VLOOKUP(D219,[1]金額リスト!$A$2:$B$6,2,FALSE)</f>
        <v>114300</v>
      </c>
      <c r="I219" s="1" t="s">
        <v>33</v>
      </c>
      <c r="J219">
        <f t="shared" si="39"/>
        <v>0</v>
      </c>
      <c r="K219">
        <f t="shared" si="40"/>
        <v>0</v>
      </c>
      <c r="L219">
        <f t="shared" si="51"/>
        <v>0</v>
      </c>
      <c r="M219">
        <f t="shared" si="41"/>
        <v>0</v>
      </c>
      <c r="N219">
        <f t="shared" si="42"/>
        <v>114300</v>
      </c>
      <c r="O219">
        <f t="shared" si="43"/>
        <v>0</v>
      </c>
      <c r="P219">
        <f t="shared" si="44"/>
        <v>0</v>
      </c>
      <c r="Q219">
        <f t="shared" si="45"/>
        <v>0</v>
      </c>
      <c r="R219">
        <f t="shared" si="46"/>
        <v>0</v>
      </c>
      <c r="S219">
        <f t="shared" si="47"/>
        <v>0</v>
      </c>
      <c r="T219">
        <f t="shared" si="48"/>
        <v>0</v>
      </c>
      <c r="U219">
        <f t="shared" si="49"/>
        <v>0</v>
      </c>
      <c r="V219">
        <f t="shared" si="50"/>
        <v>0</v>
      </c>
    </row>
    <row r="220" spans="1:22" x14ac:dyDescent="0.4">
      <c r="A220" s="1" t="s">
        <v>709</v>
      </c>
      <c r="B220" s="1" t="s">
        <v>710</v>
      </c>
      <c r="C220" s="1" t="s">
        <v>711</v>
      </c>
      <c r="D220" s="1" t="s">
        <v>44</v>
      </c>
      <c r="E220" s="1" t="s">
        <v>37</v>
      </c>
      <c r="F220" s="5" t="s">
        <v>46</v>
      </c>
      <c r="G220" s="1" t="s">
        <v>27</v>
      </c>
      <c r="H220">
        <f>VLOOKUP(D220,[1]金額リスト!$A$2:$B$6,2,FALSE)</f>
        <v>114300</v>
      </c>
      <c r="I220" s="1" t="s">
        <v>33</v>
      </c>
      <c r="J220">
        <f t="shared" si="39"/>
        <v>0</v>
      </c>
      <c r="K220">
        <f t="shared" si="40"/>
        <v>0</v>
      </c>
      <c r="L220">
        <f t="shared" si="51"/>
        <v>0</v>
      </c>
      <c r="M220">
        <f t="shared" si="41"/>
        <v>0</v>
      </c>
      <c r="N220">
        <f t="shared" si="42"/>
        <v>114300</v>
      </c>
      <c r="O220">
        <f t="shared" si="43"/>
        <v>0</v>
      </c>
      <c r="P220">
        <f t="shared" si="44"/>
        <v>0</v>
      </c>
      <c r="Q220">
        <f t="shared" si="45"/>
        <v>0</v>
      </c>
      <c r="R220">
        <f t="shared" si="46"/>
        <v>0</v>
      </c>
      <c r="S220">
        <f t="shared" si="47"/>
        <v>0</v>
      </c>
      <c r="T220">
        <f t="shared" si="48"/>
        <v>0</v>
      </c>
      <c r="U220">
        <f t="shared" si="49"/>
        <v>0</v>
      </c>
      <c r="V220">
        <f t="shared" si="50"/>
        <v>0</v>
      </c>
    </row>
    <row r="221" spans="1:22" x14ac:dyDescent="0.4">
      <c r="A221" s="1" t="s">
        <v>712</v>
      </c>
      <c r="B221" s="1" t="s">
        <v>713</v>
      </c>
      <c r="C221" s="1" t="s">
        <v>714</v>
      </c>
      <c r="D221" s="1" t="s">
        <v>25</v>
      </c>
      <c r="E221" s="1" t="s">
        <v>37</v>
      </c>
      <c r="F221" s="5" t="s">
        <v>10</v>
      </c>
      <c r="G221" s="1" t="s">
        <v>27</v>
      </c>
      <c r="H221">
        <f>VLOOKUP(D221,[1]金額リスト!$A$2:$B$6,2,FALSE)</f>
        <v>59400</v>
      </c>
      <c r="I221" s="1" t="s">
        <v>33</v>
      </c>
      <c r="J221">
        <f t="shared" si="39"/>
        <v>0</v>
      </c>
      <c r="K221">
        <f t="shared" si="40"/>
        <v>59400</v>
      </c>
      <c r="L221">
        <f t="shared" si="51"/>
        <v>0</v>
      </c>
      <c r="M221">
        <f t="shared" si="41"/>
        <v>0</v>
      </c>
      <c r="N221">
        <f t="shared" si="42"/>
        <v>0</v>
      </c>
      <c r="O221">
        <f t="shared" si="43"/>
        <v>0</v>
      </c>
      <c r="P221">
        <f t="shared" si="44"/>
        <v>0</v>
      </c>
      <c r="Q221">
        <f t="shared" si="45"/>
        <v>0</v>
      </c>
      <c r="R221">
        <f t="shared" si="46"/>
        <v>0</v>
      </c>
      <c r="S221">
        <f t="shared" si="47"/>
        <v>0</v>
      </c>
      <c r="T221">
        <f t="shared" si="48"/>
        <v>0</v>
      </c>
      <c r="U221">
        <f t="shared" si="49"/>
        <v>0</v>
      </c>
      <c r="V221">
        <f t="shared" si="50"/>
        <v>0</v>
      </c>
    </row>
    <row r="222" spans="1:22" x14ac:dyDescent="0.4">
      <c r="A222" s="1" t="s">
        <v>715</v>
      </c>
      <c r="B222" s="1" t="s">
        <v>716</v>
      </c>
      <c r="C222" s="1" t="s">
        <v>717</v>
      </c>
      <c r="D222" s="1" t="s">
        <v>44</v>
      </c>
      <c r="E222" s="1" t="s">
        <v>97</v>
      </c>
      <c r="F222" s="5" t="s">
        <v>46</v>
      </c>
      <c r="G222" s="1" t="s">
        <v>27</v>
      </c>
      <c r="H222">
        <f>VLOOKUP(D222,[1]金額リスト!$A$2:$B$6,2,FALSE)</f>
        <v>114300</v>
      </c>
      <c r="I222" s="1" t="s">
        <v>33</v>
      </c>
      <c r="J222">
        <f t="shared" si="39"/>
        <v>0</v>
      </c>
      <c r="K222">
        <f t="shared" si="40"/>
        <v>0</v>
      </c>
      <c r="L222">
        <f t="shared" si="51"/>
        <v>0</v>
      </c>
      <c r="M222">
        <f t="shared" si="41"/>
        <v>0</v>
      </c>
      <c r="N222">
        <f t="shared" si="42"/>
        <v>114300</v>
      </c>
      <c r="O222">
        <f t="shared" si="43"/>
        <v>0</v>
      </c>
      <c r="P222">
        <f t="shared" si="44"/>
        <v>0</v>
      </c>
      <c r="Q222">
        <f t="shared" si="45"/>
        <v>0</v>
      </c>
      <c r="R222">
        <f t="shared" si="46"/>
        <v>0</v>
      </c>
      <c r="S222">
        <f t="shared" si="47"/>
        <v>0</v>
      </c>
      <c r="T222">
        <f t="shared" si="48"/>
        <v>0</v>
      </c>
      <c r="U222">
        <f t="shared" si="49"/>
        <v>0</v>
      </c>
      <c r="V222">
        <f t="shared" si="50"/>
        <v>0</v>
      </c>
    </row>
    <row r="223" spans="1:22" x14ac:dyDescent="0.4">
      <c r="A223" s="1" t="s">
        <v>718</v>
      </c>
      <c r="B223" s="1" t="s">
        <v>719</v>
      </c>
      <c r="C223" s="1" t="s">
        <v>720</v>
      </c>
      <c r="D223" s="1" t="s">
        <v>44</v>
      </c>
      <c r="E223" s="1" t="s">
        <v>150</v>
      </c>
      <c r="F223" s="5" t="s">
        <v>46</v>
      </c>
      <c r="G223" s="1" t="s">
        <v>27</v>
      </c>
      <c r="H223">
        <f>VLOOKUP(D223,[1]金額リスト!$A$2:$B$6,2,FALSE)</f>
        <v>114300</v>
      </c>
      <c r="I223" s="1" t="s">
        <v>33</v>
      </c>
      <c r="J223">
        <f t="shared" si="39"/>
        <v>0</v>
      </c>
      <c r="K223">
        <f t="shared" si="40"/>
        <v>0</v>
      </c>
      <c r="L223">
        <f t="shared" si="51"/>
        <v>0</v>
      </c>
      <c r="M223">
        <f t="shared" si="41"/>
        <v>0</v>
      </c>
      <c r="N223">
        <f t="shared" si="42"/>
        <v>114300</v>
      </c>
      <c r="O223">
        <f t="shared" si="43"/>
        <v>0</v>
      </c>
      <c r="P223">
        <f t="shared" si="44"/>
        <v>0</v>
      </c>
      <c r="Q223">
        <f t="shared" si="45"/>
        <v>0</v>
      </c>
      <c r="R223">
        <f t="shared" si="46"/>
        <v>0</v>
      </c>
      <c r="S223">
        <f t="shared" si="47"/>
        <v>0</v>
      </c>
      <c r="T223">
        <f t="shared" si="48"/>
        <v>0</v>
      </c>
      <c r="U223">
        <f t="shared" si="49"/>
        <v>0</v>
      </c>
      <c r="V223">
        <f t="shared" si="50"/>
        <v>0</v>
      </c>
    </row>
    <row r="224" spans="1:22" x14ac:dyDescent="0.4">
      <c r="A224" s="1" t="s">
        <v>721</v>
      </c>
      <c r="B224" s="1" t="s">
        <v>722</v>
      </c>
      <c r="C224" s="1" t="s">
        <v>723</v>
      </c>
      <c r="D224" s="1" t="s">
        <v>44</v>
      </c>
      <c r="E224" s="1" t="s">
        <v>32</v>
      </c>
      <c r="F224" s="5" t="s">
        <v>46</v>
      </c>
      <c r="G224" s="1" t="s">
        <v>27</v>
      </c>
      <c r="H224">
        <f>VLOOKUP(D224,[1]金額リスト!$A$2:$B$6,2,FALSE)</f>
        <v>114300</v>
      </c>
      <c r="I224" s="1" t="s">
        <v>33</v>
      </c>
      <c r="J224">
        <f t="shared" si="39"/>
        <v>0</v>
      </c>
      <c r="K224">
        <f t="shared" si="40"/>
        <v>0</v>
      </c>
      <c r="L224">
        <f t="shared" si="51"/>
        <v>0</v>
      </c>
      <c r="M224">
        <f t="shared" si="41"/>
        <v>0</v>
      </c>
      <c r="N224">
        <f t="shared" si="42"/>
        <v>114300</v>
      </c>
      <c r="O224">
        <f t="shared" si="43"/>
        <v>0</v>
      </c>
      <c r="P224">
        <f t="shared" si="44"/>
        <v>0</v>
      </c>
      <c r="Q224">
        <f t="shared" si="45"/>
        <v>0</v>
      </c>
      <c r="R224">
        <f t="shared" si="46"/>
        <v>0</v>
      </c>
      <c r="S224">
        <f t="shared" si="47"/>
        <v>0</v>
      </c>
      <c r="T224">
        <f t="shared" si="48"/>
        <v>0</v>
      </c>
      <c r="U224">
        <f t="shared" si="49"/>
        <v>0</v>
      </c>
      <c r="V224">
        <f t="shared" si="50"/>
        <v>0</v>
      </c>
    </row>
    <row r="225" spans="1:22" x14ac:dyDescent="0.4">
      <c r="A225" s="1" t="s">
        <v>724</v>
      </c>
      <c r="B225" s="1" t="s">
        <v>725</v>
      </c>
      <c r="C225" s="1" t="s">
        <v>726</v>
      </c>
      <c r="D225" s="1" t="s">
        <v>25</v>
      </c>
      <c r="E225" s="1" t="s">
        <v>32</v>
      </c>
      <c r="F225" s="5" t="s">
        <v>10</v>
      </c>
      <c r="G225" s="1" t="s">
        <v>27</v>
      </c>
      <c r="H225">
        <f>VLOOKUP(D225,[1]金額リスト!$A$2:$B$6,2,FALSE)</f>
        <v>59400</v>
      </c>
      <c r="I225" s="1" t="s">
        <v>33</v>
      </c>
      <c r="J225">
        <f t="shared" si="39"/>
        <v>0</v>
      </c>
      <c r="K225">
        <f t="shared" si="40"/>
        <v>59400</v>
      </c>
      <c r="L225">
        <f t="shared" si="51"/>
        <v>0</v>
      </c>
      <c r="M225">
        <f t="shared" si="41"/>
        <v>0</v>
      </c>
      <c r="N225">
        <f t="shared" si="42"/>
        <v>0</v>
      </c>
      <c r="O225">
        <f t="shared" si="43"/>
        <v>0</v>
      </c>
      <c r="P225">
        <f t="shared" si="44"/>
        <v>0</v>
      </c>
      <c r="Q225">
        <f t="shared" si="45"/>
        <v>0</v>
      </c>
      <c r="R225">
        <f t="shared" si="46"/>
        <v>0</v>
      </c>
      <c r="S225">
        <f t="shared" si="47"/>
        <v>0</v>
      </c>
      <c r="T225">
        <f t="shared" si="48"/>
        <v>0</v>
      </c>
      <c r="U225">
        <f t="shared" si="49"/>
        <v>0</v>
      </c>
      <c r="V225">
        <f t="shared" si="50"/>
        <v>0</v>
      </c>
    </row>
    <row r="226" spans="1:22" x14ac:dyDescent="0.4">
      <c r="A226" s="1" t="s">
        <v>727</v>
      </c>
      <c r="B226" s="1" t="s">
        <v>728</v>
      </c>
      <c r="C226" s="1" t="s">
        <v>729</v>
      </c>
      <c r="D226" s="1" t="s">
        <v>44</v>
      </c>
      <c r="E226" s="1" t="s">
        <v>86</v>
      </c>
      <c r="F226" s="5" t="s">
        <v>46</v>
      </c>
      <c r="G226" s="1" t="s">
        <v>27</v>
      </c>
      <c r="H226">
        <f>VLOOKUP(D226,[1]金額リスト!$A$2:$B$6,2,FALSE)</f>
        <v>114300</v>
      </c>
      <c r="I226" s="1" t="s">
        <v>33</v>
      </c>
      <c r="J226">
        <f t="shared" si="39"/>
        <v>0</v>
      </c>
      <c r="K226">
        <f t="shared" si="40"/>
        <v>0</v>
      </c>
      <c r="L226">
        <f t="shared" si="51"/>
        <v>0</v>
      </c>
      <c r="M226">
        <f t="shared" si="41"/>
        <v>0</v>
      </c>
      <c r="N226">
        <f t="shared" si="42"/>
        <v>114300</v>
      </c>
      <c r="O226">
        <f t="shared" si="43"/>
        <v>0</v>
      </c>
      <c r="P226">
        <f t="shared" si="44"/>
        <v>0</v>
      </c>
      <c r="Q226">
        <f t="shared" si="45"/>
        <v>0</v>
      </c>
      <c r="R226">
        <f t="shared" si="46"/>
        <v>0</v>
      </c>
      <c r="S226">
        <f t="shared" si="47"/>
        <v>0</v>
      </c>
      <c r="T226">
        <f t="shared" si="48"/>
        <v>0</v>
      </c>
      <c r="U226">
        <f t="shared" si="49"/>
        <v>0</v>
      </c>
      <c r="V226">
        <f t="shared" si="50"/>
        <v>0</v>
      </c>
    </row>
    <row r="227" spans="1:22" x14ac:dyDescent="0.4">
      <c r="A227" s="1" t="s">
        <v>730</v>
      </c>
      <c r="B227" s="1" t="s">
        <v>731</v>
      </c>
      <c r="C227" s="1" t="s">
        <v>732</v>
      </c>
      <c r="D227" s="1" t="s">
        <v>44</v>
      </c>
      <c r="E227" s="1" t="s">
        <v>90</v>
      </c>
      <c r="F227" s="5" t="s">
        <v>46</v>
      </c>
      <c r="G227" s="1" t="s">
        <v>27</v>
      </c>
      <c r="H227">
        <f>VLOOKUP(D227,[1]金額リスト!$A$2:$B$6,2,FALSE)</f>
        <v>114300</v>
      </c>
      <c r="I227" s="1" t="s">
        <v>33</v>
      </c>
      <c r="J227">
        <f t="shared" si="39"/>
        <v>0</v>
      </c>
      <c r="K227">
        <f t="shared" si="40"/>
        <v>0</v>
      </c>
      <c r="L227">
        <f t="shared" si="51"/>
        <v>0</v>
      </c>
      <c r="M227">
        <f t="shared" si="41"/>
        <v>0</v>
      </c>
      <c r="N227">
        <f t="shared" si="42"/>
        <v>114300</v>
      </c>
      <c r="O227">
        <f t="shared" si="43"/>
        <v>0</v>
      </c>
      <c r="P227">
        <f t="shared" si="44"/>
        <v>0</v>
      </c>
      <c r="Q227">
        <f t="shared" si="45"/>
        <v>0</v>
      </c>
      <c r="R227">
        <f t="shared" si="46"/>
        <v>0</v>
      </c>
      <c r="S227">
        <f t="shared" si="47"/>
        <v>0</v>
      </c>
      <c r="T227">
        <f t="shared" si="48"/>
        <v>0</v>
      </c>
      <c r="U227">
        <f t="shared" si="49"/>
        <v>0</v>
      </c>
      <c r="V227">
        <f t="shared" si="50"/>
        <v>0</v>
      </c>
    </row>
    <row r="228" spans="1:22" x14ac:dyDescent="0.4">
      <c r="A228" s="1" t="s">
        <v>733</v>
      </c>
      <c r="B228" s="1" t="s">
        <v>734</v>
      </c>
      <c r="C228" s="1" t="s">
        <v>735</v>
      </c>
      <c r="D228" s="1" t="s">
        <v>44</v>
      </c>
      <c r="E228" s="1" t="s">
        <v>150</v>
      </c>
      <c r="F228" s="5" t="s">
        <v>46</v>
      </c>
      <c r="G228" s="1" t="s">
        <v>27</v>
      </c>
      <c r="H228">
        <f>VLOOKUP(D228,[1]金額リスト!$A$2:$B$6,2,FALSE)</f>
        <v>114300</v>
      </c>
      <c r="I228" s="1" t="s">
        <v>33</v>
      </c>
      <c r="J228">
        <f t="shared" si="39"/>
        <v>0</v>
      </c>
      <c r="K228">
        <f t="shared" si="40"/>
        <v>0</v>
      </c>
      <c r="L228">
        <f t="shared" si="51"/>
        <v>0</v>
      </c>
      <c r="M228">
        <f t="shared" si="41"/>
        <v>0</v>
      </c>
      <c r="N228">
        <f t="shared" si="42"/>
        <v>114300</v>
      </c>
      <c r="O228">
        <f t="shared" si="43"/>
        <v>0</v>
      </c>
      <c r="P228">
        <f t="shared" si="44"/>
        <v>0</v>
      </c>
      <c r="Q228">
        <f t="shared" si="45"/>
        <v>0</v>
      </c>
      <c r="R228">
        <f t="shared" si="46"/>
        <v>0</v>
      </c>
      <c r="S228">
        <f t="shared" si="47"/>
        <v>0</v>
      </c>
      <c r="T228">
        <f t="shared" si="48"/>
        <v>0</v>
      </c>
      <c r="U228">
        <f t="shared" si="49"/>
        <v>0</v>
      </c>
      <c r="V228">
        <f t="shared" si="50"/>
        <v>0</v>
      </c>
    </row>
    <row r="229" spans="1:22" x14ac:dyDescent="0.4">
      <c r="A229" s="1" t="s">
        <v>736</v>
      </c>
      <c r="B229" s="1" t="s">
        <v>737</v>
      </c>
      <c r="C229" s="1" t="s">
        <v>738</v>
      </c>
      <c r="D229" s="1" t="s">
        <v>44</v>
      </c>
      <c r="E229" s="1" t="s">
        <v>86</v>
      </c>
      <c r="F229" s="5" t="s">
        <v>46</v>
      </c>
      <c r="G229" s="1" t="s">
        <v>27</v>
      </c>
      <c r="H229">
        <f>VLOOKUP(D229,[1]金額リスト!$A$2:$B$6,2,FALSE)</f>
        <v>114300</v>
      </c>
      <c r="I229" s="1" t="s">
        <v>33</v>
      </c>
      <c r="J229">
        <f t="shared" si="39"/>
        <v>0</v>
      </c>
      <c r="K229">
        <f t="shared" si="40"/>
        <v>0</v>
      </c>
      <c r="L229">
        <f t="shared" si="51"/>
        <v>0</v>
      </c>
      <c r="M229">
        <f t="shared" si="41"/>
        <v>0</v>
      </c>
      <c r="N229">
        <f t="shared" si="42"/>
        <v>114300</v>
      </c>
      <c r="O229">
        <f t="shared" si="43"/>
        <v>0</v>
      </c>
      <c r="P229">
        <f t="shared" si="44"/>
        <v>0</v>
      </c>
      <c r="Q229">
        <f t="shared" si="45"/>
        <v>0</v>
      </c>
      <c r="R229">
        <f t="shared" si="46"/>
        <v>0</v>
      </c>
      <c r="S229">
        <f t="shared" si="47"/>
        <v>0</v>
      </c>
      <c r="T229">
        <f t="shared" si="48"/>
        <v>0</v>
      </c>
      <c r="U229">
        <f t="shared" si="49"/>
        <v>0</v>
      </c>
      <c r="V229">
        <f t="shared" si="50"/>
        <v>0</v>
      </c>
    </row>
    <row r="230" spans="1:22" x14ac:dyDescent="0.4">
      <c r="A230" s="1" t="s">
        <v>739</v>
      </c>
      <c r="B230" s="1" t="s">
        <v>740</v>
      </c>
      <c r="C230" s="1" t="s">
        <v>741</v>
      </c>
      <c r="D230" s="1" t="s">
        <v>44</v>
      </c>
      <c r="E230" s="1" t="s">
        <v>86</v>
      </c>
      <c r="F230" s="5" t="s">
        <v>46</v>
      </c>
      <c r="G230" s="1" t="s">
        <v>27</v>
      </c>
      <c r="H230">
        <f>VLOOKUP(D230,[1]金額リスト!$A$2:$B$6,2,FALSE)</f>
        <v>114300</v>
      </c>
      <c r="I230" s="1" t="s">
        <v>33</v>
      </c>
      <c r="J230">
        <f t="shared" si="39"/>
        <v>0</v>
      </c>
      <c r="K230">
        <f t="shared" si="40"/>
        <v>0</v>
      </c>
      <c r="L230">
        <f t="shared" si="51"/>
        <v>0</v>
      </c>
      <c r="M230">
        <f t="shared" si="41"/>
        <v>0</v>
      </c>
      <c r="N230">
        <f t="shared" si="42"/>
        <v>114300</v>
      </c>
      <c r="O230">
        <f t="shared" si="43"/>
        <v>0</v>
      </c>
      <c r="P230">
        <f t="shared" si="44"/>
        <v>0</v>
      </c>
      <c r="Q230">
        <f t="shared" si="45"/>
        <v>0</v>
      </c>
      <c r="R230">
        <f t="shared" si="46"/>
        <v>0</v>
      </c>
      <c r="S230">
        <f t="shared" si="47"/>
        <v>0</v>
      </c>
      <c r="T230">
        <f t="shared" si="48"/>
        <v>0</v>
      </c>
      <c r="U230">
        <f t="shared" si="49"/>
        <v>0</v>
      </c>
      <c r="V230">
        <f t="shared" si="50"/>
        <v>0</v>
      </c>
    </row>
    <row r="231" spans="1:22" x14ac:dyDescent="0.4">
      <c r="A231" s="1" t="s">
        <v>742</v>
      </c>
      <c r="B231" s="1" t="s">
        <v>743</v>
      </c>
      <c r="C231" s="1" t="s">
        <v>744</v>
      </c>
      <c r="D231" s="1" t="s">
        <v>25</v>
      </c>
      <c r="E231" s="1" t="s">
        <v>178</v>
      </c>
      <c r="F231" s="5" t="s">
        <v>10</v>
      </c>
      <c r="G231" s="1" t="s">
        <v>27</v>
      </c>
      <c r="H231">
        <f>VLOOKUP(D231,[1]金額リスト!$A$2:$B$6,2,FALSE)</f>
        <v>59400</v>
      </c>
      <c r="I231" s="1" t="s">
        <v>33</v>
      </c>
      <c r="J231">
        <f t="shared" si="39"/>
        <v>0</v>
      </c>
      <c r="K231">
        <f t="shared" si="40"/>
        <v>59400</v>
      </c>
      <c r="L231">
        <f t="shared" si="51"/>
        <v>0</v>
      </c>
      <c r="M231">
        <f t="shared" si="41"/>
        <v>0</v>
      </c>
      <c r="N231">
        <f t="shared" si="42"/>
        <v>0</v>
      </c>
      <c r="O231">
        <f t="shared" si="43"/>
        <v>0</v>
      </c>
      <c r="P231">
        <f t="shared" si="44"/>
        <v>0</v>
      </c>
      <c r="Q231">
        <f t="shared" si="45"/>
        <v>0</v>
      </c>
      <c r="R231">
        <f t="shared" si="46"/>
        <v>0</v>
      </c>
      <c r="S231">
        <f t="shared" si="47"/>
        <v>0</v>
      </c>
      <c r="T231">
        <f t="shared" si="48"/>
        <v>0</v>
      </c>
      <c r="U231">
        <f t="shared" si="49"/>
        <v>0</v>
      </c>
      <c r="V231">
        <f t="shared" si="50"/>
        <v>0</v>
      </c>
    </row>
    <row r="232" spans="1:22" x14ac:dyDescent="0.4">
      <c r="A232" s="1" t="s">
        <v>745</v>
      </c>
      <c r="B232" s="1" t="s">
        <v>746</v>
      </c>
      <c r="C232" s="1" t="s">
        <v>747</v>
      </c>
      <c r="D232" s="1" t="s">
        <v>44</v>
      </c>
      <c r="E232" s="1" t="s">
        <v>748</v>
      </c>
      <c r="F232" s="5" t="s">
        <v>75</v>
      </c>
      <c r="G232" s="1" t="s">
        <v>27</v>
      </c>
      <c r="H232">
        <f>VLOOKUP(D232,[1]金額リスト!$A$2:$B$6,2,FALSE)</f>
        <v>114300</v>
      </c>
      <c r="I232" s="1" t="s">
        <v>28</v>
      </c>
      <c r="J232">
        <f t="shared" si="39"/>
        <v>0</v>
      </c>
      <c r="K232">
        <f t="shared" si="40"/>
        <v>0</v>
      </c>
      <c r="L232">
        <f t="shared" si="51"/>
        <v>0</v>
      </c>
      <c r="M232">
        <f t="shared" si="41"/>
        <v>0</v>
      </c>
      <c r="N232">
        <f t="shared" si="42"/>
        <v>0</v>
      </c>
      <c r="O232">
        <f t="shared" si="43"/>
        <v>114300</v>
      </c>
      <c r="P232">
        <f t="shared" si="44"/>
        <v>0</v>
      </c>
      <c r="Q232">
        <f t="shared" si="45"/>
        <v>0</v>
      </c>
      <c r="R232">
        <f t="shared" si="46"/>
        <v>0</v>
      </c>
      <c r="S232">
        <f t="shared" si="47"/>
        <v>0</v>
      </c>
      <c r="T232">
        <f t="shared" si="48"/>
        <v>0</v>
      </c>
      <c r="U232">
        <f t="shared" si="49"/>
        <v>0</v>
      </c>
      <c r="V232">
        <f t="shared" si="50"/>
        <v>0</v>
      </c>
    </row>
    <row r="233" spans="1:22" x14ac:dyDescent="0.4">
      <c r="A233" s="1" t="s">
        <v>749</v>
      </c>
      <c r="B233" s="1" t="s">
        <v>750</v>
      </c>
      <c r="C233" s="1" t="s">
        <v>751</v>
      </c>
      <c r="D233" s="1" t="s">
        <v>50</v>
      </c>
      <c r="E233" s="1" t="s">
        <v>86</v>
      </c>
      <c r="F233" s="5" t="s">
        <v>46</v>
      </c>
      <c r="G233" s="1" t="s">
        <v>52</v>
      </c>
      <c r="H233">
        <f>VLOOKUP(D233,[1]金額リスト!$A$2:$B$6,2,FALSE)</f>
        <v>114300</v>
      </c>
      <c r="I233" s="1" t="s">
        <v>28</v>
      </c>
      <c r="J233">
        <f t="shared" si="39"/>
        <v>0</v>
      </c>
      <c r="K233">
        <f t="shared" si="40"/>
        <v>0</v>
      </c>
      <c r="L233">
        <f t="shared" si="51"/>
        <v>0</v>
      </c>
      <c r="M233">
        <f t="shared" si="41"/>
        <v>0</v>
      </c>
      <c r="N233">
        <f t="shared" si="42"/>
        <v>114300</v>
      </c>
      <c r="O233">
        <f t="shared" si="43"/>
        <v>0</v>
      </c>
      <c r="P233">
        <f t="shared" si="44"/>
        <v>0</v>
      </c>
      <c r="Q233">
        <f t="shared" si="45"/>
        <v>0</v>
      </c>
      <c r="R233">
        <f t="shared" si="46"/>
        <v>0</v>
      </c>
      <c r="S233">
        <f t="shared" si="47"/>
        <v>0</v>
      </c>
      <c r="T233">
        <f t="shared" si="48"/>
        <v>0</v>
      </c>
      <c r="U233">
        <f t="shared" si="49"/>
        <v>0</v>
      </c>
      <c r="V233">
        <f t="shared" si="50"/>
        <v>0</v>
      </c>
    </row>
    <row r="234" spans="1:22" x14ac:dyDescent="0.4">
      <c r="A234" s="1" t="s">
        <v>752</v>
      </c>
      <c r="B234" s="1" t="s">
        <v>753</v>
      </c>
      <c r="C234" s="1" t="s">
        <v>754</v>
      </c>
      <c r="D234" s="1" t="s">
        <v>44</v>
      </c>
      <c r="E234" s="1" t="s">
        <v>150</v>
      </c>
      <c r="F234" s="5" t="s">
        <v>46</v>
      </c>
      <c r="G234" s="1" t="s">
        <v>27</v>
      </c>
      <c r="H234">
        <f>VLOOKUP(D234,[1]金額リスト!$A$2:$B$6,2,FALSE)</f>
        <v>114300</v>
      </c>
      <c r="I234" s="1" t="s">
        <v>33</v>
      </c>
      <c r="J234">
        <f t="shared" si="39"/>
        <v>0</v>
      </c>
      <c r="K234">
        <f t="shared" si="40"/>
        <v>0</v>
      </c>
      <c r="L234">
        <f t="shared" si="51"/>
        <v>0</v>
      </c>
      <c r="M234">
        <f t="shared" si="41"/>
        <v>0</v>
      </c>
      <c r="N234">
        <f t="shared" si="42"/>
        <v>114300</v>
      </c>
      <c r="O234">
        <f t="shared" si="43"/>
        <v>0</v>
      </c>
      <c r="P234">
        <f t="shared" si="44"/>
        <v>0</v>
      </c>
      <c r="Q234">
        <f t="shared" si="45"/>
        <v>0</v>
      </c>
      <c r="R234">
        <f t="shared" si="46"/>
        <v>0</v>
      </c>
      <c r="S234">
        <f t="shared" si="47"/>
        <v>0</v>
      </c>
      <c r="T234">
        <f t="shared" si="48"/>
        <v>0</v>
      </c>
      <c r="U234">
        <f t="shared" si="49"/>
        <v>0</v>
      </c>
      <c r="V234">
        <f t="shared" si="50"/>
        <v>0</v>
      </c>
    </row>
    <row r="235" spans="1:22" x14ac:dyDescent="0.4">
      <c r="A235" s="1" t="s">
        <v>755</v>
      </c>
      <c r="B235" s="1" t="s">
        <v>756</v>
      </c>
      <c r="C235" s="1" t="s">
        <v>757</v>
      </c>
      <c r="D235" s="1" t="s">
        <v>44</v>
      </c>
      <c r="E235" s="1" t="s">
        <v>86</v>
      </c>
      <c r="F235" s="5" t="s">
        <v>46</v>
      </c>
      <c r="G235" s="1" t="s">
        <v>27</v>
      </c>
      <c r="H235">
        <f>VLOOKUP(D235,[1]金額リスト!$A$2:$B$6,2,FALSE)</f>
        <v>114300</v>
      </c>
      <c r="I235" s="1" t="s">
        <v>33</v>
      </c>
      <c r="J235">
        <f t="shared" si="39"/>
        <v>0</v>
      </c>
      <c r="K235">
        <f t="shared" si="40"/>
        <v>0</v>
      </c>
      <c r="L235">
        <f t="shared" si="51"/>
        <v>0</v>
      </c>
      <c r="M235">
        <f t="shared" si="41"/>
        <v>0</v>
      </c>
      <c r="N235">
        <f t="shared" si="42"/>
        <v>114300</v>
      </c>
      <c r="O235">
        <f t="shared" si="43"/>
        <v>0</v>
      </c>
      <c r="P235">
        <f t="shared" si="44"/>
        <v>0</v>
      </c>
      <c r="Q235">
        <f t="shared" si="45"/>
        <v>0</v>
      </c>
      <c r="R235">
        <f t="shared" si="46"/>
        <v>0</v>
      </c>
      <c r="S235">
        <f t="shared" si="47"/>
        <v>0</v>
      </c>
      <c r="T235">
        <f t="shared" si="48"/>
        <v>0</v>
      </c>
      <c r="U235">
        <f t="shared" si="49"/>
        <v>0</v>
      </c>
      <c r="V235">
        <f t="shared" si="50"/>
        <v>0</v>
      </c>
    </row>
    <row r="236" spans="1:22" x14ac:dyDescent="0.4">
      <c r="A236" s="1" t="s">
        <v>758</v>
      </c>
      <c r="B236" s="1" t="s">
        <v>759</v>
      </c>
      <c r="C236" s="1" t="s">
        <v>760</v>
      </c>
      <c r="D236" s="1" t="s">
        <v>44</v>
      </c>
      <c r="E236" s="1" t="s">
        <v>90</v>
      </c>
      <c r="F236" s="5" t="s">
        <v>46</v>
      </c>
      <c r="G236" s="1" t="s">
        <v>27</v>
      </c>
      <c r="H236">
        <f>VLOOKUP(D236,[1]金額リスト!$A$2:$B$6,2,FALSE)</f>
        <v>114300</v>
      </c>
      <c r="I236" s="1" t="s">
        <v>33</v>
      </c>
      <c r="J236">
        <f t="shared" si="39"/>
        <v>0</v>
      </c>
      <c r="K236">
        <f t="shared" si="40"/>
        <v>0</v>
      </c>
      <c r="L236">
        <f t="shared" si="51"/>
        <v>0</v>
      </c>
      <c r="M236">
        <f t="shared" si="41"/>
        <v>0</v>
      </c>
      <c r="N236">
        <f t="shared" si="42"/>
        <v>114300</v>
      </c>
      <c r="O236">
        <f t="shared" si="43"/>
        <v>0</v>
      </c>
      <c r="P236">
        <f t="shared" si="44"/>
        <v>0</v>
      </c>
      <c r="Q236">
        <f t="shared" si="45"/>
        <v>0</v>
      </c>
      <c r="R236">
        <f t="shared" si="46"/>
        <v>0</v>
      </c>
      <c r="S236">
        <f t="shared" si="47"/>
        <v>0</v>
      </c>
      <c r="T236">
        <f t="shared" si="48"/>
        <v>0</v>
      </c>
      <c r="U236">
        <f t="shared" si="49"/>
        <v>0</v>
      </c>
      <c r="V236">
        <f t="shared" si="50"/>
        <v>0</v>
      </c>
    </row>
    <row r="237" spans="1:22" x14ac:dyDescent="0.4">
      <c r="A237" s="1" t="s">
        <v>761</v>
      </c>
      <c r="B237" s="1" t="s">
        <v>762</v>
      </c>
      <c r="C237" s="1" t="s">
        <v>763</v>
      </c>
      <c r="D237" s="1" t="s">
        <v>44</v>
      </c>
      <c r="E237" s="1" t="s">
        <v>63</v>
      </c>
      <c r="F237" s="5" t="s">
        <v>46</v>
      </c>
      <c r="G237" s="1" t="s">
        <v>27</v>
      </c>
      <c r="H237">
        <f>VLOOKUP(D237,[1]金額リスト!$A$2:$B$6,2,FALSE)</f>
        <v>114300</v>
      </c>
      <c r="I237" s="1" t="s">
        <v>33</v>
      </c>
      <c r="J237">
        <f t="shared" si="39"/>
        <v>0</v>
      </c>
      <c r="K237">
        <f t="shared" si="40"/>
        <v>0</v>
      </c>
      <c r="L237">
        <f t="shared" si="51"/>
        <v>0</v>
      </c>
      <c r="M237">
        <f t="shared" si="41"/>
        <v>0</v>
      </c>
      <c r="N237">
        <f t="shared" si="42"/>
        <v>114300</v>
      </c>
      <c r="O237">
        <f t="shared" si="43"/>
        <v>0</v>
      </c>
      <c r="P237">
        <f t="shared" si="44"/>
        <v>0</v>
      </c>
      <c r="Q237">
        <f t="shared" si="45"/>
        <v>0</v>
      </c>
      <c r="R237">
        <f t="shared" si="46"/>
        <v>0</v>
      </c>
      <c r="S237">
        <f t="shared" si="47"/>
        <v>0</v>
      </c>
      <c r="T237">
        <f t="shared" si="48"/>
        <v>0</v>
      </c>
      <c r="U237">
        <f t="shared" si="49"/>
        <v>0</v>
      </c>
      <c r="V237">
        <f t="shared" si="50"/>
        <v>0</v>
      </c>
    </row>
    <row r="238" spans="1:22" x14ac:dyDescent="0.4">
      <c r="A238" s="1" t="s">
        <v>764</v>
      </c>
      <c r="B238" s="1" t="s">
        <v>765</v>
      </c>
      <c r="C238" s="1" t="s">
        <v>766</v>
      </c>
      <c r="D238" s="1" t="s">
        <v>44</v>
      </c>
      <c r="E238" s="1" t="s">
        <v>86</v>
      </c>
      <c r="F238" s="5" t="s">
        <v>46</v>
      </c>
      <c r="G238" s="1" t="s">
        <v>27</v>
      </c>
      <c r="H238">
        <f>VLOOKUP(D238,[1]金額リスト!$A$2:$B$6,2,FALSE)</f>
        <v>114300</v>
      </c>
      <c r="I238" s="1" t="s">
        <v>33</v>
      </c>
      <c r="J238">
        <f t="shared" si="39"/>
        <v>0</v>
      </c>
      <c r="K238">
        <f t="shared" si="40"/>
        <v>0</v>
      </c>
      <c r="L238">
        <f t="shared" si="51"/>
        <v>0</v>
      </c>
      <c r="M238">
        <f t="shared" si="41"/>
        <v>0</v>
      </c>
      <c r="N238">
        <f t="shared" si="42"/>
        <v>114300</v>
      </c>
      <c r="O238">
        <f t="shared" si="43"/>
        <v>0</v>
      </c>
      <c r="P238">
        <f t="shared" si="44"/>
        <v>0</v>
      </c>
      <c r="Q238">
        <f t="shared" si="45"/>
        <v>0</v>
      </c>
      <c r="R238">
        <f t="shared" si="46"/>
        <v>0</v>
      </c>
      <c r="S238">
        <f t="shared" si="47"/>
        <v>0</v>
      </c>
      <c r="T238">
        <f t="shared" si="48"/>
        <v>0</v>
      </c>
      <c r="U238">
        <f t="shared" si="49"/>
        <v>0</v>
      </c>
      <c r="V238">
        <f t="shared" si="50"/>
        <v>0</v>
      </c>
    </row>
    <row r="239" spans="1:22" x14ac:dyDescent="0.4">
      <c r="A239" s="1" t="s">
        <v>767</v>
      </c>
      <c r="B239" s="1" t="s">
        <v>768</v>
      </c>
      <c r="C239" s="1" t="s">
        <v>769</v>
      </c>
      <c r="D239" s="1" t="s">
        <v>44</v>
      </c>
      <c r="E239" s="1" t="s">
        <v>32</v>
      </c>
      <c r="F239" s="5" t="s">
        <v>46</v>
      </c>
      <c r="G239" s="1" t="s">
        <v>27</v>
      </c>
      <c r="H239">
        <f>VLOOKUP(D239,[1]金額リスト!$A$2:$B$6,2,FALSE)</f>
        <v>114300</v>
      </c>
      <c r="I239" s="1" t="s">
        <v>33</v>
      </c>
      <c r="J239">
        <f t="shared" si="39"/>
        <v>0</v>
      </c>
      <c r="K239">
        <f t="shared" si="40"/>
        <v>0</v>
      </c>
      <c r="L239">
        <f t="shared" si="51"/>
        <v>0</v>
      </c>
      <c r="M239">
        <f t="shared" si="41"/>
        <v>0</v>
      </c>
      <c r="N239">
        <f t="shared" si="42"/>
        <v>114300</v>
      </c>
      <c r="O239">
        <f t="shared" si="43"/>
        <v>0</v>
      </c>
      <c r="P239">
        <f t="shared" si="44"/>
        <v>0</v>
      </c>
      <c r="Q239">
        <f t="shared" si="45"/>
        <v>0</v>
      </c>
      <c r="R239">
        <f t="shared" si="46"/>
        <v>0</v>
      </c>
      <c r="S239">
        <f t="shared" si="47"/>
        <v>0</v>
      </c>
      <c r="T239">
        <f t="shared" si="48"/>
        <v>0</v>
      </c>
      <c r="U239">
        <f t="shared" si="49"/>
        <v>0</v>
      </c>
      <c r="V239">
        <f t="shared" si="50"/>
        <v>0</v>
      </c>
    </row>
    <row r="240" spans="1:22" x14ac:dyDescent="0.4">
      <c r="A240" s="1" t="s">
        <v>770</v>
      </c>
      <c r="B240" s="1" t="s">
        <v>771</v>
      </c>
      <c r="C240" s="1" t="s">
        <v>772</v>
      </c>
      <c r="D240" s="1" t="s">
        <v>70</v>
      </c>
      <c r="E240" s="1" t="s">
        <v>97</v>
      </c>
      <c r="F240" s="5" t="s">
        <v>10</v>
      </c>
      <c r="G240" s="1" t="s">
        <v>52</v>
      </c>
      <c r="H240">
        <f>VLOOKUP(D240,[1]金額リスト!$A$2:$B$6,2,FALSE)</f>
        <v>59400</v>
      </c>
      <c r="I240" s="1" t="s">
        <v>28</v>
      </c>
      <c r="J240">
        <f t="shared" si="39"/>
        <v>0</v>
      </c>
      <c r="K240">
        <f t="shared" si="40"/>
        <v>59400</v>
      </c>
      <c r="L240">
        <f t="shared" si="51"/>
        <v>0</v>
      </c>
      <c r="M240">
        <f t="shared" si="41"/>
        <v>0</v>
      </c>
      <c r="N240">
        <f t="shared" si="42"/>
        <v>0</v>
      </c>
      <c r="O240">
        <f t="shared" si="43"/>
        <v>0</v>
      </c>
      <c r="P240">
        <f t="shared" si="44"/>
        <v>0</v>
      </c>
      <c r="Q240">
        <f t="shared" si="45"/>
        <v>0</v>
      </c>
      <c r="R240">
        <f t="shared" si="46"/>
        <v>0</v>
      </c>
      <c r="S240">
        <f t="shared" si="47"/>
        <v>0</v>
      </c>
      <c r="T240">
        <f t="shared" si="48"/>
        <v>0</v>
      </c>
      <c r="U240">
        <f t="shared" si="49"/>
        <v>0</v>
      </c>
      <c r="V240">
        <f t="shared" si="50"/>
        <v>0</v>
      </c>
    </row>
    <row r="241" spans="1:22" x14ac:dyDescent="0.4">
      <c r="A241" s="1" t="s">
        <v>773</v>
      </c>
      <c r="B241" s="1" t="s">
        <v>774</v>
      </c>
      <c r="C241" s="1" t="s">
        <v>775</v>
      </c>
      <c r="D241" s="1" t="s">
        <v>25</v>
      </c>
      <c r="E241" s="1" t="s">
        <v>112</v>
      </c>
      <c r="F241" s="5" t="s">
        <v>10</v>
      </c>
      <c r="G241" s="1" t="s">
        <v>27</v>
      </c>
      <c r="H241">
        <f>VLOOKUP(D241,[1]金額リスト!$A$2:$B$6,2,FALSE)</f>
        <v>59400</v>
      </c>
      <c r="I241" s="1" t="s">
        <v>33</v>
      </c>
      <c r="J241">
        <f t="shared" si="39"/>
        <v>0</v>
      </c>
      <c r="K241">
        <f t="shared" si="40"/>
        <v>59400</v>
      </c>
      <c r="L241">
        <f t="shared" si="51"/>
        <v>0</v>
      </c>
      <c r="M241">
        <f t="shared" si="41"/>
        <v>0</v>
      </c>
      <c r="N241">
        <f t="shared" si="42"/>
        <v>0</v>
      </c>
      <c r="O241">
        <f t="shared" si="43"/>
        <v>0</v>
      </c>
      <c r="P241">
        <f t="shared" si="44"/>
        <v>0</v>
      </c>
      <c r="Q241">
        <f t="shared" si="45"/>
        <v>0</v>
      </c>
      <c r="R241">
        <f t="shared" si="46"/>
        <v>0</v>
      </c>
      <c r="S241">
        <f t="shared" si="47"/>
        <v>0</v>
      </c>
      <c r="T241">
        <f t="shared" si="48"/>
        <v>0</v>
      </c>
      <c r="U241">
        <f t="shared" si="49"/>
        <v>0</v>
      </c>
      <c r="V241">
        <f t="shared" si="50"/>
        <v>0</v>
      </c>
    </row>
    <row r="242" spans="1:22" x14ac:dyDescent="0.4">
      <c r="A242" s="1" t="s">
        <v>776</v>
      </c>
      <c r="B242" s="1" t="s">
        <v>777</v>
      </c>
      <c r="C242" s="1" t="s">
        <v>778</v>
      </c>
      <c r="D242" s="1" t="s">
        <v>44</v>
      </c>
      <c r="E242" s="1" t="s">
        <v>56</v>
      </c>
      <c r="F242" s="5" t="s">
        <v>46</v>
      </c>
      <c r="G242" s="1" t="s">
        <v>27</v>
      </c>
      <c r="H242">
        <f>VLOOKUP(D242,[1]金額リスト!$A$2:$B$6,2,FALSE)</f>
        <v>114300</v>
      </c>
      <c r="I242" s="1" t="s">
        <v>33</v>
      </c>
      <c r="J242">
        <f t="shared" si="39"/>
        <v>0</v>
      </c>
      <c r="K242">
        <f t="shared" si="40"/>
        <v>0</v>
      </c>
      <c r="L242">
        <f t="shared" si="51"/>
        <v>0</v>
      </c>
      <c r="M242">
        <f t="shared" si="41"/>
        <v>0</v>
      </c>
      <c r="N242">
        <f t="shared" si="42"/>
        <v>114300</v>
      </c>
      <c r="O242">
        <f t="shared" si="43"/>
        <v>0</v>
      </c>
      <c r="P242">
        <f t="shared" si="44"/>
        <v>0</v>
      </c>
      <c r="Q242">
        <f t="shared" si="45"/>
        <v>0</v>
      </c>
      <c r="R242">
        <f t="shared" si="46"/>
        <v>0</v>
      </c>
      <c r="S242">
        <f t="shared" si="47"/>
        <v>0</v>
      </c>
      <c r="T242">
        <f t="shared" si="48"/>
        <v>0</v>
      </c>
      <c r="U242">
        <f t="shared" si="49"/>
        <v>0</v>
      </c>
      <c r="V242">
        <f t="shared" si="50"/>
        <v>0</v>
      </c>
    </row>
    <row r="243" spans="1:22" x14ac:dyDescent="0.4">
      <c r="A243" s="1" t="s">
        <v>779</v>
      </c>
      <c r="B243" s="1" t="s">
        <v>780</v>
      </c>
      <c r="C243" s="1" t="s">
        <v>781</v>
      </c>
      <c r="D243" s="1" t="s">
        <v>25</v>
      </c>
      <c r="E243" s="1" t="s">
        <v>90</v>
      </c>
      <c r="F243" s="5" t="s">
        <v>10</v>
      </c>
      <c r="G243" s="1" t="s">
        <v>27</v>
      </c>
      <c r="H243">
        <f>VLOOKUP(D243,[1]金額リスト!$A$2:$B$6,2,FALSE)</f>
        <v>59400</v>
      </c>
      <c r="I243" s="1" t="s">
        <v>33</v>
      </c>
      <c r="J243">
        <f t="shared" si="39"/>
        <v>0</v>
      </c>
      <c r="K243">
        <f t="shared" si="40"/>
        <v>59400</v>
      </c>
      <c r="L243">
        <f t="shared" si="51"/>
        <v>0</v>
      </c>
      <c r="M243">
        <f t="shared" si="41"/>
        <v>0</v>
      </c>
      <c r="N243">
        <f t="shared" si="42"/>
        <v>0</v>
      </c>
      <c r="O243">
        <f t="shared" si="43"/>
        <v>0</v>
      </c>
      <c r="P243">
        <f t="shared" si="44"/>
        <v>0</v>
      </c>
      <c r="Q243">
        <f t="shared" si="45"/>
        <v>0</v>
      </c>
      <c r="R243">
        <f t="shared" si="46"/>
        <v>0</v>
      </c>
      <c r="S243">
        <f t="shared" si="47"/>
        <v>0</v>
      </c>
      <c r="T243">
        <f t="shared" si="48"/>
        <v>0</v>
      </c>
      <c r="U243">
        <f t="shared" si="49"/>
        <v>0</v>
      </c>
      <c r="V243">
        <f t="shared" si="50"/>
        <v>0</v>
      </c>
    </row>
    <row r="244" spans="1:22" x14ac:dyDescent="0.4">
      <c r="A244" s="1" t="s">
        <v>782</v>
      </c>
      <c r="B244" s="1" t="s">
        <v>783</v>
      </c>
      <c r="C244" s="1" t="s">
        <v>784</v>
      </c>
      <c r="D244" s="1" t="s">
        <v>44</v>
      </c>
      <c r="E244" s="1" t="s">
        <v>86</v>
      </c>
      <c r="F244" s="5" t="s">
        <v>46</v>
      </c>
      <c r="G244" s="1" t="s">
        <v>27</v>
      </c>
      <c r="H244">
        <f>VLOOKUP(D244,[1]金額リスト!$A$2:$B$6,2,FALSE)</f>
        <v>114300</v>
      </c>
      <c r="I244" s="1" t="s">
        <v>33</v>
      </c>
      <c r="J244">
        <f t="shared" si="39"/>
        <v>0</v>
      </c>
      <c r="K244">
        <f t="shared" si="40"/>
        <v>0</v>
      </c>
      <c r="L244">
        <f t="shared" si="51"/>
        <v>0</v>
      </c>
      <c r="M244">
        <f t="shared" si="41"/>
        <v>0</v>
      </c>
      <c r="N244">
        <f t="shared" si="42"/>
        <v>114300</v>
      </c>
      <c r="O244">
        <f t="shared" si="43"/>
        <v>0</v>
      </c>
      <c r="P244">
        <f t="shared" si="44"/>
        <v>0</v>
      </c>
      <c r="Q244">
        <f t="shared" si="45"/>
        <v>0</v>
      </c>
      <c r="R244">
        <f t="shared" si="46"/>
        <v>0</v>
      </c>
      <c r="S244">
        <f t="shared" si="47"/>
        <v>0</v>
      </c>
      <c r="T244">
        <f t="shared" si="48"/>
        <v>0</v>
      </c>
      <c r="U244">
        <f t="shared" si="49"/>
        <v>0</v>
      </c>
      <c r="V244">
        <f t="shared" si="50"/>
        <v>0</v>
      </c>
    </row>
    <row r="245" spans="1:22" x14ac:dyDescent="0.4">
      <c r="A245" s="1" t="s">
        <v>785</v>
      </c>
      <c r="B245" s="1" t="s">
        <v>786</v>
      </c>
      <c r="C245" s="1" t="s">
        <v>787</v>
      </c>
      <c r="D245" s="1" t="s">
        <v>44</v>
      </c>
      <c r="E245" s="1" t="s">
        <v>45</v>
      </c>
      <c r="F245" s="5" t="s">
        <v>46</v>
      </c>
      <c r="G245" s="1" t="s">
        <v>27</v>
      </c>
      <c r="H245">
        <f>VLOOKUP(D245,[1]金額リスト!$A$2:$B$6,2,FALSE)</f>
        <v>114300</v>
      </c>
      <c r="I245" s="1" t="s">
        <v>33</v>
      </c>
      <c r="J245">
        <f t="shared" si="39"/>
        <v>0</v>
      </c>
      <c r="K245">
        <f t="shared" si="40"/>
        <v>0</v>
      </c>
      <c r="L245">
        <f t="shared" si="51"/>
        <v>0</v>
      </c>
      <c r="M245">
        <f t="shared" si="41"/>
        <v>0</v>
      </c>
      <c r="N245">
        <f t="shared" si="42"/>
        <v>114300</v>
      </c>
      <c r="O245">
        <f t="shared" si="43"/>
        <v>0</v>
      </c>
      <c r="P245">
        <f t="shared" si="44"/>
        <v>0</v>
      </c>
      <c r="Q245">
        <f t="shared" si="45"/>
        <v>0</v>
      </c>
      <c r="R245">
        <f t="shared" si="46"/>
        <v>0</v>
      </c>
      <c r="S245">
        <f t="shared" si="47"/>
        <v>0</v>
      </c>
      <c r="T245">
        <f t="shared" si="48"/>
        <v>0</v>
      </c>
      <c r="U245">
        <f t="shared" si="49"/>
        <v>0</v>
      </c>
      <c r="V245">
        <f t="shared" si="50"/>
        <v>0</v>
      </c>
    </row>
    <row r="246" spans="1:22" x14ac:dyDescent="0.4">
      <c r="A246" s="1" t="s">
        <v>788</v>
      </c>
      <c r="B246" s="1" t="s">
        <v>789</v>
      </c>
      <c r="C246" s="1" t="s">
        <v>790</v>
      </c>
      <c r="D246" s="1" t="s">
        <v>50</v>
      </c>
      <c r="E246" s="1" t="s">
        <v>32</v>
      </c>
      <c r="F246" s="5" t="s">
        <v>46</v>
      </c>
      <c r="G246" s="1" t="s">
        <v>52</v>
      </c>
      <c r="H246">
        <f>VLOOKUP(D246,[1]金額リスト!$A$2:$B$6,2,FALSE)</f>
        <v>114300</v>
      </c>
      <c r="I246" s="1" t="s">
        <v>28</v>
      </c>
      <c r="J246">
        <f t="shared" si="39"/>
        <v>0</v>
      </c>
      <c r="K246">
        <f t="shared" si="40"/>
        <v>0</v>
      </c>
      <c r="L246">
        <f t="shared" si="51"/>
        <v>0</v>
      </c>
      <c r="M246">
        <f t="shared" si="41"/>
        <v>0</v>
      </c>
      <c r="N246">
        <f t="shared" si="42"/>
        <v>114300</v>
      </c>
      <c r="O246">
        <f t="shared" si="43"/>
        <v>0</v>
      </c>
      <c r="P246">
        <f t="shared" si="44"/>
        <v>0</v>
      </c>
      <c r="Q246">
        <f t="shared" si="45"/>
        <v>0</v>
      </c>
      <c r="R246">
        <f t="shared" si="46"/>
        <v>0</v>
      </c>
      <c r="S246">
        <f t="shared" si="47"/>
        <v>0</v>
      </c>
      <c r="T246">
        <f t="shared" si="48"/>
        <v>0</v>
      </c>
      <c r="U246">
        <f t="shared" si="49"/>
        <v>0</v>
      </c>
      <c r="V246">
        <f t="shared" si="50"/>
        <v>0</v>
      </c>
    </row>
    <row r="247" spans="1:22" x14ac:dyDescent="0.4">
      <c r="A247" s="1" t="s">
        <v>791</v>
      </c>
      <c r="B247" s="1" t="s">
        <v>792</v>
      </c>
      <c r="C247" s="1" t="s">
        <v>793</v>
      </c>
      <c r="D247" s="1" t="s">
        <v>44</v>
      </c>
      <c r="E247" s="1" t="s">
        <v>86</v>
      </c>
      <c r="F247" s="5" t="s">
        <v>46</v>
      </c>
      <c r="G247" s="1" t="s">
        <v>27</v>
      </c>
      <c r="H247">
        <f>VLOOKUP(D247,[1]金額リスト!$A$2:$B$6,2,FALSE)</f>
        <v>114300</v>
      </c>
      <c r="I247" s="1" t="s">
        <v>33</v>
      </c>
      <c r="J247">
        <f t="shared" si="39"/>
        <v>0</v>
      </c>
      <c r="K247">
        <f t="shared" si="40"/>
        <v>0</v>
      </c>
      <c r="L247">
        <f t="shared" si="51"/>
        <v>0</v>
      </c>
      <c r="M247">
        <f t="shared" si="41"/>
        <v>0</v>
      </c>
      <c r="N247">
        <f t="shared" si="42"/>
        <v>114300</v>
      </c>
      <c r="O247">
        <f t="shared" si="43"/>
        <v>0</v>
      </c>
      <c r="P247">
        <f t="shared" si="44"/>
        <v>0</v>
      </c>
      <c r="Q247">
        <f t="shared" si="45"/>
        <v>0</v>
      </c>
      <c r="R247">
        <f t="shared" si="46"/>
        <v>0</v>
      </c>
      <c r="S247">
        <f t="shared" si="47"/>
        <v>0</v>
      </c>
      <c r="T247">
        <f t="shared" si="48"/>
        <v>0</v>
      </c>
      <c r="U247">
        <f t="shared" si="49"/>
        <v>0</v>
      </c>
      <c r="V247">
        <f t="shared" si="50"/>
        <v>0</v>
      </c>
    </row>
    <row r="248" spans="1:22" x14ac:dyDescent="0.4">
      <c r="A248" s="1" t="s">
        <v>794</v>
      </c>
      <c r="B248" s="1" t="s">
        <v>795</v>
      </c>
      <c r="C248" s="1" t="s">
        <v>796</v>
      </c>
      <c r="D248" s="1" t="s">
        <v>44</v>
      </c>
      <c r="E248" s="1" t="s">
        <v>90</v>
      </c>
      <c r="F248" s="5" t="s">
        <v>46</v>
      </c>
      <c r="G248" s="1" t="s">
        <v>27</v>
      </c>
      <c r="H248">
        <f>VLOOKUP(D248,[1]金額リスト!$A$2:$B$6,2,FALSE)</f>
        <v>114300</v>
      </c>
      <c r="I248" s="1" t="s">
        <v>33</v>
      </c>
      <c r="J248">
        <f t="shared" si="39"/>
        <v>0</v>
      </c>
      <c r="K248">
        <f t="shared" si="40"/>
        <v>0</v>
      </c>
      <c r="L248">
        <f t="shared" si="51"/>
        <v>0</v>
      </c>
      <c r="M248">
        <f t="shared" si="41"/>
        <v>0</v>
      </c>
      <c r="N248">
        <f t="shared" si="42"/>
        <v>114300</v>
      </c>
      <c r="O248">
        <f t="shared" si="43"/>
        <v>0</v>
      </c>
      <c r="P248">
        <f t="shared" si="44"/>
        <v>0</v>
      </c>
      <c r="Q248">
        <f t="shared" si="45"/>
        <v>0</v>
      </c>
      <c r="R248">
        <f t="shared" si="46"/>
        <v>0</v>
      </c>
      <c r="S248">
        <f t="shared" si="47"/>
        <v>0</v>
      </c>
      <c r="T248">
        <f t="shared" si="48"/>
        <v>0</v>
      </c>
      <c r="U248">
        <f t="shared" si="49"/>
        <v>0</v>
      </c>
      <c r="V248">
        <f t="shared" si="50"/>
        <v>0</v>
      </c>
    </row>
    <row r="249" spans="1:22" x14ac:dyDescent="0.4">
      <c r="A249" s="1" t="s">
        <v>797</v>
      </c>
      <c r="B249" s="1" t="s">
        <v>798</v>
      </c>
      <c r="C249" s="1" t="s">
        <v>799</v>
      </c>
      <c r="D249" s="1" t="s">
        <v>44</v>
      </c>
      <c r="E249" s="1" t="s">
        <v>86</v>
      </c>
      <c r="F249" s="5" t="s">
        <v>46</v>
      </c>
      <c r="G249" s="1" t="s">
        <v>27</v>
      </c>
      <c r="H249">
        <f>VLOOKUP(D249,[1]金額リスト!$A$2:$B$6,2,FALSE)</f>
        <v>114300</v>
      </c>
      <c r="I249" s="1" t="s">
        <v>33</v>
      </c>
      <c r="J249">
        <f t="shared" si="39"/>
        <v>0</v>
      </c>
      <c r="K249">
        <f t="shared" si="40"/>
        <v>0</v>
      </c>
      <c r="L249">
        <f t="shared" si="51"/>
        <v>0</v>
      </c>
      <c r="M249">
        <f t="shared" si="41"/>
        <v>0</v>
      </c>
      <c r="N249">
        <f t="shared" si="42"/>
        <v>114300</v>
      </c>
      <c r="O249">
        <f t="shared" si="43"/>
        <v>0</v>
      </c>
      <c r="P249">
        <f t="shared" si="44"/>
        <v>0</v>
      </c>
      <c r="Q249">
        <f t="shared" si="45"/>
        <v>0</v>
      </c>
      <c r="R249">
        <f t="shared" si="46"/>
        <v>0</v>
      </c>
      <c r="S249">
        <f t="shared" si="47"/>
        <v>0</v>
      </c>
      <c r="T249">
        <f t="shared" si="48"/>
        <v>0</v>
      </c>
      <c r="U249">
        <f t="shared" si="49"/>
        <v>0</v>
      </c>
      <c r="V249">
        <f t="shared" si="50"/>
        <v>0</v>
      </c>
    </row>
    <row r="250" spans="1:22" x14ac:dyDescent="0.4">
      <c r="A250" s="1" t="s">
        <v>800</v>
      </c>
      <c r="B250" s="1" t="s">
        <v>801</v>
      </c>
      <c r="C250" s="1" t="s">
        <v>802</v>
      </c>
      <c r="D250" s="1" t="s">
        <v>44</v>
      </c>
      <c r="E250" s="1" t="s">
        <v>63</v>
      </c>
      <c r="F250" s="5" t="s">
        <v>46</v>
      </c>
      <c r="G250" s="1" t="s">
        <v>27</v>
      </c>
      <c r="H250">
        <f>VLOOKUP(D250,[1]金額リスト!$A$2:$B$6,2,FALSE)</f>
        <v>114300</v>
      </c>
      <c r="I250" s="1" t="s">
        <v>33</v>
      </c>
      <c r="J250">
        <f t="shared" si="39"/>
        <v>0</v>
      </c>
      <c r="K250">
        <f t="shared" si="40"/>
        <v>0</v>
      </c>
      <c r="L250">
        <f t="shared" si="51"/>
        <v>0</v>
      </c>
      <c r="M250">
        <f t="shared" si="41"/>
        <v>0</v>
      </c>
      <c r="N250">
        <f t="shared" si="42"/>
        <v>114300</v>
      </c>
      <c r="O250">
        <f t="shared" si="43"/>
        <v>0</v>
      </c>
      <c r="P250">
        <f t="shared" si="44"/>
        <v>0</v>
      </c>
      <c r="Q250">
        <f t="shared" si="45"/>
        <v>0</v>
      </c>
      <c r="R250">
        <f t="shared" si="46"/>
        <v>0</v>
      </c>
      <c r="S250">
        <f t="shared" si="47"/>
        <v>0</v>
      </c>
      <c r="T250">
        <f t="shared" si="48"/>
        <v>0</v>
      </c>
      <c r="U250">
        <f t="shared" si="49"/>
        <v>0</v>
      </c>
      <c r="V250">
        <f t="shared" si="50"/>
        <v>0</v>
      </c>
    </row>
    <row r="251" spans="1:22" x14ac:dyDescent="0.4">
      <c r="A251" s="1" t="s">
        <v>803</v>
      </c>
      <c r="B251" s="1" t="s">
        <v>804</v>
      </c>
      <c r="C251" s="1" t="s">
        <v>805</v>
      </c>
      <c r="D251" s="1" t="s">
        <v>44</v>
      </c>
      <c r="E251" s="1" t="s">
        <v>37</v>
      </c>
      <c r="F251" s="5" t="s">
        <v>46</v>
      </c>
      <c r="G251" s="1" t="s">
        <v>27</v>
      </c>
      <c r="H251">
        <f>VLOOKUP(D251,[1]金額リスト!$A$2:$B$6,2,FALSE)</f>
        <v>114300</v>
      </c>
      <c r="I251" s="1" t="s">
        <v>33</v>
      </c>
      <c r="J251">
        <f t="shared" si="39"/>
        <v>0</v>
      </c>
      <c r="K251">
        <f t="shared" si="40"/>
        <v>0</v>
      </c>
      <c r="L251">
        <f t="shared" si="51"/>
        <v>0</v>
      </c>
      <c r="M251">
        <f t="shared" si="41"/>
        <v>0</v>
      </c>
      <c r="N251">
        <f t="shared" si="42"/>
        <v>114300</v>
      </c>
      <c r="O251">
        <f t="shared" si="43"/>
        <v>0</v>
      </c>
      <c r="P251">
        <f t="shared" si="44"/>
        <v>0</v>
      </c>
      <c r="Q251">
        <f t="shared" si="45"/>
        <v>0</v>
      </c>
      <c r="R251">
        <f t="shared" si="46"/>
        <v>0</v>
      </c>
      <c r="S251">
        <f t="shared" si="47"/>
        <v>0</v>
      </c>
      <c r="T251">
        <f t="shared" si="48"/>
        <v>0</v>
      </c>
      <c r="U251">
        <f t="shared" si="49"/>
        <v>0</v>
      </c>
      <c r="V251">
        <f t="shared" si="50"/>
        <v>0</v>
      </c>
    </row>
    <row r="252" spans="1:22" x14ac:dyDescent="0.4">
      <c r="A252" s="1" t="s">
        <v>806</v>
      </c>
      <c r="B252" s="1" t="s">
        <v>807</v>
      </c>
      <c r="C252" s="1" t="s">
        <v>808</v>
      </c>
      <c r="D252" s="1" t="s">
        <v>44</v>
      </c>
      <c r="E252" s="1" t="s">
        <v>90</v>
      </c>
      <c r="F252" s="5" t="s">
        <v>46</v>
      </c>
      <c r="G252" s="1" t="s">
        <v>27</v>
      </c>
      <c r="H252">
        <f>VLOOKUP(D252,[1]金額リスト!$A$2:$B$6,2,FALSE)</f>
        <v>114300</v>
      </c>
      <c r="I252" s="1" t="s">
        <v>33</v>
      </c>
      <c r="J252">
        <f t="shared" si="39"/>
        <v>0</v>
      </c>
      <c r="K252">
        <f t="shared" si="40"/>
        <v>0</v>
      </c>
      <c r="L252">
        <f t="shared" si="51"/>
        <v>0</v>
      </c>
      <c r="M252">
        <f t="shared" si="41"/>
        <v>0</v>
      </c>
      <c r="N252">
        <f t="shared" si="42"/>
        <v>114300</v>
      </c>
      <c r="O252">
        <f t="shared" si="43"/>
        <v>0</v>
      </c>
      <c r="P252">
        <f t="shared" si="44"/>
        <v>0</v>
      </c>
      <c r="Q252">
        <f t="shared" si="45"/>
        <v>0</v>
      </c>
      <c r="R252">
        <f t="shared" si="46"/>
        <v>0</v>
      </c>
      <c r="S252">
        <f t="shared" si="47"/>
        <v>0</v>
      </c>
      <c r="T252">
        <f t="shared" si="48"/>
        <v>0</v>
      </c>
      <c r="U252">
        <f t="shared" si="49"/>
        <v>0</v>
      </c>
      <c r="V252">
        <f t="shared" si="50"/>
        <v>0</v>
      </c>
    </row>
    <row r="253" spans="1:22" x14ac:dyDescent="0.4">
      <c r="A253" s="1" t="s">
        <v>809</v>
      </c>
      <c r="B253" s="1" t="s">
        <v>810</v>
      </c>
      <c r="C253" s="1" t="s">
        <v>811</v>
      </c>
      <c r="D253" s="1" t="s">
        <v>44</v>
      </c>
      <c r="E253" s="1" t="s">
        <v>32</v>
      </c>
      <c r="F253" s="5" t="s">
        <v>46</v>
      </c>
      <c r="G253" s="1" t="s">
        <v>27</v>
      </c>
      <c r="H253">
        <f>VLOOKUP(D253,[1]金額リスト!$A$2:$B$6,2,FALSE)</f>
        <v>114300</v>
      </c>
      <c r="I253" s="1" t="s">
        <v>33</v>
      </c>
      <c r="J253">
        <f t="shared" si="39"/>
        <v>0</v>
      </c>
      <c r="K253">
        <f t="shared" si="40"/>
        <v>0</v>
      </c>
      <c r="L253">
        <f t="shared" si="51"/>
        <v>0</v>
      </c>
      <c r="M253">
        <f t="shared" si="41"/>
        <v>0</v>
      </c>
      <c r="N253">
        <f t="shared" si="42"/>
        <v>114300</v>
      </c>
      <c r="O253">
        <f t="shared" si="43"/>
        <v>0</v>
      </c>
      <c r="P253">
        <f t="shared" si="44"/>
        <v>0</v>
      </c>
      <c r="Q253">
        <f t="shared" si="45"/>
        <v>0</v>
      </c>
      <c r="R253">
        <f t="shared" si="46"/>
        <v>0</v>
      </c>
      <c r="S253">
        <f t="shared" si="47"/>
        <v>0</v>
      </c>
      <c r="T253">
        <f t="shared" si="48"/>
        <v>0</v>
      </c>
      <c r="U253">
        <f t="shared" si="49"/>
        <v>0</v>
      </c>
      <c r="V253">
        <f t="shared" si="50"/>
        <v>0</v>
      </c>
    </row>
    <row r="254" spans="1:22" x14ac:dyDescent="0.4">
      <c r="A254" s="1" t="s">
        <v>812</v>
      </c>
      <c r="B254" s="1" t="s">
        <v>813</v>
      </c>
      <c r="C254" s="1" t="s">
        <v>814</v>
      </c>
      <c r="D254" s="1" t="s">
        <v>44</v>
      </c>
      <c r="E254" s="1" t="s">
        <v>63</v>
      </c>
      <c r="F254" s="5" t="s">
        <v>46</v>
      </c>
      <c r="G254" s="1" t="s">
        <v>27</v>
      </c>
      <c r="H254">
        <f>VLOOKUP(D254,[1]金額リスト!$A$2:$B$6,2,FALSE)</f>
        <v>114300</v>
      </c>
      <c r="I254" s="1" t="s">
        <v>33</v>
      </c>
      <c r="J254">
        <f t="shared" si="39"/>
        <v>0</v>
      </c>
      <c r="K254">
        <f t="shared" si="40"/>
        <v>0</v>
      </c>
      <c r="L254">
        <f t="shared" si="51"/>
        <v>0</v>
      </c>
      <c r="M254">
        <f t="shared" si="41"/>
        <v>0</v>
      </c>
      <c r="N254">
        <f t="shared" si="42"/>
        <v>114300</v>
      </c>
      <c r="O254">
        <f t="shared" si="43"/>
        <v>0</v>
      </c>
      <c r="P254">
        <f t="shared" si="44"/>
        <v>0</v>
      </c>
      <c r="Q254">
        <f t="shared" si="45"/>
        <v>0</v>
      </c>
      <c r="R254">
        <f t="shared" si="46"/>
        <v>0</v>
      </c>
      <c r="S254">
        <f t="shared" si="47"/>
        <v>0</v>
      </c>
      <c r="T254">
        <f t="shared" si="48"/>
        <v>0</v>
      </c>
      <c r="U254">
        <f t="shared" si="49"/>
        <v>0</v>
      </c>
      <c r="V254">
        <f t="shared" si="50"/>
        <v>0</v>
      </c>
    </row>
    <row r="255" spans="1:22" x14ac:dyDescent="0.4">
      <c r="A255" s="1" t="s">
        <v>815</v>
      </c>
      <c r="B255" s="1" t="s">
        <v>816</v>
      </c>
      <c r="C255" s="1" t="s">
        <v>817</v>
      </c>
      <c r="D255" s="1" t="s">
        <v>44</v>
      </c>
      <c r="E255" s="1" t="s">
        <v>227</v>
      </c>
      <c r="F255" s="5" t="s">
        <v>46</v>
      </c>
      <c r="G255" s="1" t="s">
        <v>27</v>
      </c>
      <c r="H255">
        <f>VLOOKUP(D255,[1]金額リスト!$A$2:$B$6,2,FALSE)</f>
        <v>114300</v>
      </c>
      <c r="I255" s="1" t="s">
        <v>33</v>
      </c>
      <c r="J255">
        <f t="shared" si="39"/>
        <v>0</v>
      </c>
      <c r="K255">
        <f t="shared" si="40"/>
        <v>0</v>
      </c>
      <c r="L255">
        <f t="shared" si="51"/>
        <v>0</v>
      </c>
      <c r="M255">
        <f t="shared" si="41"/>
        <v>0</v>
      </c>
      <c r="N255">
        <f t="shared" si="42"/>
        <v>114300</v>
      </c>
      <c r="O255">
        <f t="shared" si="43"/>
        <v>0</v>
      </c>
      <c r="P255">
        <f t="shared" si="44"/>
        <v>0</v>
      </c>
      <c r="Q255">
        <f t="shared" si="45"/>
        <v>0</v>
      </c>
      <c r="R255">
        <f t="shared" si="46"/>
        <v>0</v>
      </c>
      <c r="S255">
        <f t="shared" si="47"/>
        <v>0</v>
      </c>
      <c r="T255">
        <f t="shared" si="48"/>
        <v>0</v>
      </c>
      <c r="U255">
        <f t="shared" si="49"/>
        <v>0</v>
      </c>
      <c r="V255">
        <f t="shared" si="50"/>
        <v>0</v>
      </c>
    </row>
    <row r="256" spans="1:22" x14ac:dyDescent="0.4">
      <c r="A256" s="1" t="s">
        <v>818</v>
      </c>
      <c r="B256" s="1" t="s">
        <v>819</v>
      </c>
      <c r="C256" s="1" t="s">
        <v>820</v>
      </c>
      <c r="D256" s="1" t="s">
        <v>44</v>
      </c>
      <c r="E256" s="1" t="s">
        <v>90</v>
      </c>
      <c r="F256" s="5" t="s">
        <v>46</v>
      </c>
      <c r="G256" s="1" t="s">
        <v>27</v>
      </c>
      <c r="H256">
        <f>VLOOKUP(D256,[1]金額リスト!$A$2:$B$6,2,FALSE)</f>
        <v>114300</v>
      </c>
      <c r="I256" s="1" t="s">
        <v>33</v>
      </c>
      <c r="J256">
        <f t="shared" si="39"/>
        <v>0</v>
      </c>
      <c r="K256">
        <f t="shared" si="40"/>
        <v>0</v>
      </c>
      <c r="L256">
        <f t="shared" si="51"/>
        <v>0</v>
      </c>
      <c r="M256">
        <f t="shared" si="41"/>
        <v>0</v>
      </c>
      <c r="N256">
        <f t="shared" si="42"/>
        <v>114300</v>
      </c>
      <c r="O256">
        <f t="shared" si="43"/>
        <v>0</v>
      </c>
      <c r="P256">
        <f t="shared" si="44"/>
        <v>0</v>
      </c>
      <c r="Q256">
        <f t="shared" si="45"/>
        <v>0</v>
      </c>
      <c r="R256">
        <f t="shared" si="46"/>
        <v>0</v>
      </c>
      <c r="S256">
        <f t="shared" si="47"/>
        <v>0</v>
      </c>
      <c r="T256">
        <f t="shared" si="48"/>
        <v>0</v>
      </c>
      <c r="U256">
        <f t="shared" si="49"/>
        <v>0</v>
      </c>
      <c r="V256">
        <f t="shared" si="50"/>
        <v>0</v>
      </c>
    </row>
    <row r="257" spans="1:22" x14ac:dyDescent="0.4">
      <c r="A257" s="1" t="s">
        <v>821</v>
      </c>
      <c r="B257" s="1" t="s">
        <v>822</v>
      </c>
      <c r="C257" s="1" t="s">
        <v>823</v>
      </c>
      <c r="D257" s="1" t="s">
        <v>25</v>
      </c>
      <c r="E257" s="1" t="s">
        <v>37</v>
      </c>
      <c r="F257" s="5" t="s">
        <v>10</v>
      </c>
      <c r="G257" s="1" t="s">
        <v>27</v>
      </c>
      <c r="H257">
        <f>VLOOKUP(D257,[1]金額リスト!$A$2:$B$6,2,FALSE)</f>
        <v>59400</v>
      </c>
      <c r="I257" s="1" t="s">
        <v>33</v>
      </c>
      <c r="J257">
        <f t="shared" si="39"/>
        <v>0</v>
      </c>
      <c r="K257">
        <f t="shared" si="40"/>
        <v>59400</v>
      </c>
      <c r="L257">
        <f t="shared" si="51"/>
        <v>0</v>
      </c>
      <c r="M257">
        <f t="shared" si="41"/>
        <v>0</v>
      </c>
      <c r="N257">
        <f t="shared" si="42"/>
        <v>0</v>
      </c>
      <c r="O257">
        <f t="shared" si="43"/>
        <v>0</v>
      </c>
      <c r="P257">
        <f t="shared" si="44"/>
        <v>0</v>
      </c>
      <c r="Q257">
        <f t="shared" si="45"/>
        <v>0</v>
      </c>
      <c r="R257">
        <f t="shared" si="46"/>
        <v>0</v>
      </c>
      <c r="S257">
        <f t="shared" si="47"/>
        <v>0</v>
      </c>
      <c r="T257">
        <f t="shared" si="48"/>
        <v>0</v>
      </c>
      <c r="U257">
        <f t="shared" si="49"/>
        <v>0</v>
      </c>
      <c r="V257">
        <f t="shared" si="50"/>
        <v>0</v>
      </c>
    </row>
    <row r="258" spans="1:22" x14ac:dyDescent="0.4">
      <c r="A258" s="1" t="s">
        <v>824</v>
      </c>
      <c r="B258" s="1" t="s">
        <v>825</v>
      </c>
      <c r="C258" s="1" t="s">
        <v>826</v>
      </c>
      <c r="D258" s="1" t="s">
        <v>44</v>
      </c>
      <c r="E258" s="1" t="s">
        <v>86</v>
      </c>
      <c r="F258" s="5" t="s">
        <v>46</v>
      </c>
      <c r="G258" s="1" t="s">
        <v>27</v>
      </c>
      <c r="H258">
        <f>VLOOKUP(D258,[1]金額リスト!$A$2:$B$6,2,FALSE)</f>
        <v>114300</v>
      </c>
      <c r="I258" s="1" t="s">
        <v>33</v>
      </c>
      <c r="J258">
        <f t="shared" si="39"/>
        <v>0</v>
      </c>
      <c r="K258">
        <f t="shared" si="40"/>
        <v>0</v>
      </c>
      <c r="L258">
        <f t="shared" si="51"/>
        <v>0</v>
      </c>
      <c r="M258">
        <f t="shared" si="41"/>
        <v>0</v>
      </c>
      <c r="N258">
        <f t="shared" si="42"/>
        <v>114300</v>
      </c>
      <c r="O258">
        <f t="shared" si="43"/>
        <v>0</v>
      </c>
      <c r="P258">
        <f t="shared" si="44"/>
        <v>0</v>
      </c>
      <c r="Q258">
        <f t="shared" si="45"/>
        <v>0</v>
      </c>
      <c r="R258">
        <f t="shared" si="46"/>
        <v>0</v>
      </c>
      <c r="S258">
        <f t="shared" si="47"/>
        <v>0</v>
      </c>
      <c r="T258">
        <f t="shared" si="48"/>
        <v>0</v>
      </c>
      <c r="U258">
        <f t="shared" si="49"/>
        <v>0</v>
      </c>
      <c r="V258">
        <f t="shared" si="50"/>
        <v>0</v>
      </c>
    </row>
    <row r="259" spans="1:22" x14ac:dyDescent="0.4">
      <c r="A259" s="1" t="s">
        <v>827</v>
      </c>
      <c r="B259" s="1" t="s">
        <v>828</v>
      </c>
      <c r="C259" s="1" t="s">
        <v>829</v>
      </c>
      <c r="D259" s="1" t="s">
        <v>44</v>
      </c>
      <c r="E259" s="1" t="s">
        <v>86</v>
      </c>
      <c r="F259" s="5" t="s">
        <v>46</v>
      </c>
      <c r="G259" s="1" t="s">
        <v>27</v>
      </c>
      <c r="H259">
        <f>VLOOKUP(D259,[1]金額リスト!$A$2:$B$6,2,FALSE)</f>
        <v>114300</v>
      </c>
      <c r="I259" s="1" t="s">
        <v>33</v>
      </c>
      <c r="J259">
        <f t="shared" ref="J259:J322" si="52">IFERROR(INDEX($F259:$H259,MATCH($J$1,$F259,0),3),0)</f>
        <v>0</v>
      </c>
      <c r="K259">
        <f t="shared" ref="K259:K322" si="53">IFERROR(INDEX($F259:$H259,MATCH($K$1,$F259,0),3),0)</f>
        <v>0</v>
      </c>
      <c r="L259">
        <f t="shared" si="51"/>
        <v>0</v>
      </c>
      <c r="M259">
        <f t="shared" ref="M259:M322" si="54">IFERROR(INDEX($F259:$H259,MATCH($M$1,$F259,0),3),0)</f>
        <v>0</v>
      </c>
      <c r="N259">
        <f t="shared" ref="N259:N322" si="55">IFERROR(INDEX($F259:$H259,MATCH($N$1,$F259,0),3),0)</f>
        <v>114300</v>
      </c>
      <c r="O259">
        <f t="shared" ref="O259:O322" si="56">IFERROR(INDEX($F259:$H259,MATCH($O$1,$F259,0),3),0)</f>
        <v>0</v>
      </c>
      <c r="P259">
        <f t="shared" ref="P259:P322" si="57">IFERROR(INDEX($F259:$H259,MATCH($P$1,$F259,0),3),0)</f>
        <v>0</v>
      </c>
      <c r="Q259">
        <f t="shared" ref="Q259:Q322" si="58">IFERROR(INDEX($F259:$H259,MATCH($Q$1,$F259,0),3),0)</f>
        <v>0</v>
      </c>
      <c r="R259">
        <f t="shared" ref="R259:R322" si="59">IFERROR(INDEX($F259:$H259,MATCH($R$1,$F259,0),3),0)</f>
        <v>0</v>
      </c>
      <c r="S259">
        <f t="shared" ref="S259:S322" si="60">IFERROR(INDEX($F259:$H259,MATCH($S$1,$F259,0),3),0)</f>
        <v>0</v>
      </c>
      <c r="T259">
        <f t="shared" ref="T259:T322" si="61">IFERROR(INDEX($F259:$H259,MATCH($T$1,$F259,0),3),0)</f>
        <v>0</v>
      </c>
      <c r="U259">
        <f t="shared" ref="U259:U322" si="62">IFERROR(INDEX($F259:$H259,MATCH($U$1,$F259,0),3),0)</f>
        <v>0</v>
      </c>
      <c r="V259">
        <f t="shared" ref="V259:V322" si="63">IFERROR(INDEX($F259:$H259,MATCH($V$1,$F259,0),3),0)</f>
        <v>0</v>
      </c>
    </row>
    <row r="260" spans="1:22" x14ac:dyDescent="0.4">
      <c r="A260" s="1" t="s">
        <v>830</v>
      </c>
      <c r="B260" s="1" t="s">
        <v>831</v>
      </c>
      <c r="C260" s="1" t="s">
        <v>832</v>
      </c>
      <c r="D260" s="1" t="s">
        <v>25</v>
      </c>
      <c r="E260" s="1" t="s">
        <v>45</v>
      </c>
      <c r="F260" s="5" t="s">
        <v>10</v>
      </c>
      <c r="G260" s="1" t="s">
        <v>27</v>
      </c>
      <c r="H260">
        <f>VLOOKUP(D260,[1]金額リスト!$A$2:$B$6,2,FALSE)</f>
        <v>59400</v>
      </c>
      <c r="I260" s="1" t="s">
        <v>33</v>
      </c>
      <c r="J260">
        <f t="shared" si="52"/>
        <v>0</v>
      </c>
      <c r="K260">
        <f t="shared" si="53"/>
        <v>59400</v>
      </c>
      <c r="L260">
        <f t="shared" ref="L260:L323" si="64">IFERROR(INDEX($F260:$H260,MATCH($L$1,$F260,0),3),0)</f>
        <v>0</v>
      </c>
      <c r="M260">
        <f t="shared" si="54"/>
        <v>0</v>
      </c>
      <c r="N260">
        <f t="shared" si="55"/>
        <v>0</v>
      </c>
      <c r="O260">
        <f t="shared" si="56"/>
        <v>0</v>
      </c>
      <c r="P260">
        <f t="shared" si="57"/>
        <v>0</v>
      </c>
      <c r="Q260">
        <f t="shared" si="58"/>
        <v>0</v>
      </c>
      <c r="R260">
        <f t="shared" si="59"/>
        <v>0</v>
      </c>
      <c r="S260">
        <f t="shared" si="60"/>
        <v>0</v>
      </c>
      <c r="T260">
        <f t="shared" si="61"/>
        <v>0</v>
      </c>
      <c r="U260">
        <f t="shared" si="62"/>
        <v>0</v>
      </c>
      <c r="V260">
        <f t="shared" si="63"/>
        <v>0</v>
      </c>
    </row>
    <row r="261" spans="1:22" x14ac:dyDescent="0.4">
      <c r="A261" s="1" t="s">
        <v>833</v>
      </c>
      <c r="B261" s="1" t="s">
        <v>834</v>
      </c>
      <c r="C261" s="1" t="s">
        <v>835</v>
      </c>
      <c r="D261" s="1" t="s">
        <v>25</v>
      </c>
      <c r="E261" s="1" t="s">
        <v>112</v>
      </c>
      <c r="F261" s="5" t="s">
        <v>10</v>
      </c>
      <c r="G261" s="1" t="s">
        <v>27</v>
      </c>
      <c r="H261">
        <f>VLOOKUP(D261,[1]金額リスト!$A$2:$B$6,2,FALSE)</f>
        <v>59400</v>
      </c>
      <c r="I261" s="1" t="s">
        <v>33</v>
      </c>
      <c r="J261">
        <f t="shared" si="52"/>
        <v>0</v>
      </c>
      <c r="K261">
        <f t="shared" si="53"/>
        <v>59400</v>
      </c>
      <c r="L261">
        <f t="shared" si="64"/>
        <v>0</v>
      </c>
      <c r="M261">
        <f t="shared" si="54"/>
        <v>0</v>
      </c>
      <c r="N261">
        <f t="shared" si="55"/>
        <v>0</v>
      </c>
      <c r="O261">
        <f t="shared" si="56"/>
        <v>0</v>
      </c>
      <c r="P261">
        <f t="shared" si="57"/>
        <v>0</v>
      </c>
      <c r="Q261">
        <f t="shared" si="58"/>
        <v>0</v>
      </c>
      <c r="R261">
        <f t="shared" si="59"/>
        <v>0</v>
      </c>
      <c r="S261">
        <f t="shared" si="60"/>
        <v>0</v>
      </c>
      <c r="T261">
        <f t="shared" si="61"/>
        <v>0</v>
      </c>
      <c r="U261">
        <f t="shared" si="62"/>
        <v>0</v>
      </c>
      <c r="V261">
        <f t="shared" si="63"/>
        <v>0</v>
      </c>
    </row>
    <row r="262" spans="1:22" x14ac:dyDescent="0.4">
      <c r="A262" s="1" t="s">
        <v>836</v>
      </c>
      <c r="B262" s="1" t="s">
        <v>837</v>
      </c>
      <c r="C262" s="1" t="s">
        <v>838</v>
      </c>
      <c r="D262" s="1" t="s">
        <v>44</v>
      </c>
      <c r="E262" s="1" t="s">
        <v>63</v>
      </c>
      <c r="F262" s="5" t="s">
        <v>46</v>
      </c>
      <c r="G262" s="1" t="s">
        <v>27</v>
      </c>
      <c r="H262">
        <f>VLOOKUP(D262,[1]金額リスト!$A$2:$B$6,2,FALSE)</f>
        <v>114300</v>
      </c>
      <c r="I262" s="1" t="s">
        <v>33</v>
      </c>
      <c r="J262">
        <f t="shared" si="52"/>
        <v>0</v>
      </c>
      <c r="K262">
        <f t="shared" si="53"/>
        <v>0</v>
      </c>
      <c r="L262">
        <f t="shared" si="64"/>
        <v>0</v>
      </c>
      <c r="M262">
        <f t="shared" si="54"/>
        <v>0</v>
      </c>
      <c r="N262">
        <f t="shared" si="55"/>
        <v>114300</v>
      </c>
      <c r="O262">
        <f t="shared" si="56"/>
        <v>0</v>
      </c>
      <c r="P262">
        <f t="shared" si="57"/>
        <v>0</v>
      </c>
      <c r="Q262">
        <f t="shared" si="58"/>
        <v>0</v>
      </c>
      <c r="R262">
        <f t="shared" si="59"/>
        <v>0</v>
      </c>
      <c r="S262">
        <f t="shared" si="60"/>
        <v>0</v>
      </c>
      <c r="T262">
        <f t="shared" si="61"/>
        <v>0</v>
      </c>
      <c r="U262">
        <f t="shared" si="62"/>
        <v>0</v>
      </c>
      <c r="V262">
        <f t="shared" si="63"/>
        <v>0</v>
      </c>
    </row>
    <row r="263" spans="1:22" x14ac:dyDescent="0.4">
      <c r="A263" s="1" t="s">
        <v>839</v>
      </c>
      <c r="B263" s="1" t="s">
        <v>840</v>
      </c>
      <c r="C263" s="1" t="s">
        <v>841</v>
      </c>
      <c r="D263" s="1" t="s">
        <v>25</v>
      </c>
      <c r="E263" s="1" t="s">
        <v>101</v>
      </c>
      <c r="F263" s="5" t="s">
        <v>10</v>
      </c>
      <c r="G263" s="1" t="s">
        <v>27</v>
      </c>
      <c r="H263">
        <f>VLOOKUP(D263,[1]金額リスト!$A$2:$B$6,2,FALSE)</f>
        <v>59400</v>
      </c>
      <c r="I263" s="1" t="s">
        <v>33</v>
      </c>
      <c r="J263">
        <f t="shared" si="52"/>
        <v>0</v>
      </c>
      <c r="K263">
        <f t="shared" si="53"/>
        <v>59400</v>
      </c>
      <c r="L263">
        <f t="shared" si="64"/>
        <v>0</v>
      </c>
      <c r="M263">
        <f t="shared" si="54"/>
        <v>0</v>
      </c>
      <c r="N263">
        <f t="shared" si="55"/>
        <v>0</v>
      </c>
      <c r="O263">
        <f t="shared" si="56"/>
        <v>0</v>
      </c>
      <c r="P263">
        <f t="shared" si="57"/>
        <v>0</v>
      </c>
      <c r="Q263">
        <f t="shared" si="58"/>
        <v>0</v>
      </c>
      <c r="R263">
        <f t="shared" si="59"/>
        <v>0</v>
      </c>
      <c r="S263">
        <f t="shared" si="60"/>
        <v>0</v>
      </c>
      <c r="T263">
        <f t="shared" si="61"/>
        <v>0</v>
      </c>
      <c r="U263">
        <f t="shared" si="62"/>
        <v>0</v>
      </c>
      <c r="V263">
        <f t="shared" si="63"/>
        <v>0</v>
      </c>
    </row>
    <row r="264" spans="1:22" x14ac:dyDescent="0.4">
      <c r="A264" s="1" t="s">
        <v>842</v>
      </c>
      <c r="B264" s="1" t="s">
        <v>843</v>
      </c>
      <c r="C264" s="1" t="s">
        <v>844</v>
      </c>
      <c r="D264" s="1" t="s">
        <v>70</v>
      </c>
      <c r="E264" s="1" t="s">
        <v>845</v>
      </c>
      <c r="F264" s="5" t="s">
        <v>10</v>
      </c>
      <c r="G264" s="1" t="s">
        <v>52</v>
      </c>
      <c r="H264">
        <f>VLOOKUP(D264,[1]金額リスト!$A$2:$B$6,2,FALSE)</f>
        <v>59400</v>
      </c>
      <c r="I264" s="1" t="s">
        <v>28</v>
      </c>
      <c r="J264">
        <f t="shared" si="52"/>
        <v>0</v>
      </c>
      <c r="K264">
        <f t="shared" si="53"/>
        <v>59400</v>
      </c>
      <c r="L264">
        <f t="shared" si="64"/>
        <v>0</v>
      </c>
      <c r="M264">
        <f t="shared" si="54"/>
        <v>0</v>
      </c>
      <c r="N264">
        <f t="shared" si="55"/>
        <v>0</v>
      </c>
      <c r="O264">
        <f t="shared" si="56"/>
        <v>0</v>
      </c>
      <c r="P264">
        <f t="shared" si="57"/>
        <v>0</v>
      </c>
      <c r="Q264">
        <f t="shared" si="58"/>
        <v>0</v>
      </c>
      <c r="R264">
        <f t="shared" si="59"/>
        <v>0</v>
      </c>
      <c r="S264">
        <f t="shared" si="60"/>
        <v>0</v>
      </c>
      <c r="T264">
        <f t="shared" si="61"/>
        <v>0</v>
      </c>
      <c r="U264">
        <f t="shared" si="62"/>
        <v>0</v>
      </c>
      <c r="V264">
        <f t="shared" si="63"/>
        <v>0</v>
      </c>
    </row>
    <row r="265" spans="1:22" x14ac:dyDescent="0.4">
      <c r="A265" s="1" t="s">
        <v>846</v>
      </c>
      <c r="B265" s="1" t="s">
        <v>847</v>
      </c>
      <c r="C265" s="1" t="s">
        <v>848</v>
      </c>
      <c r="D265" s="1" t="s">
        <v>44</v>
      </c>
      <c r="E265" s="1" t="s">
        <v>227</v>
      </c>
      <c r="F265" s="5" t="s">
        <v>46</v>
      </c>
      <c r="G265" s="1" t="s">
        <v>27</v>
      </c>
      <c r="H265">
        <f>VLOOKUP(D265,[1]金額リスト!$A$2:$B$6,2,FALSE)</f>
        <v>114300</v>
      </c>
      <c r="I265" s="1" t="s">
        <v>33</v>
      </c>
      <c r="J265">
        <f t="shared" si="52"/>
        <v>0</v>
      </c>
      <c r="K265">
        <f t="shared" si="53"/>
        <v>0</v>
      </c>
      <c r="L265">
        <f t="shared" si="64"/>
        <v>0</v>
      </c>
      <c r="M265">
        <f t="shared" si="54"/>
        <v>0</v>
      </c>
      <c r="N265">
        <f t="shared" si="55"/>
        <v>114300</v>
      </c>
      <c r="O265">
        <f t="shared" si="56"/>
        <v>0</v>
      </c>
      <c r="P265">
        <f t="shared" si="57"/>
        <v>0</v>
      </c>
      <c r="Q265">
        <f t="shared" si="58"/>
        <v>0</v>
      </c>
      <c r="R265">
        <f t="shared" si="59"/>
        <v>0</v>
      </c>
      <c r="S265">
        <f t="shared" si="60"/>
        <v>0</v>
      </c>
      <c r="T265">
        <f t="shared" si="61"/>
        <v>0</v>
      </c>
      <c r="U265">
        <f t="shared" si="62"/>
        <v>0</v>
      </c>
      <c r="V265">
        <f t="shared" si="63"/>
        <v>0</v>
      </c>
    </row>
    <row r="266" spans="1:22" x14ac:dyDescent="0.4">
      <c r="A266" s="1" t="s">
        <v>849</v>
      </c>
      <c r="B266" s="1" t="s">
        <v>850</v>
      </c>
      <c r="C266" s="1" t="s">
        <v>851</v>
      </c>
      <c r="D266" s="1" t="s">
        <v>44</v>
      </c>
      <c r="E266" s="1" t="s">
        <v>86</v>
      </c>
      <c r="F266" s="5" t="s">
        <v>46</v>
      </c>
      <c r="G266" s="1" t="s">
        <v>27</v>
      </c>
      <c r="H266">
        <f>VLOOKUP(D266,[1]金額リスト!$A$2:$B$6,2,FALSE)</f>
        <v>114300</v>
      </c>
      <c r="I266" s="1" t="s">
        <v>33</v>
      </c>
      <c r="J266">
        <f t="shared" si="52"/>
        <v>0</v>
      </c>
      <c r="K266">
        <f t="shared" si="53"/>
        <v>0</v>
      </c>
      <c r="L266">
        <f t="shared" si="64"/>
        <v>0</v>
      </c>
      <c r="M266">
        <f t="shared" si="54"/>
        <v>0</v>
      </c>
      <c r="N266">
        <f t="shared" si="55"/>
        <v>114300</v>
      </c>
      <c r="O266">
        <f t="shared" si="56"/>
        <v>0</v>
      </c>
      <c r="P266">
        <f t="shared" si="57"/>
        <v>0</v>
      </c>
      <c r="Q266">
        <f t="shared" si="58"/>
        <v>0</v>
      </c>
      <c r="R266">
        <f t="shared" si="59"/>
        <v>0</v>
      </c>
      <c r="S266">
        <f t="shared" si="60"/>
        <v>0</v>
      </c>
      <c r="T266">
        <f t="shared" si="61"/>
        <v>0</v>
      </c>
      <c r="U266">
        <f t="shared" si="62"/>
        <v>0</v>
      </c>
      <c r="V266">
        <f t="shared" si="63"/>
        <v>0</v>
      </c>
    </row>
    <row r="267" spans="1:22" x14ac:dyDescent="0.4">
      <c r="A267" s="1" t="s">
        <v>852</v>
      </c>
      <c r="B267" s="1" t="s">
        <v>853</v>
      </c>
      <c r="C267" s="1" t="s">
        <v>854</v>
      </c>
      <c r="D267" s="1" t="s">
        <v>25</v>
      </c>
      <c r="E267" s="1" t="s">
        <v>90</v>
      </c>
      <c r="F267" s="5" t="s">
        <v>10</v>
      </c>
      <c r="G267" s="1" t="s">
        <v>27</v>
      </c>
      <c r="H267">
        <f>VLOOKUP(D267,[1]金額リスト!$A$2:$B$6,2,FALSE)</f>
        <v>59400</v>
      </c>
      <c r="I267" s="1" t="s">
        <v>33</v>
      </c>
      <c r="J267">
        <f t="shared" si="52"/>
        <v>0</v>
      </c>
      <c r="K267">
        <f t="shared" si="53"/>
        <v>59400</v>
      </c>
      <c r="L267">
        <f t="shared" si="64"/>
        <v>0</v>
      </c>
      <c r="M267">
        <f t="shared" si="54"/>
        <v>0</v>
      </c>
      <c r="N267">
        <f t="shared" si="55"/>
        <v>0</v>
      </c>
      <c r="O267">
        <f t="shared" si="56"/>
        <v>0</v>
      </c>
      <c r="P267">
        <f t="shared" si="57"/>
        <v>0</v>
      </c>
      <c r="Q267">
        <f t="shared" si="58"/>
        <v>0</v>
      </c>
      <c r="R267">
        <f t="shared" si="59"/>
        <v>0</v>
      </c>
      <c r="S267">
        <f t="shared" si="60"/>
        <v>0</v>
      </c>
      <c r="T267">
        <f t="shared" si="61"/>
        <v>0</v>
      </c>
      <c r="U267">
        <f t="shared" si="62"/>
        <v>0</v>
      </c>
      <c r="V267">
        <f t="shared" si="63"/>
        <v>0</v>
      </c>
    </row>
    <row r="268" spans="1:22" x14ac:dyDescent="0.4">
      <c r="A268" s="1" t="s">
        <v>855</v>
      </c>
      <c r="B268" s="1" t="s">
        <v>856</v>
      </c>
      <c r="C268" s="1" t="s">
        <v>857</v>
      </c>
      <c r="D268" s="1" t="s">
        <v>44</v>
      </c>
      <c r="E268" s="1" t="s">
        <v>112</v>
      </c>
      <c r="F268" s="5" t="s">
        <v>46</v>
      </c>
      <c r="G268" s="1" t="s">
        <v>27</v>
      </c>
      <c r="H268">
        <f>VLOOKUP(D268,[1]金額リスト!$A$2:$B$6,2,FALSE)</f>
        <v>114300</v>
      </c>
      <c r="I268" s="1" t="s">
        <v>33</v>
      </c>
      <c r="J268">
        <f t="shared" si="52"/>
        <v>0</v>
      </c>
      <c r="K268">
        <f t="shared" si="53"/>
        <v>0</v>
      </c>
      <c r="L268">
        <f t="shared" si="64"/>
        <v>0</v>
      </c>
      <c r="M268">
        <f t="shared" si="54"/>
        <v>0</v>
      </c>
      <c r="N268">
        <f t="shared" si="55"/>
        <v>114300</v>
      </c>
      <c r="O268">
        <f t="shared" si="56"/>
        <v>0</v>
      </c>
      <c r="P268">
        <f t="shared" si="57"/>
        <v>0</v>
      </c>
      <c r="Q268">
        <f t="shared" si="58"/>
        <v>0</v>
      </c>
      <c r="R268">
        <f t="shared" si="59"/>
        <v>0</v>
      </c>
      <c r="S268">
        <f t="shared" si="60"/>
        <v>0</v>
      </c>
      <c r="T268">
        <f t="shared" si="61"/>
        <v>0</v>
      </c>
      <c r="U268">
        <f t="shared" si="62"/>
        <v>0</v>
      </c>
      <c r="V268">
        <f t="shared" si="63"/>
        <v>0</v>
      </c>
    </row>
    <row r="269" spans="1:22" x14ac:dyDescent="0.4">
      <c r="A269" s="1" t="s">
        <v>858</v>
      </c>
      <c r="B269" s="1" t="s">
        <v>859</v>
      </c>
      <c r="C269" s="1" t="s">
        <v>860</v>
      </c>
      <c r="D269" s="1" t="s">
        <v>44</v>
      </c>
      <c r="E269" s="1" t="s">
        <v>112</v>
      </c>
      <c r="F269" s="5" t="s">
        <v>46</v>
      </c>
      <c r="G269" s="1" t="s">
        <v>27</v>
      </c>
      <c r="H269">
        <f>VLOOKUP(D269,[1]金額リスト!$A$2:$B$6,2,FALSE)</f>
        <v>114300</v>
      </c>
      <c r="I269" s="1" t="s">
        <v>33</v>
      </c>
      <c r="J269">
        <f t="shared" si="52"/>
        <v>0</v>
      </c>
      <c r="K269">
        <f t="shared" si="53"/>
        <v>0</v>
      </c>
      <c r="L269">
        <f t="shared" si="64"/>
        <v>0</v>
      </c>
      <c r="M269">
        <f t="shared" si="54"/>
        <v>0</v>
      </c>
      <c r="N269">
        <f t="shared" si="55"/>
        <v>114300</v>
      </c>
      <c r="O269">
        <f t="shared" si="56"/>
        <v>0</v>
      </c>
      <c r="P269">
        <f t="shared" si="57"/>
        <v>0</v>
      </c>
      <c r="Q269">
        <f t="shared" si="58"/>
        <v>0</v>
      </c>
      <c r="R269">
        <f t="shared" si="59"/>
        <v>0</v>
      </c>
      <c r="S269">
        <f t="shared" si="60"/>
        <v>0</v>
      </c>
      <c r="T269">
        <f t="shared" si="61"/>
        <v>0</v>
      </c>
      <c r="U269">
        <f t="shared" si="62"/>
        <v>0</v>
      </c>
      <c r="V269">
        <f t="shared" si="63"/>
        <v>0</v>
      </c>
    </row>
    <row r="270" spans="1:22" x14ac:dyDescent="0.4">
      <c r="A270" s="1" t="s">
        <v>861</v>
      </c>
      <c r="B270" s="1" t="s">
        <v>862</v>
      </c>
      <c r="C270" s="1" t="s">
        <v>863</v>
      </c>
      <c r="D270" s="1" t="s">
        <v>44</v>
      </c>
      <c r="E270" s="1" t="s">
        <v>86</v>
      </c>
      <c r="F270" s="5" t="s">
        <v>46</v>
      </c>
      <c r="G270" s="1" t="s">
        <v>27</v>
      </c>
      <c r="H270">
        <f>VLOOKUP(D270,[1]金額リスト!$A$2:$B$6,2,FALSE)</f>
        <v>114300</v>
      </c>
      <c r="I270" s="1" t="s">
        <v>33</v>
      </c>
      <c r="J270">
        <f t="shared" si="52"/>
        <v>0</v>
      </c>
      <c r="K270">
        <f t="shared" si="53"/>
        <v>0</v>
      </c>
      <c r="L270">
        <f t="shared" si="64"/>
        <v>0</v>
      </c>
      <c r="M270">
        <f t="shared" si="54"/>
        <v>0</v>
      </c>
      <c r="N270">
        <f t="shared" si="55"/>
        <v>114300</v>
      </c>
      <c r="O270">
        <f t="shared" si="56"/>
        <v>0</v>
      </c>
      <c r="P270">
        <f t="shared" si="57"/>
        <v>0</v>
      </c>
      <c r="Q270">
        <f t="shared" si="58"/>
        <v>0</v>
      </c>
      <c r="R270">
        <f t="shared" si="59"/>
        <v>0</v>
      </c>
      <c r="S270">
        <f t="shared" si="60"/>
        <v>0</v>
      </c>
      <c r="T270">
        <f t="shared" si="61"/>
        <v>0</v>
      </c>
      <c r="U270">
        <f t="shared" si="62"/>
        <v>0</v>
      </c>
      <c r="V270">
        <f t="shared" si="63"/>
        <v>0</v>
      </c>
    </row>
    <row r="271" spans="1:22" x14ac:dyDescent="0.4">
      <c r="A271" s="1" t="s">
        <v>864</v>
      </c>
      <c r="B271" s="1" t="s">
        <v>865</v>
      </c>
      <c r="C271" s="1" t="s">
        <v>866</v>
      </c>
      <c r="D271" s="1" t="s">
        <v>44</v>
      </c>
      <c r="E271" s="1" t="s">
        <v>867</v>
      </c>
      <c r="F271" s="5" t="s">
        <v>479</v>
      </c>
      <c r="G271" s="1" t="s">
        <v>27</v>
      </c>
      <c r="H271">
        <f>VLOOKUP(D271,[1]金額リスト!$A$2:$B$6,2,FALSE)</f>
        <v>114300</v>
      </c>
      <c r="I271" s="1" t="s">
        <v>868</v>
      </c>
      <c r="J271">
        <f t="shared" si="52"/>
        <v>0</v>
      </c>
      <c r="K271">
        <f t="shared" si="53"/>
        <v>0</v>
      </c>
      <c r="L271">
        <f t="shared" si="64"/>
        <v>114300</v>
      </c>
      <c r="M271">
        <f t="shared" si="54"/>
        <v>0</v>
      </c>
      <c r="N271">
        <f t="shared" si="55"/>
        <v>0</v>
      </c>
      <c r="O271">
        <f t="shared" si="56"/>
        <v>0</v>
      </c>
      <c r="P271">
        <f t="shared" si="57"/>
        <v>0</v>
      </c>
      <c r="Q271">
        <f t="shared" si="58"/>
        <v>0</v>
      </c>
      <c r="R271">
        <f t="shared" si="59"/>
        <v>0</v>
      </c>
      <c r="S271">
        <f t="shared" si="60"/>
        <v>0</v>
      </c>
      <c r="T271">
        <f t="shared" si="61"/>
        <v>0</v>
      </c>
      <c r="U271">
        <f t="shared" si="62"/>
        <v>0</v>
      </c>
      <c r="V271">
        <f t="shared" si="63"/>
        <v>0</v>
      </c>
    </row>
    <row r="272" spans="1:22" x14ac:dyDescent="0.4">
      <c r="A272" s="1" t="s">
        <v>869</v>
      </c>
      <c r="B272" s="1" t="s">
        <v>870</v>
      </c>
      <c r="C272" s="1" t="s">
        <v>871</v>
      </c>
      <c r="D272" s="1" t="s">
        <v>44</v>
      </c>
      <c r="E272" s="1" t="s">
        <v>63</v>
      </c>
      <c r="F272" s="5" t="s">
        <v>46</v>
      </c>
      <c r="G272" s="1" t="s">
        <v>27</v>
      </c>
      <c r="H272">
        <f>VLOOKUP(D272,[1]金額リスト!$A$2:$B$6,2,FALSE)</f>
        <v>114300</v>
      </c>
      <c r="I272" s="1" t="s">
        <v>33</v>
      </c>
      <c r="J272">
        <f t="shared" si="52"/>
        <v>0</v>
      </c>
      <c r="K272">
        <f t="shared" si="53"/>
        <v>0</v>
      </c>
      <c r="L272">
        <f t="shared" si="64"/>
        <v>0</v>
      </c>
      <c r="M272">
        <f t="shared" si="54"/>
        <v>0</v>
      </c>
      <c r="N272">
        <f t="shared" si="55"/>
        <v>114300</v>
      </c>
      <c r="O272">
        <f t="shared" si="56"/>
        <v>0</v>
      </c>
      <c r="P272">
        <f t="shared" si="57"/>
        <v>0</v>
      </c>
      <c r="Q272">
        <f t="shared" si="58"/>
        <v>0</v>
      </c>
      <c r="R272">
        <f t="shared" si="59"/>
        <v>0</v>
      </c>
      <c r="S272">
        <f t="shared" si="60"/>
        <v>0</v>
      </c>
      <c r="T272">
        <f t="shared" si="61"/>
        <v>0</v>
      </c>
      <c r="U272">
        <f t="shared" si="62"/>
        <v>0</v>
      </c>
      <c r="V272">
        <f t="shared" si="63"/>
        <v>0</v>
      </c>
    </row>
    <row r="273" spans="1:22" x14ac:dyDescent="0.4">
      <c r="A273" s="1" t="s">
        <v>872</v>
      </c>
      <c r="B273" s="1" t="s">
        <v>873</v>
      </c>
      <c r="C273" s="1" t="s">
        <v>874</v>
      </c>
      <c r="D273" s="1" t="s">
        <v>44</v>
      </c>
      <c r="E273" s="1" t="s">
        <v>63</v>
      </c>
      <c r="F273" s="5" t="s">
        <v>46</v>
      </c>
      <c r="G273" s="1" t="s">
        <v>27</v>
      </c>
      <c r="H273">
        <f>VLOOKUP(D273,[1]金額リスト!$A$2:$B$6,2,FALSE)</f>
        <v>114300</v>
      </c>
      <c r="I273" s="1" t="s">
        <v>33</v>
      </c>
      <c r="J273">
        <f t="shared" si="52"/>
        <v>0</v>
      </c>
      <c r="K273">
        <f t="shared" si="53"/>
        <v>0</v>
      </c>
      <c r="L273">
        <f t="shared" si="64"/>
        <v>0</v>
      </c>
      <c r="M273">
        <f t="shared" si="54"/>
        <v>0</v>
      </c>
      <c r="N273">
        <f t="shared" si="55"/>
        <v>114300</v>
      </c>
      <c r="O273">
        <f t="shared" si="56"/>
        <v>0</v>
      </c>
      <c r="P273">
        <f t="shared" si="57"/>
        <v>0</v>
      </c>
      <c r="Q273">
        <f t="shared" si="58"/>
        <v>0</v>
      </c>
      <c r="R273">
        <f t="shared" si="59"/>
        <v>0</v>
      </c>
      <c r="S273">
        <f t="shared" si="60"/>
        <v>0</v>
      </c>
      <c r="T273">
        <f t="shared" si="61"/>
        <v>0</v>
      </c>
      <c r="U273">
        <f t="shared" si="62"/>
        <v>0</v>
      </c>
      <c r="V273">
        <f t="shared" si="63"/>
        <v>0</v>
      </c>
    </row>
    <row r="274" spans="1:22" x14ac:dyDescent="0.4">
      <c r="A274" s="1" t="s">
        <v>875</v>
      </c>
      <c r="B274" s="1" t="s">
        <v>876</v>
      </c>
      <c r="C274" s="1" t="s">
        <v>877</v>
      </c>
      <c r="D274" s="1" t="s">
        <v>44</v>
      </c>
      <c r="E274" s="1" t="s">
        <v>86</v>
      </c>
      <c r="F274" s="5" t="s">
        <v>46</v>
      </c>
      <c r="G274" s="1" t="s">
        <v>27</v>
      </c>
      <c r="H274">
        <f>VLOOKUP(D274,[1]金額リスト!$A$2:$B$6,2,FALSE)</f>
        <v>114300</v>
      </c>
      <c r="I274" s="1" t="s">
        <v>33</v>
      </c>
      <c r="J274">
        <f t="shared" si="52"/>
        <v>0</v>
      </c>
      <c r="K274">
        <f t="shared" si="53"/>
        <v>0</v>
      </c>
      <c r="L274">
        <f t="shared" si="64"/>
        <v>0</v>
      </c>
      <c r="M274">
        <f t="shared" si="54"/>
        <v>0</v>
      </c>
      <c r="N274">
        <f t="shared" si="55"/>
        <v>114300</v>
      </c>
      <c r="O274">
        <f t="shared" si="56"/>
        <v>0</v>
      </c>
      <c r="P274">
        <f t="shared" si="57"/>
        <v>0</v>
      </c>
      <c r="Q274">
        <f t="shared" si="58"/>
        <v>0</v>
      </c>
      <c r="R274">
        <f t="shared" si="59"/>
        <v>0</v>
      </c>
      <c r="S274">
        <f t="shared" si="60"/>
        <v>0</v>
      </c>
      <c r="T274">
        <f t="shared" si="61"/>
        <v>0</v>
      </c>
      <c r="U274">
        <f t="shared" si="62"/>
        <v>0</v>
      </c>
      <c r="V274">
        <f t="shared" si="63"/>
        <v>0</v>
      </c>
    </row>
    <row r="275" spans="1:22" x14ac:dyDescent="0.4">
      <c r="A275" s="1" t="s">
        <v>878</v>
      </c>
      <c r="B275" s="1" t="s">
        <v>879</v>
      </c>
      <c r="C275" s="1" t="s">
        <v>880</v>
      </c>
      <c r="D275" s="1" t="s">
        <v>44</v>
      </c>
      <c r="E275" s="1" t="s">
        <v>376</v>
      </c>
      <c r="F275" s="5" t="s">
        <v>46</v>
      </c>
      <c r="G275" s="1" t="s">
        <v>27</v>
      </c>
      <c r="H275">
        <f>VLOOKUP(D275,[1]金額リスト!$A$2:$B$6,2,FALSE)</f>
        <v>114300</v>
      </c>
      <c r="I275" s="1" t="s">
        <v>33</v>
      </c>
      <c r="J275">
        <f t="shared" si="52"/>
        <v>0</v>
      </c>
      <c r="K275">
        <f t="shared" si="53"/>
        <v>0</v>
      </c>
      <c r="L275">
        <f t="shared" si="64"/>
        <v>0</v>
      </c>
      <c r="M275">
        <f t="shared" si="54"/>
        <v>0</v>
      </c>
      <c r="N275">
        <f t="shared" si="55"/>
        <v>114300</v>
      </c>
      <c r="O275">
        <f t="shared" si="56"/>
        <v>0</v>
      </c>
      <c r="P275">
        <f t="shared" si="57"/>
        <v>0</v>
      </c>
      <c r="Q275">
        <f t="shared" si="58"/>
        <v>0</v>
      </c>
      <c r="R275">
        <f t="shared" si="59"/>
        <v>0</v>
      </c>
      <c r="S275">
        <f t="shared" si="60"/>
        <v>0</v>
      </c>
      <c r="T275">
        <f t="shared" si="61"/>
        <v>0</v>
      </c>
      <c r="U275">
        <f t="shared" si="62"/>
        <v>0</v>
      </c>
      <c r="V275">
        <f t="shared" si="63"/>
        <v>0</v>
      </c>
    </row>
    <row r="276" spans="1:22" x14ac:dyDescent="0.4">
      <c r="A276" s="1" t="s">
        <v>881</v>
      </c>
      <c r="B276" s="1" t="s">
        <v>882</v>
      </c>
      <c r="C276" s="1" t="s">
        <v>883</v>
      </c>
      <c r="D276" s="1" t="s">
        <v>44</v>
      </c>
      <c r="E276" s="1" t="s">
        <v>90</v>
      </c>
      <c r="F276" s="5" t="s">
        <v>46</v>
      </c>
      <c r="G276" s="1" t="s">
        <v>27</v>
      </c>
      <c r="H276">
        <f>VLOOKUP(D276,[1]金額リスト!$A$2:$B$6,2,FALSE)</f>
        <v>114300</v>
      </c>
      <c r="I276" s="1" t="s">
        <v>33</v>
      </c>
      <c r="J276">
        <f t="shared" si="52"/>
        <v>0</v>
      </c>
      <c r="K276">
        <f t="shared" si="53"/>
        <v>0</v>
      </c>
      <c r="L276">
        <f t="shared" si="64"/>
        <v>0</v>
      </c>
      <c r="M276">
        <f t="shared" si="54"/>
        <v>0</v>
      </c>
      <c r="N276">
        <f t="shared" si="55"/>
        <v>114300</v>
      </c>
      <c r="O276">
        <f t="shared" si="56"/>
        <v>0</v>
      </c>
      <c r="P276">
        <f t="shared" si="57"/>
        <v>0</v>
      </c>
      <c r="Q276">
        <f t="shared" si="58"/>
        <v>0</v>
      </c>
      <c r="R276">
        <f t="shared" si="59"/>
        <v>0</v>
      </c>
      <c r="S276">
        <f t="shared" si="60"/>
        <v>0</v>
      </c>
      <c r="T276">
        <f t="shared" si="61"/>
        <v>0</v>
      </c>
      <c r="U276">
        <f t="shared" si="62"/>
        <v>0</v>
      </c>
      <c r="V276">
        <f t="shared" si="63"/>
        <v>0</v>
      </c>
    </row>
    <row r="277" spans="1:22" x14ac:dyDescent="0.4">
      <c r="A277" s="1" t="s">
        <v>884</v>
      </c>
      <c r="B277" s="1" t="s">
        <v>885</v>
      </c>
      <c r="C277" s="1" t="s">
        <v>886</v>
      </c>
      <c r="D277" s="1" t="s">
        <v>25</v>
      </c>
      <c r="E277" s="1" t="s">
        <v>86</v>
      </c>
      <c r="F277" s="5" t="s">
        <v>10</v>
      </c>
      <c r="G277" s="1" t="s">
        <v>27</v>
      </c>
      <c r="H277">
        <f>VLOOKUP(D277,[1]金額リスト!$A$2:$B$6,2,FALSE)</f>
        <v>59400</v>
      </c>
      <c r="I277" s="1" t="s">
        <v>33</v>
      </c>
      <c r="J277">
        <f t="shared" si="52"/>
        <v>0</v>
      </c>
      <c r="K277">
        <f t="shared" si="53"/>
        <v>59400</v>
      </c>
      <c r="L277">
        <f t="shared" si="64"/>
        <v>0</v>
      </c>
      <c r="M277">
        <f t="shared" si="54"/>
        <v>0</v>
      </c>
      <c r="N277">
        <f t="shared" si="55"/>
        <v>0</v>
      </c>
      <c r="O277">
        <f t="shared" si="56"/>
        <v>0</v>
      </c>
      <c r="P277">
        <f t="shared" si="57"/>
        <v>0</v>
      </c>
      <c r="Q277">
        <f t="shared" si="58"/>
        <v>0</v>
      </c>
      <c r="R277">
        <f t="shared" si="59"/>
        <v>0</v>
      </c>
      <c r="S277">
        <f t="shared" si="60"/>
        <v>0</v>
      </c>
      <c r="T277">
        <f t="shared" si="61"/>
        <v>0</v>
      </c>
      <c r="U277">
        <f t="shared" si="62"/>
        <v>0</v>
      </c>
      <c r="V277">
        <f t="shared" si="63"/>
        <v>0</v>
      </c>
    </row>
    <row r="278" spans="1:22" x14ac:dyDescent="0.4">
      <c r="A278" s="1" t="s">
        <v>887</v>
      </c>
      <c r="B278" s="1" t="s">
        <v>888</v>
      </c>
      <c r="C278" s="1" t="s">
        <v>889</v>
      </c>
      <c r="D278" s="1" t="s">
        <v>44</v>
      </c>
      <c r="E278" s="1" t="s">
        <v>376</v>
      </c>
      <c r="F278" s="5" t="s">
        <v>46</v>
      </c>
      <c r="G278" s="1" t="s">
        <v>27</v>
      </c>
      <c r="H278">
        <f>VLOOKUP(D278,[1]金額リスト!$A$2:$B$6,2,FALSE)</f>
        <v>114300</v>
      </c>
      <c r="I278" s="1" t="s">
        <v>33</v>
      </c>
      <c r="J278">
        <f t="shared" si="52"/>
        <v>0</v>
      </c>
      <c r="K278">
        <f t="shared" si="53"/>
        <v>0</v>
      </c>
      <c r="L278">
        <f t="shared" si="64"/>
        <v>0</v>
      </c>
      <c r="M278">
        <f t="shared" si="54"/>
        <v>0</v>
      </c>
      <c r="N278">
        <f t="shared" si="55"/>
        <v>114300</v>
      </c>
      <c r="O278">
        <f t="shared" si="56"/>
        <v>0</v>
      </c>
      <c r="P278">
        <f t="shared" si="57"/>
        <v>0</v>
      </c>
      <c r="Q278">
        <f t="shared" si="58"/>
        <v>0</v>
      </c>
      <c r="R278">
        <f t="shared" si="59"/>
        <v>0</v>
      </c>
      <c r="S278">
        <f t="shared" si="60"/>
        <v>0</v>
      </c>
      <c r="T278">
        <f t="shared" si="61"/>
        <v>0</v>
      </c>
      <c r="U278">
        <f t="shared" si="62"/>
        <v>0</v>
      </c>
      <c r="V278">
        <f t="shared" si="63"/>
        <v>0</v>
      </c>
    </row>
    <row r="279" spans="1:22" x14ac:dyDescent="0.4">
      <c r="A279" s="1" t="s">
        <v>890</v>
      </c>
      <c r="B279" s="1" t="s">
        <v>891</v>
      </c>
      <c r="C279" s="1" t="s">
        <v>892</v>
      </c>
      <c r="D279" s="1" t="s">
        <v>44</v>
      </c>
      <c r="E279" s="1" t="s">
        <v>82</v>
      </c>
      <c r="F279" s="5" t="s">
        <v>46</v>
      </c>
      <c r="G279" s="1" t="s">
        <v>27</v>
      </c>
      <c r="H279">
        <f>VLOOKUP(D279,[1]金額リスト!$A$2:$B$6,2,FALSE)</f>
        <v>114300</v>
      </c>
      <c r="I279" s="1" t="s">
        <v>33</v>
      </c>
      <c r="J279">
        <f t="shared" si="52"/>
        <v>0</v>
      </c>
      <c r="K279">
        <f t="shared" si="53"/>
        <v>0</v>
      </c>
      <c r="L279">
        <f t="shared" si="64"/>
        <v>0</v>
      </c>
      <c r="M279">
        <f t="shared" si="54"/>
        <v>0</v>
      </c>
      <c r="N279">
        <f t="shared" si="55"/>
        <v>114300</v>
      </c>
      <c r="O279">
        <f t="shared" si="56"/>
        <v>0</v>
      </c>
      <c r="P279">
        <f t="shared" si="57"/>
        <v>0</v>
      </c>
      <c r="Q279">
        <f t="shared" si="58"/>
        <v>0</v>
      </c>
      <c r="R279">
        <f t="shared" si="59"/>
        <v>0</v>
      </c>
      <c r="S279">
        <f t="shared" si="60"/>
        <v>0</v>
      </c>
      <c r="T279">
        <f t="shared" si="61"/>
        <v>0</v>
      </c>
      <c r="U279">
        <f t="shared" si="62"/>
        <v>0</v>
      </c>
      <c r="V279">
        <f t="shared" si="63"/>
        <v>0</v>
      </c>
    </row>
    <row r="280" spans="1:22" x14ac:dyDescent="0.4">
      <c r="A280" s="1" t="s">
        <v>893</v>
      </c>
      <c r="B280" s="1" t="s">
        <v>894</v>
      </c>
      <c r="C280" s="1" t="s">
        <v>895</v>
      </c>
      <c r="D280" s="1" t="s">
        <v>44</v>
      </c>
      <c r="E280" s="1" t="s">
        <v>86</v>
      </c>
      <c r="F280" s="5" t="s">
        <v>46</v>
      </c>
      <c r="G280" s="1" t="s">
        <v>27</v>
      </c>
      <c r="H280">
        <f>VLOOKUP(D280,[1]金額リスト!$A$2:$B$6,2,FALSE)</f>
        <v>114300</v>
      </c>
      <c r="I280" s="1" t="s">
        <v>33</v>
      </c>
      <c r="J280">
        <f t="shared" si="52"/>
        <v>0</v>
      </c>
      <c r="K280">
        <f t="shared" si="53"/>
        <v>0</v>
      </c>
      <c r="L280">
        <f t="shared" si="64"/>
        <v>0</v>
      </c>
      <c r="M280">
        <f t="shared" si="54"/>
        <v>0</v>
      </c>
      <c r="N280">
        <f t="shared" si="55"/>
        <v>114300</v>
      </c>
      <c r="O280">
        <f t="shared" si="56"/>
        <v>0</v>
      </c>
      <c r="P280">
        <f t="shared" si="57"/>
        <v>0</v>
      </c>
      <c r="Q280">
        <f t="shared" si="58"/>
        <v>0</v>
      </c>
      <c r="R280">
        <f t="shared" si="59"/>
        <v>0</v>
      </c>
      <c r="S280">
        <f t="shared" si="60"/>
        <v>0</v>
      </c>
      <c r="T280">
        <f t="shared" si="61"/>
        <v>0</v>
      </c>
      <c r="U280">
        <f t="shared" si="62"/>
        <v>0</v>
      </c>
      <c r="V280">
        <f t="shared" si="63"/>
        <v>0</v>
      </c>
    </row>
    <row r="281" spans="1:22" x14ac:dyDescent="0.4">
      <c r="A281" s="1" t="s">
        <v>896</v>
      </c>
      <c r="B281" s="1" t="s">
        <v>897</v>
      </c>
      <c r="C281" s="1" t="s">
        <v>898</v>
      </c>
      <c r="D281" s="1" t="s">
        <v>44</v>
      </c>
      <c r="E281" s="1" t="s">
        <v>32</v>
      </c>
      <c r="F281" s="5" t="s">
        <v>46</v>
      </c>
      <c r="G281" s="1" t="s">
        <v>27</v>
      </c>
      <c r="H281">
        <f>VLOOKUP(D281,[1]金額リスト!$A$2:$B$6,2,FALSE)</f>
        <v>114300</v>
      </c>
      <c r="I281" s="1" t="s">
        <v>33</v>
      </c>
      <c r="J281">
        <f t="shared" si="52"/>
        <v>0</v>
      </c>
      <c r="K281">
        <f t="shared" si="53"/>
        <v>0</v>
      </c>
      <c r="L281">
        <f t="shared" si="64"/>
        <v>0</v>
      </c>
      <c r="M281">
        <f t="shared" si="54"/>
        <v>0</v>
      </c>
      <c r="N281">
        <f t="shared" si="55"/>
        <v>114300</v>
      </c>
      <c r="O281">
        <f t="shared" si="56"/>
        <v>0</v>
      </c>
      <c r="P281">
        <f t="shared" si="57"/>
        <v>0</v>
      </c>
      <c r="Q281">
        <f t="shared" si="58"/>
        <v>0</v>
      </c>
      <c r="R281">
        <f t="shared" si="59"/>
        <v>0</v>
      </c>
      <c r="S281">
        <f t="shared" si="60"/>
        <v>0</v>
      </c>
      <c r="T281">
        <f t="shared" si="61"/>
        <v>0</v>
      </c>
      <c r="U281">
        <f t="shared" si="62"/>
        <v>0</v>
      </c>
      <c r="V281">
        <f t="shared" si="63"/>
        <v>0</v>
      </c>
    </row>
    <row r="282" spans="1:22" x14ac:dyDescent="0.4">
      <c r="A282" s="1" t="s">
        <v>899</v>
      </c>
      <c r="B282" s="1" t="s">
        <v>900</v>
      </c>
      <c r="C282" s="1" t="s">
        <v>901</v>
      </c>
      <c r="D282" s="1" t="s">
        <v>50</v>
      </c>
      <c r="E282" s="1" t="s">
        <v>376</v>
      </c>
      <c r="F282" s="5" t="s">
        <v>46</v>
      </c>
      <c r="G282" s="1" t="s">
        <v>52</v>
      </c>
      <c r="H282">
        <f>VLOOKUP(D282,[1]金額リスト!$A$2:$B$6,2,FALSE)</f>
        <v>114300</v>
      </c>
      <c r="I282" s="1" t="s">
        <v>28</v>
      </c>
      <c r="J282">
        <f t="shared" si="52"/>
        <v>0</v>
      </c>
      <c r="K282">
        <f t="shared" si="53"/>
        <v>0</v>
      </c>
      <c r="L282">
        <f t="shared" si="64"/>
        <v>0</v>
      </c>
      <c r="M282">
        <f t="shared" si="54"/>
        <v>0</v>
      </c>
      <c r="N282">
        <f t="shared" si="55"/>
        <v>114300</v>
      </c>
      <c r="O282">
        <f t="shared" si="56"/>
        <v>0</v>
      </c>
      <c r="P282">
        <f t="shared" si="57"/>
        <v>0</v>
      </c>
      <c r="Q282">
        <f t="shared" si="58"/>
        <v>0</v>
      </c>
      <c r="R282">
        <f t="shared" si="59"/>
        <v>0</v>
      </c>
      <c r="S282">
        <f t="shared" si="60"/>
        <v>0</v>
      </c>
      <c r="T282">
        <f t="shared" si="61"/>
        <v>0</v>
      </c>
      <c r="U282">
        <f t="shared" si="62"/>
        <v>0</v>
      </c>
      <c r="V282">
        <f t="shared" si="63"/>
        <v>0</v>
      </c>
    </row>
    <row r="283" spans="1:22" x14ac:dyDescent="0.4">
      <c r="A283" s="1" t="s">
        <v>902</v>
      </c>
      <c r="B283" s="1" t="s">
        <v>903</v>
      </c>
      <c r="C283" s="1" t="s">
        <v>904</v>
      </c>
      <c r="D283" s="1" t="s">
        <v>44</v>
      </c>
      <c r="E283" s="1" t="s">
        <v>56</v>
      </c>
      <c r="F283" s="5" t="s">
        <v>46</v>
      </c>
      <c r="G283" s="1" t="s">
        <v>27</v>
      </c>
      <c r="H283">
        <f>VLOOKUP(D283,[1]金額リスト!$A$2:$B$6,2,FALSE)</f>
        <v>114300</v>
      </c>
      <c r="I283" s="1" t="s">
        <v>33</v>
      </c>
      <c r="J283">
        <f t="shared" si="52"/>
        <v>0</v>
      </c>
      <c r="K283">
        <f t="shared" si="53"/>
        <v>0</v>
      </c>
      <c r="L283">
        <f t="shared" si="64"/>
        <v>0</v>
      </c>
      <c r="M283">
        <f t="shared" si="54"/>
        <v>0</v>
      </c>
      <c r="N283">
        <f t="shared" si="55"/>
        <v>114300</v>
      </c>
      <c r="O283">
        <f t="shared" si="56"/>
        <v>0</v>
      </c>
      <c r="P283">
        <f t="shared" si="57"/>
        <v>0</v>
      </c>
      <c r="Q283">
        <f t="shared" si="58"/>
        <v>0</v>
      </c>
      <c r="R283">
        <f t="shared" si="59"/>
        <v>0</v>
      </c>
      <c r="S283">
        <f t="shared" si="60"/>
        <v>0</v>
      </c>
      <c r="T283">
        <f t="shared" si="61"/>
        <v>0</v>
      </c>
      <c r="U283">
        <f t="shared" si="62"/>
        <v>0</v>
      </c>
      <c r="V283">
        <f t="shared" si="63"/>
        <v>0</v>
      </c>
    </row>
    <row r="284" spans="1:22" x14ac:dyDescent="0.4">
      <c r="A284" s="1" t="s">
        <v>905</v>
      </c>
      <c r="B284" s="1" t="s">
        <v>906</v>
      </c>
      <c r="C284" s="1" t="s">
        <v>907</v>
      </c>
      <c r="D284" s="1" t="s">
        <v>44</v>
      </c>
      <c r="E284" s="1" t="s">
        <v>112</v>
      </c>
      <c r="F284" s="5" t="s">
        <v>46</v>
      </c>
      <c r="G284" s="1" t="s">
        <v>27</v>
      </c>
      <c r="H284">
        <f>VLOOKUP(D284,[1]金額リスト!$A$2:$B$6,2,FALSE)</f>
        <v>114300</v>
      </c>
      <c r="I284" s="1" t="s">
        <v>33</v>
      </c>
      <c r="J284">
        <f t="shared" si="52"/>
        <v>0</v>
      </c>
      <c r="K284">
        <f t="shared" si="53"/>
        <v>0</v>
      </c>
      <c r="L284">
        <f t="shared" si="64"/>
        <v>0</v>
      </c>
      <c r="M284">
        <f t="shared" si="54"/>
        <v>0</v>
      </c>
      <c r="N284">
        <f t="shared" si="55"/>
        <v>114300</v>
      </c>
      <c r="O284">
        <f t="shared" si="56"/>
        <v>0</v>
      </c>
      <c r="P284">
        <f t="shared" si="57"/>
        <v>0</v>
      </c>
      <c r="Q284">
        <f t="shared" si="58"/>
        <v>0</v>
      </c>
      <c r="R284">
        <f t="shared" si="59"/>
        <v>0</v>
      </c>
      <c r="S284">
        <f t="shared" si="60"/>
        <v>0</v>
      </c>
      <c r="T284">
        <f t="shared" si="61"/>
        <v>0</v>
      </c>
      <c r="U284">
        <f t="shared" si="62"/>
        <v>0</v>
      </c>
      <c r="V284">
        <f t="shared" si="63"/>
        <v>0</v>
      </c>
    </row>
    <row r="285" spans="1:22" x14ac:dyDescent="0.4">
      <c r="A285" s="1" t="s">
        <v>908</v>
      </c>
      <c r="B285" s="1" t="s">
        <v>909</v>
      </c>
      <c r="C285" s="1" t="s">
        <v>910</v>
      </c>
      <c r="D285" s="1" t="s">
        <v>44</v>
      </c>
      <c r="E285" s="1" t="s">
        <v>86</v>
      </c>
      <c r="F285" s="5" t="s">
        <v>46</v>
      </c>
      <c r="G285" s="1" t="s">
        <v>27</v>
      </c>
      <c r="H285">
        <f>VLOOKUP(D285,[1]金額リスト!$A$2:$B$6,2,FALSE)</f>
        <v>114300</v>
      </c>
      <c r="I285" s="1" t="s">
        <v>33</v>
      </c>
      <c r="J285">
        <f t="shared" si="52"/>
        <v>0</v>
      </c>
      <c r="K285">
        <f t="shared" si="53"/>
        <v>0</v>
      </c>
      <c r="L285">
        <f t="shared" si="64"/>
        <v>0</v>
      </c>
      <c r="M285">
        <f t="shared" si="54"/>
        <v>0</v>
      </c>
      <c r="N285">
        <f t="shared" si="55"/>
        <v>114300</v>
      </c>
      <c r="O285">
        <f t="shared" si="56"/>
        <v>0</v>
      </c>
      <c r="P285">
        <f t="shared" si="57"/>
        <v>0</v>
      </c>
      <c r="Q285">
        <f t="shared" si="58"/>
        <v>0</v>
      </c>
      <c r="R285">
        <f t="shared" si="59"/>
        <v>0</v>
      </c>
      <c r="S285">
        <f t="shared" si="60"/>
        <v>0</v>
      </c>
      <c r="T285">
        <f t="shared" si="61"/>
        <v>0</v>
      </c>
      <c r="U285">
        <f t="shared" si="62"/>
        <v>0</v>
      </c>
      <c r="V285">
        <f t="shared" si="63"/>
        <v>0</v>
      </c>
    </row>
    <row r="286" spans="1:22" x14ac:dyDescent="0.4">
      <c r="A286" s="1" t="s">
        <v>911</v>
      </c>
      <c r="B286" s="1" t="s">
        <v>912</v>
      </c>
      <c r="C286" s="1" t="s">
        <v>913</v>
      </c>
      <c r="D286" s="1" t="s">
        <v>25</v>
      </c>
      <c r="E286" s="1" t="s">
        <v>37</v>
      </c>
      <c r="F286" s="5" t="s">
        <v>10</v>
      </c>
      <c r="G286" s="1" t="s">
        <v>27</v>
      </c>
      <c r="H286">
        <f>VLOOKUP(D286,[1]金額リスト!$A$2:$B$6,2,FALSE)</f>
        <v>59400</v>
      </c>
      <c r="I286" s="1" t="s">
        <v>33</v>
      </c>
      <c r="J286">
        <f t="shared" si="52"/>
        <v>0</v>
      </c>
      <c r="K286">
        <f t="shared" si="53"/>
        <v>59400</v>
      </c>
      <c r="L286">
        <f t="shared" si="64"/>
        <v>0</v>
      </c>
      <c r="M286">
        <f t="shared" si="54"/>
        <v>0</v>
      </c>
      <c r="N286">
        <f t="shared" si="55"/>
        <v>0</v>
      </c>
      <c r="O286">
        <f t="shared" si="56"/>
        <v>0</v>
      </c>
      <c r="P286">
        <f t="shared" si="57"/>
        <v>0</v>
      </c>
      <c r="Q286">
        <f t="shared" si="58"/>
        <v>0</v>
      </c>
      <c r="R286">
        <f t="shared" si="59"/>
        <v>0</v>
      </c>
      <c r="S286">
        <f t="shared" si="60"/>
        <v>0</v>
      </c>
      <c r="T286">
        <f t="shared" si="61"/>
        <v>0</v>
      </c>
      <c r="U286">
        <f t="shared" si="62"/>
        <v>0</v>
      </c>
      <c r="V286">
        <f t="shared" si="63"/>
        <v>0</v>
      </c>
    </row>
    <row r="287" spans="1:22" x14ac:dyDescent="0.4">
      <c r="A287" s="1" t="s">
        <v>914</v>
      </c>
      <c r="B287" s="1" t="s">
        <v>915</v>
      </c>
      <c r="C287" s="1" t="s">
        <v>916</v>
      </c>
      <c r="D287" s="1" t="s">
        <v>44</v>
      </c>
      <c r="E287" s="1" t="s">
        <v>63</v>
      </c>
      <c r="F287" s="5" t="s">
        <v>46</v>
      </c>
      <c r="G287" s="1" t="s">
        <v>27</v>
      </c>
      <c r="H287">
        <f>VLOOKUP(D287,[1]金額リスト!$A$2:$B$6,2,FALSE)</f>
        <v>114300</v>
      </c>
      <c r="I287" s="1" t="s">
        <v>33</v>
      </c>
      <c r="J287">
        <f t="shared" si="52"/>
        <v>0</v>
      </c>
      <c r="K287">
        <f t="shared" si="53"/>
        <v>0</v>
      </c>
      <c r="L287">
        <f t="shared" si="64"/>
        <v>0</v>
      </c>
      <c r="M287">
        <f t="shared" si="54"/>
        <v>0</v>
      </c>
      <c r="N287">
        <f t="shared" si="55"/>
        <v>114300</v>
      </c>
      <c r="O287">
        <f t="shared" si="56"/>
        <v>0</v>
      </c>
      <c r="P287">
        <f t="shared" si="57"/>
        <v>0</v>
      </c>
      <c r="Q287">
        <f t="shared" si="58"/>
        <v>0</v>
      </c>
      <c r="R287">
        <f t="shared" si="59"/>
        <v>0</v>
      </c>
      <c r="S287">
        <f t="shared" si="60"/>
        <v>0</v>
      </c>
      <c r="T287">
        <f t="shared" si="61"/>
        <v>0</v>
      </c>
      <c r="U287">
        <f t="shared" si="62"/>
        <v>0</v>
      </c>
      <c r="V287">
        <f t="shared" si="63"/>
        <v>0</v>
      </c>
    </row>
    <row r="288" spans="1:22" x14ac:dyDescent="0.4">
      <c r="A288" s="1" t="s">
        <v>917</v>
      </c>
      <c r="B288" s="1" t="s">
        <v>918</v>
      </c>
      <c r="C288" s="1" t="s">
        <v>919</v>
      </c>
      <c r="D288" s="1" t="s">
        <v>44</v>
      </c>
      <c r="E288" s="1" t="s">
        <v>920</v>
      </c>
      <c r="F288" s="5" t="s">
        <v>479</v>
      </c>
      <c r="G288" s="1" t="s">
        <v>27</v>
      </c>
      <c r="H288">
        <f>VLOOKUP(D288,[1]金額リスト!$A$2:$B$6,2,FALSE)</f>
        <v>114300</v>
      </c>
      <c r="I288" s="1" t="s">
        <v>868</v>
      </c>
      <c r="J288">
        <f t="shared" si="52"/>
        <v>0</v>
      </c>
      <c r="K288">
        <f t="shared" si="53"/>
        <v>0</v>
      </c>
      <c r="L288">
        <f t="shared" si="64"/>
        <v>114300</v>
      </c>
      <c r="M288">
        <f t="shared" si="54"/>
        <v>0</v>
      </c>
      <c r="N288">
        <f t="shared" si="55"/>
        <v>0</v>
      </c>
      <c r="O288">
        <f t="shared" si="56"/>
        <v>0</v>
      </c>
      <c r="P288">
        <f t="shared" si="57"/>
        <v>0</v>
      </c>
      <c r="Q288">
        <f t="shared" si="58"/>
        <v>0</v>
      </c>
      <c r="R288">
        <f t="shared" si="59"/>
        <v>0</v>
      </c>
      <c r="S288">
        <f t="shared" si="60"/>
        <v>0</v>
      </c>
      <c r="T288">
        <f t="shared" si="61"/>
        <v>0</v>
      </c>
      <c r="U288">
        <f t="shared" si="62"/>
        <v>0</v>
      </c>
      <c r="V288">
        <f t="shared" si="63"/>
        <v>0</v>
      </c>
    </row>
    <row r="289" spans="1:22" x14ac:dyDescent="0.4">
      <c r="A289" s="1" t="s">
        <v>921</v>
      </c>
      <c r="B289" s="1" t="s">
        <v>922</v>
      </c>
      <c r="C289" s="1" t="s">
        <v>923</v>
      </c>
      <c r="D289" s="1" t="s">
        <v>44</v>
      </c>
      <c r="E289" s="1" t="s">
        <v>924</v>
      </c>
      <c r="F289" s="5" t="s">
        <v>479</v>
      </c>
      <c r="G289" s="1" t="s">
        <v>27</v>
      </c>
      <c r="H289">
        <f>VLOOKUP(D289,[1]金額リスト!$A$2:$B$6,2,FALSE)</f>
        <v>114300</v>
      </c>
      <c r="I289" s="1" t="s">
        <v>868</v>
      </c>
      <c r="J289">
        <f t="shared" si="52"/>
        <v>0</v>
      </c>
      <c r="K289">
        <f t="shared" si="53"/>
        <v>0</v>
      </c>
      <c r="L289">
        <f t="shared" si="64"/>
        <v>114300</v>
      </c>
      <c r="M289">
        <f t="shared" si="54"/>
        <v>0</v>
      </c>
      <c r="N289">
        <f t="shared" si="55"/>
        <v>0</v>
      </c>
      <c r="O289">
        <f t="shared" si="56"/>
        <v>0</v>
      </c>
      <c r="P289">
        <f t="shared" si="57"/>
        <v>0</v>
      </c>
      <c r="Q289">
        <f t="shared" si="58"/>
        <v>0</v>
      </c>
      <c r="R289">
        <f t="shared" si="59"/>
        <v>0</v>
      </c>
      <c r="S289">
        <f t="shared" si="60"/>
        <v>0</v>
      </c>
      <c r="T289">
        <f t="shared" si="61"/>
        <v>0</v>
      </c>
      <c r="U289">
        <f t="shared" si="62"/>
        <v>0</v>
      </c>
      <c r="V289">
        <f t="shared" si="63"/>
        <v>0</v>
      </c>
    </row>
    <row r="290" spans="1:22" x14ac:dyDescent="0.4">
      <c r="A290" s="1" t="s">
        <v>925</v>
      </c>
      <c r="B290" s="1" t="s">
        <v>926</v>
      </c>
      <c r="C290" s="1" t="s">
        <v>927</v>
      </c>
      <c r="D290" s="1" t="s">
        <v>44</v>
      </c>
      <c r="E290" s="1" t="s">
        <v>928</v>
      </c>
      <c r="F290" s="5" t="s">
        <v>479</v>
      </c>
      <c r="G290" s="1" t="s">
        <v>27</v>
      </c>
      <c r="H290">
        <f>VLOOKUP(D290,[1]金額リスト!$A$2:$B$6,2,FALSE)</f>
        <v>114300</v>
      </c>
      <c r="I290" s="1" t="s">
        <v>868</v>
      </c>
      <c r="J290">
        <f t="shared" si="52"/>
        <v>0</v>
      </c>
      <c r="K290">
        <f t="shared" si="53"/>
        <v>0</v>
      </c>
      <c r="L290">
        <f t="shared" si="64"/>
        <v>114300</v>
      </c>
      <c r="M290">
        <f t="shared" si="54"/>
        <v>0</v>
      </c>
      <c r="N290">
        <f t="shared" si="55"/>
        <v>0</v>
      </c>
      <c r="O290">
        <f t="shared" si="56"/>
        <v>0</v>
      </c>
      <c r="P290">
        <f t="shared" si="57"/>
        <v>0</v>
      </c>
      <c r="Q290">
        <f t="shared" si="58"/>
        <v>0</v>
      </c>
      <c r="R290">
        <f t="shared" si="59"/>
        <v>0</v>
      </c>
      <c r="S290">
        <f t="shared" si="60"/>
        <v>0</v>
      </c>
      <c r="T290">
        <f t="shared" si="61"/>
        <v>0</v>
      </c>
      <c r="U290">
        <f t="shared" si="62"/>
        <v>0</v>
      </c>
      <c r="V290">
        <f t="shared" si="63"/>
        <v>0</v>
      </c>
    </row>
    <row r="291" spans="1:22" x14ac:dyDescent="0.4">
      <c r="A291" s="1" t="s">
        <v>929</v>
      </c>
      <c r="B291" s="1" t="s">
        <v>930</v>
      </c>
      <c r="C291" s="1" t="s">
        <v>931</v>
      </c>
      <c r="D291" s="1" t="s">
        <v>44</v>
      </c>
      <c r="E291" s="1" t="s">
        <v>932</v>
      </c>
      <c r="F291" s="5" t="s">
        <v>479</v>
      </c>
      <c r="G291" s="1" t="s">
        <v>27</v>
      </c>
      <c r="H291">
        <f>VLOOKUP(D291,[1]金額リスト!$A$2:$B$6,2,FALSE)</f>
        <v>114300</v>
      </c>
      <c r="I291" s="1" t="s">
        <v>868</v>
      </c>
      <c r="J291">
        <f t="shared" si="52"/>
        <v>0</v>
      </c>
      <c r="K291">
        <f t="shared" si="53"/>
        <v>0</v>
      </c>
      <c r="L291">
        <f t="shared" si="64"/>
        <v>114300</v>
      </c>
      <c r="M291">
        <f t="shared" si="54"/>
        <v>0</v>
      </c>
      <c r="N291">
        <f t="shared" si="55"/>
        <v>0</v>
      </c>
      <c r="O291">
        <f t="shared" si="56"/>
        <v>0</v>
      </c>
      <c r="P291">
        <f t="shared" si="57"/>
        <v>0</v>
      </c>
      <c r="Q291">
        <f t="shared" si="58"/>
        <v>0</v>
      </c>
      <c r="R291">
        <f t="shared" si="59"/>
        <v>0</v>
      </c>
      <c r="S291">
        <f t="shared" si="60"/>
        <v>0</v>
      </c>
      <c r="T291">
        <f t="shared" si="61"/>
        <v>0</v>
      </c>
      <c r="U291">
        <f t="shared" si="62"/>
        <v>0</v>
      </c>
      <c r="V291">
        <f t="shared" si="63"/>
        <v>0</v>
      </c>
    </row>
    <row r="292" spans="1:22" x14ac:dyDescent="0.4">
      <c r="A292" s="1" t="s">
        <v>933</v>
      </c>
      <c r="B292" s="1" t="s">
        <v>934</v>
      </c>
      <c r="C292" s="1" t="s">
        <v>935</v>
      </c>
      <c r="D292" s="1" t="s">
        <v>44</v>
      </c>
      <c r="E292" s="1" t="s">
        <v>90</v>
      </c>
      <c r="F292" s="5" t="s">
        <v>46</v>
      </c>
      <c r="G292" s="1" t="s">
        <v>27</v>
      </c>
      <c r="H292">
        <f>VLOOKUP(D292,[1]金額リスト!$A$2:$B$6,2,FALSE)</f>
        <v>114300</v>
      </c>
      <c r="I292" s="1" t="s">
        <v>33</v>
      </c>
      <c r="J292">
        <f t="shared" si="52"/>
        <v>0</v>
      </c>
      <c r="K292">
        <f t="shared" si="53"/>
        <v>0</v>
      </c>
      <c r="L292">
        <f t="shared" si="64"/>
        <v>0</v>
      </c>
      <c r="M292">
        <f t="shared" si="54"/>
        <v>0</v>
      </c>
      <c r="N292">
        <f t="shared" si="55"/>
        <v>114300</v>
      </c>
      <c r="O292">
        <f t="shared" si="56"/>
        <v>0</v>
      </c>
      <c r="P292">
        <f t="shared" si="57"/>
        <v>0</v>
      </c>
      <c r="Q292">
        <f t="shared" si="58"/>
        <v>0</v>
      </c>
      <c r="R292">
        <f t="shared" si="59"/>
        <v>0</v>
      </c>
      <c r="S292">
        <f t="shared" si="60"/>
        <v>0</v>
      </c>
      <c r="T292">
        <f t="shared" si="61"/>
        <v>0</v>
      </c>
      <c r="U292">
        <f t="shared" si="62"/>
        <v>0</v>
      </c>
      <c r="V292">
        <f t="shared" si="63"/>
        <v>0</v>
      </c>
    </row>
    <row r="293" spans="1:22" x14ac:dyDescent="0.4">
      <c r="A293" s="1" t="s">
        <v>936</v>
      </c>
      <c r="B293" s="1" t="s">
        <v>937</v>
      </c>
      <c r="C293" s="1" t="s">
        <v>938</v>
      </c>
      <c r="D293" s="1" t="s">
        <v>44</v>
      </c>
      <c r="E293" s="1" t="s">
        <v>376</v>
      </c>
      <c r="F293" s="5" t="s">
        <v>46</v>
      </c>
      <c r="G293" s="1" t="s">
        <v>27</v>
      </c>
      <c r="H293">
        <f>VLOOKUP(D293,[1]金額リスト!$A$2:$B$6,2,FALSE)</f>
        <v>114300</v>
      </c>
      <c r="I293" s="1" t="s">
        <v>33</v>
      </c>
      <c r="J293">
        <f t="shared" si="52"/>
        <v>0</v>
      </c>
      <c r="K293">
        <f t="shared" si="53"/>
        <v>0</v>
      </c>
      <c r="L293">
        <f t="shared" si="64"/>
        <v>0</v>
      </c>
      <c r="M293">
        <f t="shared" si="54"/>
        <v>0</v>
      </c>
      <c r="N293">
        <f t="shared" si="55"/>
        <v>114300</v>
      </c>
      <c r="O293">
        <f t="shared" si="56"/>
        <v>0</v>
      </c>
      <c r="P293">
        <f t="shared" si="57"/>
        <v>0</v>
      </c>
      <c r="Q293">
        <f t="shared" si="58"/>
        <v>0</v>
      </c>
      <c r="R293">
        <f t="shared" si="59"/>
        <v>0</v>
      </c>
      <c r="S293">
        <f t="shared" si="60"/>
        <v>0</v>
      </c>
      <c r="T293">
        <f t="shared" si="61"/>
        <v>0</v>
      </c>
      <c r="U293">
        <f t="shared" si="62"/>
        <v>0</v>
      </c>
      <c r="V293">
        <f t="shared" si="63"/>
        <v>0</v>
      </c>
    </row>
    <row r="294" spans="1:22" x14ac:dyDescent="0.4">
      <c r="A294" s="1" t="s">
        <v>939</v>
      </c>
      <c r="B294" s="1" t="s">
        <v>940</v>
      </c>
      <c r="C294" s="1" t="s">
        <v>941</v>
      </c>
      <c r="D294" s="1" t="s">
        <v>44</v>
      </c>
      <c r="E294" s="1" t="s">
        <v>63</v>
      </c>
      <c r="F294" s="5" t="s">
        <v>46</v>
      </c>
      <c r="G294" s="1" t="s">
        <v>27</v>
      </c>
      <c r="H294">
        <f>VLOOKUP(D294,[1]金額リスト!$A$2:$B$6,2,FALSE)</f>
        <v>114300</v>
      </c>
      <c r="I294" s="1" t="s">
        <v>33</v>
      </c>
      <c r="J294">
        <f t="shared" si="52"/>
        <v>0</v>
      </c>
      <c r="K294">
        <f t="shared" si="53"/>
        <v>0</v>
      </c>
      <c r="L294">
        <f t="shared" si="64"/>
        <v>0</v>
      </c>
      <c r="M294">
        <f t="shared" si="54"/>
        <v>0</v>
      </c>
      <c r="N294">
        <f t="shared" si="55"/>
        <v>114300</v>
      </c>
      <c r="O294">
        <f t="shared" si="56"/>
        <v>0</v>
      </c>
      <c r="P294">
        <f t="shared" si="57"/>
        <v>0</v>
      </c>
      <c r="Q294">
        <f t="shared" si="58"/>
        <v>0</v>
      </c>
      <c r="R294">
        <f t="shared" si="59"/>
        <v>0</v>
      </c>
      <c r="S294">
        <f t="shared" si="60"/>
        <v>0</v>
      </c>
      <c r="T294">
        <f t="shared" si="61"/>
        <v>0</v>
      </c>
      <c r="U294">
        <f t="shared" si="62"/>
        <v>0</v>
      </c>
      <c r="V294">
        <f t="shared" si="63"/>
        <v>0</v>
      </c>
    </row>
    <row r="295" spans="1:22" x14ac:dyDescent="0.4">
      <c r="A295" s="1" t="s">
        <v>942</v>
      </c>
      <c r="B295" s="1" t="s">
        <v>943</v>
      </c>
      <c r="C295" s="1" t="s">
        <v>944</v>
      </c>
      <c r="D295" s="1" t="s">
        <v>44</v>
      </c>
      <c r="E295" s="1" t="s">
        <v>86</v>
      </c>
      <c r="F295" s="5" t="s">
        <v>46</v>
      </c>
      <c r="G295" s="1" t="s">
        <v>27</v>
      </c>
      <c r="H295">
        <f>VLOOKUP(D295,[1]金額リスト!$A$2:$B$6,2,FALSE)</f>
        <v>114300</v>
      </c>
      <c r="I295" s="1" t="s">
        <v>33</v>
      </c>
      <c r="J295">
        <f t="shared" si="52"/>
        <v>0</v>
      </c>
      <c r="K295">
        <f t="shared" si="53"/>
        <v>0</v>
      </c>
      <c r="L295">
        <f t="shared" si="64"/>
        <v>0</v>
      </c>
      <c r="M295">
        <f t="shared" si="54"/>
        <v>0</v>
      </c>
      <c r="N295">
        <f t="shared" si="55"/>
        <v>114300</v>
      </c>
      <c r="O295">
        <f t="shared" si="56"/>
        <v>0</v>
      </c>
      <c r="P295">
        <f t="shared" si="57"/>
        <v>0</v>
      </c>
      <c r="Q295">
        <f t="shared" si="58"/>
        <v>0</v>
      </c>
      <c r="R295">
        <f t="shared" si="59"/>
        <v>0</v>
      </c>
      <c r="S295">
        <f t="shared" si="60"/>
        <v>0</v>
      </c>
      <c r="T295">
        <f t="shared" si="61"/>
        <v>0</v>
      </c>
      <c r="U295">
        <f t="shared" si="62"/>
        <v>0</v>
      </c>
      <c r="V295">
        <f t="shared" si="63"/>
        <v>0</v>
      </c>
    </row>
    <row r="296" spans="1:22" x14ac:dyDescent="0.4">
      <c r="A296" s="1" t="s">
        <v>945</v>
      </c>
      <c r="B296" s="1" t="s">
        <v>946</v>
      </c>
      <c r="C296" s="1" t="s">
        <v>947</v>
      </c>
      <c r="D296" s="1" t="s">
        <v>25</v>
      </c>
      <c r="E296" s="1" t="s">
        <v>86</v>
      </c>
      <c r="F296" s="5" t="s">
        <v>10</v>
      </c>
      <c r="G296" s="1" t="s">
        <v>27</v>
      </c>
      <c r="H296">
        <f>VLOOKUP(D296,[1]金額リスト!$A$2:$B$6,2,FALSE)</f>
        <v>59400</v>
      </c>
      <c r="I296" s="1" t="s">
        <v>33</v>
      </c>
      <c r="J296">
        <f t="shared" si="52"/>
        <v>0</v>
      </c>
      <c r="K296">
        <f t="shared" si="53"/>
        <v>59400</v>
      </c>
      <c r="L296">
        <f t="shared" si="64"/>
        <v>0</v>
      </c>
      <c r="M296">
        <f t="shared" si="54"/>
        <v>0</v>
      </c>
      <c r="N296">
        <f t="shared" si="55"/>
        <v>0</v>
      </c>
      <c r="O296">
        <f t="shared" si="56"/>
        <v>0</v>
      </c>
      <c r="P296">
        <f t="shared" si="57"/>
        <v>0</v>
      </c>
      <c r="Q296">
        <f t="shared" si="58"/>
        <v>0</v>
      </c>
      <c r="R296">
        <f t="shared" si="59"/>
        <v>0</v>
      </c>
      <c r="S296">
        <f t="shared" si="60"/>
        <v>0</v>
      </c>
      <c r="T296">
        <f t="shared" si="61"/>
        <v>0</v>
      </c>
      <c r="U296">
        <f t="shared" si="62"/>
        <v>0</v>
      </c>
      <c r="V296">
        <f t="shared" si="63"/>
        <v>0</v>
      </c>
    </row>
    <row r="297" spans="1:22" x14ac:dyDescent="0.4">
      <c r="A297" s="1" t="s">
        <v>948</v>
      </c>
      <c r="B297" s="1" t="s">
        <v>949</v>
      </c>
      <c r="C297" s="1" t="s">
        <v>950</v>
      </c>
      <c r="D297" s="1" t="s">
        <v>44</v>
      </c>
      <c r="E297" s="1" t="s">
        <v>86</v>
      </c>
      <c r="F297" s="5" t="s">
        <v>46</v>
      </c>
      <c r="G297" s="1" t="s">
        <v>27</v>
      </c>
      <c r="H297">
        <f>VLOOKUP(D297,[1]金額リスト!$A$2:$B$6,2,FALSE)</f>
        <v>114300</v>
      </c>
      <c r="I297" s="1" t="s">
        <v>33</v>
      </c>
      <c r="J297">
        <f t="shared" si="52"/>
        <v>0</v>
      </c>
      <c r="K297">
        <f t="shared" si="53"/>
        <v>0</v>
      </c>
      <c r="L297">
        <f t="shared" si="64"/>
        <v>0</v>
      </c>
      <c r="M297">
        <f t="shared" si="54"/>
        <v>0</v>
      </c>
      <c r="N297">
        <f t="shared" si="55"/>
        <v>114300</v>
      </c>
      <c r="O297">
        <f t="shared" si="56"/>
        <v>0</v>
      </c>
      <c r="P297">
        <f t="shared" si="57"/>
        <v>0</v>
      </c>
      <c r="Q297">
        <f t="shared" si="58"/>
        <v>0</v>
      </c>
      <c r="R297">
        <f t="shared" si="59"/>
        <v>0</v>
      </c>
      <c r="S297">
        <f t="shared" si="60"/>
        <v>0</v>
      </c>
      <c r="T297">
        <f t="shared" si="61"/>
        <v>0</v>
      </c>
      <c r="U297">
        <f t="shared" si="62"/>
        <v>0</v>
      </c>
      <c r="V297">
        <f t="shared" si="63"/>
        <v>0</v>
      </c>
    </row>
    <row r="298" spans="1:22" x14ac:dyDescent="0.4">
      <c r="A298" s="1" t="s">
        <v>951</v>
      </c>
      <c r="B298" s="1" t="s">
        <v>952</v>
      </c>
      <c r="C298" s="1" t="s">
        <v>953</v>
      </c>
      <c r="D298" s="1" t="s">
        <v>25</v>
      </c>
      <c r="E298" s="1" t="s">
        <v>227</v>
      </c>
      <c r="F298" s="5" t="s">
        <v>10</v>
      </c>
      <c r="G298" s="1" t="s">
        <v>27</v>
      </c>
      <c r="H298">
        <f>VLOOKUP(D298,[1]金額リスト!$A$2:$B$6,2,FALSE)</f>
        <v>59400</v>
      </c>
      <c r="I298" s="1" t="s">
        <v>33</v>
      </c>
      <c r="J298">
        <f t="shared" si="52"/>
        <v>0</v>
      </c>
      <c r="K298">
        <f t="shared" si="53"/>
        <v>59400</v>
      </c>
      <c r="L298">
        <f t="shared" si="64"/>
        <v>0</v>
      </c>
      <c r="M298">
        <f t="shared" si="54"/>
        <v>0</v>
      </c>
      <c r="N298">
        <f t="shared" si="55"/>
        <v>0</v>
      </c>
      <c r="O298">
        <f t="shared" si="56"/>
        <v>0</v>
      </c>
      <c r="P298">
        <f t="shared" si="57"/>
        <v>0</v>
      </c>
      <c r="Q298">
        <f t="shared" si="58"/>
        <v>0</v>
      </c>
      <c r="R298">
        <f t="shared" si="59"/>
        <v>0</v>
      </c>
      <c r="S298">
        <f t="shared" si="60"/>
        <v>0</v>
      </c>
      <c r="T298">
        <f t="shared" si="61"/>
        <v>0</v>
      </c>
      <c r="U298">
        <f t="shared" si="62"/>
        <v>0</v>
      </c>
      <c r="V298">
        <f t="shared" si="63"/>
        <v>0</v>
      </c>
    </row>
    <row r="299" spans="1:22" x14ac:dyDescent="0.4">
      <c r="A299" s="1" t="s">
        <v>954</v>
      </c>
      <c r="B299" s="1" t="s">
        <v>955</v>
      </c>
      <c r="C299" s="1" t="s">
        <v>956</v>
      </c>
      <c r="D299" s="1" t="s">
        <v>44</v>
      </c>
      <c r="E299" s="1" t="s">
        <v>86</v>
      </c>
      <c r="F299" s="5" t="s">
        <v>46</v>
      </c>
      <c r="G299" s="1" t="s">
        <v>27</v>
      </c>
      <c r="H299">
        <f>VLOOKUP(D299,[1]金額リスト!$A$2:$B$6,2,FALSE)</f>
        <v>114300</v>
      </c>
      <c r="I299" s="1" t="s">
        <v>33</v>
      </c>
      <c r="J299">
        <f t="shared" si="52"/>
        <v>0</v>
      </c>
      <c r="K299">
        <f t="shared" si="53"/>
        <v>0</v>
      </c>
      <c r="L299">
        <f t="shared" si="64"/>
        <v>0</v>
      </c>
      <c r="M299">
        <f t="shared" si="54"/>
        <v>0</v>
      </c>
      <c r="N299">
        <f t="shared" si="55"/>
        <v>114300</v>
      </c>
      <c r="O299">
        <f t="shared" si="56"/>
        <v>0</v>
      </c>
      <c r="P299">
        <f t="shared" si="57"/>
        <v>0</v>
      </c>
      <c r="Q299">
        <f t="shared" si="58"/>
        <v>0</v>
      </c>
      <c r="R299">
        <f t="shared" si="59"/>
        <v>0</v>
      </c>
      <c r="S299">
        <f t="shared" si="60"/>
        <v>0</v>
      </c>
      <c r="T299">
        <f t="shared" si="61"/>
        <v>0</v>
      </c>
      <c r="U299">
        <f t="shared" si="62"/>
        <v>0</v>
      </c>
      <c r="V299">
        <f t="shared" si="63"/>
        <v>0</v>
      </c>
    </row>
    <row r="300" spans="1:22" x14ac:dyDescent="0.4">
      <c r="A300" s="1" t="s">
        <v>957</v>
      </c>
      <c r="B300" s="1" t="s">
        <v>958</v>
      </c>
      <c r="C300" s="1" t="s">
        <v>959</v>
      </c>
      <c r="D300" s="1" t="s">
        <v>44</v>
      </c>
      <c r="E300" s="1" t="s">
        <v>45</v>
      </c>
      <c r="F300" s="5" t="s">
        <v>46</v>
      </c>
      <c r="G300" s="1" t="s">
        <v>27</v>
      </c>
      <c r="H300">
        <f>VLOOKUP(D300,[1]金額リスト!$A$2:$B$6,2,FALSE)</f>
        <v>114300</v>
      </c>
      <c r="I300" s="1" t="s">
        <v>33</v>
      </c>
      <c r="J300">
        <f t="shared" si="52"/>
        <v>0</v>
      </c>
      <c r="K300">
        <f t="shared" si="53"/>
        <v>0</v>
      </c>
      <c r="L300">
        <f t="shared" si="64"/>
        <v>0</v>
      </c>
      <c r="M300">
        <f t="shared" si="54"/>
        <v>0</v>
      </c>
      <c r="N300">
        <f t="shared" si="55"/>
        <v>114300</v>
      </c>
      <c r="O300">
        <f t="shared" si="56"/>
        <v>0</v>
      </c>
      <c r="P300">
        <f t="shared" si="57"/>
        <v>0</v>
      </c>
      <c r="Q300">
        <f t="shared" si="58"/>
        <v>0</v>
      </c>
      <c r="R300">
        <f t="shared" si="59"/>
        <v>0</v>
      </c>
      <c r="S300">
        <f t="shared" si="60"/>
        <v>0</v>
      </c>
      <c r="T300">
        <f t="shared" si="61"/>
        <v>0</v>
      </c>
      <c r="U300">
        <f t="shared" si="62"/>
        <v>0</v>
      </c>
      <c r="V300">
        <f t="shared" si="63"/>
        <v>0</v>
      </c>
    </row>
    <row r="301" spans="1:22" x14ac:dyDescent="0.4">
      <c r="A301" s="1" t="s">
        <v>960</v>
      </c>
      <c r="B301" s="1" t="s">
        <v>961</v>
      </c>
      <c r="C301" s="1" t="s">
        <v>962</v>
      </c>
      <c r="D301" s="1" t="s">
        <v>44</v>
      </c>
      <c r="E301" s="1" t="s">
        <v>63</v>
      </c>
      <c r="F301" s="5" t="s">
        <v>46</v>
      </c>
      <c r="G301" s="1" t="s">
        <v>27</v>
      </c>
      <c r="H301">
        <f>VLOOKUP(D301,[1]金額リスト!$A$2:$B$6,2,FALSE)</f>
        <v>114300</v>
      </c>
      <c r="I301" s="1" t="s">
        <v>33</v>
      </c>
      <c r="J301">
        <f t="shared" si="52"/>
        <v>0</v>
      </c>
      <c r="K301">
        <f t="shared" si="53"/>
        <v>0</v>
      </c>
      <c r="L301">
        <f t="shared" si="64"/>
        <v>0</v>
      </c>
      <c r="M301">
        <f t="shared" si="54"/>
        <v>0</v>
      </c>
      <c r="N301">
        <f t="shared" si="55"/>
        <v>114300</v>
      </c>
      <c r="O301">
        <f t="shared" si="56"/>
        <v>0</v>
      </c>
      <c r="P301">
        <f t="shared" si="57"/>
        <v>0</v>
      </c>
      <c r="Q301">
        <f t="shared" si="58"/>
        <v>0</v>
      </c>
      <c r="R301">
        <f t="shared" si="59"/>
        <v>0</v>
      </c>
      <c r="S301">
        <f t="shared" si="60"/>
        <v>0</v>
      </c>
      <c r="T301">
        <f t="shared" si="61"/>
        <v>0</v>
      </c>
      <c r="U301">
        <f t="shared" si="62"/>
        <v>0</v>
      </c>
      <c r="V301">
        <f t="shared" si="63"/>
        <v>0</v>
      </c>
    </row>
    <row r="302" spans="1:22" x14ac:dyDescent="0.4">
      <c r="A302" s="1" t="s">
        <v>963</v>
      </c>
      <c r="B302" s="1" t="s">
        <v>964</v>
      </c>
      <c r="C302" s="1" t="s">
        <v>965</v>
      </c>
      <c r="D302" s="1" t="s">
        <v>44</v>
      </c>
      <c r="E302" s="1" t="s">
        <v>45</v>
      </c>
      <c r="F302" s="5" t="s">
        <v>46</v>
      </c>
      <c r="G302" s="1" t="s">
        <v>27</v>
      </c>
      <c r="H302">
        <f>VLOOKUP(D302,[1]金額リスト!$A$2:$B$6,2,FALSE)</f>
        <v>114300</v>
      </c>
      <c r="I302" s="1" t="s">
        <v>33</v>
      </c>
      <c r="J302">
        <f t="shared" si="52"/>
        <v>0</v>
      </c>
      <c r="K302">
        <f t="shared" si="53"/>
        <v>0</v>
      </c>
      <c r="L302">
        <f t="shared" si="64"/>
        <v>0</v>
      </c>
      <c r="M302">
        <f t="shared" si="54"/>
        <v>0</v>
      </c>
      <c r="N302">
        <f t="shared" si="55"/>
        <v>114300</v>
      </c>
      <c r="O302">
        <f t="shared" si="56"/>
        <v>0</v>
      </c>
      <c r="P302">
        <f t="shared" si="57"/>
        <v>0</v>
      </c>
      <c r="Q302">
        <f t="shared" si="58"/>
        <v>0</v>
      </c>
      <c r="R302">
        <f t="shared" si="59"/>
        <v>0</v>
      </c>
      <c r="S302">
        <f t="shared" si="60"/>
        <v>0</v>
      </c>
      <c r="T302">
        <f t="shared" si="61"/>
        <v>0</v>
      </c>
      <c r="U302">
        <f t="shared" si="62"/>
        <v>0</v>
      </c>
      <c r="V302">
        <f t="shared" si="63"/>
        <v>0</v>
      </c>
    </row>
    <row r="303" spans="1:22" x14ac:dyDescent="0.4">
      <c r="A303" s="1" t="s">
        <v>966</v>
      </c>
      <c r="B303" s="1" t="s">
        <v>967</v>
      </c>
      <c r="C303" s="1" t="s">
        <v>968</v>
      </c>
      <c r="D303" s="1" t="s">
        <v>44</v>
      </c>
      <c r="E303" s="1" t="s">
        <v>63</v>
      </c>
      <c r="F303" s="5" t="s">
        <v>46</v>
      </c>
      <c r="G303" s="1" t="s">
        <v>27</v>
      </c>
      <c r="H303">
        <f>VLOOKUP(D303,[1]金額リスト!$A$2:$B$6,2,FALSE)</f>
        <v>114300</v>
      </c>
      <c r="I303" s="1" t="s">
        <v>33</v>
      </c>
      <c r="J303">
        <f t="shared" si="52"/>
        <v>0</v>
      </c>
      <c r="K303">
        <f t="shared" si="53"/>
        <v>0</v>
      </c>
      <c r="L303">
        <f t="shared" si="64"/>
        <v>0</v>
      </c>
      <c r="M303">
        <f t="shared" si="54"/>
        <v>0</v>
      </c>
      <c r="N303">
        <f t="shared" si="55"/>
        <v>114300</v>
      </c>
      <c r="O303">
        <f t="shared" si="56"/>
        <v>0</v>
      </c>
      <c r="P303">
        <f t="shared" si="57"/>
        <v>0</v>
      </c>
      <c r="Q303">
        <f t="shared" si="58"/>
        <v>0</v>
      </c>
      <c r="R303">
        <f t="shared" si="59"/>
        <v>0</v>
      </c>
      <c r="S303">
        <f t="shared" si="60"/>
        <v>0</v>
      </c>
      <c r="T303">
        <f t="shared" si="61"/>
        <v>0</v>
      </c>
      <c r="U303">
        <f t="shared" si="62"/>
        <v>0</v>
      </c>
      <c r="V303">
        <f t="shared" si="63"/>
        <v>0</v>
      </c>
    </row>
    <row r="304" spans="1:22" x14ac:dyDescent="0.4">
      <c r="A304" s="1" t="s">
        <v>969</v>
      </c>
      <c r="B304" s="1" t="s">
        <v>970</v>
      </c>
      <c r="C304" s="1" t="s">
        <v>971</v>
      </c>
      <c r="D304" s="1" t="s">
        <v>44</v>
      </c>
      <c r="E304" s="1" t="s">
        <v>333</v>
      </c>
      <c r="F304" s="5" t="s">
        <v>46</v>
      </c>
      <c r="G304" s="1" t="s">
        <v>27</v>
      </c>
      <c r="H304">
        <f>VLOOKUP(D304,[1]金額リスト!$A$2:$B$6,2,FALSE)</f>
        <v>114300</v>
      </c>
      <c r="I304" s="1" t="s">
        <v>33</v>
      </c>
      <c r="J304">
        <f t="shared" si="52"/>
        <v>0</v>
      </c>
      <c r="K304">
        <f t="shared" si="53"/>
        <v>0</v>
      </c>
      <c r="L304">
        <f t="shared" si="64"/>
        <v>0</v>
      </c>
      <c r="M304">
        <f t="shared" si="54"/>
        <v>0</v>
      </c>
      <c r="N304">
        <f t="shared" si="55"/>
        <v>114300</v>
      </c>
      <c r="O304">
        <f t="shared" si="56"/>
        <v>0</v>
      </c>
      <c r="P304">
        <f t="shared" si="57"/>
        <v>0</v>
      </c>
      <c r="Q304">
        <f t="shared" si="58"/>
        <v>0</v>
      </c>
      <c r="R304">
        <f t="shared" si="59"/>
        <v>0</v>
      </c>
      <c r="S304">
        <f t="shared" si="60"/>
        <v>0</v>
      </c>
      <c r="T304">
        <f t="shared" si="61"/>
        <v>0</v>
      </c>
      <c r="U304">
        <f t="shared" si="62"/>
        <v>0</v>
      </c>
      <c r="V304">
        <f t="shared" si="63"/>
        <v>0</v>
      </c>
    </row>
    <row r="305" spans="1:22" x14ac:dyDescent="0.4">
      <c r="A305" s="1" t="s">
        <v>972</v>
      </c>
      <c r="B305" s="1" t="s">
        <v>973</v>
      </c>
      <c r="C305" s="1" t="s">
        <v>974</v>
      </c>
      <c r="D305" s="1" t="s">
        <v>50</v>
      </c>
      <c r="E305" s="1" t="s">
        <v>178</v>
      </c>
      <c r="F305" s="5" t="s">
        <v>46</v>
      </c>
      <c r="G305" s="1" t="s">
        <v>52</v>
      </c>
      <c r="H305">
        <f>VLOOKUP(D305,[1]金額リスト!$A$2:$B$6,2,FALSE)</f>
        <v>114300</v>
      </c>
      <c r="I305" s="1" t="s">
        <v>28</v>
      </c>
      <c r="J305">
        <f t="shared" si="52"/>
        <v>0</v>
      </c>
      <c r="K305">
        <f t="shared" si="53"/>
        <v>0</v>
      </c>
      <c r="L305">
        <f t="shared" si="64"/>
        <v>0</v>
      </c>
      <c r="M305">
        <f t="shared" si="54"/>
        <v>0</v>
      </c>
      <c r="N305">
        <f t="shared" si="55"/>
        <v>114300</v>
      </c>
      <c r="O305">
        <f t="shared" si="56"/>
        <v>0</v>
      </c>
      <c r="P305">
        <f t="shared" si="57"/>
        <v>0</v>
      </c>
      <c r="Q305">
        <f t="shared" si="58"/>
        <v>0</v>
      </c>
      <c r="R305">
        <f t="shared" si="59"/>
        <v>0</v>
      </c>
      <c r="S305">
        <f t="shared" si="60"/>
        <v>0</v>
      </c>
      <c r="T305">
        <f t="shared" si="61"/>
        <v>0</v>
      </c>
      <c r="U305">
        <f t="shared" si="62"/>
        <v>0</v>
      </c>
      <c r="V305">
        <f t="shared" si="63"/>
        <v>0</v>
      </c>
    </row>
    <row r="306" spans="1:22" x14ac:dyDescent="0.4">
      <c r="A306" s="1" t="s">
        <v>975</v>
      </c>
      <c r="B306" s="1" t="s">
        <v>976</v>
      </c>
      <c r="C306" s="1" t="s">
        <v>977</v>
      </c>
      <c r="D306" s="1" t="s">
        <v>44</v>
      </c>
      <c r="E306" s="1" t="s">
        <v>86</v>
      </c>
      <c r="F306" s="5" t="s">
        <v>46</v>
      </c>
      <c r="G306" s="1" t="s">
        <v>27</v>
      </c>
      <c r="H306">
        <f>VLOOKUP(D306,[1]金額リスト!$A$2:$B$6,2,FALSE)</f>
        <v>114300</v>
      </c>
      <c r="I306" s="1" t="s">
        <v>33</v>
      </c>
      <c r="J306">
        <f t="shared" si="52"/>
        <v>0</v>
      </c>
      <c r="K306">
        <f t="shared" si="53"/>
        <v>0</v>
      </c>
      <c r="L306">
        <f t="shared" si="64"/>
        <v>0</v>
      </c>
      <c r="M306">
        <f t="shared" si="54"/>
        <v>0</v>
      </c>
      <c r="N306">
        <f t="shared" si="55"/>
        <v>114300</v>
      </c>
      <c r="O306">
        <f t="shared" si="56"/>
        <v>0</v>
      </c>
      <c r="P306">
        <f t="shared" si="57"/>
        <v>0</v>
      </c>
      <c r="Q306">
        <f t="shared" si="58"/>
        <v>0</v>
      </c>
      <c r="R306">
        <f t="shared" si="59"/>
        <v>0</v>
      </c>
      <c r="S306">
        <f t="shared" si="60"/>
        <v>0</v>
      </c>
      <c r="T306">
        <f t="shared" si="61"/>
        <v>0</v>
      </c>
      <c r="U306">
        <f t="shared" si="62"/>
        <v>0</v>
      </c>
      <c r="V306">
        <f t="shared" si="63"/>
        <v>0</v>
      </c>
    </row>
    <row r="307" spans="1:22" x14ac:dyDescent="0.4">
      <c r="A307" s="1" t="s">
        <v>978</v>
      </c>
      <c r="B307" s="1" t="s">
        <v>979</v>
      </c>
      <c r="C307" s="1" t="s">
        <v>980</v>
      </c>
      <c r="D307" s="1" t="s">
        <v>44</v>
      </c>
      <c r="E307" s="1" t="s">
        <v>56</v>
      </c>
      <c r="F307" s="5" t="s">
        <v>46</v>
      </c>
      <c r="G307" s="1" t="s">
        <v>27</v>
      </c>
      <c r="H307">
        <f>VLOOKUP(D307,[1]金額リスト!$A$2:$B$6,2,FALSE)</f>
        <v>114300</v>
      </c>
      <c r="I307" s="1" t="s">
        <v>33</v>
      </c>
      <c r="J307">
        <f t="shared" si="52"/>
        <v>0</v>
      </c>
      <c r="K307">
        <f t="shared" si="53"/>
        <v>0</v>
      </c>
      <c r="L307">
        <f t="shared" si="64"/>
        <v>0</v>
      </c>
      <c r="M307">
        <f t="shared" si="54"/>
        <v>0</v>
      </c>
      <c r="N307">
        <f t="shared" si="55"/>
        <v>114300</v>
      </c>
      <c r="O307">
        <f t="shared" si="56"/>
        <v>0</v>
      </c>
      <c r="P307">
        <f t="shared" si="57"/>
        <v>0</v>
      </c>
      <c r="Q307">
        <f t="shared" si="58"/>
        <v>0</v>
      </c>
      <c r="R307">
        <f t="shared" si="59"/>
        <v>0</v>
      </c>
      <c r="S307">
        <f t="shared" si="60"/>
        <v>0</v>
      </c>
      <c r="T307">
        <f t="shared" si="61"/>
        <v>0</v>
      </c>
      <c r="U307">
        <f t="shared" si="62"/>
        <v>0</v>
      </c>
      <c r="V307">
        <f t="shared" si="63"/>
        <v>0</v>
      </c>
    </row>
    <row r="308" spans="1:22" x14ac:dyDescent="0.4">
      <c r="A308" s="1" t="s">
        <v>981</v>
      </c>
      <c r="B308" s="1" t="s">
        <v>982</v>
      </c>
      <c r="C308" s="1" t="s">
        <v>983</v>
      </c>
      <c r="D308" s="1" t="s">
        <v>44</v>
      </c>
      <c r="E308" s="1" t="s">
        <v>56</v>
      </c>
      <c r="F308" s="5" t="s">
        <v>46</v>
      </c>
      <c r="G308" s="1" t="s">
        <v>27</v>
      </c>
      <c r="H308">
        <f>VLOOKUP(D308,[1]金額リスト!$A$2:$B$6,2,FALSE)</f>
        <v>114300</v>
      </c>
      <c r="I308" s="1" t="s">
        <v>33</v>
      </c>
      <c r="J308">
        <f t="shared" si="52"/>
        <v>0</v>
      </c>
      <c r="K308">
        <f t="shared" si="53"/>
        <v>0</v>
      </c>
      <c r="L308">
        <f t="shared" si="64"/>
        <v>0</v>
      </c>
      <c r="M308">
        <f t="shared" si="54"/>
        <v>0</v>
      </c>
      <c r="N308">
        <f t="shared" si="55"/>
        <v>114300</v>
      </c>
      <c r="O308">
        <f t="shared" si="56"/>
        <v>0</v>
      </c>
      <c r="P308">
        <f t="shared" si="57"/>
        <v>0</v>
      </c>
      <c r="Q308">
        <f t="shared" si="58"/>
        <v>0</v>
      </c>
      <c r="R308">
        <f t="shared" si="59"/>
        <v>0</v>
      </c>
      <c r="S308">
        <f t="shared" si="60"/>
        <v>0</v>
      </c>
      <c r="T308">
        <f t="shared" si="61"/>
        <v>0</v>
      </c>
      <c r="U308">
        <f t="shared" si="62"/>
        <v>0</v>
      </c>
      <c r="V308">
        <f t="shared" si="63"/>
        <v>0</v>
      </c>
    </row>
    <row r="309" spans="1:22" x14ac:dyDescent="0.4">
      <c r="A309" s="1" t="s">
        <v>984</v>
      </c>
      <c r="B309" s="1" t="s">
        <v>985</v>
      </c>
      <c r="C309" s="1" t="s">
        <v>986</v>
      </c>
      <c r="D309" s="1" t="s">
        <v>25</v>
      </c>
      <c r="E309" s="1" t="s">
        <v>37</v>
      </c>
      <c r="F309" s="5" t="s">
        <v>10</v>
      </c>
      <c r="G309" s="1" t="s">
        <v>27</v>
      </c>
      <c r="H309">
        <f>VLOOKUP(D309,[1]金額リスト!$A$2:$B$6,2,FALSE)</f>
        <v>59400</v>
      </c>
      <c r="I309" s="1" t="s">
        <v>33</v>
      </c>
      <c r="J309">
        <f t="shared" si="52"/>
        <v>0</v>
      </c>
      <c r="K309">
        <f t="shared" si="53"/>
        <v>59400</v>
      </c>
      <c r="L309">
        <f t="shared" si="64"/>
        <v>0</v>
      </c>
      <c r="M309">
        <f t="shared" si="54"/>
        <v>0</v>
      </c>
      <c r="N309">
        <f t="shared" si="55"/>
        <v>0</v>
      </c>
      <c r="O309">
        <f t="shared" si="56"/>
        <v>0</v>
      </c>
      <c r="P309">
        <f t="shared" si="57"/>
        <v>0</v>
      </c>
      <c r="Q309">
        <f t="shared" si="58"/>
        <v>0</v>
      </c>
      <c r="R309">
        <f t="shared" si="59"/>
        <v>0</v>
      </c>
      <c r="S309">
        <f t="shared" si="60"/>
        <v>0</v>
      </c>
      <c r="T309">
        <f t="shared" si="61"/>
        <v>0</v>
      </c>
      <c r="U309">
        <f t="shared" si="62"/>
        <v>0</v>
      </c>
      <c r="V309">
        <f t="shared" si="63"/>
        <v>0</v>
      </c>
    </row>
    <row r="310" spans="1:22" x14ac:dyDescent="0.4">
      <c r="A310" s="1" t="s">
        <v>987</v>
      </c>
      <c r="B310" s="1" t="s">
        <v>988</v>
      </c>
      <c r="C310" s="1" t="s">
        <v>989</v>
      </c>
      <c r="D310" s="1" t="s">
        <v>50</v>
      </c>
      <c r="E310" s="1" t="s">
        <v>37</v>
      </c>
      <c r="F310" s="5" t="s">
        <v>46</v>
      </c>
      <c r="G310" s="1" t="s">
        <v>52</v>
      </c>
      <c r="H310">
        <f>VLOOKUP(D310,[1]金額リスト!$A$2:$B$6,2,FALSE)</f>
        <v>114300</v>
      </c>
      <c r="I310" s="1" t="s">
        <v>28</v>
      </c>
      <c r="J310">
        <f t="shared" si="52"/>
        <v>0</v>
      </c>
      <c r="K310">
        <f t="shared" si="53"/>
        <v>0</v>
      </c>
      <c r="L310">
        <f t="shared" si="64"/>
        <v>0</v>
      </c>
      <c r="M310">
        <f t="shared" si="54"/>
        <v>0</v>
      </c>
      <c r="N310">
        <f t="shared" si="55"/>
        <v>114300</v>
      </c>
      <c r="O310">
        <f t="shared" si="56"/>
        <v>0</v>
      </c>
      <c r="P310">
        <f t="shared" si="57"/>
        <v>0</v>
      </c>
      <c r="Q310">
        <f t="shared" si="58"/>
        <v>0</v>
      </c>
      <c r="R310">
        <f t="shared" si="59"/>
        <v>0</v>
      </c>
      <c r="S310">
        <f t="shared" si="60"/>
        <v>0</v>
      </c>
      <c r="T310">
        <f t="shared" si="61"/>
        <v>0</v>
      </c>
      <c r="U310">
        <f t="shared" si="62"/>
        <v>0</v>
      </c>
      <c r="V310">
        <f t="shared" si="63"/>
        <v>0</v>
      </c>
    </row>
    <row r="311" spans="1:22" x14ac:dyDescent="0.4">
      <c r="A311" s="1" t="s">
        <v>990</v>
      </c>
      <c r="B311" s="1" t="s">
        <v>991</v>
      </c>
      <c r="C311" s="1" t="s">
        <v>992</v>
      </c>
      <c r="D311" s="1" t="s">
        <v>44</v>
      </c>
      <c r="E311" s="1" t="s">
        <v>32</v>
      </c>
      <c r="F311" s="5" t="s">
        <v>46</v>
      </c>
      <c r="G311" s="1" t="s">
        <v>27</v>
      </c>
      <c r="H311">
        <f>VLOOKUP(D311,[1]金額リスト!$A$2:$B$6,2,FALSE)</f>
        <v>114300</v>
      </c>
      <c r="I311" s="1" t="s">
        <v>33</v>
      </c>
      <c r="J311">
        <f t="shared" si="52"/>
        <v>0</v>
      </c>
      <c r="K311">
        <f t="shared" si="53"/>
        <v>0</v>
      </c>
      <c r="L311">
        <f t="shared" si="64"/>
        <v>0</v>
      </c>
      <c r="M311">
        <f t="shared" si="54"/>
        <v>0</v>
      </c>
      <c r="N311">
        <f t="shared" si="55"/>
        <v>114300</v>
      </c>
      <c r="O311">
        <f t="shared" si="56"/>
        <v>0</v>
      </c>
      <c r="P311">
        <f t="shared" si="57"/>
        <v>0</v>
      </c>
      <c r="Q311">
        <f t="shared" si="58"/>
        <v>0</v>
      </c>
      <c r="R311">
        <f t="shared" si="59"/>
        <v>0</v>
      </c>
      <c r="S311">
        <f t="shared" si="60"/>
        <v>0</v>
      </c>
      <c r="T311">
        <f t="shared" si="61"/>
        <v>0</v>
      </c>
      <c r="U311">
        <f t="shared" si="62"/>
        <v>0</v>
      </c>
      <c r="V311">
        <f t="shared" si="63"/>
        <v>0</v>
      </c>
    </row>
    <row r="312" spans="1:22" x14ac:dyDescent="0.4">
      <c r="A312" s="1" t="s">
        <v>993</v>
      </c>
      <c r="B312" s="1" t="s">
        <v>994</v>
      </c>
      <c r="C312" s="1" t="s">
        <v>995</v>
      </c>
      <c r="D312" s="1" t="s">
        <v>44</v>
      </c>
      <c r="E312" s="1" t="s">
        <v>63</v>
      </c>
      <c r="F312" s="5" t="s">
        <v>46</v>
      </c>
      <c r="G312" s="1" t="s">
        <v>27</v>
      </c>
      <c r="H312">
        <f>VLOOKUP(D312,[1]金額リスト!$A$2:$B$6,2,FALSE)</f>
        <v>114300</v>
      </c>
      <c r="I312" s="1" t="s">
        <v>33</v>
      </c>
      <c r="J312">
        <f t="shared" si="52"/>
        <v>0</v>
      </c>
      <c r="K312">
        <f t="shared" si="53"/>
        <v>0</v>
      </c>
      <c r="L312">
        <f t="shared" si="64"/>
        <v>0</v>
      </c>
      <c r="M312">
        <f t="shared" si="54"/>
        <v>0</v>
      </c>
      <c r="N312">
        <f t="shared" si="55"/>
        <v>114300</v>
      </c>
      <c r="O312">
        <f t="shared" si="56"/>
        <v>0</v>
      </c>
      <c r="P312">
        <f t="shared" si="57"/>
        <v>0</v>
      </c>
      <c r="Q312">
        <f t="shared" si="58"/>
        <v>0</v>
      </c>
      <c r="R312">
        <f t="shared" si="59"/>
        <v>0</v>
      </c>
      <c r="S312">
        <f t="shared" si="60"/>
        <v>0</v>
      </c>
      <c r="T312">
        <f t="shared" si="61"/>
        <v>0</v>
      </c>
      <c r="U312">
        <f t="shared" si="62"/>
        <v>0</v>
      </c>
      <c r="V312">
        <f t="shared" si="63"/>
        <v>0</v>
      </c>
    </row>
    <row r="313" spans="1:22" x14ac:dyDescent="0.4">
      <c r="A313" s="1" t="s">
        <v>996</v>
      </c>
      <c r="B313" s="1" t="s">
        <v>997</v>
      </c>
      <c r="C313" s="1" t="s">
        <v>998</v>
      </c>
      <c r="D313" s="1" t="s">
        <v>44</v>
      </c>
      <c r="E313" s="1" t="s">
        <v>90</v>
      </c>
      <c r="F313" s="5" t="s">
        <v>46</v>
      </c>
      <c r="G313" s="1" t="s">
        <v>27</v>
      </c>
      <c r="H313">
        <f>VLOOKUP(D313,[1]金額リスト!$A$2:$B$6,2,FALSE)</f>
        <v>114300</v>
      </c>
      <c r="I313" s="1" t="s">
        <v>33</v>
      </c>
      <c r="J313">
        <f t="shared" si="52"/>
        <v>0</v>
      </c>
      <c r="K313">
        <f t="shared" si="53"/>
        <v>0</v>
      </c>
      <c r="L313">
        <f t="shared" si="64"/>
        <v>0</v>
      </c>
      <c r="M313">
        <f t="shared" si="54"/>
        <v>0</v>
      </c>
      <c r="N313">
        <f t="shared" si="55"/>
        <v>114300</v>
      </c>
      <c r="O313">
        <f t="shared" si="56"/>
        <v>0</v>
      </c>
      <c r="P313">
        <f t="shared" si="57"/>
        <v>0</v>
      </c>
      <c r="Q313">
        <f t="shared" si="58"/>
        <v>0</v>
      </c>
      <c r="R313">
        <f t="shared" si="59"/>
        <v>0</v>
      </c>
      <c r="S313">
        <f t="shared" si="60"/>
        <v>0</v>
      </c>
      <c r="T313">
        <f t="shared" si="61"/>
        <v>0</v>
      </c>
      <c r="U313">
        <f t="shared" si="62"/>
        <v>0</v>
      </c>
      <c r="V313">
        <f t="shared" si="63"/>
        <v>0</v>
      </c>
    </row>
    <row r="314" spans="1:22" x14ac:dyDescent="0.4">
      <c r="A314" s="1" t="s">
        <v>999</v>
      </c>
      <c r="B314" s="1" t="s">
        <v>1000</v>
      </c>
      <c r="C314" s="1" t="s">
        <v>1001</v>
      </c>
      <c r="D314" s="1" t="s">
        <v>25</v>
      </c>
      <c r="E314" s="1" t="s">
        <v>37</v>
      </c>
      <c r="F314" s="5" t="s">
        <v>10</v>
      </c>
      <c r="G314" s="1" t="s">
        <v>27</v>
      </c>
      <c r="H314">
        <f>VLOOKUP(D314,[1]金額リスト!$A$2:$B$6,2,FALSE)</f>
        <v>59400</v>
      </c>
      <c r="I314" s="1" t="s">
        <v>33</v>
      </c>
      <c r="J314">
        <f t="shared" si="52"/>
        <v>0</v>
      </c>
      <c r="K314">
        <f t="shared" si="53"/>
        <v>59400</v>
      </c>
      <c r="L314">
        <f t="shared" si="64"/>
        <v>0</v>
      </c>
      <c r="M314">
        <f t="shared" si="54"/>
        <v>0</v>
      </c>
      <c r="N314">
        <f t="shared" si="55"/>
        <v>0</v>
      </c>
      <c r="O314">
        <f t="shared" si="56"/>
        <v>0</v>
      </c>
      <c r="P314">
        <f t="shared" si="57"/>
        <v>0</v>
      </c>
      <c r="Q314">
        <f t="shared" si="58"/>
        <v>0</v>
      </c>
      <c r="R314">
        <f t="shared" si="59"/>
        <v>0</v>
      </c>
      <c r="S314">
        <f t="shared" si="60"/>
        <v>0</v>
      </c>
      <c r="T314">
        <f t="shared" si="61"/>
        <v>0</v>
      </c>
      <c r="U314">
        <f t="shared" si="62"/>
        <v>0</v>
      </c>
      <c r="V314">
        <f t="shared" si="63"/>
        <v>0</v>
      </c>
    </row>
    <row r="315" spans="1:22" x14ac:dyDescent="0.4">
      <c r="A315" s="1" t="s">
        <v>1002</v>
      </c>
      <c r="B315" s="1" t="s">
        <v>1003</v>
      </c>
      <c r="C315" s="1" t="s">
        <v>1004</v>
      </c>
      <c r="D315" s="1" t="s">
        <v>44</v>
      </c>
      <c r="E315" s="1" t="s">
        <v>45</v>
      </c>
      <c r="F315" s="5" t="s">
        <v>46</v>
      </c>
      <c r="G315" s="1" t="s">
        <v>27</v>
      </c>
      <c r="H315">
        <f>VLOOKUP(D315,[1]金額リスト!$A$2:$B$6,2,FALSE)</f>
        <v>114300</v>
      </c>
      <c r="I315" s="1" t="s">
        <v>33</v>
      </c>
      <c r="J315">
        <f t="shared" si="52"/>
        <v>0</v>
      </c>
      <c r="K315">
        <f t="shared" si="53"/>
        <v>0</v>
      </c>
      <c r="L315">
        <f t="shared" si="64"/>
        <v>0</v>
      </c>
      <c r="M315">
        <f t="shared" si="54"/>
        <v>0</v>
      </c>
      <c r="N315">
        <f t="shared" si="55"/>
        <v>114300</v>
      </c>
      <c r="O315">
        <f t="shared" si="56"/>
        <v>0</v>
      </c>
      <c r="P315">
        <f t="shared" si="57"/>
        <v>0</v>
      </c>
      <c r="Q315">
        <f t="shared" si="58"/>
        <v>0</v>
      </c>
      <c r="R315">
        <f t="shared" si="59"/>
        <v>0</v>
      </c>
      <c r="S315">
        <f t="shared" si="60"/>
        <v>0</v>
      </c>
      <c r="T315">
        <f t="shared" si="61"/>
        <v>0</v>
      </c>
      <c r="U315">
        <f t="shared" si="62"/>
        <v>0</v>
      </c>
      <c r="V315">
        <f t="shared" si="63"/>
        <v>0</v>
      </c>
    </row>
    <row r="316" spans="1:22" x14ac:dyDescent="0.4">
      <c r="A316" s="1" t="s">
        <v>1005</v>
      </c>
      <c r="B316" s="1" t="s">
        <v>1006</v>
      </c>
      <c r="C316" s="1" t="s">
        <v>1007</v>
      </c>
      <c r="D316" s="1" t="s">
        <v>50</v>
      </c>
      <c r="E316" s="1" t="s">
        <v>86</v>
      </c>
      <c r="F316" s="5" t="s">
        <v>46</v>
      </c>
      <c r="G316" s="1" t="s">
        <v>52</v>
      </c>
      <c r="H316">
        <f>VLOOKUP(D316,[1]金額リスト!$A$2:$B$6,2,FALSE)</f>
        <v>114300</v>
      </c>
      <c r="I316" s="1" t="s">
        <v>28</v>
      </c>
      <c r="J316">
        <f t="shared" si="52"/>
        <v>0</v>
      </c>
      <c r="K316">
        <f t="shared" si="53"/>
        <v>0</v>
      </c>
      <c r="L316">
        <f t="shared" si="64"/>
        <v>0</v>
      </c>
      <c r="M316">
        <f t="shared" si="54"/>
        <v>0</v>
      </c>
      <c r="N316">
        <f t="shared" si="55"/>
        <v>114300</v>
      </c>
      <c r="O316">
        <f t="shared" si="56"/>
        <v>0</v>
      </c>
      <c r="P316">
        <f t="shared" si="57"/>
        <v>0</v>
      </c>
      <c r="Q316">
        <f t="shared" si="58"/>
        <v>0</v>
      </c>
      <c r="R316">
        <f t="shared" si="59"/>
        <v>0</v>
      </c>
      <c r="S316">
        <f t="shared" si="60"/>
        <v>0</v>
      </c>
      <c r="T316">
        <f t="shared" si="61"/>
        <v>0</v>
      </c>
      <c r="U316">
        <f t="shared" si="62"/>
        <v>0</v>
      </c>
      <c r="V316">
        <f t="shared" si="63"/>
        <v>0</v>
      </c>
    </row>
    <row r="317" spans="1:22" x14ac:dyDescent="0.4">
      <c r="A317" s="1" t="s">
        <v>1008</v>
      </c>
      <c r="B317" s="1" t="s">
        <v>1009</v>
      </c>
      <c r="C317" s="1" t="s">
        <v>1010</v>
      </c>
      <c r="D317" s="1" t="s">
        <v>44</v>
      </c>
      <c r="E317" s="1" t="s">
        <v>867</v>
      </c>
      <c r="F317" s="5" t="s">
        <v>479</v>
      </c>
      <c r="G317" s="1" t="s">
        <v>27</v>
      </c>
      <c r="H317">
        <f>VLOOKUP(D317,[1]金額リスト!$A$2:$B$6,2,FALSE)</f>
        <v>114300</v>
      </c>
      <c r="I317" s="1" t="s">
        <v>868</v>
      </c>
      <c r="J317">
        <f t="shared" si="52"/>
        <v>0</v>
      </c>
      <c r="K317">
        <f t="shared" si="53"/>
        <v>0</v>
      </c>
      <c r="L317">
        <f t="shared" si="64"/>
        <v>114300</v>
      </c>
      <c r="M317">
        <f t="shared" si="54"/>
        <v>0</v>
      </c>
      <c r="N317">
        <f t="shared" si="55"/>
        <v>0</v>
      </c>
      <c r="O317">
        <f t="shared" si="56"/>
        <v>0</v>
      </c>
      <c r="P317">
        <f t="shared" si="57"/>
        <v>0</v>
      </c>
      <c r="Q317">
        <f t="shared" si="58"/>
        <v>0</v>
      </c>
      <c r="R317">
        <f t="shared" si="59"/>
        <v>0</v>
      </c>
      <c r="S317">
        <f t="shared" si="60"/>
        <v>0</v>
      </c>
      <c r="T317">
        <f t="shared" si="61"/>
        <v>0</v>
      </c>
      <c r="U317">
        <f t="shared" si="62"/>
        <v>0</v>
      </c>
      <c r="V317">
        <f t="shared" si="63"/>
        <v>0</v>
      </c>
    </row>
    <row r="318" spans="1:22" x14ac:dyDescent="0.4">
      <c r="A318" s="1" t="s">
        <v>1011</v>
      </c>
      <c r="B318" s="1" t="s">
        <v>1012</v>
      </c>
      <c r="C318" s="1" t="s">
        <v>1013</v>
      </c>
      <c r="D318" s="1" t="s">
        <v>44</v>
      </c>
      <c r="E318" s="1" t="s">
        <v>56</v>
      </c>
      <c r="F318" s="5" t="s">
        <v>46</v>
      </c>
      <c r="G318" s="1" t="s">
        <v>27</v>
      </c>
      <c r="H318">
        <f>VLOOKUP(D318,[1]金額リスト!$A$2:$B$6,2,FALSE)</f>
        <v>114300</v>
      </c>
      <c r="I318" s="1" t="s">
        <v>33</v>
      </c>
      <c r="J318">
        <f t="shared" si="52"/>
        <v>0</v>
      </c>
      <c r="K318">
        <f t="shared" si="53"/>
        <v>0</v>
      </c>
      <c r="L318">
        <f t="shared" si="64"/>
        <v>0</v>
      </c>
      <c r="M318">
        <f t="shared" si="54"/>
        <v>0</v>
      </c>
      <c r="N318">
        <f t="shared" si="55"/>
        <v>114300</v>
      </c>
      <c r="O318">
        <f t="shared" si="56"/>
        <v>0</v>
      </c>
      <c r="P318">
        <f t="shared" si="57"/>
        <v>0</v>
      </c>
      <c r="Q318">
        <f t="shared" si="58"/>
        <v>0</v>
      </c>
      <c r="R318">
        <f t="shared" si="59"/>
        <v>0</v>
      </c>
      <c r="S318">
        <f t="shared" si="60"/>
        <v>0</v>
      </c>
      <c r="T318">
        <f t="shared" si="61"/>
        <v>0</v>
      </c>
      <c r="U318">
        <f t="shared" si="62"/>
        <v>0</v>
      </c>
      <c r="V318">
        <f t="shared" si="63"/>
        <v>0</v>
      </c>
    </row>
    <row r="319" spans="1:22" x14ac:dyDescent="0.4">
      <c r="A319" s="1" t="s">
        <v>1014</v>
      </c>
      <c r="B319" s="1" t="s">
        <v>1015</v>
      </c>
      <c r="C319" s="1" t="s">
        <v>1016</v>
      </c>
      <c r="D319" s="1" t="s">
        <v>44</v>
      </c>
      <c r="E319" s="1" t="s">
        <v>86</v>
      </c>
      <c r="F319" s="5" t="s">
        <v>46</v>
      </c>
      <c r="G319" s="1" t="s">
        <v>27</v>
      </c>
      <c r="H319">
        <f>VLOOKUP(D319,[1]金額リスト!$A$2:$B$6,2,FALSE)</f>
        <v>114300</v>
      </c>
      <c r="I319" s="1" t="s">
        <v>33</v>
      </c>
      <c r="J319">
        <f t="shared" si="52"/>
        <v>0</v>
      </c>
      <c r="K319">
        <f t="shared" si="53"/>
        <v>0</v>
      </c>
      <c r="L319">
        <f t="shared" si="64"/>
        <v>0</v>
      </c>
      <c r="M319">
        <f t="shared" si="54"/>
        <v>0</v>
      </c>
      <c r="N319">
        <f t="shared" si="55"/>
        <v>114300</v>
      </c>
      <c r="O319">
        <f t="shared" si="56"/>
        <v>0</v>
      </c>
      <c r="P319">
        <f t="shared" si="57"/>
        <v>0</v>
      </c>
      <c r="Q319">
        <f t="shared" si="58"/>
        <v>0</v>
      </c>
      <c r="R319">
        <f t="shared" si="59"/>
        <v>0</v>
      </c>
      <c r="S319">
        <f t="shared" si="60"/>
        <v>0</v>
      </c>
      <c r="T319">
        <f t="shared" si="61"/>
        <v>0</v>
      </c>
      <c r="U319">
        <f t="shared" si="62"/>
        <v>0</v>
      </c>
      <c r="V319">
        <f t="shared" si="63"/>
        <v>0</v>
      </c>
    </row>
    <row r="320" spans="1:22" x14ac:dyDescent="0.4">
      <c r="A320" s="1" t="s">
        <v>1017</v>
      </c>
      <c r="B320" s="1" t="s">
        <v>1018</v>
      </c>
      <c r="C320" s="1" t="s">
        <v>1019</v>
      </c>
      <c r="D320" s="1" t="s">
        <v>44</v>
      </c>
      <c r="E320" s="1" t="s">
        <v>82</v>
      </c>
      <c r="F320" s="5" t="s">
        <v>46</v>
      </c>
      <c r="G320" s="1" t="s">
        <v>27</v>
      </c>
      <c r="H320">
        <f>VLOOKUP(D320,[1]金額リスト!$A$2:$B$6,2,FALSE)</f>
        <v>114300</v>
      </c>
      <c r="I320" s="1" t="s">
        <v>33</v>
      </c>
      <c r="J320">
        <f t="shared" si="52"/>
        <v>0</v>
      </c>
      <c r="K320">
        <f t="shared" si="53"/>
        <v>0</v>
      </c>
      <c r="L320">
        <f t="shared" si="64"/>
        <v>0</v>
      </c>
      <c r="M320">
        <f t="shared" si="54"/>
        <v>0</v>
      </c>
      <c r="N320">
        <f t="shared" si="55"/>
        <v>114300</v>
      </c>
      <c r="O320">
        <f t="shared" si="56"/>
        <v>0</v>
      </c>
      <c r="P320">
        <f t="shared" si="57"/>
        <v>0</v>
      </c>
      <c r="Q320">
        <f t="shared" si="58"/>
        <v>0</v>
      </c>
      <c r="R320">
        <f t="shared" si="59"/>
        <v>0</v>
      </c>
      <c r="S320">
        <f t="shared" si="60"/>
        <v>0</v>
      </c>
      <c r="T320">
        <f t="shared" si="61"/>
        <v>0</v>
      </c>
      <c r="U320">
        <f t="shared" si="62"/>
        <v>0</v>
      </c>
      <c r="V320">
        <f t="shared" si="63"/>
        <v>0</v>
      </c>
    </row>
    <row r="321" spans="1:22" x14ac:dyDescent="0.4">
      <c r="A321" s="1" t="s">
        <v>1020</v>
      </c>
      <c r="B321" s="1" t="s">
        <v>1021</v>
      </c>
      <c r="C321" s="1" t="s">
        <v>1022</v>
      </c>
      <c r="D321" s="1" t="s">
        <v>44</v>
      </c>
      <c r="E321" s="1" t="s">
        <v>86</v>
      </c>
      <c r="F321" s="5" t="s">
        <v>46</v>
      </c>
      <c r="G321" s="1" t="s">
        <v>27</v>
      </c>
      <c r="H321">
        <f>VLOOKUP(D321,[1]金額リスト!$A$2:$B$6,2,FALSE)</f>
        <v>114300</v>
      </c>
      <c r="I321" s="1" t="s">
        <v>33</v>
      </c>
      <c r="J321">
        <f t="shared" si="52"/>
        <v>0</v>
      </c>
      <c r="K321">
        <f t="shared" si="53"/>
        <v>0</v>
      </c>
      <c r="L321">
        <f t="shared" si="64"/>
        <v>0</v>
      </c>
      <c r="M321">
        <f t="shared" si="54"/>
        <v>0</v>
      </c>
      <c r="N321">
        <f t="shared" si="55"/>
        <v>114300</v>
      </c>
      <c r="O321">
        <f t="shared" si="56"/>
        <v>0</v>
      </c>
      <c r="P321">
        <f t="shared" si="57"/>
        <v>0</v>
      </c>
      <c r="Q321">
        <f t="shared" si="58"/>
        <v>0</v>
      </c>
      <c r="R321">
        <f t="shared" si="59"/>
        <v>0</v>
      </c>
      <c r="S321">
        <f t="shared" si="60"/>
        <v>0</v>
      </c>
      <c r="T321">
        <f t="shared" si="61"/>
        <v>0</v>
      </c>
      <c r="U321">
        <f t="shared" si="62"/>
        <v>0</v>
      </c>
      <c r="V321">
        <f t="shared" si="63"/>
        <v>0</v>
      </c>
    </row>
    <row r="322" spans="1:22" x14ac:dyDescent="0.4">
      <c r="A322" s="1" t="s">
        <v>1023</v>
      </c>
      <c r="B322" s="1" t="s">
        <v>1024</v>
      </c>
      <c r="C322" s="1" t="s">
        <v>1025</v>
      </c>
      <c r="D322" s="1" t="s">
        <v>44</v>
      </c>
      <c r="E322" s="1" t="s">
        <v>97</v>
      </c>
      <c r="F322" s="5" t="s">
        <v>46</v>
      </c>
      <c r="G322" s="1" t="s">
        <v>27</v>
      </c>
      <c r="H322">
        <f>VLOOKUP(D322,[1]金額リスト!$A$2:$B$6,2,FALSE)</f>
        <v>114300</v>
      </c>
      <c r="I322" s="1" t="s">
        <v>33</v>
      </c>
      <c r="J322">
        <f t="shared" si="52"/>
        <v>0</v>
      </c>
      <c r="K322">
        <f t="shared" si="53"/>
        <v>0</v>
      </c>
      <c r="L322">
        <f t="shared" si="64"/>
        <v>0</v>
      </c>
      <c r="M322">
        <f t="shared" si="54"/>
        <v>0</v>
      </c>
      <c r="N322">
        <f t="shared" si="55"/>
        <v>114300</v>
      </c>
      <c r="O322">
        <f t="shared" si="56"/>
        <v>0</v>
      </c>
      <c r="P322">
        <f t="shared" si="57"/>
        <v>0</v>
      </c>
      <c r="Q322">
        <f t="shared" si="58"/>
        <v>0</v>
      </c>
      <c r="R322">
        <f t="shared" si="59"/>
        <v>0</v>
      </c>
      <c r="S322">
        <f t="shared" si="60"/>
        <v>0</v>
      </c>
      <c r="T322">
        <f t="shared" si="61"/>
        <v>0</v>
      </c>
      <c r="U322">
        <f t="shared" si="62"/>
        <v>0</v>
      </c>
      <c r="V322">
        <f t="shared" si="63"/>
        <v>0</v>
      </c>
    </row>
    <row r="323" spans="1:22" x14ac:dyDescent="0.4">
      <c r="A323" s="1" t="s">
        <v>1026</v>
      </c>
      <c r="B323" s="1" t="s">
        <v>1027</v>
      </c>
      <c r="C323" s="1" t="s">
        <v>1028</v>
      </c>
      <c r="D323" s="1" t="s">
        <v>25</v>
      </c>
      <c r="E323" s="1" t="s">
        <v>51</v>
      </c>
      <c r="F323" s="5" t="s">
        <v>10</v>
      </c>
      <c r="G323" s="1" t="s">
        <v>27</v>
      </c>
      <c r="H323">
        <f>VLOOKUP(D323,[1]金額リスト!$A$2:$B$6,2,FALSE)</f>
        <v>59400</v>
      </c>
      <c r="I323" s="1" t="s">
        <v>33</v>
      </c>
      <c r="J323">
        <f t="shared" ref="J323:J386" si="65">IFERROR(INDEX($F323:$H323,MATCH($J$1,$F323,0),3),0)</f>
        <v>0</v>
      </c>
      <c r="K323">
        <f t="shared" ref="K323:K386" si="66">IFERROR(INDEX($F323:$H323,MATCH($K$1,$F323,0),3),0)</f>
        <v>59400</v>
      </c>
      <c r="L323">
        <f t="shared" si="64"/>
        <v>0</v>
      </c>
      <c r="M323">
        <f t="shared" ref="M323:M386" si="67">IFERROR(INDEX($F323:$H323,MATCH($M$1,$F323,0),3),0)</f>
        <v>0</v>
      </c>
      <c r="N323">
        <f t="shared" ref="N323:N386" si="68">IFERROR(INDEX($F323:$H323,MATCH($N$1,$F323,0),3),0)</f>
        <v>0</v>
      </c>
      <c r="O323">
        <f t="shared" ref="O323:O386" si="69">IFERROR(INDEX($F323:$H323,MATCH($O$1,$F323,0),3),0)</f>
        <v>0</v>
      </c>
      <c r="P323">
        <f t="shared" ref="P323:P386" si="70">IFERROR(INDEX($F323:$H323,MATCH($P$1,$F323,0),3),0)</f>
        <v>0</v>
      </c>
      <c r="Q323">
        <f t="shared" ref="Q323:Q386" si="71">IFERROR(INDEX($F323:$H323,MATCH($Q$1,$F323,0),3),0)</f>
        <v>0</v>
      </c>
      <c r="R323">
        <f t="shared" ref="R323:R386" si="72">IFERROR(INDEX($F323:$H323,MATCH($R$1,$F323,0),3),0)</f>
        <v>0</v>
      </c>
      <c r="S323">
        <f t="shared" ref="S323:S386" si="73">IFERROR(INDEX($F323:$H323,MATCH($S$1,$F323,0),3),0)</f>
        <v>0</v>
      </c>
      <c r="T323">
        <f t="shared" ref="T323:T386" si="74">IFERROR(INDEX($F323:$H323,MATCH($T$1,$F323,0),3),0)</f>
        <v>0</v>
      </c>
      <c r="U323">
        <f t="shared" ref="U323:U386" si="75">IFERROR(INDEX($F323:$H323,MATCH($U$1,$F323,0),3),0)</f>
        <v>0</v>
      </c>
      <c r="V323">
        <f t="shared" ref="V323:V386" si="76">IFERROR(INDEX($F323:$H323,MATCH($V$1,$F323,0),3),0)</f>
        <v>0</v>
      </c>
    </row>
    <row r="324" spans="1:22" x14ac:dyDescent="0.4">
      <c r="A324" s="1" t="s">
        <v>1029</v>
      </c>
      <c r="B324" s="1" t="s">
        <v>1030</v>
      </c>
      <c r="C324" s="1" t="s">
        <v>1031</v>
      </c>
      <c r="D324" s="1" t="s">
        <v>44</v>
      </c>
      <c r="E324" s="1" t="s">
        <v>112</v>
      </c>
      <c r="F324" s="5" t="s">
        <v>46</v>
      </c>
      <c r="G324" s="1" t="s">
        <v>27</v>
      </c>
      <c r="H324">
        <f>VLOOKUP(D324,[1]金額リスト!$A$2:$B$6,2,FALSE)</f>
        <v>114300</v>
      </c>
      <c r="I324" s="1" t="s">
        <v>33</v>
      </c>
      <c r="J324">
        <f t="shared" si="65"/>
        <v>0</v>
      </c>
      <c r="K324">
        <f t="shared" si="66"/>
        <v>0</v>
      </c>
      <c r="L324">
        <f t="shared" ref="L324:L387" si="77">IFERROR(INDEX($F324:$H324,MATCH($L$1,$F324,0),3),0)</f>
        <v>0</v>
      </c>
      <c r="M324">
        <f t="shared" si="67"/>
        <v>0</v>
      </c>
      <c r="N324">
        <f t="shared" si="68"/>
        <v>114300</v>
      </c>
      <c r="O324">
        <f t="shared" si="69"/>
        <v>0</v>
      </c>
      <c r="P324">
        <f t="shared" si="70"/>
        <v>0</v>
      </c>
      <c r="Q324">
        <f t="shared" si="71"/>
        <v>0</v>
      </c>
      <c r="R324">
        <f t="shared" si="72"/>
        <v>0</v>
      </c>
      <c r="S324">
        <f t="shared" si="73"/>
        <v>0</v>
      </c>
      <c r="T324">
        <f t="shared" si="74"/>
        <v>0</v>
      </c>
      <c r="U324">
        <f t="shared" si="75"/>
        <v>0</v>
      </c>
      <c r="V324">
        <f t="shared" si="76"/>
        <v>0</v>
      </c>
    </row>
    <row r="325" spans="1:22" x14ac:dyDescent="0.4">
      <c r="A325" s="1" t="s">
        <v>1032</v>
      </c>
      <c r="B325" s="1" t="s">
        <v>1033</v>
      </c>
      <c r="C325" s="1" t="s">
        <v>1034</v>
      </c>
      <c r="D325" s="1" t="s">
        <v>44</v>
      </c>
      <c r="E325" s="1" t="s">
        <v>86</v>
      </c>
      <c r="F325" s="5" t="s">
        <v>46</v>
      </c>
      <c r="G325" s="1" t="s">
        <v>27</v>
      </c>
      <c r="H325">
        <f>VLOOKUP(D325,[1]金額リスト!$A$2:$B$6,2,FALSE)</f>
        <v>114300</v>
      </c>
      <c r="I325" s="1" t="s">
        <v>33</v>
      </c>
      <c r="J325">
        <f t="shared" si="65"/>
        <v>0</v>
      </c>
      <c r="K325">
        <f t="shared" si="66"/>
        <v>0</v>
      </c>
      <c r="L325">
        <f t="shared" si="77"/>
        <v>0</v>
      </c>
      <c r="M325">
        <f t="shared" si="67"/>
        <v>0</v>
      </c>
      <c r="N325">
        <f t="shared" si="68"/>
        <v>114300</v>
      </c>
      <c r="O325">
        <f t="shared" si="69"/>
        <v>0</v>
      </c>
      <c r="P325">
        <f t="shared" si="70"/>
        <v>0</v>
      </c>
      <c r="Q325">
        <f t="shared" si="71"/>
        <v>0</v>
      </c>
      <c r="R325">
        <f t="shared" si="72"/>
        <v>0</v>
      </c>
      <c r="S325">
        <f t="shared" si="73"/>
        <v>0</v>
      </c>
      <c r="T325">
        <f t="shared" si="74"/>
        <v>0</v>
      </c>
      <c r="U325">
        <f t="shared" si="75"/>
        <v>0</v>
      </c>
      <c r="V325">
        <f t="shared" si="76"/>
        <v>0</v>
      </c>
    </row>
    <row r="326" spans="1:22" x14ac:dyDescent="0.4">
      <c r="A326" s="1" t="s">
        <v>1035</v>
      </c>
      <c r="B326" s="1" t="s">
        <v>1036</v>
      </c>
      <c r="C326" s="1" t="s">
        <v>1037</v>
      </c>
      <c r="D326" s="1" t="s">
        <v>44</v>
      </c>
      <c r="E326" s="1" t="s">
        <v>333</v>
      </c>
      <c r="F326" s="5" t="s">
        <v>46</v>
      </c>
      <c r="G326" s="1" t="s">
        <v>27</v>
      </c>
      <c r="H326">
        <f>VLOOKUP(D326,[1]金額リスト!$A$2:$B$6,2,FALSE)</f>
        <v>114300</v>
      </c>
      <c r="I326" s="1" t="s">
        <v>33</v>
      </c>
      <c r="J326">
        <f t="shared" si="65"/>
        <v>0</v>
      </c>
      <c r="K326">
        <f t="shared" si="66"/>
        <v>0</v>
      </c>
      <c r="L326">
        <f t="shared" si="77"/>
        <v>0</v>
      </c>
      <c r="M326">
        <f t="shared" si="67"/>
        <v>0</v>
      </c>
      <c r="N326">
        <f t="shared" si="68"/>
        <v>114300</v>
      </c>
      <c r="O326">
        <f t="shared" si="69"/>
        <v>0</v>
      </c>
      <c r="P326">
        <f t="shared" si="70"/>
        <v>0</v>
      </c>
      <c r="Q326">
        <f t="shared" si="71"/>
        <v>0</v>
      </c>
      <c r="R326">
        <f t="shared" si="72"/>
        <v>0</v>
      </c>
      <c r="S326">
        <f t="shared" si="73"/>
        <v>0</v>
      </c>
      <c r="T326">
        <f t="shared" si="74"/>
        <v>0</v>
      </c>
      <c r="U326">
        <f t="shared" si="75"/>
        <v>0</v>
      </c>
      <c r="V326">
        <f t="shared" si="76"/>
        <v>0</v>
      </c>
    </row>
    <row r="327" spans="1:22" x14ac:dyDescent="0.4">
      <c r="A327" s="1" t="s">
        <v>1038</v>
      </c>
      <c r="B327" s="1" t="s">
        <v>1039</v>
      </c>
      <c r="C327" s="1" t="s">
        <v>1040</v>
      </c>
      <c r="D327" s="1" t="s">
        <v>44</v>
      </c>
      <c r="E327" s="1" t="s">
        <v>112</v>
      </c>
      <c r="F327" s="5" t="s">
        <v>46</v>
      </c>
      <c r="G327" s="1" t="s">
        <v>27</v>
      </c>
      <c r="H327">
        <f>VLOOKUP(D327,[1]金額リスト!$A$2:$B$6,2,FALSE)</f>
        <v>114300</v>
      </c>
      <c r="I327" s="1" t="s">
        <v>33</v>
      </c>
      <c r="J327">
        <f t="shared" si="65"/>
        <v>0</v>
      </c>
      <c r="K327">
        <f t="shared" si="66"/>
        <v>0</v>
      </c>
      <c r="L327">
        <f t="shared" si="77"/>
        <v>0</v>
      </c>
      <c r="M327">
        <f t="shared" si="67"/>
        <v>0</v>
      </c>
      <c r="N327">
        <f t="shared" si="68"/>
        <v>114300</v>
      </c>
      <c r="O327">
        <f t="shared" si="69"/>
        <v>0</v>
      </c>
      <c r="P327">
        <f t="shared" si="70"/>
        <v>0</v>
      </c>
      <c r="Q327">
        <f t="shared" si="71"/>
        <v>0</v>
      </c>
      <c r="R327">
        <f t="shared" si="72"/>
        <v>0</v>
      </c>
      <c r="S327">
        <f t="shared" si="73"/>
        <v>0</v>
      </c>
      <c r="T327">
        <f t="shared" si="74"/>
        <v>0</v>
      </c>
      <c r="U327">
        <f t="shared" si="75"/>
        <v>0</v>
      </c>
      <c r="V327">
        <f t="shared" si="76"/>
        <v>0</v>
      </c>
    </row>
    <row r="328" spans="1:22" x14ac:dyDescent="0.4">
      <c r="A328" s="1" t="s">
        <v>1041</v>
      </c>
      <c r="B328" s="1" t="s">
        <v>1042</v>
      </c>
      <c r="C328" s="1" t="s">
        <v>1043</v>
      </c>
      <c r="D328" s="1" t="s">
        <v>44</v>
      </c>
      <c r="E328" s="1" t="s">
        <v>86</v>
      </c>
      <c r="F328" s="5" t="s">
        <v>46</v>
      </c>
      <c r="G328" s="1" t="s">
        <v>27</v>
      </c>
      <c r="H328">
        <f>VLOOKUP(D328,[1]金額リスト!$A$2:$B$6,2,FALSE)</f>
        <v>114300</v>
      </c>
      <c r="I328" s="1" t="s">
        <v>33</v>
      </c>
      <c r="J328">
        <f t="shared" si="65"/>
        <v>0</v>
      </c>
      <c r="K328">
        <f t="shared" si="66"/>
        <v>0</v>
      </c>
      <c r="L328">
        <f t="shared" si="77"/>
        <v>0</v>
      </c>
      <c r="M328">
        <f t="shared" si="67"/>
        <v>0</v>
      </c>
      <c r="N328">
        <f t="shared" si="68"/>
        <v>114300</v>
      </c>
      <c r="O328">
        <f t="shared" si="69"/>
        <v>0</v>
      </c>
      <c r="P328">
        <f t="shared" si="70"/>
        <v>0</v>
      </c>
      <c r="Q328">
        <f t="shared" si="71"/>
        <v>0</v>
      </c>
      <c r="R328">
        <f t="shared" si="72"/>
        <v>0</v>
      </c>
      <c r="S328">
        <f t="shared" si="73"/>
        <v>0</v>
      </c>
      <c r="T328">
        <f t="shared" si="74"/>
        <v>0</v>
      </c>
      <c r="U328">
        <f t="shared" si="75"/>
        <v>0</v>
      </c>
      <c r="V328">
        <f t="shared" si="76"/>
        <v>0</v>
      </c>
    </row>
    <row r="329" spans="1:22" x14ac:dyDescent="0.4">
      <c r="A329" s="1" t="s">
        <v>1044</v>
      </c>
      <c r="B329" s="1" t="s">
        <v>1045</v>
      </c>
      <c r="C329" s="1" t="s">
        <v>1046</v>
      </c>
      <c r="D329" s="1" t="s">
        <v>44</v>
      </c>
      <c r="E329" s="1" t="s">
        <v>112</v>
      </c>
      <c r="F329" s="5" t="s">
        <v>46</v>
      </c>
      <c r="G329" s="1" t="s">
        <v>27</v>
      </c>
      <c r="H329">
        <f>VLOOKUP(D329,[1]金額リスト!$A$2:$B$6,2,FALSE)</f>
        <v>114300</v>
      </c>
      <c r="I329" s="1" t="s">
        <v>33</v>
      </c>
      <c r="J329">
        <f t="shared" si="65"/>
        <v>0</v>
      </c>
      <c r="K329">
        <f t="shared" si="66"/>
        <v>0</v>
      </c>
      <c r="L329">
        <f t="shared" si="77"/>
        <v>0</v>
      </c>
      <c r="M329">
        <f t="shared" si="67"/>
        <v>0</v>
      </c>
      <c r="N329">
        <f t="shared" si="68"/>
        <v>114300</v>
      </c>
      <c r="O329">
        <f t="shared" si="69"/>
        <v>0</v>
      </c>
      <c r="P329">
        <f t="shared" si="70"/>
        <v>0</v>
      </c>
      <c r="Q329">
        <f t="shared" si="71"/>
        <v>0</v>
      </c>
      <c r="R329">
        <f t="shared" si="72"/>
        <v>0</v>
      </c>
      <c r="S329">
        <f t="shared" si="73"/>
        <v>0</v>
      </c>
      <c r="T329">
        <f t="shared" si="74"/>
        <v>0</v>
      </c>
      <c r="U329">
        <f t="shared" si="75"/>
        <v>0</v>
      </c>
      <c r="V329">
        <f t="shared" si="76"/>
        <v>0</v>
      </c>
    </row>
    <row r="330" spans="1:22" x14ac:dyDescent="0.4">
      <c r="A330" s="1" t="s">
        <v>1047</v>
      </c>
      <c r="B330" s="1" t="s">
        <v>1048</v>
      </c>
      <c r="C330" s="1" t="s">
        <v>1049</v>
      </c>
      <c r="D330" s="1" t="s">
        <v>44</v>
      </c>
      <c r="E330" s="1" t="s">
        <v>37</v>
      </c>
      <c r="F330" s="5" t="s">
        <v>46</v>
      </c>
      <c r="G330" s="1" t="s">
        <v>27</v>
      </c>
      <c r="H330">
        <f>VLOOKUP(D330,[1]金額リスト!$A$2:$B$6,2,FALSE)</f>
        <v>114300</v>
      </c>
      <c r="I330" s="1" t="s">
        <v>33</v>
      </c>
      <c r="J330">
        <f t="shared" si="65"/>
        <v>0</v>
      </c>
      <c r="K330">
        <f t="shared" si="66"/>
        <v>0</v>
      </c>
      <c r="L330">
        <f t="shared" si="77"/>
        <v>0</v>
      </c>
      <c r="M330">
        <f t="shared" si="67"/>
        <v>0</v>
      </c>
      <c r="N330">
        <f t="shared" si="68"/>
        <v>114300</v>
      </c>
      <c r="O330">
        <f t="shared" si="69"/>
        <v>0</v>
      </c>
      <c r="P330">
        <f t="shared" si="70"/>
        <v>0</v>
      </c>
      <c r="Q330">
        <f t="shared" si="71"/>
        <v>0</v>
      </c>
      <c r="R330">
        <f t="shared" si="72"/>
        <v>0</v>
      </c>
      <c r="S330">
        <f t="shared" si="73"/>
        <v>0</v>
      </c>
      <c r="T330">
        <f t="shared" si="74"/>
        <v>0</v>
      </c>
      <c r="U330">
        <f t="shared" si="75"/>
        <v>0</v>
      </c>
      <c r="V330">
        <f t="shared" si="76"/>
        <v>0</v>
      </c>
    </row>
    <row r="331" spans="1:22" x14ac:dyDescent="0.4">
      <c r="A331" s="1" t="s">
        <v>1050</v>
      </c>
      <c r="B331" s="1" t="s">
        <v>1051</v>
      </c>
      <c r="C331" s="1" t="s">
        <v>1052</v>
      </c>
      <c r="D331" s="1" t="s">
        <v>44</v>
      </c>
      <c r="E331" s="1" t="s">
        <v>63</v>
      </c>
      <c r="F331" s="5" t="s">
        <v>46</v>
      </c>
      <c r="G331" s="1" t="s">
        <v>27</v>
      </c>
      <c r="H331">
        <f>VLOOKUP(D331,[1]金額リスト!$A$2:$B$6,2,FALSE)</f>
        <v>114300</v>
      </c>
      <c r="I331" s="1" t="s">
        <v>33</v>
      </c>
      <c r="J331">
        <f t="shared" si="65"/>
        <v>0</v>
      </c>
      <c r="K331">
        <f t="shared" si="66"/>
        <v>0</v>
      </c>
      <c r="L331">
        <f t="shared" si="77"/>
        <v>0</v>
      </c>
      <c r="M331">
        <f t="shared" si="67"/>
        <v>0</v>
      </c>
      <c r="N331">
        <f t="shared" si="68"/>
        <v>114300</v>
      </c>
      <c r="O331">
        <f t="shared" si="69"/>
        <v>0</v>
      </c>
      <c r="P331">
        <f t="shared" si="70"/>
        <v>0</v>
      </c>
      <c r="Q331">
        <f t="shared" si="71"/>
        <v>0</v>
      </c>
      <c r="R331">
        <f t="shared" si="72"/>
        <v>0</v>
      </c>
      <c r="S331">
        <f t="shared" si="73"/>
        <v>0</v>
      </c>
      <c r="T331">
        <f t="shared" si="74"/>
        <v>0</v>
      </c>
      <c r="U331">
        <f t="shared" si="75"/>
        <v>0</v>
      </c>
      <c r="V331">
        <f t="shared" si="76"/>
        <v>0</v>
      </c>
    </row>
    <row r="332" spans="1:22" x14ac:dyDescent="0.4">
      <c r="A332" s="1" t="s">
        <v>1053</v>
      </c>
      <c r="B332" s="1" t="s">
        <v>1054</v>
      </c>
      <c r="C332" s="1" t="s">
        <v>1055</v>
      </c>
      <c r="D332" s="1" t="s">
        <v>44</v>
      </c>
      <c r="E332" s="1" t="s">
        <v>45</v>
      </c>
      <c r="F332" s="5" t="s">
        <v>46</v>
      </c>
      <c r="G332" s="1" t="s">
        <v>27</v>
      </c>
      <c r="H332">
        <f>VLOOKUP(D332,[1]金額リスト!$A$2:$B$6,2,FALSE)</f>
        <v>114300</v>
      </c>
      <c r="I332" s="1" t="s">
        <v>33</v>
      </c>
      <c r="J332">
        <f t="shared" si="65"/>
        <v>0</v>
      </c>
      <c r="K332">
        <f t="shared" si="66"/>
        <v>0</v>
      </c>
      <c r="L332">
        <f t="shared" si="77"/>
        <v>0</v>
      </c>
      <c r="M332">
        <f t="shared" si="67"/>
        <v>0</v>
      </c>
      <c r="N332">
        <f t="shared" si="68"/>
        <v>114300</v>
      </c>
      <c r="O332">
        <f t="shared" si="69"/>
        <v>0</v>
      </c>
      <c r="P332">
        <f t="shared" si="70"/>
        <v>0</v>
      </c>
      <c r="Q332">
        <f t="shared" si="71"/>
        <v>0</v>
      </c>
      <c r="R332">
        <f t="shared" si="72"/>
        <v>0</v>
      </c>
      <c r="S332">
        <f t="shared" si="73"/>
        <v>0</v>
      </c>
      <c r="T332">
        <f t="shared" si="74"/>
        <v>0</v>
      </c>
      <c r="U332">
        <f t="shared" si="75"/>
        <v>0</v>
      </c>
      <c r="V332">
        <f t="shared" si="76"/>
        <v>0</v>
      </c>
    </row>
    <row r="333" spans="1:22" x14ac:dyDescent="0.4">
      <c r="A333" s="1" t="s">
        <v>1056</v>
      </c>
      <c r="B333" s="1" t="s">
        <v>1057</v>
      </c>
      <c r="C333" s="1" t="s">
        <v>1058</v>
      </c>
      <c r="D333" s="1" t="s">
        <v>44</v>
      </c>
      <c r="E333" s="1" t="s">
        <v>845</v>
      </c>
      <c r="F333" s="5" t="s">
        <v>46</v>
      </c>
      <c r="G333" s="1" t="s">
        <v>27</v>
      </c>
      <c r="H333">
        <f>VLOOKUP(D333,[1]金額リスト!$A$2:$B$6,2,FALSE)</f>
        <v>114300</v>
      </c>
      <c r="I333" s="1" t="s">
        <v>33</v>
      </c>
      <c r="J333">
        <f t="shared" si="65"/>
        <v>0</v>
      </c>
      <c r="K333">
        <f t="shared" si="66"/>
        <v>0</v>
      </c>
      <c r="L333">
        <f t="shared" si="77"/>
        <v>0</v>
      </c>
      <c r="M333">
        <f t="shared" si="67"/>
        <v>0</v>
      </c>
      <c r="N333">
        <f t="shared" si="68"/>
        <v>114300</v>
      </c>
      <c r="O333">
        <f t="shared" si="69"/>
        <v>0</v>
      </c>
      <c r="P333">
        <f t="shared" si="70"/>
        <v>0</v>
      </c>
      <c r="Q333">
        <f t="shared" si="71"/>
        <v>0</v>
      </c>
      <c r="R333">
        <f t="shared" si="72"/>
        <v>0</v>
      </c>
      <c r="S333">
        <f t="shared" si="73"/>
        <v>0</v>
      </c>
      <c r="T333">
        <f t="shared" si="74"/>
        <v>0</v>
      </c>
      <c r="U333">
        <f t="shared" si="75"/>
        <v>0</v>
      </c>
      <c r="V333">
        <f t="shared" si="76"/>
        <v>0</v>
      </c>
    </row>
    <row r="334" spans="1:22" x14ac:dyDescent="0.4">
      <c r="A334" s="1" t="s">
        <v>1059</v>
      </c>
      <c r="B334" s="1" t="s">
        <v>1060</v>
      </c>
      <c r="C334" s="1" t="s">
        <v>1061</v>
      </c>
      <c r="D334" s="1" t="s">
        <v>25</v>
      </c>
      <c r="E334" s="1" t="s">
        <v>37</v>
      </c>
      <c r="F334" s="5" t="s">
        <v>10</v>
      </c>
      <c r="G334" s="1" t="s">
        <v>27</v>
      </c>
      <c r="H334">
        <f>VLOOKUP(D334,[1]金額リスト!$A$2:$B$6,2,FALSE)</f>
        <v>59400</v>
      </c>
      <c r="I334" s="1" t="s">
        <v>33</v>
      </c>
      <c r="J334">
        <f t="shared" si="65"/>
        <v>0</v>
      </c>
      <c r="K334">
        <f t="shared" si="66"/>
        <v>59400</v>
      </c>
      <c r="L334">
        <f t="shared" si="77"/>
        <v>0</v>
      </c>
      <c r="M334">
        <f t="shared" si="67"/>
        <v>0</v>
      </c>
      <c r="N334">
        <f t="shared" si="68"/>
        <v>0</v>
      </c>
      <c r="O334">
        <f t="shared" si="69"/>
        <v>0</v>
      </c>
      <c r="P334">
        <f t="shared" si="70"/>
        <v>0</v>
      </c>
      <c r="Q334">
        <f t="shared" si="71"/>
        <v>0</v>
      </c>
      <c r="R334">
        <f t="shared" si="72"/>
        <v>0</v>
      </c>
      <c r="S334">
        <f t="shared" si="73"/>
        <v>0</v>
      </c>
      <c r="T334">
        <f t="shared" si="74"/>
        <v>0</v>
      </c>
      <c r="U334">
        <f t="shared" si="75"/>
        <v>0</v>
      </c>
      <c r="V334">
        <f t="shared" si="76"/>
        <v>0</v>
      </c>
    </row>
    <row r="335" spans="1:22" x14ac:dyDescent="0.4">
      <c r="A335" s="1" t="s">
        <v>1062</v>
      </c>
      <c r="B335" s="1" t="s">
        <v>1063</v>
      </c>
      <c r="C335" s="1" t="s">
        <v>1064</v>
      </c>
      <c r="D335" s="1" t="s">
        <v>44</v>
      </c>
      <c r="E335" s="1" t="s">
        <v>86</v>
      </c>
      <c r="F335" s="5" t="s">
        <v>46</v>
      </c>
      <c r="G335" s="1" t="s">
        <v>27</v>
      </c>
      <c r="H335">
        <f>VLOOKUP(D335,[1]金額リスト!$A$2:$B$6,2,FALSE)</f>
        <v>114300</v>
      </c>
      <c r="I335" s="1" t="s">
        <v>33</v>
      </c>
      <c r="J335">
        <f t="shared" si="65"/>
        <v>0</v>
      </c>
      <c r="K335">
        <f t="shared" si="66"/>
        <v>0</v>
      </c>
      <c r="L335">
        <f t="shared" si="77"/>
        <v>0</v>
      </c>
      <c r="M335">
        <f t="shared" si="67"/>
        <v>0</v>
      </c>
      <c r="N335">
        <f t="shared" si="68"/>
        <v>114300</v>
      </c>
      <c r="O335">
        <f t="shared" si="69"/>
        <v>0</v>
      </c>
      <c r="P335">
        <f t="shared" si="70"/>
        <v>0</v>
      </c>
      <c r="Q335">
        <f t="shared" si="71"/>
        <v>0</v>
      </c>
      <c r="R335">
        <f t="shared" si="72"/>
        <v>0</v>
      </c>
      <c r="S335">
        <f t="shared" si="73"/>
        <v>0</v>
      </c>
      <c r="T335">
        <f t="shared" si="74"/>
        <v>0</v>
      </c>
      <c r="U335">
        <f t="shared" si="75"/>
        <v>0</v>
      </c>
      <c r="V335">
        <f t="shared" si="76"/>
        <v>0</v>
      </c>
    </row>
    <row r="336" spans="1:22" x14ac:dyDescent="0.4">
      <c r="A336" s="1" t="s">
        <v>1065</v>
      </c>
      <c r="B336" s="1" t="s">
        <v>1066</v>
      </c>
      <c r="C336" s="1" t="s">
        <v>1067</v>
      </c>
      <c r="D336" s="1" t="s">
        <v>44</v>
      </c>
      <c r="E336" s="1" t="s">
        <v>45</v>
      </c>
      <c r="F336" s="5" t="s">
        <v>46</v>
      </c>
      <c r="G336" s="1" t="s">
        <v>27</v>
      </c>
      <c r="H336">
        <f>VLOOKUP(D336,[1]金額リスト!$A$2:$B$6,2,FALSE)</f>
        <v>114300</v>
      </c>
      <c r="I336" s="1" t="s">
        <v>33</v>
      </c>
      <c r="J336">
        <f t="shared" si="65"/>
        <v>0</v>
      </c>
      <c r="K336">
        <f t="shared" si="66"/>
        <v>0</v>
      </c>
      <c r="L336">
        <f t="shared" si="77"/>
        <v>0</v>
      </c>
      <c r="M336">
        <f t="shared" si="67"/>
        <v>0</v>
      </c>
      <c r="N336">
        <f t="shared" si="68"/>
        <v>114300</v>
      </c>
      <c r="O336">
        <f t="shared" si="69"/>
        <v>0</v>
      </c>
      <c r="P336">
        <f t="shared" si="70"/>
        <v>0</v>
      </c>
      <c r="Q336">
        <f t="shared" si="71"/>
        <v>0</v>
      </c>
      <c r="R336">
        <f t="shared" si="72"/>
        <v>0</v>
      </c>
      <c r="S336">
        <f t="shared" si="73"/>
        <v>0</v>
      </c>
      <c r="T336">
        <f t="shared" si="74"/>
        <v>0</v>
      </c>
      <c r="U336">
        <f t="shared" si="75"/>
        <v>0</v>
      </c>
      <c r="V336">
        <f t="shared" si="76"/>
        <v>0</v>
      </c>
    </row>
    <row r="337" spans="1:22" x14ac:dyDescent="0.4">
      <c r="A337" s="1" t="s">
        <v>1068</v>
      </c>
      <c r="B337" s="1" t="s">
        <v>1069</v>
      </c>
      <c r="C337" s="1" t="s">
        <v>1070</v>
      </c>
      <c r="D337" s="1" t="s">
        <v>25</v>
      </c>
      <c r="E337" s="1" t="s">
        <v>51</v>
      </c>
      <c r="F337" s="5" t="s">
        <v>10</v>
      </c>
      <c r="G337" s="1" t="s">
        <v>27</v>
      </c>
      <c r="H337">
        <f>VLOOKUP(D337,[1]金額リスト!$A$2:$B$6,2,FALSE)</f>
        <v>59400</v>
      </c>
      <c r="I337" s="1" t="s">
        <v>33</v>
      </c>
      <c r="J337">
        <f t="shared" si="65"/>
        <v>0</v>
      </c>
      <c r="K337">
        <f t="shared" si="66"/>
        <v>59400</v>
      </c>
      <c r="L337">
        <f t="shared" si="77"/>
        <v>0</v>
      </c>
      <c r="M337">
        <f t="shared" si="67"/>
        <v>0</v>
      </c>
      <c r="N337">
        <f t="shared" si="68"/>
        <v>0</v>
      </c>
      <c r="O337">
        <f t="shared" si="69"/>
        <v>0</v>
      </c>
      <c r="P337">
        <f t="shared" si="70"/>
        <v>0</v>
      </c>
      <c r="Q337">
        <f t="shared" si="71"/>
        <v>0</v>
      </c>
      <c r="R337">
        <f t="shared" si="72"/>
        <v>0</v>
      </c>
      <c r="S337">
        <f t="shared" si="73"/>
        <v>0</v>
      </c>
      <c r="T337">
        <f t="shared" si="74"/>
        <v>0</v>
      </c>
      <c r="U337">
        <f t="shared" si="75"/>
        <v>0</v>
      </c>
      <c r="V337">
        <f t="shared" si="76"/>
        <v>0</v>
      </c>
    </row>
    <row r="338" spans="1:22" x14ac:dyDescent="0.4">
      <c r="A338" s="1" t="s">
        <v>1071</v>
      </c>
      <c r="B338" s="1" t="s">
        <v>1072</v>
      </c>
      <c r="C338" s="1" t="s">
        <v>1073</v>
      </c>
      <c r="D338" s="1" t="s">
        <v>25</v>
      </c>
      <c r="E338" s="1" t="s">
        <v>112</v>
      </c>
      <c r="F338" s="5" t="s">
        <v>10</v>
      </c>
      <c r="G338" s="1" t="s">
        <v>27</v>
      </c>
      <c r="H338">
        <f>VLOOKUP(D338,[1]金額リスト!$A$2:$B$6,2,FALSE)</f>
        <v>59400</v>
      </c>
      <c r="I338" s="1" t="s">
        <v>33</v>
      </c>
      <c r="J338">
        <f t="shared" si="65"/>
        <v>0</v>
      </c>
      <c r="K338">
        <f t="shared" si="66"/>
        <v>59400</v>
      </c>
      <c r="L338">
        <f t="shared" si="77"/>
        <v>0</v>
      </c>
      <c r="M338">
        <f t="shared" si="67"/>
        <v>0</v>
      </c>
      <c r="N338">
        <f t="shared" si="68"/>
        <v>0</v>
      </c>
      <c r="O338">
        <f t="shared" si="69"/>
        <v>0</v>
      </c>
      <c r="P338">
        <f t="shared" si="70"/>
        <v>0</v>
      </c>
      <c r="Q338">
        <f t="shared" si="71"/>
        <v>0</v>
      </c>
      <c r="R338">
        <f t="shared" si="72"/>
        <v>0</v>
      </c>
      <c r="S338">
        <f t="shared" si="73"/>
        <v>0</v>
      </c>
      <c r="T338">
        <f t="shared" si="74"/>
        <v>0</v>
      </c>
      <c r="U338">
        <f t="shared" si="75"/>
        <v>0</v>
      </c>
      <c r="V338">
        <f t="shared" si="76"/>
        <v>0</v>
      </c>
    </row>
    <row r="339" spans="1:22" x14ac:dyDescent="0.4">
      <c r="A339" s="1" t="s">
        <v>1074</v>
      </c>
      <c r="B339" s="1" t="s">
        <v>1075</v>
      </c>
      <c r="C339" s="1" t="s">
        <v>1076</v>
      </c>
      <c r="D339" s="1" t="s">
        <v>44</v>
      </c>
      <c r="E339" s="1" t="s">
        <v>63</v>
      </c>
      <c r="F339" s="5" t="s">
        <v>46</v>
      </c>
      <c r="G339" s="1" t="s">
        <v>27</v>
      </c>
      <c r="H339">
        <f>VLOOKUP(D339,[1]金額リスト!$A$2:$B$6,2,FALSE)</f>
        <v>114300</v>
      </c>
      <c r="I339" s="1" t="s">
        <v>33</v>
      </c>
      <c r="J339">
        <f t="shared" si="65"/>
        <v>0</v>
      </c>
      <c r="K339">
        <f t="shared" si="66"/>
        <v>0</v>
      </c>
      <c r="L339">
        <f t="shared" si="77"/>
        <v>0</v>
      </c>
      <c r="M339">
        <f t="shared" si="67"/>
        <v>0</v>
      </c>
      <c r="N339">
        <f t="shared" si="68"/>
        <v>114300</v>
      </c>
      <c r="O339">
        <f t="shared" si="69"/>
        <v>0</v>
      </c>
      <c r="P339">
        <f t="shared" si="70"/>
        <v>0</v>
      </c>
      <c r="Q339">
        <f t="shared" si="71"/>
        <v>0</v>
      </c>
      <c r="R339">
        <f t="shared" si="72"/>
        <v>0</v>
      </c>
      <c r="S339">
        <f t="shared" si="73"/>
        <v>0</v>
      </c>
      <c r="T339">
        <f t="shared" si="74"/>
        <v>0</v>
      </c>
      <c r="U339">
        <f t="shared" si="75"/>
        <v>0</v>
      </c>
      <c r="V339">
        <f t="shared" si="76"/>
        <v>0</v>
      </c>
    </row>
    <row r="340" spans="1:22" x14ac:dyDescent="0.4">
      <c r="A340" s="1" t="s">
        <v>1077</v>
      </c>
      <c r="B340" s="1" t="s">
        <v>1078</v>
      </c>
      <c r="C340" s="1" t="s">
        <v>1079</v>
      </c>
      <c r="D340" s="1" t="s">
        <v>44</v>
      </c>
      <c r="E340" s="1" t="s">
        <v>56</v>
      </c>
      <c r="F340" s="5" t="s">
        <v>46</v>
      </c>
      <c r="G340" s="1" t="s">
        <v>27</v>
      </c>
      <c r="H340">
        <f>VLOOKUP(D340,[1]金額リスト!$A$2:$B$6,2,FALSE)</f>
        <v>114300</v>
      </c>
      <c r="I340" s="1" t="s">
        <v>33</v>
      </c>
      <c r="J340">
        <f t="shared" si="65"/>
        <v>0</v>
      </c>
      <c r="K340">
        <f t="shared" si="66"/>
        <v>0</v>
      </c>
      <c r="L340">
        <f t="shared" si="77"/>
        <v>0</v>
      </c>
      <c r="M340">
        <f t="shared" si="67"/>
        <v>0</v>
      </c>
      <c r="N340">
        <f t="shared" si="68"/>
        <v>114300</v>
      </c>
      <c r="O340">
        <f t="shared" si="69"/>
        <v>0</v>
      </c>
      <c r="P340">
        <f t="shared" si="70"/>
        <v>0</v>
      </c>
      <c r="Q340">
        <f t="shared" si="71"/>
        <v>0</v>
      </c>
      <c r="R340">
        <f t="shared" si="72"/>
        <v>0</v>
      </c>
      <c r="S340">
        <f t="shared" si="73"/>
        <v>0</v>
      </c>
      <c r="T340">
        <f t="shared" si="74"/>
        <v>0</v>
      </c>
      <c r="U340">
        <f t="shared" si="75"/>
        <v>0</v>
      </c>
      <c r="V340">
        <f t="shared" si="76"/>
        <v>0</v>
      </c>
    </row>
    <row r="341" spans="1:22" x14ac:dyDescent="0.4">
      <c r="A341" s="1" t="s">
        <v>1080</v>
      </c>
      <c r="B341" s="1" t="s">
        <v>1081</v>
      </c>
      <c r="C341" s="1" t="s">
        <v>1082</v>
      </c>
      <c r="D341" s="1" t="s">
        <v>44</v>
      </c>
      <c r="E341" s="1" t="s">
        <v>37</v>
      </c>
      <c r="F341" s="5" t="s">
        <v>46</v>
      </c>
      <c r="G341" s="1" t="s">
        <v>27</v>
      </c>
      <c r="H341">
        <f>VLOOKUP(D341,[1]金額リスト!$A$2:$B$6,2,FALSE)</f>
        <v>114300</v>
      </c>
      <c r="I341" s="1" t="s">
        <v>33</v>
      </c>
      <c r="J341">
        <f t="shared" si="65"/>
        <v>0</v>
      </c>
      <c r="K341">
        <f t="shared" si="66"/>
        <v>0</v>
      </c>
      <c r="L341">
        <f t="shared" si="77"/>
        <v>0</v>
      </c>
      <c r="M341">
        <f t="shared" si="67"/>
        <v>0</v>
      </c>
      <c r="N341">
        <f t="shared" si="68"/>
        <v>114300</v>
      </c>
      <c r="O341">
        <f t="shared" si="69"/>
        <v>0</v>
      </c>
      <c r="P341">
        <f t="shared" si="70"/>
        <v>0</v>
      </c>
      <c r="Q341">
        <f t="shared" si="71"/>
        <v>0</v>
      </c>
      <c r="R341">
        <f t="shared" si="72"/>
        <v>0</v>
      </c>
      <c r="S341">
        <f t="shared" si="73"/>
        <v>0</v>
      </c>
      <c r="T341">
        <f t="shared" si="74"/>
        <v>0</v>
      </c>
      <c r="U341">
        <f t="shared" si="75"/>
        <v>0</v>
      </c>
      <c r="V341">
        <f t="shared" si="76"/>
        <v>0</v>
      </c>
    </row>
    <row r="342" spans="1:22" x14ac:dyDescent="0.4">
      <c r="A342" s="1" t="s">
        <v>1083</v>
      </c>
      <c r="B342" s="1" t="s">
        <v>1084</v>
      </c>
      <c r="C342" s="1" t="s">
        <v>1085</v>
      </c>
      <c r="D342" s="1" t="s">
        <v>25</v>
      </c>
      <c r="E342" s="1" t="s">
        <v>37</v>
      </c>
      <c r="F342" s="5" t="s">
        <v>10</v>
      </c>
      <c r="G342" s="1" t="s">
        <v>27</v>
      </c>
      <c r="H342">
        <f>VLOOKUP(D342,[1]金額リスト!$A$2:$B$6,2,FALSE)</f>
        <v>59400</v>
      </c>
      <c r="I342" s="1" t="s">
        <v>33</v>
      </c>
      <c r="J342">
        <f t="shared" si="65"/>
        <v>0</v>
      </c>
      <c r="K342">
        <f t="shared" si="66"/>
        <v>59400</v>
      </c>
      <c r="L342">
        <f t="shared" si="77"/>
        <v>0</v>
      </c>
      <c r="M342">
        <f t="shared" si="67"/>
        <v>0</v>
      </c>
      <c r="N342">
        <f t="shared" si="68"/>
        <v>0</v>
      </c>
      <c r="O342">
        <f t="shared" si="69"/>
        <v>0</v>
      </c>
      <c r="P342">
        <f t="shared" si="70"/>
        <v>0</v>
      </c>
      <c r="Q342">
        <f t="shared" si="71"/>
        <v>0</v>
      </c>
      <c r="R342">
        <f t="shared" si="72"/>
        <v>0</v>
      </c>
      <c r="S342">
        <f t="shared" si="73"/>
        <v>0</v>
      </c>
      <c r="T342">
        <f t="shared" si="74"/>
        <v>0</v>
      </c>
      <c r="U342">
        <f t="shared" si="75"/>
        <v>0</v>
      </c>
      <c r="V342">
        <f t="shared" si="76"/>
        <v>0</v>
      </c>
    </row>
    <row r="343" spans="1:22" x14ac:dyDescent="0.4">
      <c r="A343" s="1" t="s">
        <v>1086</v>
      </c>
      <c r="B343" s="1" t="s">
        <v>1087</v>
      </c>
      <c r="C343" s="1" t="s">
        <v>1088</v>
      </c>
      <c r="D343" s="1" t="s">
        <v>44</v>
      </c>
      <c r="E343" s="1" t="s">
        <v>90</v>
      </c>
      <c r="F343" s="5" t="s">
        <v>46</v>
      </c>
      <c r="G343" s="1" t="s">
        <v>27</v>
      </c>
      <c r="H343">
        <f>VLOOKUP(D343,[1]金額リスト!$A$2:$B$6,2,FALSE)</f>
        <v>114300</v>
      </c>
      <c r="I343" s="1" t="s">
        <v>33</v>
      </c>
      <c r="J343">
        <f t="shared" si="65"/>
        <v>0</v>
      </c>
      <c r="K343">
        <f t="shared" si="66"/>
        <v>0</v>
      </c>
      <c r="L343">
        <f t="shared" si="77"/>
        <v>0</v>
      </c>
      <c r="M343">
        <f t="shared" si="67"/>
        <v>0</v>
      </c>
      <c r="N343">
        <f t="shared" si="68"/>
        <v>114300</v>
      </c>
      <c r="O343">
        <f t="shared" si="69"/>
        <v>0</v>
      </c>
      <c r="P343">
        <f t="shared" si="70"/>
        <v>0</v>
      </c>
      <c r="Q343">
        <f t="shared" si="71"/>
        <v>0</v>
      </c>
      <c r="R343">
        <f t="shared" si="72"/>
        <v>0</v>
      </c>
      <c r="S343">
        <f t="shared" si="73"/>
        <v>0</v>
      </c>
      <c r="T343">
        <f t="shared" si="74"/>
        <v>0</v>
      </c>
      <c r="U343">
        <f t="shared" si="75"/>
        <v>0</v>
      </c>
      <c r="V343">
        <f t="shared" si="76"/>
        <v>0</v>
      </c>
    </row>
    <row r="344" spans="1:22" x14ac:dyDescent="0.4">
      <c r="A344" s="1" t="s">
        <v>1089</v>
      </c>
      <c r="B344" s="1" t="s">
        <v>1090</v>
      </c>
      <c r="C344" s="1" t="s">
        <v>1091</v>
      </c>
      <c r="D344" s="1" t="s">
        <v>25</v>
      </c>
      <c r="E344" s="1" t="s">
        <v>150</v>
      </c>
      <c r="F344" s="5" t="s">
        <v>10</v>
      </c>
      <c r="G344" s="1" t="s">
        <v>27</v>
      </c>
      <c r="H344">
        <f>VLOOKUP(D344,[1]金額リスト!$A$2:$B$6,2,FALSE)</f>
        <v>59400</v>
      </c>
      <c r="I344" s="1" t="s">
        <v>33</v>
      </c>
      <c r="J344">
        <f t="shared" si="65"/>
        <v>0</v>
      </c>
      <c r="K344">
        <f t="shared" si="66"/>
        <v>59400</v>
      </c>
      <c r="L344">
        <f t="shared" si="77"/>
        <v>0</v>
      </c>
      <c r="M344">
        <f t="shared" si="67"/>
        <v>0</v>
      </c>
      <c r="N344">
        <f t="shared" si="68"/>
        <v>0</v>
      </c>
      <c r="O344">
        <f t="shared" si="69"/>
        <v>0</v>
      </c>
      <c r="P344">
        <f t="shared" si="70"/>
        <v>0</v>
      </c>
      <c r="Q344">
        <f t="shared" si="71"/>
        <v>0</v>
      </c>
      <c r="R344">
        <f t="shared" si="72"/>
        <v>0</v>
      </c>
      <c r="S344">
        <f t="shared" si="73"/>
        <v>0</v>
      </c>
      <c r="T344">
        <f t="shared" si="74"/>
        <v>0</v>
      </c>
      <c r="U344">
        <f t="shared" si="75"/>
        <v>0</v>
      </c>
      <c r="V344">
        <f t="shared" si="76"/>
        <v>0</v>
      </c>
    </row>
    <row r="345" spans="1:22" x14ac:dyDescent="0.4">
      <c r="A345" s="1" t="s">
        <v>1092</v>
      </c>
      <c r="B345" s="1" t="s">
        <v>1093</v>
      </c>
      <c r="C345" s="1" t="s">
        <v>1094</v>
      </c>
      <c r="D345" s="1" t="s">
        <v>25</v>
      </c>
      <c r="E345" s="1" t="s">
        <v>82</v>
      </c>
      <c r="F345" s="5" t="s">
        <v>10</v>
      </c>
      <c r="G345" s="1" t="s">
        <v>27</v>
      </c>
      <c r="H345">
        <f>VLOOKUP(D345,[1]金額リスト!$A$2:$B$6,2,FALSE)</f>
        <v>59400</v>
      </c>
      <c r="I345" s="1" t="s">
        <v>33</v>
      </c>
      <c r="J345">
        <f t="shared" si="65"/>
        <v>0</v>
      </c>
      <c r="K345">
        <f t="shared" si="66"/>
        <v>59400</v>
      </c>
      <c r="L345">
        <f t="shared" si="77"/>
        <v>0</v>
      </c>
      <c r="M345">
        <f t="shared" si="67"/>
        <v>0</v>
      </c>
      <c r="N345">
        <f t="shared" si="68"/>
        <v>0</v>
      </c>
      <c r="O345">
        <f t="shared" si="69"/>
        <v>0</v>
      </c>
      <c r="P345">
        <f t="shared" si="70"/>
        <v>0</v>
      </c>
      <c r="Q345">
        <f t="shared" si="71"/>
        <v>0</v>
      </c>
      <c r="R345">
        <f t="shared" si="72"/>
        <v>0</v>
      </c>
      <c r="S345">
        <f t="shared" si="73"/>
        <v>0</v>
      </c>
      <c r="T345">
        <f t="shared" si="74"/>
        <v>0</v>
      </c>
      <c r="U345">
        <f t="shared" si="75"/>
        <v>0</v>
      </c>
      <c r="V345">
        <f t="shared" si="76"/>
        <v>0</v>
      </c>
    </row>
    <row r="346" spans="1:22" x14ac:dyDescent="0.4">
      <c r="A346" s="1" t="s">
        <v>1095</v>
      </c>
      <c r="B346" s="1" t="s">
        <v>1096</v>
      </c>
      <c r="C346" s="1" t="s">
        <v>1097</v>
      </c>
      <c r="D346" s="1" t="s">
        <v>44</v>
      </c>
      <c r="E346" s="1" t="s">
        <v>82</v>
      </c>
      <c r="F346" s="5" t="s">
        <v>46</v>
      </c>
      <c r="G346" s="1" t="s">
        <v>27</v>
      </c>
      <c r="H346">
        <f>VLOOKUP(D346,[1]金額リスト!$A$2:$B$6,2,FALSE)</f>
        <v>114300</v>
      </c>
      <c r="I346" s="1" t="s">
        <v>33</v>
      </c>
      <c r="J346">
        <f t="shared" si="65"/>
        <v>0</v>
      </c>
      <c r="K346">
        <f t="shared" si="66"/>
        <v>0</v>
      </c>
      <c r="L346">
        <f t="shared" si="77"/>
        <v>0</v>
      </c>
      <c r="M346">
        <f t="shared" si="67"/>
        <v>0</v>
      </c>
      <c r="N346">
        <f t="shared" si="68"/>
        <v>114300</v>
      </c>
      <c r="O346">
        <f t="shared" si="69"/>
        <v>0</v>
      </c>
      <c r="P346">
        <f t="shared" si="70"/>
        <v>0</v>
      </c>
      <c r="Q346">
        <f t="shared" si="71"/>
        <v>0</v>
      </c>
      <c r="R346">
        <f t="shared" si="72"/>
        <v>0</v>
      </c>
      <c r="S346">
        <f t="shared" si="73"/>
        <v>0</v>
      </c>
      <c r="T346">
        <f t="shared" si="74"/>
        <v>0</v>
      </c>
      <c r="U346">
        <f t="shared" si="75"/>
        <v>0</v>
      </c>
      <c r="V346">
        <f t="shared" si="76"/>
        <v>0</v>
      </c>
    </row>
    <row r="347" spans="1:22" x14ac:dyDescent="0.4">
      <c r="A347" s="1" t="s">
        <v>1098</v>
      </c>
      <c r="B347" s="1" t="s">
        <v>1099</v>
      </c>
      <c r="C347" s="1" t="s">
        <v>1100</v>
      </c>
      <c r="D347" s="1" t="s">
        <v>25</v>
      </c>
      <c r="E347" s="1" t="s">
        <v>45</v>
      </c>
      <c r="F347" s="5" t="s">
        <v>10</v>
      </c>
      <c r="G347" s="1" t="s">
        <v>27</v>
      </c>
      <c r="H347">
        <f>VLOOKUP(D347,[1]金額リスト!$A$2:$B$6,2,FALSE)</f>
        <v>59400</v>
      </c>
      <c r="I347" s="1" t="s">
        <v>33</v>
      </c>
      <c r="J347">
        <f t="shared" si="65"/>
        <v>0</v>
      </c>
      <c r="K347">
        <f t="shared" si="66"/>
        <v>59400</v>
      </c>
      <c r="L347">
        <f t="shared" si="77"/>
        <v>0</v>
      </c>
      <c r="M347">
        <f t="shared" si="67"/>
        <v>0</v>
      </c>
      <c r="N347">
        <f t="shared" si="68"/>
        <v>0</v>
      </c>
      <c r="O347">
        <f t="shared" si="69"/>
        <v>0</v>
      </c>
      <c r="P347">
        <f t="shared" si="70"/>
        <v>0</v>
      </c>
      <c r="Q347">
        <f t="shared" si="71"/>
        <v>0</v>
      </c>
      <c r="R347">
        <f t="shared" si="72"/>
        <v>0</v>
      </c>
      <c r="S347">
        <f t="shared" si="73"/>
        <v>0</v>
      </c>
      <c r="T347">
        <f t="shared" si="74"/>
        <v>0</v>
      </c>
      <c r="U347">
        <f t="shared" si="75"/>
        <v>0</v>
      </c>
      <c r="V347">
        <f t="shared" si="76"/>
        <v>0</v>
      </c>
    </row>
    <row r="348" spans="1:22" x14ac:dyDescent="0.4">
      <c r="A348" s="1" t="s">
        <v>1101</v>
      </c>
      <c r="B348" s="1" t="s">
        <v>1102</v>
      </c>
      <c r="C348" s="1" t="s">
        <v>1103</v>
      </c>
      <c r="D348" s="1" t="s">
        <v>44</v>
      </c>
      <c r="E348" s="1" t="s">
        <v>63</v>
      </c>
      <c r="F348" s="5" t="s">
        <v>46</v>
      </c>
      <c r="G348" s="1" t="s">
        <v>27</v>
      </c>
      <c r="H348">
        <f>VLOOKUP(D348,[1]金額リスト!$A$2:$B$6,2,FALSE)</f>
        <v>114300</v>
      </c>
      <c r="I348" s="1" t="s">
        <v>33</v>
      </c>
      <c r="J348">
        <f t="shared" si="65"/>
        <v>0</v>
      </c>
      <c r="K348">
        <f t="shared" si="66"/>
        <v>0</v>
      </c>
      <c r="L348">
        <f t="shared" si="77"/>
        <v>0</v>
      </c>
      <c r="M348">
        <f t="shared" si="67"/>
        <v>0</v>
      </c>
      <c r="N348">
        <f t="shared" si="68"/>
        <v>114300</v>
      </c>
      <c r="O348">
        <f t="shared" si="69"/>
        <v>0</v>
      </c>
      <c r="P348">
        <f t="shared" si="70"/>
        <v>0</v>
      </c>
      <c r="Q348">
        <f t="shared" si="71"/>
        <v>0</v>
      </c>
      <c r="R348">
        <f t="shared" si="72"/>
        <v>0</v>
      </c>
      <c r="S348">
        <f t="shared" si="73"/>
        <v>0</v>
      </c>
      <c r="T348">
        <f t="shared" si="74"/>
        <v>0</v>
      </c>
      <c r="U348">
        <f t="shared" si="75"/>
        <v>0</v>
      </c>
      <c r="V348">
        <f t="shared" si="76"/>
        <v>0</v>
      </c>
    </row>
    <row r="349" spans="1:22" x14ac:dyDescent="0.4">
      <c r="A349" s="1" t="s">
        <v>1104</v>
      </c>
      <c r="B349" s="1" t="s">
        <v>1105</v>
      </c>
      <c r="C349" s="1" t="s">
        <v>1106</v>
      </c>
      <c r="D349" s="1" t="s">
        <v>25</v>
      </c>
      <c r="E349" s="1" t="s">
        <v>86</v>
      </c>
      <c r="F349" s="5" t="s">
        <v>10</v>
      </c>
      <c r="G349" s="1" t="s">
        <v>27</v>
      </c>
      <c r="H349">
        <f>VLOOKUP(D349,[1]金額リスト!$A$2:$B$6,2,FALSE)</f>
        <v>59400</v>
      </c>
      <c r="I349" s="1" t="s">
        <v>33</v>
      </c>
      <c r="J349">
        <f t="shared" si="65"/>
        <v>0</v>
      </c>
      <c r="K349">
        <f t="shared" si="66"/>
        <v>59400</v>
      </c>
      <c r="L349">
        <f t="shared" si="77"/>
        <v>0</v>
      </c>
      <c r="M349">
        <f t="shared" si="67"/>
        <v>0</v>
      </c>
      <c r="N349">
        <f t="shared" si="68"/>
        <v>0</v>
      </c>
      <c r="O349">
        <f t="shared" si="69"/>
        <v>0</v>
      </c>
      <c r="P349">
        <f t="shared" si="70"/>
        <v>0</v>
      </c>
      <c r="Q349">
        <f t="shared" si="71"/>
        <v>0</v>
      </c>
      <c r="R349">
        <f t="shared" si="72"/>
        <v>0</v>
      </c>
      <c r="S349">
        <f t="shared" si="73"/>
        <v>0</v>
      </c>
      <c r="T349">
        <f t="shared" si="74"/>
        <v>0</v>
      </c>
      <c r="U349">
        <f t="shared" si="75"/>
        <v>0</v>
      </c>
      <c r="V349">
        <f t="shared" si="76"/>
        <v>0</v>
      </c>
    </row>
    <row r="350" spans="1:22" x14ac:dyDescent="0.4">
      <c r="A350" s="1" t="s">
        <v>1107</v>
      </c>
      <c r="B350" s="1" t="s">
        <v>1108</v>
      </c>
      <c r="C350" s="1" t="s">
        <v>1109</v>
      </c>
      <c r="D350" s="1" t="s">
        <v>44</v>
      </c>
      <c r="E350" s="1" t="s">
        <v>37</v>
      </c>
      <c r="F350" s="5" t="s">
        <v>46</v>
      </c>
      <c r="G350" s="1" t="s">
        <v>27</v>
      </c>
      <c r="H350">
        <f>VLOOKUP(D350,[1]金額リスト!$A$2:$B$6,2,FALSE)</f>
        <v>114300</v>
      </c>
      <c r="I350" s="1" t="s">
        <v>33</v>
      </c>
      <c r="J350">
        <f t="shared" si="65"/>
        <v>0</v>
      </c>
      <c r="K350">
        <f t="shared" si="66"/>
        <v>0</v>
      </c>
      <c r="L350">
        <f t="shared" si="77"/>
        <v>0</v>
      </c>
      <c r="M350">
        <f t="shared" si="67"/>
        <v>0</v>
      </c>
      <c r="N350">
        <f t="shared" si="68"/>
        <v>114300</v>
      </c>
      <c r="O350">
        <f t="shared" si="69"/>
        <v>0</v>
      </c>
      <c r="P350">
        <f t="shared" si="70"/>
        <v>0</v>
      </c>
      <c r="Q350">
        <f t="shared" si="71"/>
        <v>0</v>
      </c>
      <c r="R350">
        <f t="shared" si="72"/>
        <v>0</v>
      </c>
      <c r="S350">
        <f t="shared" si="73"/>
        <v>0</v>
      </c>
      <c r="T350">
        <f t="shared" si="74"/>
        <v>0</v>
      </c>
      <c r="U350">
        <f t="shared" si="75"/>
        <v>0</v>
      </c>
      <c r="V350">
        <f t="shared" si="76"/>
        <v>0</v>
      </c>
    </row>
    <row r="351" spans="1:22" x14ac:dyDescent="0.4">
      <c r="A351" s="1" t="s">
        <v>1110</v>
      </c>
      <c r="B351" s="1" t="s">
        <v>1111</v>
      </c>
      <c r="C351" s="1" t="s">
        <v>1112</v>
      </c>
      <c r="D351" s="1" t="s">
        <v>44</v>
      </c>
      <c r="E351" s="1" t="s">
        <v>63</v>
      </c>
      <c r="F351" s="5" t="s">
        <v>46</v>
      </c>
      <c r="G351" s="1" t="s">
        <v>27</v>
      </c>
      <c r="H351">
        <f>VLOOKUP(D351,[1]金額リスト!$A$2:$B$6,2,FALSE)</f>
        <v>114300</v>
      </c>
      <c r="I351" s="1" t="s">
        <v>33</v>
      </c>
      <c r="J351">
        <f t="shared" si="65"/>
        <v>0</v>
      </c>
      <c r="K351">
        <f t="shared" si="66"/>
        <v>0</v>
      </c>
      <c r="L351">
        <f t="shared" si="77"/>
        <v>0</v>
      </c>
      <c r="M351">
        <f t="shared" si="67"/>
        <v>0</v>
      </c>
      <c r="N351">
        <f t="shared" si="68"/>
        <v>114300</v>
      </c>
      <c r="O351">
        <f t="shared" si="69"/>
        <v>0</v>
      </c>
      <c r="P351">
        <f t="shared" si="70"/>
        <v>0</v>
      </c>
      <c r="Q351">
        <f t="shared" si="71"/>
        <v>0</v>
      </c>
      <c r="R351">
        <f t="shared" si="72"/>
        <v>0</v>
      </c>
      <c r="S351">
        <f t="shared" si="73"/>
        <v>0</v>
      </c>
      <c r="T351">
        <f t="shared" si="74"/>
        <v>0</v>
      </c>
      <c r="U351">
        <f t="shared" si="75"/>
        <v>0</v>
      </c>
      <c r="V351">
        <f t="shared" si="76"/>
        <v>0</v>
      </c>
    </row>
    <row r="352" spans="1:22" x14ac:dyDescent="0.4">
      <c r="A352" s="1" t="s">
        <v>1113</v>
      </c>
      <c r="B352" s="1" t="s">
        <v>1114</v>
      </c>
      <c r="C352" s="1" t="s">
        <v>1115</v>
      </c>
      <c r="D352" s="1" t="s">
        <v>25</v>
      </c>
      <c r="E352" s="1" t="s">
        <v>37</v>
      </c>
      <c r="F352" s="5" t="s">
        <v>10</v>
      </c>
      <c r="G352" s="1" t="s">
        <v>27</v>
      </c>
      <c r="H352">
        <f>VLOOKUP(D352,[1]金額リスト!$A$2:$B$6,2,FALSE)</f>
        <v>59400</v>
      </c>
      <c r="I352" s="1" t="s">
        <v>33</v>
      </c>
      <c r="J352">
        <f t="shared" si="65"/>
        <v>0</v>
      </c>
      <c r="K352">
        <f t="shared" si="66"/>
        <v>59400</v>
      </c>
      <c r="L352">
        <f t="shared" si="77"/>
        <v>0</v>
      </c>
      <c r="M352">
        <f t="shared" si="67"/>
        <v>0</v>
      </c>
      <c r="N352">
        <f t="shared" si="68"/>
        <v>0</v>
      </c>
      <c r="O352">
        <f t="shared" si="69"/>
        <v>0</v>
      </c>
      <c r="P352">
        <f t="shared" si="70"/>
        <v>0</v>
      </c>
      <c r="Q352">
        <f t="shared" si="71"/>
        <v>0</v>
      </c>
      <c r="R352">
        <f t="shared" si="72"/>
        <v>0</v>
      </c>
      <c r="S352">
        <f t="shared" si="73"/>
        <v>0</v>
      </c>
      <c r="T352">
        <f t="shared" si="74"/>
        <v>0</v>
      </c>
      <c r="U352">
        <f t="shared" si="75"/>
        <v>0</v>
      </c>
      <c r="V352">
        <f t="shared" si="76"/>
        <v>0</v>
      </c>
    </row>
    <row r="353" spans="1:22" x14ac:dyDescent="0.4">
      <c r="A353" s="1" t="s">
        <v>1116</v>
      </c>
      <c r="B353" s="1" t="s">
        <v>1117</v>
      </c>
      <c r="C353" s="1" t="s">
        <v>1118</v>
      </c>
      <c r="D353" s="1" t="s">
        <v>44</v>
      </c>
      <c r="E353" s="1" t="s">
        <v>86</v>
      </c>
      <c r="F353" s="5" t="s">
        <v>46</v>
      </c>
      <c r="G353" s="1" t="s">
        <v>27</v>
      </c>
      <c r="H353">
        <f>VLOOKUP(D353,[1]金額リスト!$A$2:$B$6,2,FALSE)</f>
        <v>114300</v>
      </c>
      <c r="I353" s="1" t="s">
        <v>33</v>
      </c>
      <c r="J353">
        <f t="shared" si="65"/>
        <v>0</v>
      </c>
      <c r="K353">
        <f t="shared" si="66"/>
        <v>0</v>
      </c>
      <c r="L353">
        <f t="shared" si="77"/>
        <v>0</v>
      </c>
      <c r="M353">
        <f t="shared" si="67"/>
        <v>0</v>
      </c>
      <c r="N353">
        <f t="shared" si="68"/>
        <v>114300</v>
      </c>
      <c r="O353">
        <f t="shared" si="69"/>
        <v>0</v>
      </c>
      <c r="P353">
        <f t="shared" si="70"/>
        <v>0</v>
      </c>
      <c r="Q353">
        <f t="shared" si="71"/>
        <v>0</v>
      </c>
      <c r="R353">
        <f t="shared" si="72"/>
        <v>0</v>
      </c>
      <c r="S353">
        <f t="shared" si="73"/>
        <v>0</v>
      </c>
      <c r="T353">
        <f t="shared" si="74"/>
        <v>0</v>
      </c>
      <c r="U353">
        <f t="shared" si="75"/>
        <v>0</v>
      </c>
      <c r="V353">
        <f t="shared" si="76"/>
        <v>0</v>
      </c>
    </row>
    <row r="354" spans="1:22" x14ac:dyDescent="0.4">
      <c r="A354" s="1" t="s">
        <v>1119</v>
      </c>
      <c r="B354" s="1" t="s">
        <v>1120</v>
      </c>
      <c r="C354" s="1" t="s">
        <v>1121</v>
      </c>
      <c r="D354" s="1" t="s">
        <v>44</v>
      </c>
      <c r="E354" s="1" t="s">
        <v>86</v>
      </c>
      <c r="F354" s="5" t="s">
        <v>46</v>
      </c>
      <c r="G354" s="1" t="s">
        <v>27</v>
      </c>
      <c r="H354">
        <f>VLOOKUP(D354,[1]金額リスト!$A$2:$B$6,2,FALSE)</f>
        <v>114300</v>
      </c>
      <c r="I354" s="1" t="s">
        <v>33</v>
      </c>
      <c r="J354">
        <f t="shared" si="65"/>
        <v>0</v>
      </c>
      <c r="K354">
        <f t="shared" si="66"/>
        <v>0</v>
      </c>
      <c r="L354">
        <f t="shared" si="77"/>
        <v>0</v>
      </c>
      <c r="M354">
        <f t="shared" si="67"/>
        <v>0</v>
      </c>
      <c r="N354">
        <f t="shared" si="68"/>
        <v>114300</v>
      </c>
      <c r="O354">
        <f t="shared" si="69"/>
        <v>0</v>
      </c>
      <c r="P354">
        <f t="shared" si="70"/>
        <v>0</v>
      </c>
      <c r="Q354">
        <f t="shared" si="71"/>
        <v>0</v>
      </c>
      <c r="R354">
        <f t="shared" si="72"/>
        <v>0</v>
      </c>
      <c r="S354">
        <f t="shared" si="73"/>
        <v>0</v>
      </c>
      <c r="T354">
        <f t="shared" si="74"/>
        <v>0</v>
      </c>
      <c r="U354">
        <f t="shared" si="75"/>
        <v>0</v>
      </c>
      <c r="V354">
        <f t="shared" si="76"/>
        <v>0</v>
      </c>
    </row>
    <row r="355" spans="1:22" x14ac:dyDescent="0.4">
      <c r="A355" s="1" t="s">
        <v>1122</v>
      </c>
      <c r="B355" s="1" t="s">
        <v>1123</v>
      </c>
      <c r="C355" s="1" t="s">
        <v>1124</v>
      </c>
      <c r="D355" s="1" t="s">
        <v>50</v>
      </c>
      <c r="E355" s="1" t="s">
        <v>1125</v>
      </c>
      <c r="F355" s="5" t="s">
        <v>479</v>
      </c>
      <c r="G355" s="1" t="s">
        <v>52</v>
      </c>
      <c r="H355">
        <f>VLOOKUP(D355,[1]金額リスト!$A$2:$B$6,2,FALSE)</f>
        <v>114300</v>
      </c>
      <c r="I355" s="1" t="s">
        <v>28</v>
      </c>
      <c r="J355">
        <f t="shared" si="65"/>
        <v>0</v>
      </c>
      <c r="K355">
        <f t="shared" si="66"/>
        <v>0</v>
      </c>
      <c r="L355">
        <f t="shared" si="77"/>
        <v>114300</v>
      </c>
      <c r="M355">
        <f t="shared" si="67"/>
        <v>0</v>
      </c>
      <c r="N355">
        <f t="shared" si="68"/>
        <v>0</v>
      </c>
      <c r="O355">
        <f t="shared" si="69"/>
        <v>0</v>
      </c>
      <c r="P355">
        <f t="shared" si="70"/>
        <v>0</v>
      </c>
      <c r="Q355">
        <f t="shared" si="71"/>
        <v>0</v>
      </c>
      <c r="R355">
        <f t="shared" si="72"/>
        <v>0</v>
      </c>
      <c r="S355">
        <f t="shared" si="73"/>
        <v>0</v>
      </c>
      <c r="T355">
        <f t="shared" si="74"/>
        <v>0</v>
      </c>
      <c r="U355">
        <f t="shared" si="75"/>
        <v>0</v>
      </c>
      <c r="V355">
        <f t="shared" si="76"/>
        <v>0</v>
      </c>
    </row>
    <row r="356" spans="1:22" x14ac:dyDescent="0.4">
      <c r="A356" s="1" t="s">
        <v>1126</v>
      </c>
      <c r="B356" s="1" t="s">
        <v>1127</v>
      </c>
      <c r="C356" s="1" t="s">
        <v>1128</v>
      </c>
      <c r="D356" s="1" t="s">
        <v>44</v>
      </c>
      <c r="E356" s="1" t="s">
        <v>1129</v>
      </c>
      <c r="F356" s="5" t="s">
        <v>1130</v>
      </c>
      <c r="G356" s="1" t="s">
        <v>27</v>
      </c>
      <c r="H356">
        <f>VLOOKUP(D356,[1]金額リスト!$A$2:$B$6,2,FALSE)</f>
        <v>114300</v>
      </c>
      <c r="I356" s="1" t="s">
        <v>33</v>
      </c>
      <c r="J356">
        <f t="shared" si="65"/>
        <v>0</v>
      </c>
      <c r="K356">
        <f t="shared" si="66"/>
        <v>0</v>
      </c>
      <c r="L356">
        <f t="shared" si="77"/>
        <v>0</v>
      </c>
      <c r="M356">
        <f t="shared" si="67"/>
        <v>114300</v>
      </c>
      <c r="N356">
        <f t="shared" si="68"/>
        <v>0</v>
      </c>
      <c r="O356">
        <f t="shared" si="69"/>
        <v>0</v>
      </c>
      <c r="P356">
        <f t="shared" si="70"/>
        <v>0</v>
      </c>
      <c r="Q356">
        <f t="shared" si="71"/>
        <v>0</v>
      </c>
      <c r="R356">
        <f t="shared" si="72"/>
        <v>0</v>
      </c>
      <c r="S356">
        <f t="shared" si="73"/>
        <v>0</v>
      </c>
      <c r="T356">
        <f t="shared" si="74"/>
        <v>0</v>
      </c>
      <c r="U356">
        <f t="shared" si="75"/>
        <v>0</v>
      </c>
      <c r="V356">
        <f t="shared" si="76"/>
        <v>0</v>
      </c>
    </row>
    <row r="357" spans="1:22" x14ac:dyDescent="0.4">
      <c r="A357" s="1" t="s">
        <v>1131</v>
      </c>
      <c r="B357" s="1" t="s">
        <v>1132</v>
      </c>
      <c r="C357" s="1" t="s">
        <v>1133</v>
      </c>
      <c r="D357" s="1" t="s">
        <v>44</v>
      </c>
      <c r="E357" s="1" t="s">
        <v>376</v>
      </c>
      <c r="F357" s="5" t="s">
        <v>46</v>
      </c>
      <c r="G357" s="1" t="s">
        <v>27</v>
      </c>
      <c r="H357">
        <f>VLOOKUP(D357,[1]金額リスト!$A$2:$B$6,2,FALSE)</f>
        <v>114300</v>
      </c>
      <c r="I357" s="1" t="s">
        <v>33</v>
      </c>
      <c r="J357">
        <f t="shared" si="65"/>
        <v>0</v>
      </c>
      <c r="K357">
        <f t="shared" si="66"/>
        <v>0</v>
      </c>
      <c r="L357">
        <f t="shared" si="77"/>
        <v>0</v>
      </c>
      <c r="M357">
        <f t="shared" si="67"/>
        <v>0</v>
      </c>
      <c r="N357">
        <f t="shared" si="68"/>
        <v>114300</v>
      </c>
      <c r="O357">
        <f t="shared" si="69"/>
        <v>0</v>
      </c>
      <c r="P357">
        <f t="shared" si="70"/>
        <v>0</v>
      </c>
      <c r="Q357">
        <f t="shared" si="71"/>
        <v>0</v>
      </c>
      <c r="R357">
        <f t="shared" si="72"/>
        <v>0</v>
      </c>
      <c r="S357">
        <f t="shared" si="73"/>
        <v>0</v>
      </c>
      <c r="T357">
        <f t="shared" si="74"/>
        <v>0</v>
      </c>
      <c r="U357">
        <f t="shared" si="75"/>
        <v>0</v>
      </c>
      <c r="V357">
        <f t="shared" si="76"/>
        <v>0</v>
      </c>
    </row>
    <row r="358" spans="1:22" x14ac:dyDescent="0.4">
      <c r="A358" s="1" t="s">
        <v>1134</v>
      </c>
      <c r="B358" s="1" t="s">
        <v>1135</v>
      </c>
      <c r="C358" s="1" t="s">
        <v>1136</v>
      </c>
      <c r="D358" s="1" t="s">
        <v>44</v>
      </c>
      <c r="E358" s="1" t="s">
        <v>1137</v>
      </c>
      <c r="F358" s="5" t="s">
        <v>479</v>
      </c>
      <c r="G358" s="1" t="s">
        <v>27</v>
      </c>
      <c r="H358">
        <f>VLOOKUP(D358,[1]金額リスト!$A$2:$B$6,2,FALSE)</f>
        <v>114300</v>
      </c>
      <c r="I358" s="1" t="s">
        <v>868</v>
      </c>
      <c r="J358">
        <f t="shared" si="65"/>
        <v>0</v>
      </c>
      <c r="K358">
        <f t="shared" si="66"/>
        <v>0</v>
      </c>
      <c r="L358">
        <f t="shared" si="77"/>
        <v>114300</v>
      </c>
      <c r="M358">
        <f t="shared" si="67"/>
        <v>0</v>
      </c>
      <c r="N358">
        <f t="shared" si="68"/>
        <v>0</v>
      </c>
      <c r="O358">
        <f t="shared" si="69"/>
        <v>0</v>
      </c>
      <c r="P358">
        <f t="shared" si="70"/>
        <v>0</v>
      </c>
      <c r="Q358">
        <f t="shared" si="71"/>
        <v>0</v>
      </c>
      <c r="R358">
        <f t="shared" si="72"/>
        <v>0</v>
      </c>
      <c r="S358">
        <f t="shared" si="73"/>
        <v>0</v>
      </c>
      <c r="T358">
        <f t="shared" si="74"/>
        <v>0</v>
      </c>
      <c r="U358">
        <f t="shared" si="75"/>
        <v>0</v>
      </c>
      <c r="V358">
        <f t="shared" si="76"/>
        <v>0</v>
      </c>
    </row>
    <row r="359" spans="1:22" x14ac:dyDescent="0.4">
      <c r="A359" s="1" t="s">
        <v>1138</v>
      </c>
      <c r="B359" s="1" t="s">
        <v>1139</v>
      </c>
      <c r="C359" s="1" t="s">
        <v>1140</v>
      </c>
      <c r="D359" s="1" t="s">
        <v>44</v>
      </c>
      <c r="E359" s="1" t="s">
        <v>1141</v>
      </c>
      <c r="F359" s="5" t="s">
        <v>479</v>
      </c>
      <c r="G359" s="1" t="s">
        <v>27</v>
      </c>
      <c r="H359">
        <f>VLOOKUP(D359,[1]金額リスト!$A$2:$B$6,2,FALSE)</f>
        <v>114300</v>
      </c>
      <c r="I359" s="1" t="s">
        <v>868</v>
      </c>
      <c r="J359">
        <f t="shared" si="65"/>
        <v>0</v>
      </c>
      <c r="K359">
        <f t="shared" si="66"/>
        <v>0</v>
      </c>
      <c r="L359">
        <f t="shared" si="77"/>
        <v>114300</v>
      </c>
      <c r="M359">
        <f t="shared" si="67"/>
        <v>0</v>
      </c>
      <c r="N359">
        <f t="shared" si="68"/>
        <v>0</v>
      </c>
      <c r="O359">
        <f t="shared" si="69"/>
        <v>0</v>
      </c>
      <c r="P359">
        <f t="shared" si="70"/>
        <v>0</v>
      </c>
      <c r="Q359">
        <f t="shared" si="71"/>
        <v>0</v>
      </c>
      <c r="R359">
        <f t="shared" si="72"/>
        <v>0</v>
      </c>
      <c r="S359">
        <f t="shared" si="73"/>
        <v>0</v>
      </c>
      <c r="T359">
        <f t="shared" si="74"/>
        <v>0</v>
      </c>
      <c r="U359">
        <f t="shared" si="75"/>
        <v>0</v>
      </c>
      <c r="V359">
        <f t="shared" si="76"/>
        <v>0</v>
      </c>
    </row>
    <row r="360" spans="1:22" x14ac:dyDescent="0.4">
      <c r="A360" s="1" t="s">
        <v>1142</v>
      </c>
      <c r="B360" s="1" t="s">
        <v>1143</v>
      </c>
      <c r="C360" s="1" t="s">
        <v>1144</v>
      </c>
      <c r="D360" s="1" t="s">
        <v>44</v>
      </c>
      <c r="E360" s="1" t="s">
        <v>1137</v>
      </c>
      <c r="F360" s="5" t="s">
        <v>479</v>
      </c>
      <c r="G360" s="1" t="s">
        <v>27</v>
      </c>
      <c r="H360">
        <f>VLOOKUP(D360,[1]金額リスト!$A$2:$B$6,2,FALSE)</f>
        <v>114300</v>
      </c>
      <c r="I360" s="1" t="s">
        <v>868</v>
      </c>
      <c r="J360">
        <f t="shared" si="65"/>
        <v>0</v>
      </c>
      <c r="K360">
        <f t="shared" si="66"/>
        <v>0</v>
      </c>
      <c r="L360">
        <f t="shared" si="77"/>
        <v>114300</v>
      </c>
      <c r="M360">
        <f t="shared" si="67"/>
        <v>0</v>
      </c>
      <c r="N360">
        <f t="shared" si="68"/>
        <v>0</v>
      </c>
      <c r="O360">
        <f t="shared" si="69"/>
        <v>0</v>
      </c>
      <c r="P360">
        <f t="shared" si="70"/>
        <v>0</v>
      </c>
      <c r="Q360">
        <f t="shared" si="71"/>
        <v>0</v>
      </c>
      <c r="R360">
        <f t="shared" si="72"/>
        <v>0</v>
      </c>
      <c r="S360">
        <f t="shared" si="73"/>
        <v>0</v>
      </c>
      <c r="T360">
        <f t="shared" si="74"/>
        <v>0</v>
      </c>
      <c r="U360">
        <f t="shared" si="75"/>
        <v>0</v>
      </c>
      <c r="V360">
        <f t="shared" si="76"/>
        <v>0</v>
      </c>
    </row>
    <row r="361" spans="1:22" x14ac:dyDescent="0.4">
      <c r="A361" s="1" t="s">
        <v>1145</v>
      </c>
      <c r="B361" s="1" t="s">
        <v>1146</v>
      </c>
      <c r="C361" s="1" t="s">
        <v>1147</v>
      </c>
      <c r="D361" s="1" t="s">
        <v>44</v>
      </c>
      <c r="E361" s="1" t="s">
        <v>45</v>
      </c>
      <c r="F361" s="5" t="s">
        <v>46</v>
      </c>
      <c r="G361" s="1" t="s">
        <v>27</v>
      </c>
      <c r="H361">
        <f>VLOOKUP(D361,[1]金額リスト!$A$2:$B$6,2,FALSE)</f>
        <v>114300</v>
      </c>
      <c r="I361" s="1" t="s">
        <v>33</v>
      </c>
      <c r="J361">
        <f t="shared" si="65"/>
        <v>0</v>
      </c>
      <c r="K361">
        <f t="shared" si="66"/>
        <v>0</v>
      </c>
      <c r="L361">
        <f t="shared" si="77"/>
        <v>0</v>
      </c>
      <c r="M361">
        <f t="shared" si="67"/>
        <v>0</v>
      </c>
      <c r="N361">
        <f t="shared" si="68"/>
        <v>114300</v>
      </c>
      <c r="O361">
        <f t="shared" si="69"/>
        <v>0</v>
      </c>
      <c r="P361">
        <f t="shared" si="70"/>
        <v>0</v>
      </c>
      <c r="Q361">
        <f t="shared" si="71"/>
        <v>0</v>
      </c>
      <c r="R361">
        <f t="shared" si="72"/>
        <v>0</v>
      </c>
      <c r="S361">
        <f t="shared" si="73"/>
        <v>0</v>
      </c>
      <c r="T361">
        <f t="shared" si="74"/>
        <v>0</v>
      </c>
      <c r="U361">
        <f t="shared" si="75"/>
        <v>0</v>
      </c>
      <c r="V361">
        <f t="shared" si="76"/>
        <v>0</v>
      </c>
    </row>
    <row r="362" spans="1:22" x14ac:dyDescent="0.4">
      <c r="A362" s="1" t="s">
        <v>1148</v>
      </c>
      <c r="B362" s="1" t="s">
        <v>1149</v>
      </c>
      <c r="C362" s="1" t="s">
        <v>1150</v>
      </c>
      <c r="D362" s="1" t="s">
        <v>25</v>
      </c>
      <c r="E362" s="1" t="s">
        <v>51</v>
      </c>
      <c r="F362" s="5" t="s">
        <v>10</v>
      </c>
      <c r="G362" s="1" t="s">
        <v>27</v>
      </c>
      <c r="H362">
        <f>VLOOKUP(D362,[1]金額リスト!$A$2:$B$6,2,FALSE)</f>
        <v>59400</v>
      </c>
      <c r="I362" s="1" t="s">
        <v>33</v>
      </c>
      <c r="J362">
        <f t="shared" si="65"/>
        <v>0</v>
      </c>
      <c r="K362">
        <f t="shared" si="66"/>
        <v>59400</v>
      </c>
      <c r="L362">
        <f t="shared" si="77"/>
        <v>0</v>
      </c>
      <c r="M362">
        <f t="shared" si="67"/>
        <v>0</v>
      </c>
      <c r="N362">
        <f t="shared" si="68"/>
        <v>0</v>
      </c>
      <c r="O362">
        <f t="shared" si="69"/>
        <v>0</v>
      </c>
      <c r="P362">
        <f t="shared" si="70"/>
        <v>0</v>
      </c>
      <c r="Q362">
        <f t="shared" si="71"/>
        <v>0</v>
      </c>
      <c r="R362">
        <f t="shared" si="72"/>
        <v>0</v>
      </c>
      <c r="S362">
        <f t="shared" si="73"/>
        <v>0</v>
      </c>
      <c r="T362">
        <f t="shared" si="74"/>
        <v>0</v>
      </c>
      <c r="U362">
        <f t="shared" si="75"/>
        <v>0</v>
      </c>
      <c r="V362">
        <f t="shared" si="76"/>
        <v>0</v>
      </c>
    </row>
    <row r="363" spans="1:22" x14ac:dyDescent="0.4">
      <c r="A363" s="1" t="s">
        <v>1151</v>
      </c>
      <c r="B363" s="1" t="s">
        <v>1152</v>
      </c>
      <c r="C363" s="1" t="s">
        <v>1153</v>
      </c>
      <c r="D363" s="1" t="s">
        <v>44</v>
      </c>
      <c r="E363" s="1" t="s">
        <v>1137</v>
      </c>
      <c r="F363" s="5" t="s">
        <v>479</v>
      </c>
      <c r="G363" s="1" t="s">
        <v>27</v>
      </c>
      <c r="H363">
        <f>VLOOKUP(D363,[1]金額リスト!$A$2:$B$6,2,FALSE)</f>
        <v>114300</v>
      </c>
      <c r="I363" s="1" t="s">
        <v>868</v>
      </c>
      <c r="J363">
        <f t="shared" si="65"/>
        <v>0</v>
      </c>
      <c r="K363">
        <f t="shared" si="66"/>
        <v>0</v>
      </c>
      <c r="L363">
        <f t="shared" si="77"/>
        <v>114300</v>
      </c>
      <c r="M363">
        <f t="shared" si="67"/>
        <v>0</v>
      </c>
      <c r="N363">
        <f t="shared" si="68"/>
        <v>0</v>
      </c>
      <c r="O363">
        <f t="shared" si="69"/>
        <v>0</v>
      </c>
      <c r="P363">
        <f t="shared" si="70"/>
        <v>0</v>
      </c>
      <c r="Q363">
        <f t="shared" si="71"/>
        <v>0</v>
      </c>
      <c r="R363">
        <f t="shared" si="72"/>
        <v>0</v>
      </c>
      <c r="S363">
        <f t="shared" si="73"/>
        <v>0</v>
      </c>
      <c r="T363">
        <f t="shared" si="74"/>
        <v>0</v>
      </c>
      <c r="U363">
        <f t="shared" si="75"/>
        <v>0</v>
      </c>
      <c r="V363">
        <f t="shared" si="76"/>
        <v>0</v>
      </c>
    </row>
    <row r="364" spans="1:22" x14ac:dyDescent="0.4">
      <c r="A364" s="1" t="s">
        <v>1154</v>
      </c>
      <c r="B364" s="1" t="s">
        <v>1155</v>
      </c>
      <c r="C364" s="1" t="s">
        <v>1156</v>
      </c>
      <c r="D364" s="1" t="s">
        <v>44</v>
      </c>
      <c r="E364" s="1" t="s">
        <v>1157</v>
      </c>
      <c r="F364" s="5" t="s">
        <v>479</v>
      </c>
      <c r="G364" s="1" t="s">
        <v>27</v>
      </c>
      <c r="H364">
        <f>VLOOKUP(D364,[1]金額リスト!$A$2:$B$6,2,FALSE)</f>
        <v>114300</v>
      </c>
      <c r="I364" s="1" t="s">
        <v>868</v>
      </c>
      <c r="J364">
        <f t="shared" si="65"/>
        <v>0</v>
      </c>
      <c r="K364">
        <f t="shared" si="66"/>
        <v>0</v>
      </c>
      <c r="L364">
        <f t="shared" si="77"/>
        <v>114300</v>
      </c>
      <c r="M364">
        <f t="shared" si="67"/>
        <v>0</v>
      </c>
      <c r="N364">
        <f t="shared" si="68"/>
        <v>0</v>
      </c>
      <c r="O364">
        <f t="shared" si="69"/>
        <v>0</v>
      </c>
      <c r="P364">
        <f t="shared" si="70"/>
        <v>0</v>
      </c>
      <c r="Q364">
        <f t="shared" si="71"/>
        <v>0</v>
      </c>
      <c r="R364">
        <f t="shared" si="72"/>
        <v>0</v>
      </c>
      <c r="S364">
        <f t="shared" si="73"/>
        <v>0</v>
      </c>
      <c r="T364">
        <f t="shared" si="74"/>
        <v>0</v>
      </c>
      <c r="U364">
        <f t="shared" si="75"/>
        <v>0</v>
      </c>
      <c r="V364">
        <f t="shared" si="76"/>
        <v>0</v>
      </c>
    </row>
    <row r="365" spans="1:22" x14ac:dyDescent="0.4">
      <c r="A365" s="1" t="s">
        <v>1158</v>
      </c>
      <c r="B365" s="1" t="s">
        <v>1159</v>
      </c>
      <c r="C365" s="1" t="s">
        <v>1160</v>
      </c>
      <c r="D365" s="1" t="s">
        <v>44</v>
      </c>
      <c r="E365" s="1" t="s">
        <v>1161</v>
      </c>
      <c r="F365" s="5" t="s">
        <v>479</v>
      </c>
      <c r="G365" s="1" t="s">
        <v>27</v>
      </c>
      <c r="H365">
        <f>VLOOKUP(D365,[1]金額リスト!$A$2:$B$6,2,FALSE)</f>
        <v>114300</v>
      </c>
      <c r="I365" s="1" t="s">
        <v>868</v>
      </c>
      <c r="J365">
        <f t="shared" si="65"/>
        <v>0</v>
      </c>
      <c r="K365">
        <f t="shared" si="66"/>
        <v>0</v>
      </c>
      <c r="L365">
        <f t="shared" si="77"/>
        <v>114300</v>
      </c>
      <c r="M365">
        <f t="shared" si="67"/>
        <v>0</v>
      </c>
      <c r="N365">
        <f t="shared" si="68"/>
        <v>0</v>
      </c>
      <c r="O365">
        <f t="shared" si="69"/>
        <v>0</v>
      </c>
      <c r="P365">
        <f t="shared" si="70"/>
        <v>0</v>
      </c>
      <c r="Q365">
        <f t="shared" si="71"/>
        <v>0</v>
      </c>
      <c r="R365">
        <f t="shared" si="72"/>
        <v>0</v>
      </c>
      <c r="S365">
        <f t="shared" si="73"/>
        <v>0</v>
      </c>
      <c r="T365">
        <f t="shared" si="74"/>
        <v>0</v>
      </c>
      <c r="U365">
        <f t="shared" si="75"/>
        <v>0</v>
      </c>
      <c r="V365">
        <f t="shared" si="76"/>
        <v>0</v>
      </c>
    </row>
    <row r="366" spans="1:22" x14ac:dyDescent="0.4">
      <c r="A366" s="1" t="s">
        <v>1162</v>
      </c>
      <c r="B366" s="1" t="s">
        <v>1163</v>
      </c>
      <c r="C366" s="1" t="s">
        <v>1164</v>
      </c>
      <c r="D366" s="1" t="s">
        <v>25</v>
      </c>
      <c r="E366" s="1" t="s">
        <v>101</v>
      </c>
      <c r="F366" s="5" t="s">
        <v>10</v>
      </c>
      <c r="G366" s="1" t="s">
        <v>27</v>
      </c>
      <c r="H366">
        <f>VLOOKUP(D366,[1]金額リスト!$A$2:$B$6,2,FALSE)</f>
        <v>59400</v>
      </c>
      <c r="I366" s="1" t="s">
        <v>33</v>
      </c>
      <c r="J366">
        <f t="shared" si="65"/>
        <v>0</v>
      </c>
      <c r="K366">
        <f t="shared" si="66"/>
        <v>59400</v>
      </c>
      <c r="L366">
        <f t="shared" si="77"/>
        <v>0</v>
      </c>
      <c r="M366">
        <f t="shared" si="67"/>
        <v>0</v>
      </c>
      <c r="N366">
        <f t="shared" si="68"/>
        <v>0</v>
      </c>
      <c r="O366">
        <f t="shared" si="69"/>
        <v>0</v>
      </c>
      <c r="P366">
        <f t="shared" si="70"/>
        <v>0</v>
      </c>
      <c r="Q366">
        <f t="shared" si="71"/>
        <v>0</v>
      </c>
      <c r="R366">
        <f t="shared" si="72"/>
        <v>0</v>
      </c>
      <c r="S366">
        <f t="shared" si="73"/>
        <v>0</v>
      </c>
      <c r="T366">
        <f t="shared" si="74"/>
        <v>0</v>
      </c>
      <c r="U366">
        <f t="shared" si="75"/>
        <v>0</v>
      </c>
      <c r="V366">
        <f t="shared" si="76"/>
        <v>0</v>
      </c>
    </row>
    <row r="367" spans="1:22" x14ac:dyDescent="0.4">
      <c r="A367" s="1" t="s">
        <v>1165</v>
      </c>
      <c r="B367" s="1" t="s">
        <v>1166</v>
      </c>
      <c r="C367" s="1" t="s">
        <v>1167</v>
      </c>
      <c r="D367" s="1" t="s">
        <v>44</v>
      </c>
      <c r="E367" s="1" t="s">
        <v>1168</v>
      </c>
      <c r="F367" s="5" t="s">
        <v>46</v>
      </c>
      <c r="G367" s="1" t="s">
        <v>27</v>
      </c>
      <c r="H367">
        <f>VLOOKUP(D367,[1]金額リスト!$A$2:$B$6,2,FALSE)</f>
        <v>114300</v>
      </c>
      <c r="I367" s="1" t="s">
        <v>33</v>
      </c>
      <c r="J367">
        <f t="shared" si="65"/>
        <v>0</v>
      </c>
      <c r="K367">
        <f t="shared" si="66"/>
        <v>0</v>
      </c>
      <c r="L367">
        <f t="shared" si="77"/>
        <v>0</v>
      </c>
      <c r="M367">
        <f t="shared" si="67"/>
        <v>0</v>
      </c>
      <c r="N367">
        <f t="shared" si="68"/>
        <v>114300</v>
      </c>
      <c r="O367">
        <f t="shared" si="69"/>
        <v>0</v>
      </c>
      <c r="P367">
        <f t="shared" si="70"/>
        <v>0</v>
      </c>
      <c r="Q367">
        <f t="shared" si="71"/>
        <v>0</v>
      </c>
      <c r="R367">
        <f t="shared" si="72"/>
        <v>0</v>
      </c>
      <c r="S367">
        <f t="shared" si="73"/>
        <v>0</v>
      </c>
      <c r="T367">
        <f t="shared" si="74"/>
        <v>0</v>
      </c>
      <c r="U367">
        <f t="shared" si="75"/>
        <v>0</v>
      </c>
      <c r="V367">
        <f t="shared" si="76"/>
        <v>0</v>
      </c>
    </row>
    <row r="368" spans="1:22" x14ac:dyDescent="0.4">
      <c r="A368" s="1" t="s">
        <v>1169</v>
      </c>
      <c r="B368" s="1" t="s">
        <v>1170</v>
      </c>
      <c r="C368" s="1" t="s">
        <v>1171</v>
      </c>
      <c r="D368" s="1" t="s">
        <v>25</v>
      </c>
      <c r="E368" s="1" t="s">
        <v>1172</v>
      </c>
      <c r="F368" s="5" t="s">
        <v>479</v>
      </c>
      <c r="G368" s="1" t="s">
        <v>27</v>
      </c>
      <c r="H368">
        <f>VLOOKUP(D368,[1]金額リスト!$A$2:$B$6,2,FALSE)</f>
        <v>59400</v>
      </c>
      <c r="I368" s="1" t="s">
        <v>28</v>
      </c>
      <c r="J368">
        <f t="shared" si="65"/>
        <v>0</v>
      </c>
      <c r="K368">
        <f t="shared" si="66"/>
        <v>0</v>
      </c>
      <c r="L368">
        <f t="shared" si="77"/>
        <v>59400</v>
      </c>
      <c r="M368">
        <f t="shared" si="67"/>
        <v>0</v>
      </c>
      <c r="N368">
        <f t="shared" si="68"/>
        <v>0</v>
      </c>
      <c r="O368">
        <f t="shared" si="69"/>
        <v>0</v>
      </c>
      <c r="P368">
        <f t="shared" si="70"/>
        <v>0</v>
      </c>
      <c r="Q368">
        <f t="shared" si="71"/>
        <v>0</v>
      </c>
      <c r="R368">
        <f t="shared" si="72"/>
        <v>0</v>
      </c>
      <c r="S368">
        <f t="shared" si="73"/>
        <v>0</v>
      </c>
      <c r="T368">
        <f t="shared" si="74"/>
        <v>0</v>
      </c>
      <c r="U368">
        <f t="shared" si="75"/>
        <v>0</v>
      </c>
      <c r="V368">
        <f t="shared" si="76"/>
        <v>0</v>
      </c>
    </row>
    <row r="369" spans="1:22" x14ac:dyDescent="0.4">
      <c r="A369" s="1" t="s">
        <v>1173</v>
      </c>
      <c r="B369" s="1" t="s">
        <v>1174</v>
      </c>
      <c r="C369" s="1" t="s">
        <v>1175</v>
      </c>
      <c r="D369" s="1" t="s">
        <v>44</v>
      </c>
      <c r="E369" s="1" t="s">
        <v>920</v>
      </c>
      <c r="F369" s="5" t="s">
        <v>479</v>
      </c>
      <c r="G369" s="1" t="s">
        <v>27</v>
      </c>
      <c r="H369">
        <f>VLOOKUP(D369,[1]金額リスト!$A$2:$B$6,2,FALSE)</f>
        <v>114300</v>
      </c>
      <c r="I369" s="1" t="s">
        <v>868</v>
      </c>
      <c r="J369">
        <f t="shared" si="65"/>
        <v>0</v>
      </c>
      <c r="K369">
        <f t="shared" si="66"/>
        <v>0</v>
      </c>
      <c r="L369">
        <f t="shared" si="77"/>
        <v>114300</v>
      </c>
      <c r="M369">
        <f t="shared" si="67"/>
        <v>0</v>
      </c>
      <c r="N369">
        <f t="shared" si="68"/>
        <v>0</v>
      </c>
      <c r="O369">
        <f t="shared" si="69"/>
        <v>0</v>
      </c>
      <c r="P369">
        <f t="shared" si="70"/>
        <v>0</v>
      </c>
      <c r="Q369">
        <f t="shared" si="71"/>
        <v>0</v>
      </c>
      <c r="R369">
        <f t="shared" si="72"/>
        <v>0</v>
      </c>
      <c r="S369">
        <f t="shared" si="73"/>
        <v>0</v>
      </c>
      <c r="T369">
        <f t="shared" si="74"/>
        <v>0</v>
      </c>
      <c r="U369">
        <f t="shared" si="75"/>
        <v>0</v>
      </c>
      <c r="V369">
        <f t="shared" si="76"/>
        <v>0</v>
      </c>
    </row>
    <row r="370" spans="1:22" x14ac:dyDescent="0.4">
      <c r="A370" s="1" t="s">
        <v>1176</v>
      </c>
      <c r="B370" s="1" t="s">
        <v>1177</v>
      </c>
      <c r="C370" s="1" t="s">
        <v>1178</v>
      </c>
      <c r="D370" s="1" t="s">
        <v>25</v>
      </c>
      <c r="E370" s="1" t="s">
        <v>932</v>
      </c>
      <c r="F370" s="5" t="s">
        <v>479</v>
      </c>
      <c r="G370" s="1" t="s">
        <v>27</v>
      </c>
      <c r="H370">
        <f>VLOOKUP(D370,[1]金額リスト!$A$2:$B$6,2,FALSE)</f>
        <v>59400</v>
      </c>
      <c r="I370" s="1" t="s">
        <v>28</v>
      </c>
      <c r="J370">
        <f t="shared" si="65"/>
        <v>0</v>
      </c>
      <c r="K370">
        <f t="shared" si="66"/>
        <v>0</v>
      </c>
      <c r="L370">
        <f t="shared" si="77"/>
        <v>59400</v>
      </c>
      <c r="M370">
        <f t="shared" si="67"/>
        <v>0</v>
      </c>
      <c r="N370">
        <f t="shared" si="68"/>
        <v>0</v>
      </c>
      <c r="O370">
        <f t="shared" si="69"/>
        <v>0</v>
      </c>
      <c r="P370">
        <f t="shared" si="70"/>
        <v>0</v>
      </c>
      <c r="Q370">
        <f t="shared" si="71"/>
        <v>0</v>
      </c>
      <c r="R370">
        <f t="shared" si="72"/>
        <v>0</v>
      </c>
      <c r="S370">
        <f t="shared" si="73"/>
        <v>0</v>
      </c>
      <c r="T370">
        <f t="shared" si="74"/>
        <v>0</v>
      </c>
      <c r="U370">
        <f t="shared" si="75"/>
        <v>0</v>
      </c>
      <c r="V370">
        <f t="shared" si="76"/>
        <v>0</v>
      </c>
    </row>
    <row r="371" spans="1:22" x14ac:dyDescent="0.4">
      <c r="A371" s="1" t="s">
        <v>1179</v>
      </c>
      <c r="B371" s="1" t="s">
        <v>1180</v>
      </c>
      <c r="C371" s="1" t="s">
        <v>1181</v>
      </c>
      <c r="D371" s="1" t="s">
        <v>44</v>
      </c>
      <c r="E371" s="1" t="s">
        <v>924</v>
      </c>
      <c r="F371" s="5" t="s">
        <v>479</v>
      </c>
      <c r="G371" s="1" t="s">
        <v>27</v>
      </c>
      <c r="H371">
        <f>VLOOKUP(D371,[1]金額リスト!$A$2:$B$6,2,FALSE)</f>
        <v>114300</v>
      </c>
      <c r="I371" s="1" t="s">
        <v>868</v>
      </c>
      <c r="J371">
        <f t="shared" si="65"/>
        <v>0</v>
      </c>
      <c r="K371">
        <f t="shared" si="66"/>
        <v>0</v>
      </c>
      <c r="L371">
        <f t="shared" si="77"/>
        <v>114300</v>
      </c>
      <c r="M371">
        <f t="shared" si="67"/>
        <v>0</v>
      </c>
      <c r="N371">
        <f t="shared" si="68"/>
        <v>0</v>
      </c>
      <c r="O371">
        <f t="shared" si="69"/>
        <v>0</v>
      </c>
      <c r="P371">
        <f t="shared" si="70"/>
        <v>0</v>
      </c>
      <c r="Q371">
        <f t="shared" si="71"/>
        <v>0</v>
      </c>
      <c r="R371">
        <f t="shared" si="72"/>
        <v>0</v>
      </c>
      <c r="S371">
        <f t="shared" si="73"/>
        <v>0</v>
      </c>
      <c r="T371">
        <f t="shared" si="74"/>
        <v>0</v>
      </c>
      <c r="U371">
        <f t="shared" si="75"/>
        <v>0</v>
      </c>
      <c r="V371">
        <f t="shared" si="76"/>
        <v>0</v>
      </c>
    </row>
    <row r="372" spans="1:22" x14ac:dyDescent="0.4">
      <c r="A372" s="1" t="s">
        <v>1182</v>
      </c>
      <c r="B372" s="1" t="s">
        <v>1183</v>
      </c>
      <c r="C372" s="1" t="s">
        <v>1184</v>
      </c>
      <c r="D372" s="1" t="s">
        <v>44</v>
      </c>
      <c r="E372" s="1" t="s">
        <v>920</v>
      </c>
      <c r="F372" s="5" t="s">
        <v>479</v>
      </c>
      <c r="G372" s="1" t="s">
        <v>27</v>
      </c>
      <c r="H372">
        <f>VLOOKUP(D372,[1]金額リスト!$A$2:$B$6,2,FALSE)</f>
        <v>114300</v>
      </c>
      <c r="I372" s="1" t="s">
        <v>868</v>
      </c>
      <c r="J372">
        <f t="shared" si="65"/>
        <v>0</v>
      </c>
      <c r="K372">
        <f t="shared" si="66"/>
        <v>0</v>
      </c>
      <c r="L372">
        <f t="shared" si="77"/>
        <v>114300</v>
      </c>
      <c r="M372">
        <f t="shared" si="67"/>
        <v>0</v>
      </c>
      <c r="N372">
        <f t="shared" si="68"/>
        <v>0</v>
      </c>
      <c r="O372">
        <f t="shared" si="69"/>
        <v>0</v>
      </c>
      <c r="P372">
        <f t="shared" si="70"/>
        <v>0</v>
      </c>
      <c r="Q372">
        <f t="shared" si="71"/>
        <v>0</v>
      </c>
      <c r="R372">
        <f t="shared" si="72"/>
        <v>0</v>
      </c>
      <c r="S372">
        <f t="shared" si="73"/>
        <v>0</v>
      </c>
      <c r="T372">
        <f t="shared" si="74"/>
        <v>0</v>
      </c>
      <c r="U372">
        <f t="shared" si="75"/>
        <v>0</v>
      </c>
      <c r="V372">
        <f t="shared" si="76"/>
        <v>0</v>
      </c>
    </row>
    <row r="373" spans="1:22" x14ac:dyDescent="0.4">
      <c r="A373" s="1" t="s">
        <v>1185</v>
      </c>
      <c r="B373" s="1" t="s">
        <v>1186</v>
      </c>
      <c r="C373" s="1" t="s">
        <v>1187</v>
      </c>
      <c r="D373" s="1" t="s">
        <v>44</v>
      </c>
      <c r="E373" s="1" t="s">
        <v>1188</v>
      </c>
      <c r="F373" s="5" t="s">
        <v>479</v>
      </c>
      <c r="G373" s="1" t="s">
        <v>27</v>
      </c>
      <c r="H373">
        <f>VLOOKUP(D373,[1]金額リスト!$A$2:$B$6,2,FALSE)</f>
        <v>114300</v>
      </c>
      <c r="I373" s="1" t="s">
        <v>868</v>
      </c>
      <c r="J373">
        <f t="shared" si="65"/>
        <v>0</v>
      </c>
      <c r="K373">
        <f t="shared" si="66"/>
        <v>0</v>
      </c>
      <c r="L373">
        <f t="shared" si="77"/>
        <v>114300</v>
      </c>
      <c r="M373">
        <f t="shared" si="67"/>
        <v>0</v>
      </c>
      <c r="N373">
        <f t="shared" si="68"/>
        <v>0</v>
      </c>
      <c r="O373">
        <f t="shared" si="69"/>
        <v>0</v>
      </c>
      <c r="P373">
        <f t="shared" si="70"/>
        <v>0</v>
      </c>
      <c r="Q373">
        <f t="shared" si="71"/>
        <v>0</v>
      </c>
      <c r="R373">
        <f t="shared" si="72"/>
        <v>0</v>
      </c>
      <c r="S373">
        <f t="shared" si="73"/>
        <v>0</v>
      </c>
      <c r="T373">
        <f t="shared" si="74"/>
        <v>0</v>
      </c>
      <c r="U373">
        <f t="shared" si="75"/>
        <v>0</v>
      </c>
      <c r="V373">
        <f t="shared" si="76"/>
        <v>0</v>
      </c>
    </row>
    <row r="374" spans="1:22" x14ac:dyDescent="0.4">
      <c r="A374" s="1" t="s">
        <v>1189</v>
      </c>
      <c r="B374" s="1" t="s">
        <v>1190</v>
      </c>
      <c r="C374" s="1" t="s">
        <v>1191</v>
      </c>
      <c r="D374" s="1" t="s">
        <v>44</v>
      </c>
      <c r="E374" s="1" t="s">
        <v>924</v>
      </c>
      <c r="F374" s="5" t="s">
        <v>479</v>
      </c>
      <c r="G374" s="1" t="s">
        <v>27</v>
      </c>
      <c r="H374">
        <f>VLOOKUP(D374,[1]金額リスト!$A$2:$B$6,2,FALSE)</f>
        <v>114300</v>
      </c>
      <c r="I374" s="1" t="s">
        <v>868</v>
      </c>
      <c r="J374">
        <f t="shared" si="65"/>
        <v>0</v>
      </c>
      <c r="K374">
        <f t="shared" si="66"/>
        <v>0</v>
      </c>
      <c r="L374">
        <f t="shared" si="77"/>
        <v>114300</v>
      </c>
      <c r="M374">
        <f t="shared" si="67"/>
        <v>0</v>
      </c>
      <c r="N374">
        <f t="shared" si="68"/>
        <v>0</v>
      </c>
      <c r="O374">
        <f t="shared" si="69"/>
        <v>0</v>
      </c>
      <c r="P374">
        <f t="shared" si="70"/>
        <v>0</v>
      </c>
      <c r="Q374">
        <f t="shared" si="71"/>
        <v>0</v>
      </c>
      <c r="R374">
        <f t="shared" si="72"/>
        <v>0</v>
      </c>
      <c r="S374">
        <f t="shared" si="73"/>
        <v>0</v>
      </c>
      <c r="T374">
        <f t="shared" si="74"/>
        <v>0</v>
      </c>
      <c r="U374">
        <f t="shared" si="75"/>
        <v>0</v>
      </c>
      <c r="V374">
        <f t="shared" si="76"/>
        <v>0</v>
      </c>
    </row>
    <row r="375" spans="1:22" x14ac:dyDescent="0.4">
      <c r="A375" s="1" t="s">
        <v>1192</v>
      </c>
      <c r="B375" s="1" t="s">
        <v>1193</v>
      </c>
      <c r="C375" s="1" t="s">
        <v>1194</v>
      </c>
      <c r="D375" s="1" t="s">
        <v>44</v>
      </c>
      <c r="E375" s="1" t="s">
        <v>1195</v>
      </c>
      <c r="F375" s="5" t="s">
        <v>479</v>
      </c>
      <c r="G375" s="1" t="s">
        <v>27</v>
      </c>
      <c r="H375">
        <f>VLOOKUP(D375,[1]金額リスト!$A$2:$B$6,2,FALSE)</f>
        <v>114300</v>
      </c>
      <c r="I375" s="1" t="s">
        <v>868</v>
      </c>
      <c r="J375">
        <f t="shared" si="65"/>
        <v>0</v>
      </c>
      <c r="K375">
        <f t="shared" si="66"/>
        <v>0</v>
      </c>
      <c r="L375">
        <f t="shared" si="77"/>
        <v>114300</v>
      </c>
      <c r="M375">
        <f t="shared" si="67"/>
        <v>0</v>
      </c>
      <c r="N375">
        <f t="shared" si="68"/>
        <v>0</v>
      </c>
      <c r="O375">
        <f t="shared" si="69"/>
        <v>0</v>
      </c>
      <c r="P375">
        <f t="shared" si="70"/>
        <v>0</v>
      </c>
      <c r="Q375">
        <f t="shared" si="71"/>
        <v>0</v>
      </c>
      <c r="R375">
        <f t="shared" si="72"/>
        <v>0</v>
      </c>
      <c r="S375">
        <f t="shared" si="73"/>
        <v>0</v>
      </c>
      <c r="T375">
        <f t="shared" si="74"/>
        <v>0</v>
      </c>
      <c r="U375">
        <f t="shared" si="75"/>
        <v>0</v>
      </c>
      <c r="V375">
        <f t="shared" si="76"/>
        <v>0</v>
      </c>
    </row>
    <row r="376" spans="1:22" x14ac:dyDescent="0.4">
      <c r="A376" s="1" t="s">
        <v>1196</v>
      </c>
      <c r="B376" s="1" t="s">
        <v>1197</v>
      </c>
      <c r="C376" s="1" t="s">
        <v>1198</v>
      </c>
      <c r="D376" s="1" t="s">
        <v>44</v>
      </c>
      <c r="E376" s="1" t="s">
        <v>1199</v>
      </c>
      <c r="F376" s="5" t="s">
        <v>75</v>
      </c>
      <c r="G376" s="1" t="s">
        <v>27</v>
      </c>
      <c r="H376">
        <f>VLOOKUP(D376,[1]金額リスト!$A$2:$B$6,2,FALSE)</f>
        <v>114300</v>
      </c>
      <c r="I376" s="1" t="s">
        <v>28</v>
      </c>
      <c r="J376">
        <f t="shared" si="65"/>
        <v>0</v>
      </c>
      <c r="K376">
        <f t="shared" si="66"/>
        <v>0</v>
      </c>
      <c r="L376">
        <f t="shared" si="77"/>
        <v>0</v>
      </c>
      <c r="M376">
        <f t="shared" si="67"/>
        <v>0</v>
      </c>
      <c r="N376">
        <f t="shared" si="68"/>
        <v>0</v>
      </c>
      <c r="O376">
        <f t="shared" si="69"/>
        <v>114300</v>
      </c>
      <c r="P376">
        <f t="shared" si="70"/>
        <v>0</v>
      </c>
      <c r="Q376">
        <f t="shared" si="71"/>
        <v>0</v>
      </c>
      <c r="R376">
        <f t="shared" si="72"/>
        <v>0</v>
      </c>
      <c r="S376">
        <f t="shared" si="73"/>
        <v>0</v>
      </c>
      <c r="T376">
        <f t="shared" si="74"/>
        <v>0</v>
      </c>
      <c r="U376">
        <f t="shared" si="75"/>
        <v>0</v>
      </c>
      <c r="V376">
        <f t="shared" si="76"/>
        <v>0</v>
      </c>
    </row>
    <row r="377" spans="1:22" x14ac:dyDescent="0.4">
      <c r="A377" s="1" t="s">
        <v>1200</v>
      </c>
      <c r="B377" s="1" t="s">
        <v>1201</v>
      </c>
      <c r="C377" s="1" t="s">
        <v>1202</v>
      </c>
      <c r="D377" s="1" t="s">
        <v>44</v>
      </c>
      <c r="E377" s="1" t="s">
        <v>1203</v>
      </c>
      <c r="F377" s="5" t="s">
        <v>479</v>
      </c>
      <c r="G377" s="1" t="s">
        <v>27</v>
      </c>
      <c r="H377">
        <f>VLOOKUP(D377,[1]金額リスト!$A$2:$B$6,2,FALSE)</f>
        <v>114300</v>
      </c>
      <c r="I377" s="1" t="s">
        <v>868</v>
      </c>
      <c r="J377">
        <f t="shared" si="65"/>
        <v>0</v>
      </c>
      <c r="K377">
        <f t="shared" si="66"/>
        <v>0</v>
      </c>
      <c r="L377">
        <f t="shared" si="77"/>
        <v>114300</v>
      </c>
      <c r="M377">
        <f t="shared" si="67"/>
        <v>0</v>
      </c>
      <c r="N377">
        <f t="shared" si="68"/>
        <v>0</v>
      </c>
      <c r="O377">
        <f t="shared" si="69"/>
        <v>0</v>
      </c>
      <c r="P377">
        <f t="shared" si="70"/>
        <v>0</v>
      </c>
      <c r="Q377">
        <f t="shared" si="71"/>
        <v>0</v>
      </c>
      <c r="R377">
        <f t="shared" si="72"/>
        <v>0</v>
      </c>
      <c r="S377">
        <f t="shared" si="73"/>
        <v>0</v>
      </c>
      <c r="T377">
        <f t="shared" si="74"/>
        <v>0</v>
      </c>
      <c r="U377">
        <f t="shared" si="75"/>
        <v>0</v>
      </c>
      <c r="V377">
        <f t="shared" si="76"/>
        <v>0</v>
      </c>
    </row>
    <row r="378" spans="1:22" x14ac:dyDescent="0.4">
      <c r="A378" s="1" t="s">
        <v>1204</v>
      </c>
      <c r="B378" s="1" t="s">
        <v>1205</v>
      </c>
      <c r="C378" s="1" t="s">
        <v>1206</v>
      </c>
      <c r="D378" s="1" t="s">
        <v>25</v>
      </c>
      <c r="E378" s="1" t="s">
        <v>1207</v>
      </c>
      <c r="F378" s="5" t="s">
        <v>479</v>
      </c>
      <c r="G378" s="1" t="s">
        <v>27</v>
      </c>
      <c r="H378">
        <f>VLOOKUP(D378,[1]金額リスト!$A$2:$B$6,2,FALSE)</f>
        <v>59400</v>
      </c>
      <c r="I378" s="1" t="s">
        <v>28</v>
      </c>
      <c r="J378">
        <f t="shared" si="65"/>
        <v>0</v>
      </c>
      <c r="K378">
        <f t="shared" si="66"/>
        <v>0</v>
      </c>
      <c r="L378">
        <f t="shared" si="77"/>
        <v>59400</v>
      </c>
      <c r="M378">
        <f t="shared" si="67"/>
        <v>0</v>
      </c>
      <c r="N378">
        <f t="shared" si="68"/>
        <v>0</v>
      </c>
      <c r="O378">
        <f t="shared" si="69"/>
        <v>0</v>
      </c>
      <c r="P378">
        <f t="shared" si="70"/>
        <v>0</v>
      </c>
      <c r="Q378">
        <f t="shared" si="71"/>
        <v>0</v>
      </c>
      <c r="R378">
        <f t="shared" si="72"/>
        <v>0</v>
      </c>
      <c r="S378">
        <f t="shared" si="73"/>
        <v>0</v>
      </c>
      <c r="T378">
        <f t="shared" si="74"/>
        <v>0</v>
      </c>
      <c r="U378">
        <f t="shared" si="75"/>
        <v>0</v>
      </c>
      <c r="V378">
        <f t="shared" si="76"/>
        <v>0</v>
      </c>
    </row>
    <row r="379" spans="1:22" x14ac:dyDescent="0.4">
      <c r="A379" s="1" t="s">
        <v>1208</v>
      </c>
      <c r="B379" s="1" t="s">
        <v>1209</v>
      </c>
      <c r="C379" s="1" t="s">
        <v>1210</v>
      </c>
      <c r="D379" s="1" t="s">
        <v>44</v>
      </c>
      <c r="E379" s="1" t="s">
        <v>1211</v>
      </c>
      <c r="F379" s="5" t="s">
        <v>479</v>
      </c>
      <c r="G379" s="1" t="s">
        <v>27</v>
      </c>
      <c r="H379">
        <f>VLOOKUP(D379,[1]金額リスト!$A$2:$B$6,2,FALSE)</f>
        <v>114300</v>
      </c>
      <c r="I379" s="1" t="s">
        <v>868</v>
      </c>
      <c r="J379">
        <f t="shared" si="65"/>
        <v>0</v>
      </c>
      <c r="K379">
        <f t="shared" si="66"/>
        <v>0</v>
      </c>
      <c r="L379">
        <f t="shared" si="77"/>
        <v>114300</v>
      </c>
      <c r="M379">
        <f t="shared" si="67"/>
        <v>0</v>
      </c>
      <c r="N379">
        <f t="shared" si="68"/>
        <v>0</v>
      </c>
      <c r="O379">
        <f t="shared" si="69"/>
        <v>0</v>
      </c>
      <c r="P379">
        <f t="shared" si="70"/>
        <v>0</v>
      </c>
      <c r="Q379">
        <f t="shared" si="71"/>
        <v>0</v>
      </c>
      <c r="R379">
        <f t="shared" si="72"/>
        <v>0</v>
      </c>
      <c r="S379">
        <f t="shared" si="73"/>
        <v>0</v>
      </c>
      <c r="T379">
        <f t="shared" si="74"/>
        <v>0</v>
      </c>
      <c r="U379">
        <f t="shared" si="75"/>
        <v>0</v>
      </c>
      <c r="V379">
        <f t="shared" si="76"/>
        <v>0</v>
      </c>
    </row>
    <row r="380" spans="1:22" x14ac:dyDescent="0.4">
      <c r="A380" s="1" t="s">
        <v>1212</v>
      </c>
      <c r="B380" s="1" t="s">
        <v>1213</v>
      </c>
      <c r="C380" s="1" t="s">
        <v>1214</v>
      </c>
      <c r="D380" s="1" t="s">
        <v>44</v>
      </c>
      <c r="E380" s="1" t="s">
        <v>1215</v>
      </c>
      <c r="F380" s="5" t="s">
        <v>479</v>
      </c>
      <c r="G380" s="1" t="s">
        <v>27</v>
      </c>
      <c r="H380">
        <f>VLOOKUP(D380,[1]金額リスト!$A$2:$B$6,2,FALSE)</f>
        <v>114300</v>
      </c>
      <c r="I380" s="1" t="s">
        <v>868</v>
      </c>
      <c r="J380">
        <f t="shared" si="65"/>
        <v>0</v>
      </c>
      <c r="K380">
        <f t="shared" si="66"/>
        <v>0</v>
      </c>
      <c r="L380">
        <f t="shared" si="77"/>
        <v>114300</v>
      </c>
      <c r="M380">
        <f t="shared" si="67"/>
        <v>0</v>
      </c>
      <c r="N380">
        <f t="shared" si="68"/>
        <v>0</v>
      </c>
      <c r="O380">
        <f t="shared" si="69"/>
        <v>0</v>
      </c>
      <c r="P380">
        <f t="shared" si="70"/>
        <v>0</v>
      </c>
      <c r="Q380">
        <f t="shared" si="71"/>
        <v>0</v>
      </c>
      <c r="R380">
        <f t="shared" si="72"/>
        <v>0</v>
      </c>
      <c r="S380">
        <f t="shared" si="73"/>
        <v>0</v>
      </c>
      <c r="T380">
        <f t="shared" si="74"/>
        <v>0</v>
      </c>
      <c r="U380">
        <f t="shared" si="75"/>
        <v>0</v>
      </c>
      <c r="V380">
        <f t="shared" si="76"/>
        <v>0</v>
      </c>
    </row>
    <row r="381" spans="1:22" x14ac:dyDescent="0.4">
      <c r="A381" s="1" t="s">
        <v>1216</v>
      </c>
      <c r="B381" s="1" t="s">
        <v>1217</v>
      </c>
      <c r="C381" s="1" t="s">
        <v>1218</v>
      </c>
      <c r="D381" s="1" t="s">
        <v>44</v>
      </c>
      <c r="E381" s="1" t="s">
        <v>867</v>
      </c>
      <c r="F381" s="5" t="s">
        <v>479</v>
      </c>
      <c r="G381" s="1" t="s">
        <v>27</v>
      </c>
      <c r="H381">
        <f>VLOOKUP(D381,[1]金額リスト!$A$2:$B$6,2,FALSE)</f>
        <v>114300</v>
      </c>
      <c r="I381" s="1" t="s">
        <v>868</v>
      </c>
      <c r="J381">
        <f t="shared" si="65"/>
        <v>0</v>
      </c>
      <c r="K381">
        <f t="shared" si="66"/>
        <v>0</v>
      </c>
      <c r="L381">
        <f t="shared" si="77"/>
        <v>114300</v>
      </c>
      <c r="M381">
        <f t="shared" si="67"/>
        <v>0</v>
      </c>
      <c r="N381">
        <f t="shared" si="68"/>
        <v>0</v>
      </c>
      <c r="O381">
        <f t="shared" si="69"/>
        <v>0</v>
      </c>
      <c r="P381">
        <f t="shared" si="70"/>
        <v>0</v>
      </c>
      <c r="Q381">
        <f t="shared" si="71"/>
        <v>0</v>
      </c>
      <c r="R381">
        <f t="shared" si="72"/>
        <v>0</v>
      </c>
      <c r="S381">
        <f t="shared" si="73"/>
        <v>0</v>
      </c>
      <c r="T381">
        <f t="shared" si="74"/>
        <v>0</v>
      </c>
      <c r="U381">
        <f t="shared" si="75"/>
        <v>0</v>
      </c>
      <c r="V381">
        <f t="shared" si="76"/>
        <v>0</v>
      </c>
    </row>
    <row r="382" spans="1:22" x14ac:dyDescent="0.4">
      <c r="A382" s="1" t="s">
        <v>1219</v>
      </c>
      <c r="B382" s="1" t="s">
        <v>1220</v>
      </c>
      <c r="C382" s="1" t="s">
        <v>1221</v>
      </c>
      <c r="D382" s="1" t="s">
        <v>25</v>
      </c>
      <c r="E382" s="1" t="s">
        <v>1207</v>
      </c>
      <c r="F382" s="5" t="s">
        <v>479</v>
      </c>
      <c r="G382" s="1" t="s">
        <v>27</v>
      </c>
      <c r="H382">
        <f>VLOOKUP(D382,[1]金額リスト!$A$2:$B$6,2,FALSE)</f>
        <v>59400</v>
      </c>
      <c r="I382" s="1" t="s">
        <v>28</v>
      </c>
      <c r="J382">
        <f t="shared" si="65"/>
        <v>0</v>
      </c>
      <c r="K382">
        <f t="shared" si="66"/>
        <v>0</v>
      </c>
      <c r="L382">
        <f t="shared" si="77"/>
        <v>59400</v>
      </c>
      <c r="M382">
        <f t="shared" si="67"/>
        <v>0</v>
      </c>
      <c r="N382">
        <f t="shared" si="68"/>
        <v>0</v>
      </c>
      <c r="O382">
        <f t="shared" si="69"/>
        <v>0</v>
      </c>
      <c r="P382">
        <f t="shared" si="70"/>
        <v>0</v>
      </c>
      <c r="Q382">
        <f t="shared" si="71"/>
        <v>0</v>
      </c>
      <c r="R382">
        <f t="shared" si="72"/>
        <v>0</v>
      </c>
      <c r="S382">
        <f t="shared" si="73"/>
        <v>0</v>
      </c>
      <c r="T382">
        <f t="shared" si="74"/>
        <v>0</v>
      </c>
      <c r="U382">
        <f t="shared" si="75"/>
        <v>0</v>
      </c>
      <c r="V382">
        <f t="shared" si="76"/>
        <v>0</v>
      </c>
    </row>
    <row r="383" spans="1:22" x14ac:dyDescent="0.4">
      <c r="A383" s="1" t="s">
        <v>1222</v>
      </c>
      <c r="B383" s="1" t="s">
        <v>1223</v>
      </c>
      <c r="C383" s="1" t="s">
        <v>1224</v>
      </c>
      <c r="D383" s="1" t="s">
        <v>44</v>
      </c>
      <c r="E383" s="1" t="s">
        <v>867</v>
      </c>
      <c r="F383" s="5" t="s">
        <v>479</v>
      </c>
      <c r="G383" s="1" t="s">
        <v>27</v>
      </c>
      <c r="H383">
        <f>VLOOKUP(D383,[1]金額リスト!$A$2:$B$6,2,FALSE)</f>
        <v>114300</v>
      </c>
      <c r="I383" s="1" t="s">
        <v>868</v>
      </c>
      <c r="J383">
        <f t="shared" si="65"/>
        <v>0</v>
      </c>
      <c r="K383">
        <f t="shared" si="66"/>
        <v>0</v>
      </c>
      <c r="L383">
        <f t="shared" si="77"/>
        <v>114300</v>
      </c>
      <c r="M383">
        <f t="shared" si="67"/>
        <v>0</v>
      </c>
      <c r="N383">
        <f t="shared" si="68"/>
        <v>0</v>
      </c>
      <c r="O383">
        <f t="shared" si="69"/>
        <v>0</v>
      </c>
      <c r="P383">
        <f t="shared" si="70"/>
        <v>0</v>
      </c>
      <c r="Q383">
        <f t="shared" si="71"/>
        <v>0</v>
      </c>
      <c r="R383">
        <f t="shared" si="72"/>
        <v>0</v>
      </c>
      <c r="S383">
        <f t="shared" si="73"/>
        <v>0</v>
      </c>
      <c r="T383">
        <f t="shared" si="74"/>
        <v>0</v>
      </c>
      <c r="U383">
        <f t="shared" si="75"/>
        <v>0</v>
      </c>
      <c r="V383">
        <f t="shared" si="76"/>
        <v>0</v>
      </c>
    </row>
    <row r="384" spans="1:22" x14ac:dyDescent="0.4">
      <c r="A384" s="1" t="s">
        <v>1225</v>
      </c>
      <c r="B384" s="1" t="s">
        <v>1226</v>
      </c>
      <c r="C384" s="1" t="s">
        <v>1227</v>
      </c>
      <c r="D384" s="1" t="s">
        <v>44</v>
      </c>
      <c r="E384" s="1" t="s">
        <v>920</v>
      </c>
      <c r="F384" s="5" t="s">
        <v>479</v>
      </c>
      <c r="G384" s="1" t="s">
        <v>27</v>
      </c>
      <c r="H384">
        <f>VLOOKUP(D384,[1]金額リスト!$A$2:$B$6,2,FALSE)</f>
        <v>114300</v>
      </c>
      <c r="I384" s="1" t="s">
        <v>868</v>
      </c>
      <c r="J384">
        <f t="shared" si="65"/>
        <v>0</v>
      </c>
      <c r="K384">
        <f t="shared" si="66"/>
        <v>0</v>
      </c>
      <c r="L384">
        <f t="shared" si="77"/>
        <v>114300</v>
      </c>
      <c r="M384">
        <f t="shared" si="67"/>
        <v>0</v>
      </c>
      <c r="N384">
        <f t="shared" si="68"/>
        <v>0</v>
      </c>
      <c r="O384">
        <f t="shared" si="69"/>
        <v>0</v>
      </c>
      <c r="P384">
        <f t="shared" si="70"/>
        <v>0</v>
      </c>
      <c r="Q384">
        <f t="shared" si="71"/>
        <v>0</v>
      </c>
      <c r="R384">
        <f t="shared" si="72"/>
        <v>0</v>
      </c>
      <c r="S384">
        <f t="shared" si="73"/>
        <v>0</v>
      </c>
      <c r="T384">
        <f t="shared" si="74"/>
        <v>0</v>
      </c>
      <c r="U384">
        <f t="shared" si="75"/>
        <v>0</v>
      </c>
      <c r="V384">
        <f t="shared" si="76"/>
        <v>0</v>
      </c>
    </row>
    <row r="385" spans="1:22" x14ac:dyDescent="0.4">
      <c r="A385" s="1" t="s">
        <v>1228</v>
      </c>
      <c r="B385" s="1" t="s">
        <v>1229</v>
      </c>
      <c r="C385" s="1" t="s">
        <v>1230</v>
      </c>
      <c r="D385" s="1" t="s">
        <v>50</v>
      </c>
      <c r="E385" s="1" t="s">
        <v>1231</v>
      </c>
      <c r="F385" s="5" t="s">
        <v>479</v>
      </c>
      <c r="G385" s="1" t="s">
        <v>52</v>
      </c>
      <c r="H385">
        <f>VLOOKUP(D385,[1]金額リスト!$A$2:$B$6,2,FALSE)</f>
        <v>114300</v>
      </c>
      <c r="I385" s="1" t="s">
        <v>28</v>
      </c>
      <c r="J385">
        <f t="shared" si="65"/>
        <v>0</v>
      </c>
      <c r="K385">
        <f t="shared" si="66"/>
        <v>0</v>
      </c>
      <c r="L385">
        <f t="shared" si="77"/>
        <v>114300</v>
      </c>
      <c r="M385">
        <f t="shared" si="67"/>
        <v>0</v>
      </c>
      <c r="N385">
        <f t="shared" si="68"/>
        <v>0</v>
      </c>
      <c r="O385">
        <f t="shared" si="69"/>
        <v>0</v>
      </c>
      <c r="P385">
        <f t="shared" si="70"/>
        <v>0</v>
      </c>
      <c r="Q385">
        <f t="shared" si="71"/>
        <v>0</v>
      </c>
      <c r="R385">
        <f t="shared" si="72"/>
        <v>0</v>
      </c>
      <c r="S385">
        <f t="shared" si="73"/>
        <v>0</v>
      </c>
      <c r="T385">
        <f t="shared" si="74"/>
        <v>0</v>
      </c>
      <c r="U385">
        <f t="shared" si="75"/>
        <v>0</v>
      </c>
      <c r="V385">
        <f t="shared" si="76"/>
        <v>0</v>
      </c>
    </row>
    <row r="386" spans="1:22" x14ac:dyDescent="0.4">
      <c r="A386" s="1" t="s">
        <v>1232</v>
      </c>
      <c r="B386" s="1" t="s">
        <v>1233</v>
      </c>
      <c r="C386" s="1" t="s">
        <v>1234</v>
      </c>
      <c r="D386" s="1" t="s">
        <v>44</v>
      </c>
      <c r="E386" s="1" t="s">
        <v>1141</v>
      </c>
      <c r="F386" s="5" t="s">
        <v>479</v>
      </c>
      <c r="G386" s="1" t="s">
        <v>27</v>
      </c>
      <c r="H386">
        <f>VLOOKUP(D386,[1]金額リスト!$A$2:$B$6,2,FALSE)</f>
        <v>114300</v>
      </c>
      <c r="I386" s="1" t="s">
        <v>868</v>
      </c>
      <c r="J386">
        <f t="shared" si="65"/>
        <v>0</v>
      </c>
      <c r="K386">
        <f t="shared" si="66"/>
        <v>0</v>
      </c>
      <c r="L386">
        <f t="shared" si="77"/>
        <v>114300</v>
      </c>
      <c r="M386">
        <f t="shared" si="67"/>
        <v>0</v>
      </c>
      <c r="N386">
        <f t="shared" si="68"/>
        <v>0</v>
      </c>
      <c r="O386">
        <f t="shared" si="69"/>
        <v>0</v>
      </c>
      <c r="P386">
        <f t="shared" si="70"/>
        <v>0</v>
      </c>
      <c r="Q386">
        <f t="shared" si="71"/>
        <v>0</v>
      </c>
      <c r="R386">
        <f t="shared" si="72"/>
        <v>0</v>
      </c>
      <c r="S386">
        <f t="shared" si="73"/>
        <v>0</v>
      </c>
      <c r="T386">
        <f t="shared" si="74"/>
        <v>0</v>
      </c>
      <c r="U386">
        <f t="shared" si="75"/>
        <v>0</v>
      </c>
      <c r="V386">
        <f t="shared" si="76"/>
        <v>0</v>
      </c>
    </row>
    <row r="387" spans="1:22" x14ac:dyDescent="0.4">
      <c r="A387" s="1" t="s">
        <v>1235</v>
      </c>
      <c r="B387" s="1" t="s">
        <v>1236</v>
      </c>
      <c r="C387" s="1" t="s">
        <v>1237</v>
      </c>
      <c r="D387" s="1" t="s">
        <v>44</v>
      </c>
      <c r="E387" s="1" t="s">
        <v>1238</v>
      </c>
      <c r="F387" s="5" t="s">
        <v>479</v>
      </c>
      <c r="G387" s="1" t="s">
        <v>27</v>
      </c>
      <c r="H387">
        <f>VLOOKUP(D387,[1]金額リスト!$A$2:$B$6,2,FALSE)</f>
        <v>114300</v>
      </c>
      <c r="I387" s="1" t="s">
        <v>868</v>
      </c>
      <c r="J387">
        <f t="shared" ref="J387:J450" si="78">IFERROR(INDEX($F387:$H387,MATCH($J$1,$F387,0),3),0)</f>
        <v>0</v>
      </c>
      <c r="K387">
        <f t="shared" ref="K387:K450" si="79">IFERROR(INDEX($F387:$H387,MATCH($K$1,$F387,0),3),0)</f>
        <v>0</v>
      </c>
      <c r="L387">
        <f t="shared" si="77"/>
        <v>114300</v>
      </c>
      <c r="M387">
        <f t="shared" ref="M387:M450" si="80">IFERROR(INDEX($F387:$H387,MATCH($M$1,$F387,0),3),0)</f>
        <v>0</v>
      </c>
      <c r="N387">
        <f t="shared" ref="N387:N450" si="81">IFERROR(INDEX($F387:$H387,MATCH($N$1,$F387,0),3),0)</f>
        <v>0</v>
      </c>
      <c r="O387">
        <f t="shared" ref="O387:O450" si="82">IFERROR(INDEX($F387:$H387,MATCH($O$1,$F387,0),3),0)</f>
        <v>0</v>
      </c>
      <c r="P387">
        <f t="shared" ref="P387:P450" si="83">IFERROR(INDEX($F387:$H387,MATCH($P$1,$F387,0),3),0)</f>
        <v>0</v>
      </c>
      <c r="Q387">
        <f t="shared" ref="Q387:Q450" si="84">IFERROR(INDEX($F387:$H387,MATCH($Q$1,$F387,0),3),0)</f>
        <v>0</v>
      </c>
      <c r="R387">
        <f t="shared" ref="R387:R450" si="85">IFERROR(INDEX($F387:$H387,MATCH($R$1,$F387,0),3),0)</f>
        <v>0</v>
      </c>
      <c r="S387">
        <f t="shared" ref="S387:S450" si="86">IFERROR(INDEX($F387:$H387,MATCH($S$1,$F387,0),3),0)</f>
        <v>0</v>
      </c>
      <c r="T387">
        <f t="shared" ref="T387:T450" si="87">IFERROR(INDEX($F387:$H387,MATCH($T$1,$F387,0),3),0)</f>
        <v>0</v>
      </c>
      <c r="U387">
        <f t="shared" ref="U387:U450" si="88">IFERROR(INDEX($F387:$H387,MATCH($U$1,$F387,0),3),0)</f>
        <v>0</v>
      </c>
      <c r="V387">
        <f t="shared" ref="V387:V450" si="89">IFERROR(INDEX($F387:$H387,MATCH($V$1,$F387,0),3),0)</f>
        <v>0</v>
      </c>
    </row>
    <row r="388" spans="1:22" x14ac:dyDescent="0.4">
      <c r="A388" s="1" t="s">
        <v>1239</v>
      </c>
      <c r="B388" s="1" t="s">
        <v>1240</v>
      </c>
      <c r="C388" s="1" t="s">
        <v>1241</v>
      </c>
      <c r="D388" s="1" t="s">
        <v>25</v>
      </c>
      <c r="E388" s="1" t="s">
        <v>1242</v>
      </c>
      <c r="F388" s="5" t="s">
        <v>479</v>
      </c>
      <c r="G388" s="1" t="s">
        <v>27</v>
      </c>
      <c r="H388">
        <f>VLOOKUP(D388,[1]金額リスト!$A$2:$B$6,2,FALSE)</f>
        <v>59400</v>
      </c>
      <c r="I388" s="1" t="s">
        <v>28</v>
      </c>
      <c r="J388">
        <f t="shared" si="78"/>
        <v>0</v>
      </c>
      <c r="K388">
        <f t="shared" si="79"/>
        <v>0</v>
      </c>
      <c r="L388">
        <f t="shared" ref="L388:L451" si="90">IFERROR(INDEX($F388:$H388,MATCH($L$1,$F388,0),3),0)</f>
        <v>59400</v>
      </c>
      <c r="M388">
        <f t="shared" si="80"/>
        <v>0</v>
      </c>
      <c r="N388">
        <f t="shared" si="81"/>
        <v>0</v>
      </c>
      <c r="O388">
        <f t="shared" si="82"/>
        <v>0</v>
      </c>
      <c r="P388">
        <f t="shared" si="83"/>
        <v>0</v>
      </c>
      <c r="Q388">
        <f t="shared" si="84"/>
        <v>0</v>
      </c>
      <c r="R388">
        <f t="shared" si="85"/>
        <v>0</v>
      </c>
      <c r="S388">
        <f t="shared" si="86"/>
        <v>0</v>
      </c>
      <c r="T388">
        <f t="shared" si="87"/>
        <v>0</v>
      </c>
      <c r="U388">
        <f t="shared" si="88"/>
        <v>0</v>
      </c>
      <c r="V388">
        <f t="shared" si="89"/>
        <v>0</v>
      </c>
    </row>
    <row r="389" spans="1:22" x14ac:dyDescent="0.4">
      <c r="A389" s="1" t="s">
        <v>1243</v>
      </c>
      <c r="B389" s="1" t="s">
        <v>1244</v>
      </c>
      <c r="C389" s="1" t="s">
        <v>1245</v>
      </c>
      <c r="D389" s="1" t="s">
        <v>44</v>
      </c>
      <c r="E389" s="1" t="s">
        <v>867</v>
      </c>
      <c r="F389" s="5" t="s">
        <v>479</v>
      </c>
      <c r="G389" s="1" t="s">
        <v>27</v>
      </c>
      <c r="H389">
        <f>VLOOKUP(D389,[1]金額リスト!$A$2:$B$6,2,FALSE)</f>
        <v>114300</v>
      </c>
      <c r="I389" s="1" t="s">
        <v>868</v>
      </c>
      <c r="J389">
        <f t="shared" si="78"/>
        <v>0</v>
      </c>
      <c r="K389">
        <f t="shared" si="79"/>
        <v>0</v>
      </c>
      <c r="L389">
        <f t="shared" si="90"/>
        <v>114300</v>
      </c>
      <c r="M389">
        <f t="shared" si="80"/>
        <v>0</v>
      </c>
      <c r="N389">
        <f t="shared" si="81"/>
        <v>0</v>
      </c>
      <c r="O389">
        <f t="shared" si="82"/>
        <v>0</v>
      </c>
      <c r="P389">
        <f t="shared" si="83"/>
        <v>0</v>
      </c>
      <c r="Q389">
        <f t="shared" si="84"/>
        <v>0</v>
      </c>
      <c r="R389">
        <f t="shared" si="85"/>
        <v>0</v>
      </c>
      <c r="S389">
        <f t="shared" si="86"/>
        <v>0</v>
      </c>
      <c r="T389">
        <f t="shared" si="87"/>
        <v>0</v>
      </c>
      <c r="U389">
        <f t="shared" si="88"/>
        <v>0</v>
      </c>
      <c r="V389">
        <f t="shared" si="89"/>
        <v>0</v>
      </c>
    </row>
    <row r="390" spans="1:22" x14ac:dyDescent="0.4">
      <c r="A390" s="1" t="s">
        <v>1246</v>
      </c>
      <c r="B390" s="1" t="s">
        <v>1247</v>
      </c>
      <c r="C390" s="1" t="s">
        <v>1248</v>
      </c>
      <c r="D390" s="1" t="s">
        <v>44</v>
      </c>
      <c r="E390" s="1" t="s">
        <v>37</v>
      </c>
      <c r="F390" s="5" t="s">
        <v>46</v>
      </c>
      <c r="G390" s="1" t="s">
        <v>27</v>
      </c>
      <c r="H390">
        <f>VLOOKUP(D390,[1]金額リスト!$A$2:$B$6,2,FALSE)</f>
        <v>114300</v>
      </c>
      <c r="I390" s="1" t="s">
        <v>33</v>
      </c>
      <c r="J390">
        <f t="shared" si="78"/>
        <v>0</v>
      </c>
      <c r="K390">
        <f t="shared" si="79"/>
        <v>0</v>
      </c>
      <c r="L390">
        <f t="shared" si="90"/>
        <v>0</v>
      </c>
      <c r="M390">
        <f t="shared" si="80"/>
        <v>0</v>
      </c>
      <c r="N390">
        <f t="shared" si="81"/>
        <v>114300</v>
      </c>
      <c r="O390">
        <f t="shared" si="82"/>
        <v>0</v>
      </c>
      <c r="P390">
        <f t="shared" si="83"/>
        <v>0</v>
      </c>
      <c r="Q390">
        <f t="shared" si="84"/>
        <v>0</v>
      </c>
      <c r="R390">
        <f t="shared" si="85"/>
        <v>0</v>
      </c>
      <c r="S390">
        <f t="shared" si="86"/>
        <v>0</v>
      </c>
      <c r="T390">
        <f t="shared" si="87"/>
        <v>0</v>
      </c>
      <c r="U390">
        <f t="shared" si="88"/>
        <v>0</v>
      </c>
      <c r="V390">
        <f t="shared" si="89"/>
        <v>0</v>
      </c>
    </row>
    <row r="391" spans="1:22" x14ac:dyDescent="0.4">
      <c r="A391" s="1" t="s">
        <v>1249</v>
      </c>
      <c r="B391" s="1" t="s">
        <v>1250</v>
      </c>
      <c r="C391" s="1" t="s">
        <v>1251</v>
      </c>
      <c r="D391" s="1" t="s">
        <v>50</v>
      </c>
      <c r="E391" s="1" t="s">
        <v>1252</v>
      </c>
      <c r="F391" s="5" t="s">
        <v>479</v>
      </c>
      <c r="G391" s="1" t="s">
        <v>52</v>
      </c>
      <c r="H391">
        <f>VLOOKUP(D391,[1]金額リスト!$A$2:$B$6,2,FALSE)</f>
        <v>114300</v>
      </c>
      <c r="I391" s="1" t="s">
        <v>28</v>
      </c>
      <c r="J391">
        <f t="shared" si="78"/>
        <v>0</v>
      </c>
      <c r="K391">
        <f t="shared" si="79"/>
        <v>0</v>
      </c>
      <c r="L391">
        <f t="shared" si="90"/>
        <v>114300</v>
      </c>
      <c r="M391">
        <f t="shared" si="80"/>
        <v>0</v>
      </c>
      <c r="N391">
        <f t="shared" si="81"/>
        <v>0</v>
      </c>
      <c r="O391">
        <f t="shared" si="82"/>
        <v>0</v>
      </c>
      <c r="P391">
        <f t="shared" si="83"/>
        <v>0</v>
      </c>
      <c r="Q391">
        <f t="shared" si="84"/>
        <v>0</v>
      </c>
      <c r="R391">
        <f t="shared" si="85"/>
        <v>0</v>
      </c>
      <c r="S391">
        <f t="shared" si="86"/>
        <v>0</v>
      </c>
      <c r="T391">
        <f t="shared" si="87"/>
        <v>0</v>
      </c>
      <c r="U391">
        <f t="shared" si="88"/>
        <v>0</v>
      </c>
      <c r="V391">
        <f t="shared" si="89"/>
        <v>0</v>
      </c>
    </row>
    <row r="392" spans="1:22" x14ac:dyDescent="0.4">
      <c r="A392" s="1" t="s">
        <v>1253</v>
      </c>
      <c r="B392" s="1" t="s">
        <v>1254</v>
      </c>
      <c r="C392" s="1" t="s">
        <v>1255</v>
      </c>
      <c r="D392" s="1" t="s">
        <v>44</v>
      </c>
      <c r="E392" s="1" t="s">
        <v>928</v>
      </c>
      <c r="F392" s="5" t="s">
        <v>479</v>
      </c>
      <c r="G392" s="1" t="s">
        <v>27</v>
      </c>
      <c r="H392">
        <f>VLOOKUP(D392,[1]金額リスト!$A$2:$B$6,2,FALSE)</f>
        <v>114300</v>
      </c>
      <c r="I392" s="1" t="s">
        <v>868</v>
      </c>
      <c r="J392">
        <f t="shared" si="78"/>
        <v>0</v>
      </c>
      <c r="K392">
        <f t="shared" si="79"/>
        <v>0</v>
      </c>
      <c r="L392">
        <f t="shared" si="90"/>
        <v>114300</v>
      </c>
      <c r="M392">
        <f t="shared" si="80"/>
        <v>0</v>
      </c>
      <c r="N392">
        <f t="shared" si="81"/>
        <v>0</v>
      </c>
      <c r="O392">
        <f t="shared" si="82"/>
        <v>0</v>
      </c>
      <c r="P392">
        <f t="shared" si="83"/>
        <v>0</v>
      </c>
      <c r="Q392">
        <f t="shared" si="84"/>
        <v>0</v>
      </c>
      <c r="R392">
        <f t="shared" si="85"/>
        <v>0</v>
      </c>
      <c r="S392">
        <f t="shared" si="86"/>
        <v>0</v>
      </c>
      <c r="T392">
        <f t="shared" si="87"/>
        <v>0</v>
      </c>
      <c r="U392">
        <f t="shared" si="88"/>
        <v>0</v>
      </c>
      <c r="V392">
        <f t="shared" si="89"/>
        <v>0</v>
      </c>
    </row>
    <row r="393" spans="1:22" x14ac:dyDescent="0.4">
      <c r="A393" s="1" t="s">
        <v>1256</v>
      </c>
      <c r="B393" s="1" t="s">
        <v>1257</v>
      </c>
      <c r="C393" s="1" t="s">
        <v>1258</v>
      </c>
      <c r="D393" s="1" t="s">
        <v>44</v>
      </c>
      <c r="E393" s="1" t="s">
        <v>1211</v>
      </c>
      <c r="F393" s="5" t="s">
        <v>479</v>
      </c>
      <c r="G393" s="1" t="s">
        <v>27</v>
      </c>
      <c r="H393">
        <f>VLOOKUP(D393,[1]金額リスト!$A$2:$B$6,2,FALSE)</f>
        <v>114300</v>
      </c>
      <c r="I393" s="1" t="s">
        <v>868</v>
      </c>
      <c r="J393">
        <f t="shared" si="78"/>
        <v>0</v>
      </c>
      <c r="K393">
        <f t="shared" si="79"/>
        <v>0</v>
      </c>
      <c r="L393">
        <f t="shared" si="90"/>
        <v>114300</v>
      </c>
      <c r="M393">
        <f t="shared" si="80"/>
        <v>0</v>
      </c>
      <c r="N393">
        <f t="shared" si="81"/>
        <v>0</v>
      </c>
      <c r="O393">
        <f t="shared" si="82"/>
        <v>0</v>
      </c>
      <c r="P393">
        <f t="shared" si="83"/>
        <v>0</v>
      </c>
      <c r="Q393">
        <f t="shared" si="84"/>
        <v>0</v>
      </c>
      <c r="R393">
        <f t="shared" si="85"/>
        <v>0</v>
      </c>
      <c r="S393">
        <f t="shared" si="86"/>
        <v>0</v>
      </c>
      <c r="T393">
        <f t="shared" si="87"/>
        <v>0</v>
      </c>
      <c r="U393">
        <f t="shared" si="88"/>
        <v>0</v>
      </c>
      <c r="V393">
        <f t="shared" si="89"/>
        <v>0</v>
      </c>
    </row>
    <row r="394" spans="1:22" x14ac:dyDescent="0.4">
      <c r="A394" s="1" t="s">
        <v>1259</v>
      </c>
      <c r="B394" s="1" t="s">
        <v>1260</v>
      </c>
      <c r="C394" s="1" t="s">
        <v>1261</v>
      </c>
      <c r="D394" s="1" t="s">
        <v>44</v>
      </c>
      <c r="E394" s="1" t="s">
        <v>920</v>
      </c>
      <c r="F394" s="5" t="s">
        <v>479</v>
      </c>
      <c r="G394" s="1" t="s">
        <v>27</v>
      </c>
      <c r="H394">
        <f>VLOOKUP(D394,[1]金額リスト!$A$2:$B$6,2,FALSE)</f>
        <v>114300</v>
      </c>
      <c r="I394" s="1" t="s">
        <v>868</v>
      </c>
      <c r="J394">
        <f t="shared" si="78"/>
        <v>0</v>
      </c>
      <c r="K394">
        <f t="shared" si="79"/>
        <v>0</v>
      </c>
      <c r="L394">
        <f t="shared" si="90"/>
        <v>114300</v>
      </c>
      <c r="M394">
        <f t="shared" si="80"/>
        <v>0</v>
      </c>
      <c r="N394">
        <f t="shared" si="81"/>
        <v>0</v>
      </c>
      <c r="O394">
        <f t="shared" si="82"/>
        <v>0</v>
      </c>
      <c r="P394">
        <f t="shared" si="83"/>
        <v>0</v>
      </c>
      <c r="Q394">
        <f t="shared" si="84"/>
        <v>0</v>
      </c>
      <c r="R394">
        <f t="shared" si="85"/>
        <v>0</v>
      </c>
      <c r="S394">
        <f t="shared" si="86"/>
        <v>0</v>
      </c>
      <c r="T394">
        <f t="shared" si="87"/>
        <v>0</v>
      </c>
      <c r="U394">
        <f t="shared" si="88"/>
        <v>0</v>
      </c>
      <c r="V394">
        <f t="shared" si="89"/>
        <v>0</v>
      </c>
    </row>
    <row r="395" spans="1:22" x14ac:dyDescent="0.4">
      <c r="A395" s="1" t="s">
        <v>1262</v>
      </c>
      <c r="B395" s="1" t="s">
        <v>1263</v>
      </c>
      <c r="C395" s="1" t="s">
        <v>1264</v>
      </c>
      <c r="D395" s="1" t="s">
        <v>44</v>
      </c>
      <c r="E395" s="1" t="s">
        <v>1157</v>
      </c>
      <c r="F395" s="5" t="s">
        <v>479</v>
      </c>
      <c r="G395" s="1" t="s">
        <v>27</v>
      </c>
      <c r="H395">
        <f>VLOOKUP(D395,[1]金額リスト!$A$2:$B$6,2,FALSE)</f>
        <v>114300</v>
      </c>
      <c r="I395" s="1" t="s">
        <v>868</v>
      </c>
      <c r="J395">
        <f t="shared" si="78"/>
        <v>0</v>
      </c>
      <c r="K395">
        <f t="shared" si="79"/>
        <v>0</v>
      </c>
      <c r="L395">
        <f t="shared" si="90"/>
        <v>114300</v>
      </c>
      <c r="M395">
        <f t="shared" si="80"/>
        <v>0</v>
      </c>
      <c r="N395">
        <f t="shared" si="81"/>
        <v>0</v>
      </c>
      <c r="O395">
        <f t="shared" si="82"/>
        <v>0</v>
      </c>
      <c r="P395">
        <f t="shared" si="83"/>
        <v>0</v>
      </c>
      <c r="Q395">
        <f t="shared" si="84"/>
        <v>0</v>
      </c>
      <c r="R395">
        <f t="shared" si="85"/>
        <v>0</v>
      </c>
      <c r="S395">
        <f t="shared" si="86"/>
        <v>0</v>
      </c>
      <c r="T395">
        <f t="shared" si="87"/>
        <v>0</v>
      </c>
      <c r="U395">
        <f t="shared" si="88"/>
        <v>0</v>
      </c>
      <c r="V395">
        <f t="shared" si="89"/>
        <v>0</v>
      </c>
    </row>
    <row r="396" spans="1:22" x14ac:dyDescent="0.4">
      <c r="A396" s="1" t="s">
        <v>1265</v>
      </c>
      <c r="B396" s="1" t="s">
        <v>1266</v>
      </c>
      <c r="C396" s="1" t="s">
        <v>1267</v>
      </c>
      <c r="D396" s="1" t="s">
        <v>44</v>
      </c>
      <c r="E396" s="1" t="s">
        <v>1141</v>
      </c>
      <c r="F396" s="5" t="s">
        <v>479</v>
      </c>
      <c r="G396" s="1" t="s">
        <v>27</v>
      </c>
      <c r="H396">
        <f>VLOOKUP(D396,[1]金額リスト!$A$2:$B$6,2,FALSE)</f>
        <v>114300</v>
      </c>
      <c r="I396" s="1" t="s">
        <v>868</v>
      </c>
      <c r="J396">
        <f t="shared" si="78"/>
        <v>0</v>
      </c>
      <c r="K396">
        <f t="shared" si="79"/>
        <v>0</v>
      </c>
      <c r="L396">
        <f t="shared" si="90"/>
        <v>114300</v>
      </c>
      <c r="M396">
        <f t="shared" si="80"/>
        <v>0</v>
      </c>
      <c r="N396">
        <f t="shared" si="81"/>
        <v>0</v>
      </c>
      <c r="O396">
        <f t="shared" si="82"/>
        <v>0</v>
      </c>
      <c r="P396">
        <f t="shared" si="83"/>
        <v>0</v>
      </c>
      <c r="Q396">
        <f t="shared" si="84"/>
        <v>0</v>
      </c>
      <c r="R396">
        <f t="shared" si="85"/>
        <v>0</v>
      </c>
      <c r="S396">
        <f t="shared" si="86"/>
        <v>0</v>
      </c>
      <c r="T396">
        <f t="shared" si="87"/>
        <v>0</v>
      </c>
      <c r="U396">
        <f t="shared" si="88"/>
        <v>0</v>
      </c>
      <c r="V396">
        <f t="shared" si="89"/>
        <v>0</v>
      </c>
    </row>
    <row r="397" spans="1:22" x14ac:dyDescent="0.4">
      <c r="A397" s="1" t="s">
        <v>1268</v>
      </c>
      <c r="B397" s="1" t="s">
        <v>1269</v>
      </c>
      <c r="C397" s="1" t="s">
        <v>1270</v>
      </c>
      <c r="D397" s="1" t="s">
        <v>44</v>
      </c>
      <c r="E397" s="1" t="s">
        <v>867</v>
      </c>
      <c r="F397" s="5" t="s">
        <v>479</v>
      </c>
      <c r="G397" s="1" t="s">
        <v>27</v>
      </c>
      <c r="H397">
        <f>VLOOKUP(D397,[1]金額リスト!$A$2:$B$6,2,FALSE)</f>
        <v>114300</v>
      </c>
      <c r="I397" s="1" t="s">
        <v>868</v>
      </c>
      <c r="J397">
        <f t="shared" si="78"/>
        <v>0</v>
      </c>
      <c r="K397">
        <f t="shared" si="79"/>
        <v>0</v>
      </c>
      <c r="L397">
        <f t="shared" si="90"/>
        <v>114300</v>
      </c>
      <c r="M397">
        <f t="shared" si="80"/>
        <v>0</v>
      </c>
      <c r="N397">
        <f t="shared" si="81"/>
        <v>0</v>
      </c>
      <c r="O397">
        <f t="shared" si="82"/>
        <v>0</v>
      </c>
      <c r="P397">
        <f t="shared" si="83"/>
        <v>0</v>
      </c>
      <c r="Q397">
        <f t="shared" si="84"/>
        <v>0</v>
      </c>
      <c r="R397">
        <f t="shared" si="85"/>
        <v>0</v>
      </c>
      <c r="S397">
        <f t="shared" si="86"/>
        <v>0</v>
      </c>
      <c r="T397">
        <f t="shared" si="87"/>
        <v>0</v>
      </c>
      <c r="U397">
        <f t="shared" si="88"/>
        <v>0</v>
      </c>
      <c r="V397">
        <f t="shared" si="89"/>
        <v>0</v>
      </c>
    </row>
    <row r="398" spans="1:22" x14ac:dyDescent="0.4">
      <c r="A398" s="1" t="s">
        <v>1271</v>
      </c>
      <c r="B398" s="1" t="s">
        <v>1272</v>
      </c>
      <c r="C398" s="1" t="s">
        <v>1273</v>
      </c>
      <c r="D398" s="1" t="s">
        <v>44</v>
      </c>
      <c r="E398" s="1" t="s">
        <v>928</v>
      </c>
      <c r="F398" s="5" t="s">
        <v>479</v>
      </c>
      <c r="G398" s="1" t="s">
        <v>27</v>
      </c>
      <c r="H398">
        <f>VLOOKUP(D398,[1]金額リスト!$A$2:$B$6,2,FALSE)</f>
        <v>114300</v>
      </c>
      <c r="I398" s="1" t="s">
        <v>868</v>
      </c>
      <c r="J398">
        <f t="shared" si="78"/>
        <v>0</v>
      </c>
      <c r="K398">
        <f t="shared" si="79"/>
        <v>0</v>
      </c>
      <c r="L398">
        <f t="shared" si="90"/>
        <v>114300</v>
      </c>
      <c r="M398">
        <f t="shared" si="80"/>
        <v>0</v>
      </c>
      <c r="N398">
        <f t="shared" si="81"/>
        <v>0</v>
      </c>
      <c r="O398">
        <f t="shared" si="82"/>
        <v>0</v>
      </c>
      <c r="P398">
        <f t="shared" si="83"/>
        <v>0</v>
      </c>
      <c r="Q398">
        <f t="shared" si="84"/>
        <v>0</v>
      </c>
      <c r="R398">
        <f t="shared" si="85"/>
        <v>0</v>
      </c>
      <c r="S398">
        <f t="shared" si="86"/>
        <v>0</v>
      </c>
      <c r="T398">
        <f t="shared" si="87"/>
        <v>0</v>
      </c>
      <c r="U398">
        <f t="shared" si="88"/>
        <v>0</v>
      </c>
      <c r="V398">
        <f t="shared" si="89"/>
        <v>0</v>
      </c>
    </row>
    <row r="399" spans="1:22" x14ac:dyDescent="0.4">
      <c r="A399" s="1" t="s">
        <v>1274</v>
      </c>
      <c r="B399" s="1" t="s">
        <v>1275</v>
      </c>
      <c r="C399" s="1" t="s">
        <v>1276</v>
      </c>
      <c r="D399" s="1" t="s">
        <v>50</v>
      </c>
      <c r="E399" s="1" t="s">
        <v>1277</v>
      </c>
      <c r="F399" s="5" t="s">
        <v>479</v>
      </c>
      <c r="G399" s="1" t="s">
        <v>52</v>
      </c>
      <c r="H399">
        <f>VLOOKUP(D399,[1]金額リスト!$A$2:$B$6,2,FALSE)</f>
        <v>114300</v>
      </c>
      <c r="I399" s="1" t="s">
        <v>28</v>
      </c>
      <c r="J399">
        <f t="shared" si="78"/>
        <v>0</v>
      </c>
      <c r="K399">
        <f t="shared" si="79"/>
        <v>0</v>
      </c>
      <c r="L399">
        <f t="shared" si="90"/>
        <v>114300</v>
      </c>
      <c r="M399">
        <f t="shared" si="80"/>
        <v>0</v>
      </c>
      <c r="N399">
        <f t="shared" si="81"/>
        <v>0</v>
      </c>
      <c r="O399">
        <f t="shared" si="82"/>
        <v>0</v>
      </c>
      <c r="P399">
        <f t="shared" si="83"/>
        <v>0</v>
      </c>
      <c r="Q399">
        <f t="shared" si="84"/>
        <v>0</v>
      </c>
      <c r="R399">
        <f t="shared" si="85"/>
        <v>0</v>
      </c>
      <c r="S399">
        <f t="shared" si="86"/>
        <v>0</v>
      </c>
      <c r="T399">
        <f t="shared" si="87"/>
        <v>0</v>
      </c>
      <c r="U399">
        <f t="shared" si="88"/>
        <v>0</v>
      </c>
      <c r="V399">
        <f t="shared" si="89"/>
        <v>0</v>
      </c>
    </row>
    <row r="400" spans="1:22" x14ac:dyDescent="0.4">
      <c r="A400" s="1" t="s">
        <v>1278</v>
      </c>
      <c r="B400" s="1" t="s">
        <v>1279</v>
      </c>
      <c r="C400" s="1" t="s">
        <v>1280</v>
      </c>
      <c r="D400" s="1" t="s">
        <v>44</v>
      </c>
      <c r="E400" s="1" t="s">
        <v>1141</v>
      </c>
      <c r="F400" s="5" t="s">
        <v>479</v>
      </c>
      <c r="G400" s="1" t="s">
        <v>27</v>
      </c>
      <c r="H400">
        <f>VLOOKUP(D400,[1]金額リスト!$A$2:$B$6,2,FALSE)</f>
        <v>114300</v>
      </c>
      <c r="I400" s="1" t="s">
        <v>868</v>
      </c>
      <c r="J400">
        <f t="shared" si="78"/>
        <v>0</v>
      </c>
      <c r="K400">
        <f t="shared" si="79"/>
        <v>0</v>
      </c>
      <c r="L400">
        <f t="shared" si="90"/>
        <v>114300</v>
      </c>
      <c r="M400">
        <f t="shared" si="80"/>
        <v>0</v>
      </c>
      <c r="N400">
        <f t="shared" si="81"/>
        <v>0</v>
      </c>
      <c r="O400">
        <f t="shared" si="82"/>
        <v>0</v>
      </c>
      <c r="P400">
        <f t="shared" si="83"/>
        <v>0</v>
      </c>
      <c r="Q400">
        <f t="shared" si="84"/>
        <v>0</v>
      </c>
      <c r="R400">
        <f t="shared" si="85"/>
        <v>0</v>
      </c>
      <c r="S400">
        <f t="shared" si="86"/>
        <v>0</v>
      </c>
      <c r="T400">
        <f t="shared" si="87"/>
        <v>0</v>
      </c>
      <c r="U400">
        <f t="shared" si="88"/>
        <v>0</v>
      </c>
      <c r="V400">
        <f t="shared" si="89"/>
        <v>0</v>
      </c>
    </row>
    <row r="401" spans="1:22" x14ac:dyDescent="0.4">
      <c r="A401" s="1" t="s">
        <v>1281</v>
      </c>
      <c r="B401" s="1" t="s">
        <v>1282</v>
      </c>
      <c r="C401" s="1" t="s">
        <v>1283</v>
      </c>
      <c r="D401" s="1" t="s">
        <v>44</v>
      </c>
      <c r="E401" s="1" t="s">
        <v>1231</v>
      </c>
      <c r="F401" s="5" t="s">
        <v>479</v>
      </c>
      <c r="G401" s="1" t="s">
        <v>27</v>
      </c>
      <c r="H401">
        <f>VLOOKUP(D401,[1]金額リスト!$A$2:$B$6,2,FALSE)</f>
        <v>114300</v>
      </c>
      <c r="I401" s="1" t="s">
        <v>868</v>
      </c>
      <c r="J401">
        <f t="shared" si="78"/>
        <v>0</v>
      </c>
      <c r="K401">
        <f t="shared" si="79"/>
        <v>0</v>
      </c>
      <c r="L401">
        <f t="shared" si="90"/>
        <v>114300</v>
      </c>
      <c r="M401">
        <f t="shared" si="80"/>
        <v>0</v>
      </c>
      <c r="N401">
        <f t="shared" si="81"/>
        <v>0</v>
      </c>
      <c r="O401">
        <f t="shared" si="82"/>
        <v>0</v>
      </c>
      <c r="P401">
        <f t="shared" si="83"/>
        <v>0</v>
      </c>
      <c r="Q401">
        <f t="shared" si="84"/>
        <v>0</v>
      </c>
      <c r="R401">
        <f t="shared" si="85"/>
        <v>0</v>
      </c>
      <c r="S401">
        <f t="shared" si="86"/>
        <v>0</v>
      </c>
      <c r="T401">
        <f t="shared" si="87"/>
        <v>0</v>
      </c>
      <c r="U401">
        <f t="shared" si="88"/>
        <v>0</v>
      </c>
      <c r="V401">
        <f t="shared" si="89"/>
        <v>0</v>
      </c>
    </row>
    <row r="402" spans="1:22" x14ac:dyDescent="0.4">
      <c r="A402" s="1" t="s">
        <v>1284</v>
      </c>
      <c r="B402" s="1" t="s">
        <v>1285</v>
      </c>
      <c r="C402" s="1" t="s">
        <v>1286</v>
      </c>
      <c r="D402" s="1" t="s">
        <v>44</v>
      </c>
      <c r="E402" s="1" t="s">
        <v>928</v>
      </c>
      <c r="F402" s="5" t="s">
        <v>479</v>
      </c>
      <c r="G402" s="1" t="s">
        <v>27</v>
      </c>
      <c r="H402">
        <f>VLOOKUP(D402,[1]金額リスト!$A$2:$B$6,2,FALSE)</f>
        <v>114300</v>
      </c>
      <c r="I402" s="1" t="s">
        <v>868</v>
      </c>
      <c r="J402">
        <f t="shared" si="78"/>
        <v>0</v>
      </c>
      <c r="K402">
        <f t="shared" si="79"/>
        <v>0</v>
      </c>
      <c r="L402">
        <f t="shared" si="90"/>
        <v>114300</v>
      </c>
      <c r="M402">
        <f t="shared" si="80"/>
        <v>0</v>
      </c>
      <c r="N402">
        <f t="shared" si="81"/>
        <v>0</v>
      </c>
      <c r="O402">
        <f t="shared" si="82"/>
        <v>0</v>
      </c>
      <c r="P402">
        <f t="shared" si="83"/>
        <v>0</v>
      </c>
      <c r="Q402">
        <f t="shared" si="84"/>
        <v>0</v>
      </c>
      <c r="R402">
        <f t="shared" si="85"/>
        <v>0</v>
      </c>
      <c r="S402">
        <f t="shared" si="86"/>
        <v>0</v>
      </c>
      <c r="T402">
        <f t="shared" si="87"/>
        <v>0</v>
      </c>
      <c r="U402">
        <f t="shared" si="88"/>
        <v>0</v>
      </c>
      <c r="V402">
        <f t="shared" si="89"/>
        <v>0</v>
      </c>
    </row>
    <row r="403" spans="1:22" x14ac:dyDescent="0.4">
      <c r="A403" s="1" t="s">
        <v>1287</v>
      </c>
      <c r="B403" s="1" t="s">
        <v>1288</v>
      </c>
      <c r="C403" s="1" t="s">
        <v>1289</v>
      </c>
      <c r="D403" s="1" t="s">
        <v>44</v>
      </c>
      <c r="E403" s="1" t="s">
        <v>867</v>
      </c>
      <c r="F403" s="5" t="s">
        <v>479</v>
      </c>
      <c r="G403" s="1" t="s">
        <v>27</v>
      </c>
      <c r="H403">
        <f>VLOOKUP(D403,[1]金額リスト!$A$2:$B$6,2,FALSE)</f>
        <v>114300</v>
      </c>
      <c r="I403" s="1" t="s">
        <v>868</v>
      </c>
      <c r="J403">
        <f t="shared" si="78"/>
        <v>0</v>
      </c>
      <c r="K403">
        <f t="shared" si="79"/>
        <v>0</v>
      </c>
      <c r="L403">
        <f t="shared" si="90"/>
        <v>114300</v>
      </c>
      <c r="M403">
        <f t="shared" si="80"/>
        <v>0</v>
      </c>
      <c r="N403">
        <f t="shared" si="81"/>
        <v>0</v>
      </c>
      <c r="O403">
        <f t="shared" si="82"/>
        <v>0</v>
      </c>
      <c r="P403">
        <f t="shared" si="83"/>
        <v>0</v>
      </c>
      <c r="Q403">
        <f t="shared" si="84"/>
        <v>0</v>
      </c>
      <c r="R403">
        <f t="shared" si="85"/>
        <v>0</v>
      </c>
      <c r="S403">
        <f t="shared" si="86"/>
        <v>0</v>
      </c>
      <c r="T403">
        <f t="shared" si="87"/>
        <v>0</v>
      </c>
      <c r="U403">
        <f t="shared" si="88"/>
        <v>0</v>
      </c>
      <c r="V403">
        <f t="shared" si="89"/>
        <v>0</v>
      </c>
    </row>
    <row r="404" spans="1:22" x14ac:dyDescent="0.4">
      <c r="A404" s="1" t="s">
        <v>1290</v>
      </c>
      <c r="B404" s="1" t="s">
        <v>1291</v>
      </c>
      <c r="C404" s="1" t="s">
        <v>1292</v>
      </c>
      <c r="D404" s="1" t="s">
        <v>44</v>
      </c>
      <c r="E404" s="1" t="s">
        <v>1293</v>
      </c>
      <c r="F404" s="5" t="s">
        <v>75</v>
      </c>
      <c r="G404" s="1" t="s">
        <v>27</v>
      </c>
      <c r="H404">
        <f>VLOOKUP(D404,[1]金額リスト!$A$2:$B$6,2,FALSE)</f>
        <v>114300</v>
      </c>
      <c r="I404" s="1" t="s">
        <v>28</v>
      </c>
      <c r="J404">
        <f t="shared" si="78"/>
        <v>0</v>
      </c>
      <c r="K404">
        <f t="shared" si="79"/>
        <v>0</v>
      </c>
      <c r="L404">
        <f t="shared" si="90"/>
        <v>0</v>
      </c>
      <c r="M404">
        <f t="shared" si="80"/>
        <v>0</v>
      </c>
      <c r="N404">
        <f t="shared" si="81"/>
        <v>0</v>
      </c>
      <c r="O404">
        <f t="shared" si="82"/>
        <v>114300</v>
      </c>
      <c r="P404">
        <f t="shared" si="83"/>
        <v>0</v>
      </c>
      <c r="Q404">
        <f t="shared" si="84"/>
        <v>0</v>
      </c>
      <c r="R404">
        <f t="shared" si="85"/>
        <v>0</v>
      </c>
      <c r="S404">
        <f t="shared" si="86"/>
        <v>0</v>
      </c>
      <c r="T404">
        <f t="shared" si="87"/>
        <v>0</v>
      </c>
      <c r="U404">
        <f t="shared" si="88"/>
        <v>0</v>
      </c>
      <c r="V404">
        <f t="shared" si="89"/>
        <v>0</v>
      </c>
    </row>
    <row r="405" spans="1:22" x14ac:dyDescent="0.4">
      <c r="A405" s="1" t="s">
        <v>1294</v>
      </c>
      <c r="B405" s="1" t="s">
        <v>1295</v>
      </c>
      <c r="C405" s="1" t="s">
        <v>1296</v>
      </c>
      <c r="D405" s="1" t="s">
        <v>44</v>
      </c>
      <c r="E405" s="1" t="s">
        <v>1137</v>
      </c>
      <c r="F405" s="5" t="s">
        <v>479</v>
      </c>
      <c r="G405" s="1" t="s">
        <v>27</v>
      </c>
      <c r="H405">
        <f>VLOOKUP(D405,[1]金額リスト!$A$2:$B$6,2,FALSE)</f>
        <v>114300</v>
      </c>
      <c r="I405" s="1" t="s">
        <v>868</v>
      </c>
      <c r="J405">
        <f t="shared" si="78"/>
        <v>0</v>
      </c>
      <c r="K405">
        <f t="shared" si="79"/>
        <v>0</v>
      </c>
      <c r="L405">
        <f t="shared" si="90"/>
        <v>114300</v>
      </c>
      <c r="M405">
        <f t="shared" si="80"/>
        <v>0</v>
      </c>
      <c r="N405">
        <f t="shared" si="81"/>
        <v>0</v>
      </c>
      <c r="O405">
        <f t="shared" si="82"/>
        <v>0</v>
      </c>
      <c r="P405">
        <f t="shared" si="83"/>
        <v>0</v>
      </c>
      <c r="Q405">
        <f t="shared" si="84"/>
        <v>0</v>
      </c>
      <c r="R405">
        <f t="shared" si="85"/>
        <v>0</v>
      </c>
      <c r="S405">
        <f t="shared" si="86"/>
        <v>0</v>
      </c>
      <c r="T405">
        <f t="shared" si="87"/>
        <v>0</v>
      </c>
      <c r="U405">
        <f t="shared" si="88"/>
        <v>0</v>
      </c>
      <c r="V405">
        <f t="shared" si="89"/>
        <v>0</v>
      </c>
    </row>
    <row r="406" spans="1:22" x14ac:dyDescent="0.4">
      <c r="A406" s="1" t="s">
        <v>1297</v>
      </c>
      <c r="B406" s="1" t="s">
        <v>1298</v>
      </c>
      <c r="C406" s="1" t="s">
        <v>1299</v>
      </c>
      <c r="D406" s="1" t="s">
        <v>44</v>
      </c>
      <c r="E406" s="1" t="s">
        <v>867</v>
      </c>
      <c r="F406" s="5" t="s">
        <v>479</v>
      </c>
      <c r="G406" s="1" t="s">
        <v>27</v>
      </c>
      <c r="H406">
        <f>VLOOKUP(D406,[1]金額リスト!$A$2:$B$6,2,FALSE)</f>
        <v>114300</v>
      </c>
      <c r="I406" s="1" t="s">
        <v>868</v>
      </c>
      <c r="J406">
        <f t="shared" si="78"/>
        <v>0</v>
      </c>
      <c r="K406">
        <f t="shared" si="79"/>
        <v>0</v>
      </c>
      <c r="L406">
        <f t="shared" si="90"/>
        <v>114300</v>
      </c>
      <c r="M406">
        <f t="shared" si="80"/>
        <v>0</v>
      </c>
      <c r="N406">
        <f t="shared" si="81"/>
        <v>0</v>
      </c>
      <c r="O406">
        <f t="shared" si="82"/>
        <v>0</v>
      </c>
      <c r="P406">
        <f t="shared" si="83"/>
        <v>0</v>
      </c>
      <c r="Q406">
        <f t="shared" si="84"/>
        <v>0</v>
      </c>
      <c r="R406">
        <f t="shared" si="85"/>
        <v>0</v>
      </c>
      <c r="S406">
        <f t="shared" si="86"/>
        <v>0</v>
      </c>
      <c r="T406">
        <f t="shared" si="87"/>
        <v>0</v>
      </c>
      <c r="U406">
        <f t="shared" si="88"/>
        <v>0</v>
      </c>
      <c r="V406">
        <f t="shared" si="89"/>
        <v>0</v>
      </c>
    </row>
    <row r="407" spans="1:22" x14ac:dyDescent="0.4">
      <c r="A407" s="1" t="s">
        <v>1300</v>
      </c>
      <c r="B407" s="1" t="s">
        <v>1301</v>
      </c>
      <c r="C407" s="1" t="s">
        <v>1302</v>
      </c>
      <c r="D407" s="1" t="s">
        <v>44</v>
      </c>
      <c r="E407" s="1" t="s">
        <v>867</v>
      </c>
      <c r="F407" s="5" t="s">
        <v>479</v>
      </c>
      <c r="G407" s="1" t="s">
        <v>27</v>
      </c>
      <c r="H407">
        <f>VLOOKUP(D407,[1]金額リスト!$A$2:$B$6,2,FALSE)</f>
        <v>114300</v>
      </c>
      <c r="I407" s="1" t="s">
        <v>868</v>
      </c>
      <c r="J407">
        <f t="shared" si="78"/>
        <v>0</v>
      </c>
      <c r="K407">
        <f t="shared" si="79"/>
        <v>0</v>
      </c>
      <c r="L407">
        <f t="shared" si="90"/>
        <v>114300</v>
      </c>
      <c r="M407">
        <f t="shared" si="80"/>
        <v>0</v>
      </c>
      <c r="N407">
        <f t="shared" si="81"/>
        <v>0</v>
      </c>
      <c r="O407">
        <f t="shared" si="82"/>
        <v>0</v>
      </c>
      <c r="P407">
        <f t="shared" si="83"/>
        <v>0</v>
      </c>
      <c r="Q407">
        <f t="shared" si="84"/>
        <v>0</v>
      </c>
      <c r="R407">
        <f t="shared" si="85"/>
        <v>0</v>
      </c>
      <c r="S407">
        <f t="shared" si="86"/>
        <v>0</v>
      </c>
      <c r="T407">
        <f t="shared" si="87"/>
        <v>0</v>
      </c>
      <c r="U407">
        <f t="shared" si="88"/>
        <v>0</v>
      </c>
      <c r="V407">
        <f t="shared" si="89"/>
        <v>0</v>
      </c>
    </row>
    <row r="408" spans="1:22" x14ac:dyDescent="0.4">
      <c r="A408" s="1" t="s">
        <v>1303</v>
      </c>
      <c r="B408" s="1" t="s">
        <v>1304</v>
      </c>
      <c r="C408" s="1" t="s">
        <v>1305</v>
      </c>
      <c r="D408" s="1" t="s">
        <v>44</v>
      </c>
      <c r="E408" s="1" t="s">
        <v>867</v>
      </c>
      <c r="F408" s="5" t="s">
        <v>479</v>
      </c>
      <c r="G408" s="1" t="s">
        <v>27</v>
      </c>
      <c r="H408">
        <f>VLOOKUP(D408,[1]金額リスト!$A$2:$B$6,2,FALSE)</f>
        <v>114300</v>
      </c>
      <c r="I408" s="1" t="s">
        <v>868</v>
      </c>
      <c r="J408">
        <f t="shared" si="78"/>
        <v>0</v>
      </c>
      <c r="K408">
        <f t="shared" si="79"/>
        <v>0</v>
      </c>
      <c r="L408">
        <f t="shared" si="90"/>
        <v>114300</v>
      </c>
      <c r="M408">
        <f t="shared" si="80"/>
        <v>0</v>
      </c>
      <c r="N408">
        <f t="shared" si="81"/>
        <v>0</v>
      </c>
      <c r="O408">
        <f t="shared" si="82"/>
        <v>0</v>
      </c>
      <c r="P408">
        <f t="shared" si="83"/>
        <v>0</v>
      </c>
      <c r="Q408">
        <f t="shared" si="84"/>
        <v>0</v>
      </c>
      <c r="R408">
        <f t="shared" si="85"/>
        <v>0</v>
      </c>
      <c r="S408">
        <f t="shared" si="86"/>
        <v>0</v>
      </c>
      <c r="T408">
        <f t="shared" si="87"/>
        <v>0</v>
      </c>
      <c r="U408">
        <f t="shared" si="88"/>
        <v>0</v>
      </c>
      <c r="V408">
        <f t="shared" si="89"/>
        <v>0</v>
      </c>
    </row>
    <row r="409" spans="1:22" x14ac:dyDescent="0.4">
      <c r="A409" s="1" t="s">
        <v>1306</v>
      </c>
      <c r="B409" s="1" t="s">
        <v>1307</v>
      </c>
      <c r="C409" s="1" t="s">
        <v>1308</v>
      </c>
      <c r="D409" s="1" t="s">
        <v>25</v>
      </c>
      <c r="E409" s="1" t="s">
        <v>1309</v>
      </c>
      <c r="F409" s="5" t="s">
        <v>479</v>
      </c>
      <c r="G409" s="1" t="s">
        <v>27</v>
      </c>
      <c r="H409">
        <f>VLOOKUP(D409,[1]金額リスト!$A$2:$B$6,2,FALSE)</f>
        <v>59400</v>
      </c>
      <c r="I409" s="1" t="s">
        <v>28</v>
      </c>
      <c r="J409">
        <f t="shared" si="78"/>
        <v>0</v>
      </c>
      <c r="K409">
        <f t="shared" si="79"/>
        <v>0</v>
      </c>
      <c r="L409">
        <f t="shared" si="90"/>
        <v>59400</v>
      </c>
      <c r="M409">
        <f t="shared" si="80"/>
        <v>0</v>
      </c>
      <c r="N409">
        <f t="shared" si="81"/>
        <v>0</v>
      </c>
      <c r="O409">
        <f t="shared" si="82"/>
        <v>0</v>
      </c>
      <c r="P409">
        <f t="shared" si="83"/>
        <v>0</v>
      </c>
      <c r="Q409">
        <f t="shared" si="84"/>
        <v>0</v>
      </c>
      <c r="R409">
        <f t="shared" si="85"/>
        <v>0</v>
      </c>
      <c r="S409">
        <f t="shared" si="86"/>
        <v>0</v>
      </c>
      <c r="T409">
        <f t="shared" si="87"/>
        <v>0</v>
      </c>
      <c r="U409">
        <f t="shared" si="88"/>
        <v>0</v>
      </c>
      <c r="V409">
        <f t="shared" si="89"/>
        <v>0</v>
      </c>
    </row>
    <row r="410" spans="1:22" x14ac:dyDescent="0.4">
      <c r="A410" s="1" t="s">
        <v>1310</v>
      </c>
      <c r="B410" s="1" t="s">
        <v>1311</v>
      </c>
      <c r="C410" s="1" t="s">
        <v>1312</v>
      </c>
      <c r="D410" s="1" t="s">
        <v>44</v>
      </c>
      <c r="E410" s="1" t="s">
        <v>867</v>
      </c>
      <c r="F410" s="5" t="s">
        <v>479</v>
      </c>
      <c r="G410" s="1" t="s">
        <v>27</v>
      </c>
      <c r="H410">
        <f>VLOOKUP(D410,[1]金額リスト!$A$2:$B$6,2,FALSE)</f>
        <v>114300</v>
      </c>
      <c r="I410" s="1" t="s">
        <v>868</v>
      </c>
      <c r="J410">
        <f t="shared" si="78"/>
        <v>0</v>
      </c>
      <c r="K410">
        <f t="shared" si="79"/>
        <v>0</v>
      </c>
      <c r="L410">
        <f t="shared" si="90"/>
        <v>114300</v>
      </c>
      <c r="M410">
        <f t="shared" si="80"/>
        <v>0</v>
      </c>
      <c r="N410">
        <f t="shared" si="81"/>
        <v>0</v>
      </c>
      <c r="O410">
        <f t="shared" si="82"/>
        <v>0</v>
      </c>
      <c r="P410">
        <f t="shared" si="83"/>
        <v>0</v>
      </c>
      <c r="Q410">
        <f t="shared" si="84"/>
        <v>0</v>
      </c>
      <c r="R410">
        <f t="shared" si="85"/>
        <v>0</v>
      </c>
      <c r="S410">
        <f t="shared" si="86"/>
        <v>0</v>
      </c>
      <c r="T410">
        <f t="shared" si="87"/>
        <v>0</v>
      </c>
      <c r="U410">
        <f t="shared" si="88"/>
        <v>0</v>
      </c>
      <c r="V410">
        <f t="shared" si="89"/>
        <v>0</v>
      </c>
    </row>
    <row r="411" spans="1:22" x14ac:dyDescent="0.4">
      <c r="A411" s="1" t="s">
        <v>1313</v>
      </c>
      <c r="B411" s="1" t="s">
        <v>1314</v>
      </c>
      <c r="C411" s="1" t="s">
        <v>1315</v>
      </c>
      <c r="D411" s="1" t="s">
        <v>25</v>
      </c>
      <c r="E411" s="1" t="s">
        <v>1215</v>
      </c>
      <c r="F411" s="5" t="s">
        <v>479</v>
      </c>
      <c r="G411" s="1" t="s">
        <v>27</v>
      </c>
      <c r="H411">
        <f>VLOOKUP(D411,[1]金額リスト!$A$2:$B$6,2,FALSE)</f>
        <v>59400</v>
      </c>
      <c r="I411" s="1" t="s">
        <v>28</v>
      </c>
      <c r="J411">
        <f t="shared" si="78"/>
        <v>0</v>
      </c>
      <c r="K411">
        <f t="shared" si="79"/>
        <v>0</v>
      </c>
      <c r="L411">
        <f t="shared" si="90"/>
        <v>59400</v>
      </c>
      <c r="M411">
        <f t="shared" si="80"/>
        <v>0</v>
      </c>
      <c r="N411">
        <f t="shared" si="81"/>
        <v>0</v>
      </c>
      <c r="O411">
        <f t="shared" si="82"/>
        <v>0</v>
      </c>
      <c r="P411">
        <f t="shared" si="83"/>
        <v>0</v>
      </c>
      <c r="Q411">
        <f t="shared" si="84"/>
        <v>0</v>
      </c>
      <c r="R411">
        <f t="shared" si="85"/>
        <v>0</v>
      </c>
      <c r="S411">
        <f t="shared" si="86"/>
        <v>0</v>
      </c>
      <c r="T411">
        <f t="shared" si="87"/>
        <v>0</v>
      </c>
      <c r="U411">
        <f t="shared" si="88"/>
        <v>0</v>
      </c>
      <c r="V411">
        <f t="shared" si="89"/>
        <v>0</v>
      </c>
    </row>
    <row r="412" spans="1:22" x14ac:dyDescent="0.4">
      <c r="A412" s="1" t="s">
        <v>1316</v>
      </c>
      <c r="B412" s="1" t="s">
        <v>1317</v>
      </c>
      <c r="C412" s="1" t="s">
        <v>1318</v>
      </c>
      <c r="D412" s="1" t="s">
        <v>44</v>
      </c>
      <c r="E412" s="1" t="s">
        <v>932</v>
      </c>
      <c r="F412" s="5" t="s">
        <v>479</v>
      </c>
      <c r="G412" s="1" t="s">
        <v>27</v>
      </c>
      <c r="H412">
        <f>VLOOKUP(D412,[1]金額リスト!$A$2:$B$6,2,FALSE)</f>
        <v>114300</v>
      </c>
      <c r="I412" s="1" t="s">
        <v>868</v>
      </c>
      <c r="J412">
        <f t="shared" si="78"/>
        <v>0</v>
      </c>
      <c r="K412">
        <f t="shared" si="79"/>
        <v>0</v>
      </c>
      <c r="L412">
        <f t="shared" si="90"/>
        <v>114300</v>
      </c>
      <c r="M412">
        <f t="shared" si="80"/>
        <v>0</v>
      </c>
      <c r="N412">
        <f t="shared" si="81"/>
        <v>0</v>
      </c>
      <c r="O412">
        <f t="shared" si="82"/>
        <v>0</v>
      </c>
      <c r="P412">
        <f t="shared" si="83"/>
        <v>0</v>
      </c>
      <c r="Q412">
        <f t="shared" si="84"/>
        <v>0</v>
      </c>
      <c r="R412">
        <f t="shared" si="85"/>
        <v>0</v>
      </c>
      <c r="S412">
        <f t="shared" si="86"/>
        <v>0</v>
      </c>
      <c r="T412">
        <f t="shared" si="87"/>
        <v>0</v>
      </c>
      <c r="U412">
        <f t="shared" si="88"/>
        <v>0</v>
      </c>
      <c r="V412">
        <f t="shared" si="89"/>
        <v>0</v>
      </c>
    </row>
    <row r="413" spans="1:22" x14ac:dyDescent="0.4">
      <c r="A413" s="1" t="s">
        <v>1319</v>
      </c>
      <c r="B413" s="1" t="s">
        <v>1320</v>
      </c>
      <c r="C413" s="1" t="s">
        <v>1321</v>
      </c>
      <c r="D413" s="1" t="s">
        <v>44</v>
      </c>
      <c r="E413" s="1" t="s">
        <v>928</v>
      </c>
      <c r="F413" s="5" t="s">
        <v>479</v>
      </c>
      <c r="G413" s="1" t="s">
        <v>27</v>
      </c>
      <c r="H413">
        <f>VLOOKUP(D413,[1]金額リスト!$A$2:$B$6,2,FALSE)</f>
        <v>114300</v>
      </c>
      <c r="I413" s="1" t="s">
        <v>868</v>
      </c>
      <c r="J413">
        <f t="shared" si="78"/>
        <v>0</v>
      </c>
      <c r="K413">
        <f t="shared" si="79"/>
        <v>0</v>
      </c>
      <c r="L413">
        <f t="shared" si="90"/>
        <v>114300</v>
      </c>
      <c r="M413">
        <f t="shared" si="80"/>
        <v>0</v>
      </c>
      <c r="N413">
        <f t="shared" si="81"/>
        <v>0</v>
      </c>
      <c r="O413">
        <f t="shared" si="82"/>
        <v>0</v>
      </c>
      <c r="P413">
        <f t="shared" si="83"/>
        <v>0</v>
      </c>
      <c r="Q413">
        <f t="shared" si="84"/>
        <v>0</v>
      </c>
      <c r="R413">
        <f t="shared" si="85"/>
        <v>0</v>
      </c>
      <c r="S413">
        <f t="shared" si="86"/>
        <v>0</v>
      </c>
      <c r="T413">
        <f t="shared" si="87"/>
        <v>0</v>
      </c>
      <c r="U413">
        <f t="shared" si="88"/>
        <v>0</v>
      </c>
      <c r="V413">
        <f t="shared" si="89"/>
        <v>0</v>
      </c>
    </row>
    <row r="414" spans="1:22" x14ac:dyDescent="0.4">
      <c r="A414" s="1" t="s">
        <v>1322</v>
      </c>
      <c r="B414" s="1" t="s">
        <v>1323</v>
      </c>
      <c r="C414" s="1" t="s">
        <v>1324</v>
      </c>
      <c r="D414" s="1" t="s">
        <v>44</v>
      </c>
      <c r="E414" s="1" t="s">
        <v>37</v>
      </c>
      <c r="F414" s="5" t="s">
        <v>46</v>
      </c>
      <c r="G414" s="1" t="s">
        <v>27</v>
      </c>
      <c r="H414">
        <f>VLOOKUP(D414,[1]金額リスト!$A$2:$B$6,2,FALSE)</f>
        <v>114300</v>
      </c>
      <c r="I414" s="1" t="s">
        <v>33</v>
      </c>
      <c r="J414">
        <f t="shared" si="78"/>
        <v>0</v>
      </c>
      <c r="K414">
        <f t="shared" si="79"/>
        <v>0</v>
      </c>
      <c r="L414">
        <f t="shared" si="90"/>
        <v>0</v>
      </c>
      <c r="M414">
        <f t="shared" si="80"/>
        <v>0</v>
      </c>
      <c r="N414">
        <f t="shared" si="81"/>
        <v>114300</v>
      </c>
      <c r="O414">
        <f t="shared" si="82"/>
        <v>0</v>
      </c>
      <c r="P414">
        <f t="shared" si="83"/>
        <v>0</v>
      </c>
      <c r="Q414">
        <f t="shared" si="84"/>
        <v>0</v>
      </c>
      <c r="R414">
        <f t="shared" si="85"/>
        <v>0</v>
      </c>
      <c r="S414">
        <f t="shared" si="86"/>
        <v>0</v>
      </c>
      <c r="T414">
        <f t="shared" si="87"/>
        <v>0</v>
      </c>
      <c r="U414">
        <f t="shared" si="88"/>
        <v>0</v>
      </c>
      <c r="V414">
        <f t="shared" si="89"/>
        <v>0</v>
      </c>
    </row>
    <row r="415" spans="1:22" x14ac:dyDescent="0.4">
      <c r="A415" s="1" t="s">
        <v>1325</v>
      </c>
      <c r="B415" s="1" t="s">
        <v>1326</v>
      </c>
      <c r="C415" s="1" t="s">
        <v>1327</v>
      </c>
      <c r="D415" s="1" t="s">
        <v>44</v>
      </c>
      <c r="E415" s="1" t="s">
        <v>867</v>
      </c>
      <c r="F415" s="5" t="s">
        <v>479</v>
      </c>
      <c r="G415" s="1" t="s">
        <v>27</v>
      </c>
      <c r="H415">
        <f>VLOOKUP(D415,[1]金額リスト!$A$2:$B$6,2,FALSE)</f>
        <v>114300</v>
      </c>
      <c r="I415" s="1" t="s">
        <v>868</v>
      </c>
      <c r="J415">
        <f t="shared" si="78"/>
        <v>0</v>
      </c>
      <c r="K415">
        <f t="shared" si="79"/>
        <v>0</v>
      </c>
      <c r="L415">
        <f t="shared" si="90"/>
        <v>114300</v>
      </c>
      <c r="M415">
        <f t="shared" si="80"/>
        <v>0</v>
      </c>
      <c r="N415">
        <f t="shared" si="81"/>
        <v>0</v>
      </c>
      <c r="O415">
        <f t="shared" si="82"/>
        <v>0</v>
      </c>
      <c r="P415">
        <f t="shared" si="83"/>
        <v>0</v>
      </c>
      <c r="Q415">
        <f t="shared" si="84"/>
        <v>0</v>
      </c>
      <c r="R415">
        <f t="shared" si="85"/>
        <v>0</v>
      </c>
      <c r="S415">
        <f t="shared" si="86"/>
        <v>0</v>
      </c>
      <c r="T415">
        <f t="shared" si="87"/>
        <v>0</v>
      </c>
      <c r="U415">
        <f t="shared" si="88"/>
        <v>0</v>
      </c>
      <c r="V415">
        <f t="shared" si="89"/>
        <v>0</v>
      </c>
    </row>
    <row r="416" spans="1:22" x14ac:dyDescent="0.4">
      <c r="A416" s="1" t="s">
        <v>1328</v>
      </c>
      <c r="B416" s="1" t="s">
        <v>1329</v>
      </c>
      <c r="C416" s="1" t="s">
        <v>1330</v>
      </c>
      <c r="D416" s="1" t="s">
        <v>44</v>
      </c>
      <c r="E416" s="1" t="s">
        <v>1137</v>
      </c>
      <c r="F416" s="5" t="s">
        <v>479</v>
      </c>
      <c r="G416" s="1" t="s">
        <v>27</v>
      </c>
      <c r="H416">
        <f>VLOOKUP(D416,[1]金額リスト!$A$2:$B$6,2,FALSE)</f>
        <v>114300</v>
      </c>
      <c r="I416" s="1" t="s">
        <v>868</v>
      </c>
      <c r="J416">
        <f t="shared" si="78"/>
        <v>0</v>
      </c>
      <c r="K416">
        <f t="shared" si="79"/>
        <v>0</v>
      </c>
      <c r="L416">
        <f t="shared" si="90"/>
        <v>114300</v>
      </c>
      <c r="M416">
        <f t="shared" si="80"/>
        <v>0</v>
      </c>
      <c r="N416">
        <f t="shared" si="81"/>
        <v>0</v>
      </c>
      <c r="O416">
        <f t="shared" si="82"/>
        <v>0</v>
      </c>
      <c r="P416">
        <f t="shared" si="83"/>
        <v>0</v>
      </c>
      <c r="Q416">
        <f t="shared" si="84"/>
        <v>0</v>
      </c>
      <c r="R416">
        <f t="shared" si="85"/>
        <v>0</v>
      </c>
      <c r="S416">
        <f t="shared" si="86"/>
        <v>0</v>
      </c>
      <c r="T416">
        <f t="shared" si="87"/>
        <v>0</v>
      </c>
      <c r="U416">
        <f t="shared" si="88"/>
        <v>0</v>
      </c>
      <c r="V416">
        <f t="shared" si="89"/>
        <v>0</v>
      </c>
    </row>
    <row r="417" spans="1:22" x14ac:dyDescent="0.4">
      <c r="A417" s="1" t="s">
        <v>1331</v>
      </c>
      <c r="B417" s="1" t="s">
        <v>1332</v>
      </c>
      <c r="C417" s="1" t="s">
        <v>1333</v>
      </c>
      <c r="D417" s="1" t="s">
        <v>44</v>
      </c>
      <c r="E417" s="1" t="s">
        <v>867</v>
      </c>
      <c r="F417" s="5" t="s">
        <v>479</v>
      </c>
      <c r="G417" s="1" t="s">
        <v>27</v>
      </c>
      <c r="H417">
        <f>VLOOKUP(D417,[1]金額リスト!$A$2:$B$6,2,FALSE)</f>
        <v>114300</v>
      </c>
      <c r="I417" s="1" t="s">
        <v>868</v>
      </c>
      <c r="J417">
        <f t="shared" si="78"/>
        <v>0</v>
      </c>
      <c r="K417">
        <f t="shared" si="79"/>
        <v>0</v>
      </c>
      <c r="L417">
        <f t="shared" si="90"/>
        <v>114300</v>
      </c>
      <c r="M417">
        <f t="shared" si="80"/>
        <v>0</v>
      </c>
      <c r="N417">
        <f t="shared" si="81"/>
        <v>0</v>
      </c>
      <c r="O417">
        <f t="shared" si="82"/>
        <v>0</v>
      </c>
      <c r="P417">
        <f t="shared" si="83"/>
        <v>0</v>
      </c>
      <c r="Q417">
        <f t="shared" si="84"/>
        <v>0</v>
      </c>
      <c r="R417">
        <f t="shared" si="85"/>
        <v>0</v>
      </c>
      <c r="S417">
        <f t="shared" si="86"/>
        <v>0</v>
      </c>
      <c r="T417">
        <f t="shared" si="87"/>
        <v>0</v>
      </c>
      <c r="U417">
        <f t="shared" si="88"/>
        <v>0</v>
      </c>
      <c r="V417">
        <f t="shared" si="89"/>
        <v>0</v>
      </c>
    </row>
    <row r="418" spans="1:22" x14ac:dyDescent="0.4">
      <c r="A418" s="1" t="s">
        <v>1334</v>
      </c>
      <c r="B418" s="1" t="s">
        <v>1335</v>
      </c>
      <c r="C418" s="1" t="s">
        <v>1336</v>
      </c>
      <c r="D418" s="1" t="s">
        <v>44</v>
      </c>
      <c r="E418" s="1" t="s">
        <v>867</v>
      </c>
      <c r="F418" s="5" t="s">
        <v>479</v>
      </c>
      <c r="G418" s="1" t="s">
        <v>27</v>
      </c>
      <c r="H418">
        <f>VLOOKUP(D418,[1]金額リスト!$A$2:$B$6,2,FALSE)</f>
        <v>114300</v>
      </c>
      <c r="I418" s="1" t="s">
        <v>868</v>
      </c>
      <c r="J418">
        <f t="shared" si="78"/>
        <v>0</v>
      </c>
      <c r="K418">
        <f t="shared" si="79"/>
        <v>0</v>
      </c>
      <c r="L418">
        <f t="shared" si="90"/>
        <v>114300</v>
      </c>
      <c r="M418">
        <f t="shared" si="80"/>
        <v>0</v>
      </c>
      <c r="N418">
        <f t="shared" si="81"/>
        <v>0</v>
      </c>
      <c r="O418">
        <f t="shared" si="82"/>
        <v>0</v>
      </c>
      <c r="P418">
        <f t="shared" si="83"/>
        <v>0</v>
      </c>
      <c r="Q418">
        <f t="shared" si="84"/>
        <v>0</v>
      </c>
      <c r="R418">
        <f t="shared" si="85"/>
        <v>0</v>
      </c>
      <c r="S418">
        <f t="shared" si="86"/>
        <v>0</v>
      </c>
      <c r="T418">
        <f t="shared" si="87"/>
        <v>0</v>
      </c>
      <c r="U418">
        <f t="shared" si="88"/>
        <v>0</v>
      </c>
      <c r="V418">
        <f t="shared" si="89"/>
        <v>0</v>
      </c>
    </row>
    <row r="419" spans="1:22" x14ac:dyDescent="0.4">
      <c r="A419" s="1" t="s">
        <v>1337</v>
      </c>
      <c r="B419" s="1" t="s">
        <v>1338</v>
      </c>
      <c r="C419" s="1" t="s">
        <v>1339</v>
      </c>
      <c r="D419" s="1" t="s">
        <v>44</v>
      </c>
      <c r="E419" s="1" t="s">
        <v>1141</v>
      </c>
      <c r="F419" s="5" t="s">
        <v>479</v>
      </c>
      <c r="G419" s="1" t="s">
        <v>27</v>
      </c>
      <c r="H419">
        <f>VLOOKUP(D419,[1]金額リスト!$A$2:$B$6,2,FALSE)</f>
        <v>114300</v>
      </c>
      <c r="I419" s="1" t="s">
        <v>868</v>
      </c>
      <c r="J419">
        <f t="shared" si="78"/>
        <v>0</v>
      </c>
      <c r="K419">
        <f t="shared" si="79"/>
        <v>0</v>
      </c>
      <c r="L419">
        <f t="shared" si="90"/>
        <v>114300</v>
      </c>
      <c r="M419">
        <f t="shared" si="80"/>
        <v>0</v>
      </c>
      <c r="N419">
        <f t="shared" si="81"/>
        <v>0</v>
      </c>
      <c r="O419">
        <f t="shared" si="82"/>
        <v>0</v>
      </c>
      <c r="P419">
        <f t="shared" si="83"/>
        <v>0</v>
      </c>
      <c r="Q419">
        <f t="shared" si="84"/>
        <v>0</v>
      </c>
      <c r="R419">
        <f t="shared" si="85"/>
        <v>0</v>
      </c>
      <c r="S419">
        <f t="shared" si="86"/>
        <v>0</v>
      </c>
      <c r="T419">
        <f t="shared" si="87"/>
        <v>0</v>
      </c>
      <c r="U419">
        <f t="shared" si="88"/>
        <v>0</v>
      </c>
      <c r="V419">
        <f t="shared" si="89"/>
        <v>0</v>
      </c>
    </row>
    <row r="420" spans="1:22" x14ac:dyDescent="0.4">
      <c r="A420" s="1" t="s">
        <v>1340</v>
      </c>
      <c r="B420" s="1" t="s">
        <v>1341</v>
      </c>
      <c r="C420" s="1" t="s">
        <v>1342</v>
      </c>
      <c r="D420" s="1" t="s">
        <v>44</v>
      </c>
      <c r="E420" s="1" t="s">
        <v>928</v>
      </c>
      <c r="F420" s="5" t="s">
        <v>479</v>
      </c>
      <c r="G420" s="1" t="s">
        <v>27</v>
      </c>
      <c r="H420">
        <f>VLOOKUP(D420,[1]金額リスト!$A$2:$B$6,2,FALSE)</f>
        <v>114300</v>
      </c>
      <c r="I420" s="1" t="s">
        <v>868</v>
      </c>
      <c r="J420">
        <f t="shared" si="78"/>
        <v>0</v>
      </c>
      <c r="K420">
        <f t="shared" si="79"/>
        <v>0</v>
      </c>
      <c r="L420">
        <f t="shared" si="90"/>
        <v>114300</v>
      </c>
      <c r="M420">
        <f t="shared" si="80"/>
        <v>0</v>
      </c>
      <c r="N420">
        <f t="shared" si="81"/>
        <v>0</v>
      </c>
      <c r="O420">
        <f t="shared" si="82"/>
        <v>0</v>
      </c>
      <c r="P420">
        <f t="shared" si="83"/>
        <v>0</v>
      </c>
      <c r="Q420">
        <f t="shared" si="84"/>
        <v>0</v>
      </c>
      <c r="R420">
        <f t="shared" si="85"/>
        <v>0</v>
      </c>
      <c r="S420">
        <f t="shared" si="86"/>
        <v>0</v>
      </c>
      <c r="T420">
        <f t="shared" si="87"/>
        <v>0</v>
      </c>
      <c r="U420">
        <f t="shared" si="88"/>
        <v>0</v>
      </c>
      <c r="V420">
        <f t="shared" si="89"/>
        <v>0</v>
      </c>
    </row>
    <row r="421" spans="1:22" x14ac:dyDescent="0.4">
      <c r="A421" s="1" t="s">
        <v>1343</v>
      </c>
      <c r="B421" s="1" t="s">
        <v>1344</v>
      </c>
      <c r="C421" s="1" t="s">
        <v>1345</v>
      </c>
      <c r="D421" s="1" t="s">
        <v>25</v>
      </c>
      <c r="E421" s="1" t="s">
        <v>26</v>
      </c>
      <c r="F421" s="5" t="s">
        <v>479</v>
      </c>
      <c r="G421" s="1" t="s">
        <v>27</v>
      </c>
      <c r="H421">
        <f>VLOOKUP(D421,[1]金額リスト!$A$2:$B$6,2,FALSE)</f>
        <v>59400</v>
      </c>
      <c r="I421" s="1" t="s">
        <v>28</v>
      </c>
      <c r="J421">
        <f t="shared" si="78"/>
        <v>0</v>
      </c>
      <c r="K421">
        <f t="shared" si="79"/>
        <v>0</v>
      </c>
      <c r="L421">
        <f t="shared" si="90"/>
        <v>59400</v>
      </c>
      <c r="M421">
        <f t="shared" si="80"/>
        <v>0</v>
      </c>
      <c r="N421">
        <f t="shared" si="81"/>
        <v>0</v>
      </c>
      <c r="O421">
        <f t="shared" si="82"/>
        <v>0</v>
      </c>
      <c r="P421">
        <f t="shared" si="83"/>
        <v>0</v>
      </c>
      <c r="Q421">
        <f t="shared" si="84"/>
        <v>0</v>
      </c>
      <c r="R421">
        <f t="shared" si="85"/>
        <v>0</v>
      </c>
      <c r="S421">
        <f t="shared" si="86"/>
        <v>0</v>
      </c>
      <c r="T421">
        <f t="shared" si="87"/>
        <v>0</v>
      </c>
      <c r="U421">
        <f t="shared" si="88"/>
        <v>0</v>
      </c>
      <c r="V421">
        <f t="shared" si="89"/>
        <v>0</v>
      </c>
    </row>
    <row r="422" spans="1:22" x14ac:dyDescent="0.4">
      <c r="A422" s="1" t="s">
        <v>1346</v>
      </c>
      <c r="B422" s="1" t="s">
        <v>1347</v>
      </c>
      <c r="C422" s="1" t="s">
        <v>1348</v>
      </c>
      <c r="D422" s="1" t="s">
        <v>25</v>
      </c>
      <c r="E422" s="1" t="s">
        <v>1188</v>
      </c>
      <c r="F422" s="5" t="s">
        <v>479</v>
      </c>
      <c r="G422" s="1" t="s">
        <v>27</v>
      </c>
      <c r="H422">
        <f>VLOOKUP(D422,[1]金額リスト!$A$2:$B$6,2,FALSE)</f>
        <v>59400</v>
      </c>
      <c r="I422" s="1" t="s">
        <v>28</v>
      </c>
      <c r="J422">
        <f t="shared" si="78"/>
        <v>0</v>
      </c>
      <c r="K422">
        <f t="shared" si="79"/>
        <v>0</v>
      </c>
      <c r="L422">
        <f t="shared" si="90"/>
        <v>59400</v>
      </c>
      <c r="M422">
        <f t="shared" si="80"/>
        <v>0</v>
      </c>
      <c r="N422">
        <f t="shared" si="81"/>
        <v>0</v>
      </c>
      <c r="O422">
        <f t="shared" si="82"/>
        <v>0</v>
      </c>
      <c r="P422">
        <f t="shared" si="83"/>
        <v>0</v>
      </c>
      <c r="Q422">
        <f t="shared" si="84"/>
        <v>0</v>
      </c>
      <c r="R422">
        <f t="shared" si="85"/>
        <v>0</v>
      </c>
      <c r="S422">
        <f t="shared" si="86"/>
        <v>0</v>
      </c>
      <c r="T422">
        <f t="shared" si="87"/>
        <v>0</v>
      </c>
      <c r="U422">
        <f t="shared" si="88"/>
        <v>0</v>
      </c>
      <c r="V422">
        <f t="shared" si="89"/>
        <v>0</v>
      </c>
    </row>
    <row r="423" spans="1:22" x14ac:dyDescent="0.4">
      <c r="A423" s="1" t="s">
        <v>1349</v>
      </c>
      <c r="B423" s="1" t="s">
        <v>1350</v>
      </c>
      <c r="C423" s="1" t="s">
        <v>1351</v>
      </c>
      <c r="D423" s="1" t="s">
        <v>44</v>
      </c>
      <c r="E423" s="1" t="s">
        <v>1231</v>
      </c>
      <c r="F423" s="5" t="s">
        <v>479</v>
      </c>
      <c r="G423" s="1" t="s">
        <v>27</v>
      </c>
      <c r="H423">
        <f>VLOOKUP(D423,[1]金額リスト!$A$2:$B$6,2,FALSE)</f>
        <v>114300</v>
      </c>
      <c r="I423" s="1" t="s">
        <v>868</v>
      </c>
      <c r="J423">
        <f t="shared" si="78"/>
        <v>0</v>
      </c>
      <c r="K423">
        <f t="shared" si="79"/>
        <v>0</v>
      </c>
      <c r="L423">
        <f t="shared" si="90"/>
        <v>114300</v>
      </c>
      <c r="M423">
        <f t="shared" si="80"/>
        <v>0</v>
      </c>
      <c r="N423">
        <f t="shared" si="81"/>
        <v>0</v>
      </c>
      <c r="O423">
        <f t="shared" si="82"/>
        <v>0</v>
      </c>
      <c r="P423">
        <f t="shared" si="83"/>
        <v>0</v>
      </c>
      <c r="Q423">
        <f t="shared" si="84"/>
        <v>0</v>
      </c>
      <c r="R423">
        <f t="shared" si="85"/>
        <v>0</v>
      </c>
      <c r="S423">
        <f t="shared" si="86"/>
        <v>0</v>
      </c>
      <c r="T423">
        <f t="shared" si="87"/>
        <v>0</v>
      </c>
      <c r="U423">
        <f t="shared" si="88"/>
        <v>0</v>
      </c>
      <c r="V423">
        <f t="shared" si="89"/>
        <v>0</v>
      </c>
    </row>
    <row r="424" spans="1:22" x14ac:dyDescent="0.4">
      <c r="A424" s="1" t="s">
        <v>1352</v>
      </c>
      <c r="B424" s="1" t="s">
        <v>1353</v>
      </c>
      <c r="C424" s="1" t="s">
        <v>1354</v>
      </c>
      <c r="D424" s="1" t="s">
        <v>44</v>
      </c>
      <c r="E424" s="1" t="s">
        <v>1355</v>
      </c>
      <c r="F424" s="5" t="s">
        <v>75</v>
      </c>
      <c r="G424" s="1" t="s">
        <v>27</v>
      </c>
      <c r="H424">
        <f>VLOOKUP(D424,[1]金額リスト!$A$2:$B$6,2,FALSE)</f>
        <v>114300</v>
      </c>
      <c r="I424" s="1" t="s">
        <v>28</v>
      </c>
      <c r="J424">
        <f t="shared" si="78"/>
        <v>0</v>
      </c>
      <c r="K424">
        <f t="shared" si="79"/>
        <v>0</v>
      </c>
      <c r="L424">
        <f t="shared" si="90"/>
        <v>0</v>
      </c>
      <c r="M424">
        <f t="shared" si="80"/>
        <v>0</v>
      </c>
      <c r="N424">
        <f t="shared" si="81"/>
        <v>0</v>
      </c>
      <c r="O424">
        <f t="shared" si="82"/>
        <v>114300</v>
      </c>
      <c r="P424">
        <f t="shared" si="83"/>
        <v>0</v>
      </c>
      <c r="Q424">
        <f t="shared" si="84"/>
        <v>0</v>
      </c>
      <c r="R424">
        <f t="shared" si="85"/>
        <v>0</v>
      </c>
      <c r="S424">
        <f t="shared" si="86"/>
        <v>0</v>
      </c>
      <c r="T424">
        <f t="shared" si="87"/>
        <v>0</v>
      </c>
      <c r="U424">
        <f t="shared" si="88"/>
        <v>0</v>
      </c>
      <c r="V424">
        <f t="shared" si="89"/>
        <v>0</v>
      </c>
    </row>
    <row r="425" spans="1:22" x14ac:dyDescent="0.4">
      <c r="A425" s="1" t="s">
        <v>1356</v>
      </c>
      <c r="B425" s="1" t="s">
        <v>1357</v>
      </c>
      <c r="C425" s="1" t="s">
        <v>1358</v>
      </c>
      <c r="D425" s="1" t="s">
        <v>44</v>
      </c>
      <c r="E425" s="1" t="s">
        <v>45</v>
      </c>
      <c r="F425" s="5" t="s">
        <v>46</v>
      </c>
      <c r="G425" s="1" t="s">
        <v>27</v>
      </c>
      <c r="H425">
        <f>VLOOKUP(D425,[1]金額リスト!$A$2:$B$6,2,FALSE)</f>
        <v>114300</v>
      </c>
      <c r="I425" s="1" t="s">
        <v>33</v>
      </c>
      <c r="J425">
        <f t="shared" si="78"/>
        <v>0</v>
      </c>
      <c r="K425">
        <f t="shared" si="79"/>
        <v>0</v>
      </c>
      <c r="L425">
        <f t="shared" si="90"/>
        <v>0</v>
      </c>
      <c r="M425">
        <f t="shared" si="80"/>
        <v>0</v>
      </c>
      <c r="N425">
        <f t="shared" si="81"/>
        <v>114300</v>
      </c>
      <c r="O425">
        <f t="shared" si="82"/>
        <v>0</v>
      </c>
      <c r="P425">
        <f t="shared" si="83"/>
        <v>0</v>
      </c>
      <c r="Q425">
        <f t="shared" si="84"/>
        <v>0</v>
      </c>
      <c r="R425">
        <f t="shared" si="85"/>
        <v>0</v>
      </c>
      <c r="S425">
        <f t="shared" si="86"/>
        <v>0</v>
      </c>
      <c r="T425">
        <f t="shared" si="87"/>
        <v>0</v>
      </c>
      <c r="U425">
        <f t="shared" si="88"/>
        <v>0</v>
      </c>
      <c r="V425">
        <f t="shared" si="89"/>
        <v>0</v>
      </c>
    </row>
    <row r="426" spans="1:22" x14ac:dyDescent="0.4">
      <c r="A426" s="1" t="s">
        <v>1359</v>
      </c>
      <c r="B426" s="1" t="s">
        <v>1360</v>
      </c>
      <c r="C426" s="1" t="s">
        <v>1361</v>
      </c>
      <c r="D426" s="1" t="s">
        <v>25</v>
      </c>
      <c r="E426" s="1" t="s">
        <v>920</v>
      </c>
      <c r="F426" s="5" t="s">
        <v>479</v>
      </c>
      <c r="G426" s="1" t="s">
        <v>27</v>
      </c>
      <c r="H426">
        <f>VLOOKUP(D426,[1]金額リスト!$A$2:$B$6,2,FALSE)</f>
        <v>59400</v>
      </c>
      <c r="I426" s="1" t="s">
        <v>28</v>
      </c>
      <c r="J426">
        <f t="shared" si="78"/>
        <v>0</v>
      </c>
      <c r="K426">
        <f t="shared" si="79"/>
        <v>0</v>
      </c>
      <c r="L426">
        <f t="shared" si="90"/>
        <v>59400</v>
      </c>
      <c r="M426">
        <f t="shared" si="80"/>
        <v>0</v>
      </c>
      <c r="N426">
        <f t="shared" si="81"/>
        <v>0</v>
      </c>
      <c r="O426">
        <f t="shared" si="82"/>
        <v>0</v>
      </c>
      <c r="P426">
        <f t="shared" si="83"/>
        <v>0</v>
      </c>
      <c r="Q426">
        <f t="shared" si="84"/>
        <v>0</v>
      </c>
      <c r="R426">
        <f t="shared" si="85"/>
        <v>0</v>
      </c>
      <c r="S426">
        <f t="shared" si="86"/>
        <v>0</v>
      </c>
      <c r="T426">
        <f t="shared" si="87"/>
        <v>0</v>
      </c>
      <c r="U426">
        <f t="shared" si="88"/>
        <v>0</v>
      </c>
      <c r="V426">
        <f t="shared" si="89"/>
        <v>0</v>
      </c>
    </row>
    <row r="427" spans="1:22" x14ac:dyDescent="0.4">
      <c r="A427" s="1" t="s">
        <v>1362</v>
      </c>
      <c r="B427" s="1" t="s">
        <v>1363</v>
      </c>
      <c r="C427" s="1" t="s">
        <v>1364</v>
      </c>
      <c r="D427" s="1" t="s">
        <v>44</v>
      </c>
      <c r="E427" s="1" t="s">
        <v>56</v>
      </c>
      <c r="F427" s="5" t="s">
        <v>46</v>
      </c>
      <c r="G427" s="1" t="s">
        <v>27</v>
      </c>
      <c r="H427">
        <f>VLOOKUP(D427,[1]金額リスト!$A$2:$B$6,2,FALSE)</f>
        <v>114300</v>
      </c>
      <c r="I427" s="1" t="s">
        <v>33</v>
      </c>
      <c r="J427">
        <f t="shared" si="78"/>
        <v>0</v>
      </c>
      <c r="K427">
        <f t="shared" si="79"/>
        <v>0</v>
      </c>
      <c r="L427">
        <f t="shared" si="90"/>
        <v>0</v>
      </c>
      <c r="M427">
        <f t="shared" si="80"/>
        <v>0</v>
      </c>
      <c r="N427">
        <f t="shared" si="81"/>
        <v>114300</v>
      </c>
      <c r="O427">
        <f t="shared" si="82"/>
        <v>0</v>
      </c>
      <c r="P427">
        <f t="shared" si="83"/>
        <v>0</v>
      </c>
      <c r="Q427">
        <f t="shared" si="84"/>
        <v>0</v>
      </c>
      <c r="R427">
        <f t="shared" si="85"/>
        <v>0</v>
      </c>
      <c r="S427">
        <f t="shared" si="86"/>
        <v>0</v>
      </c>
      <c r="T427">
        <f t="shared" si="87"/>
        <v>0</v>
      </c>
      <c r="U427">
        <f t="shared" si="88"/>
        <v>0</v>
      </c>
      <c r="V427">
        <f t="shared" si="89"/>
        <v>0</v>
      </c>
    </row>
    <row r="428" spans="1:22" x14ac:dyDescent="0.4">
      <c r="A428" s="1" t="s">
        <v>1365</v>
      </c>
      <c r="B428" s="1" t="s">
        <v>1366</v>
      </c>
      <c r="C428" s="1" t="s">
        <v>1367</v>
      </c>
      <c r="D428" s="1" t="s">
        <v>44</v>
      </c>
      <c r="E428" s="1" t="s">
        <v>867</v>
      </c>
      <c r="F428" s="5" t="s">
        <v>479</v>
      </c>
      <c r="G428" s="1" t="s">
        <v>27</v>
      </c>
      <c r="H428">
        <f>VLOOKUP(D428,[1]金額リスト!$A$2:$B$6,2,FALSE)</f>
        <v>114300</v>
      </c>
      <c r="I428" s="1" t="s">
        <v>868</v>
      </c>
      <c r="J428">
        <f t="shared" si="78"/>
        <v>0</v>
      </c>
      <c r="K428">
        <f t="shared" si="79"/>
        <v>0</v>
      </c>
      <c r="L428">
        <f t="shared" si="90"/>
        <v>114300</v>
      </c>
      <c r="M428">
        <f t="shared" si="80"/>
        <v>0</v>
      </c>
      <c r="N428">
        <f t="shared" si="81"/>
        <v>0</v>
      </c>
      <c r="O428">
        <f t="shared" si="82"/>
        <v>0</v>
      </c>
      <c r="P428">
        <f t="shared" si="83"/>
        <v>0</v>
      </c>
      <c r="Q428">
        <f t="shared" si="84"/>
        <v>0</v>
      </c>
      <c r="R428">
        <f t="shared" si="85"/>
        <v>0</v>
      </c>
      <c r="S428">
        <f t="shared" si="86"/>
        <v>0</v>
      </c>
      <c r="T428">
        <f t="shared" si="87"/>
        <v>0</v>
      </c>
      <c r="U428">
        <f t="shared" si="88"/>
        <v>0</v>
      </c>
      <c r="V428">
        <f t="shared" si="89"/>
        <v>0</v>
      </c>
    </row>
    <row r="429" spans="1:22" x14ac:dyDescent="0.4">
      <c r="A429" s="1" t="s">
        <v>1368</v>
      </c>
      <c r="B429" s="1" t="s">
        <v>1369</v>
      </c>
      <c r="C429" s="1" t="s">
        <v>1370</v>
      </c>
      <c r="D429" s="1" t="s">
        <v>44</v>
      </c>
      <c r="E429" s="1" t="s">
        <v>63</v>
      </c>
      <c r="F429" s="5" t="s">
        <v>46</v>
      </c>
      <c r="G429" s="1" t="s">
        <v>27</v>
      </c>
      <c r="H429">
        <f>VLOOKUP(D429,[1]金額リスト!$A$2:$B$6,2,FALSE)</f>
        <v>114300</v>
      </c>
      <c r="I429" s="1" t="s">
        <v>33</v>
      </c>
      <c r="J429">
        <f t="shared" si="78"/>
        <v>0</v>
      </c>
      <c r="K429">
        <f t="shared" si="79"/>
        <v>0</v>
      </c>
      <c r="L429">
        <f t="shared" si="90"/>
        <v>0</v>
      </c>
      <c r="M429">
        <f t="shared" si="80"/>
        <v>0</v>
      </c>
      <c r="N429">
        <f t="shared" si="81"/>
        <v>114300</v>
      </c>
      <c r="O429">
        <f t="shared" si="82"/>
        <v>0</v>
      </c>
      <c r="P429">
        <f t="shared" si="83"/>
        <v>0</v>
      </c>
      <c r="Q429">
        <f t="shared" si="84"/>
        <v>0</v>
      </c>
      <c r="R429">
        <f t="shared" si="85"/>
        <v>0</v>
      </c>
      <c r="S429">
        <f t="shared" si="86"/>
        <v>0</v>
      </c>
      <c r="T429">
        <f t="shared" si="87"/>
        <v>0</v>
      </c>
      <c r="U429">
        <f t="shared" si="88"/>
        <v>0</v>
      </c>
      <c r="V429">
        <f t="shared" si="89"/>
        <v>0</v>
      </c>
    </row>
    <row r="430" spans="1:22" x14ac:dyDescent="0.4">
      <c r="A430" s="1" t="s">
        <v>1371</v>
      </c>
      <c r="B430" s="1" t="s">
        <v>1372</v>
      </c>
      <c r="C430" s="1" t="s">
        <v>1373</v>
      </c>
      <c r="D430" s="1" t="s">
        <v>44</v>
      </c>
      <c r="E430" s="1" t="s">
        <v>1374</v>
      </c>
      <c r="F430" s="5" t="s">
        <v>479</v>
      </c>
      <c r="G430" s="1" t="s">
        <v>27</v>
      </c>
      <c r="H430">
        <f>VLOOKUP(D430,[1]金額リスト!$A$2:$B$6,2,FALSE)</f>
        <v>114300</v>
      </c>
      <c r="I430" s="1" t="s">
        <v>868</v>
      </c>
      <c r="J430">
        <f t="shared" si="78"/>
        <v>0</v>
      </c>
      <c r="K430">
        <f t="shared" si="79"/>
        <v>0</v>
      </c>
      <c r="L430">
        <f t="shared" si="90"/>
        <v>114300</v>
      </c>
      <c r="M430">
        <f t="shared" si="80"/>
        <v>0</v>
      </c>
      <c r="N430">
        <f t="shared" si="81"/>
        <v>0</v>
      </c>
      <c r="O430">
        <f t="shared" si="82"/>
        <v>0</v>
      </c>
      <c r="P430">
        <f t="shared" si="83"/>
        <v>0</v>
      </c>
      <c r="Q430">
        <f t="shared" si="84"/>
        <v>0</v>
      </c>
      <c r="R430">
        <f t="shared" si="85"/>
        <v>0</v>
      </c>
      <c r="S430">
        <f t="shared" si="86"/>
        <v>0</v>
      </c>
      <c r="T430">
        <f t="shared" si="87"/>
        <v>0</v>
      </c>
      <c r="U430">
        <f t="shared" si="88"/>
        <v>0</v>
      </c>
      <c r="V430">
        <f t="shared" si="89"/>
        <v>0</v>
      </c>
    </row>
    <row r="431" spans="1:22" x14ac:dyDescent="0.4">
      <c r="A431" s="1" t="s">
        <v>1375</v>
      </c>
      <c r="B431" s="1" t="s">
        <v>1376</v>
      </c>
      <c r="C431" s="1" t="s">
        <v>1377</v>
      </c>
      <c r="D431" s="1" t="s">
        <v>44</v>
      </c>
      <c r="E431" s="1" t="s">
        <v>37</v>
      </c>
      <c r="F431" s="5" t="s">
        <v>46</v>
      </c>
      <c r="G431" s="1" t="s">
        <v>27</v>
      </c>
      <c r="H431">
        <f>VLOOKUP(D431,[1]金額リスト!$A$2:$B$6,2,FALSE)</f>
        <v>114300</v>
      </c>
      <c r="I431" s="1" t="s">
        <v>33</v>
      </c>
      <c r="J431">
        <f t="shared" si="78"/>
        <v>0</v>
      </c>
      <c r="K431">
        <f t="shared" si="79"/>
        <v>0</v>
      </c>
      <c r="L431">
        <f t="shared" si="90"/>
        <v>0</v>
      </c>
      <c r="M431">
        <f t="shared" si="80"/>
        <v>0</v>
      </c>
      <c r="N431">
        <f t="shared" si="81"/>
        <v>114300</v>
      </c>
      <c r="O431">
        <f t="shared" si="82"/>
        <v>0</v>
      </c>
      <c r="P431">
        <f t="shared" si="83"/>
        <v>0</v>
      </c>
      <c r="Q431">
        <f t="shared" si="84"/>
        <v>0</v>
      </c>
      <c r="R431">
        <f t="shared" si="85"/>
        <v>0</v>
      </c>
      <c r="S431">
        <f t="shared" si="86"/>
        <v>0</v>
      </c>
      <c r="T431">
        <f t="shared" si="87"/>
        <v>0</v>
      </c>
      <c r="U431">
        <f t="shared" si="88"/>
        <v>0</v>
      </c>
      <c r="V431">
        <f t="shared" si="89"/>
        <v>0</v>
      </c>
    </row>
    <row r="432" spans="1:22" x14ac:dyDescent="0.4">
      <c r="A432" s="1" t="s">
        <v>1378</v>
      </c>
      <c r="B432" s="1" t="s">
        <v>1379</v>
      </c>
      <c r="C432" s="1" t="s">
        <v>1380</v>
      </c>
      <c r="D432" s="1" t="s">
        <v>44</v>
      </c>
      <c r="E432" s="1" t="s">
        <v>1309</v>
      </c>
      <c r="F432" s="5" t="s">
        <v>479</v>
      </c>
      <c r="G432" s="1" t="s">
        <v>27</v>
      </c>
      <c r="H432">
        <f>VLOOKUP(D432,[1]金額リスト!$A$2:$B$6,2,FALSE)</f>
        <v>114300</v>
      </c>
      <c r="I432" s="1" t="s">
        <v>868</v>
      </c>
      <c r="J432">
        <f t="shared" si="78"/>
        <v>0</v>
      </c>
      <c r="K432">
        <f t="shared" si="79"/>
        <v>0</v>
      </c>
      <c r="L432">
        <f t="shared" si="90"/>
        <v>114300</v>
      </c>
      <c r="M432">
        <f t="shared" si="80"/>
        <v>0</v>
      </c>
      <c r="N432">
        <f t="shared" si="81"/>
        <v>0</v>
      </c>
      <c r="O432">
        <f t="shared" si="82"/>
        <v>0</v>
      </c>
      <c r="P432">
        <f t="shared" si="83"/>
        <v>0</v>
      </c>
      <c r="Q432">
        <f t="shared" si="84"/>
        <v>0</v>
      </c>
      <c r="R432">
        <f t="shared" si="85"/>
        <v>0</v>
      </c>
      <c r="S432">
        <f t="shared" si="86"/>
        <v>0</v>
      </c>
      <c r="T432">
        <f t="shared" si="87"/>
        <v>0</v>
      </c>
      <c r="U432">
        <f t="shared" si="88"/>
        <v>0</v>
      </c>
      <c r="V432">
        <f t="shared" si="89"/>
        <v>0</v>
      </c>
    </row>
    <row r="433" spans="1:22" x14ac:dyDescent="0.4">
      <c r="A433" s="1" t="s">
        <v>1381</v>
      </c>
      <c r="B433" s="1" t="s">
        <v>1382</v>
      </c>
      <c r="C433" s="1" t="s">
        <v>1383</v>
      </c>
      <c r="D433" s="1" t="s">
        <v>44</v>
      </c>
      <c r="E433" s="1" t="s">
        <v>376</v>
      </c>
      <c r="F433" s="5" t="s">
        <v>46</v>
      </c>
      <c r="G433" s="1" t="s">
        <v>27</v>
      </c>
      <c r="H433">
        <f>VLOOKUP(D433,[1]金額リスト!$A$2:$B$6,2,FALSE)</f>
        <v>114300</v>
      </c>
      <c r="I433" s="1" t="s">
        <v>33</v>
      </c>
      <c r="J433">
        <f t="shared" si="78"/>
        <v>0</v>
      </c>
      <c r="K433">
        <f t="shared" si="79"/>
        <v>0</v>
      </c>
      <c r="L433">
        <f t="shared" si="90"/>
        <v>0</v>
      </c>
      <c r="M433">
        <f t="shared" si="80"/>
        <v>0</v>
      </c>
      <c r="N433">
        <f t="shared" si="81"/>
        <v>114300</v>
      </c>
      <c r="O433">
        <f t="shared" si="82"/>
        <v>0</v>
      </c>
      <c r="P433">
        <f t="shared" si="83"/>
        <v>0</v>
      </c>
      <c r="Q433">
        <f t="shared" si="84"/>
        <v>0</v>
      </c>
      <c r="R433">
        <f t="shared" si="85"/>
        <v>0</v>
      </c>
      <c r="S433">
        <f t="shared" si="86"/>
        <v>0</v>
      </c>
      <c r="T433">
        <f t="shared" si="87"/>
        <v>0</v>
      </c>
      <c r="U433">
        <f t="shared" si="88"/>
        <v>0</v>
      </c>
      <c r="V433">
        <f t="shared" si="89"/>
        <v>0</v>
      </c>
    </row>
    <row r="434" spans="1:22" x14ac:dyDescent="0.4">
      <c r="A434" s="1" t="s">
        <v>1384</v>
      </c>
      <c r="B434" s="1" t="s">
        <v>1385</v>
      </c>
      <c r="C434" s="1" t="s">
        <v>1386</v>
      </c>
      <c r="D434" s="1" t="s">
        <v>44</v>
      </c>
      <c r="E434" s="1" t="s">
        <v>227</v>
      </c>
      <c r="F434" s="5" t="s">
        <v>46</v>
      </c>
      <c r="G434" s="1" t="s">
        <v>27</v>
      </c>
      <c r="H434">
        <f>VLOOKUP(D434,[1]金額リスト!$A$2:$B$6,2,FALSE)</f>
        <v>114300</v>
      </c>
      <c r="I434" s="1" t="s">
        <v>33</v>
      </c>
      <c r="J434">
        <f t="shared" si="78"/>
        <v>0</v>
      </c>
      <c r="K434">
        <f t="shared" si="79"/>
        <v>0</v>
      </c>
      <c r="L434">
        <f t="shared" si="90"/>
        <v>0</v>
      </c>
      <c r="M434">
        <f t="shared" si="80"/>
        <v>0</v>
      </c>
      <c r="N434">
        <f t="shared" si="81"/>
        <v>114300</v>
      </c>
      <c r="O434">
        <f t="shared" si="82"/>
        <v>0</v>
      </c>
      <c r="P434">
        <f t="shared" si="83"/>
        <v>0</v>
      </c>
      <c r="Q434">
        <f t="shared" si="84"/>
        <v>0</v>
      </c>
      <c r="R434">
        <f t="shared" si="85"/>
        <v>0</v>
      </c>
      <c r="S434">
        <f t="shared" si="86"/>
        <v>0</v>
      </c>
      <c r="T434">
        <f t="shared" si="87"/>
        <v>0</v>
      </c>
      <c r="U434">
        <f t="shared" si="88"/>
        <v>0</v>
      </c>
      <c r="V434">
        <f t="shared" si="89"/>
        <v>0</v>
      </c>
    </row>
    <row r="435" spans="1:22" x14ac:dyDescent="0.4">
      <c r="A435" s="1" t="s">
        <v>1387</v>
      </c>
      <c r="B435" s="1" t="s">
        <v>1388</v>
      </c>
      <c r="C435" s="1" t="s">
        <v>1389</v>
      </c>
      <c r="D435" s="1" t="s">
        <v>44</v>
      </c>
      <c r="E435" s="1" t="s">
        <v>37</v>
      </c>
      <c r="F435" s="5" t="s">
        <v>46</v>
      </c>
      <c r="G435" s="1" t="s">
        <v>27</v>
      </c>
      <c r="H435">
        <f>VLOOKUP(D435,[1]金額リスト!$A$2:$B$6,2,FALSE)</f>
        <v>114300</v>
      </c>
      <c r="I435" s="1" t="s">
        <v>33</v>
      </c>
      <c r="J435">
        <f t="shared" si="78"/>
        <v>0</v>
      </c>
      <c r="K435">
        <f t="shared" si="79"/>
        <v>0</v>
      </c>
      <c r="L435">
        <f t="shared" si="90"/>
        <v>0</v>
      </c>
      <c r="M435">
        <f t="shared" si="80"/>
        <v>0</v>
      </c>
      <c r="N435">
        <f t="shared" si="81"/>
        <v>114300</v>
      </c>
      <c r="O435">
        <f t="shared" si="82"/>
        <v>0</v>
      </c>
      <c r="P435">
        <f t="shared" si="83"/>
        <v>0</v>
      </c>
      <c r="Q435">
        <f t="shared" si="84"/>
        <v>0</v>
      </c>
      <c r="R435">
        <f t="shared" si="85"/>
        <v>0</v>
      </c>
      <c r="S435">
        <f t="shared" si="86"/>
        <v>0</v>
      </c>
      <c r="T435">
        <f t="shared" si="87"/>
        <v>0</v>
      </c>
      <c r="U435">
        <f t="shared" si="88"/>
        <v>0</v>
      </c>
      <c r="V435">
        <f t="shared" si="89"/>
        <v>0</v>
      </c>
    </row>
    <row r="436" spans="1:22" x14ac:dyDescent="0.4">
      <c r="A436" s="1" t="s">
        <v>1390</v>
      </c>
      <c r="B436" s="1" t="s">
        <v>1391</v>
      </c>
      <c r="C436" s="1" t="s">
        <v>1392</v>
      </c>
      <c r="D436" s="1" t="s">
        <v>44</v>
      </c>
      <c r="E436" s="1" t="s">
        <v>86</v>
      </c>
      <c r="F436" s="5" t="s">
        <v>46</v>
      </c>
      <c r="G436" s="1" t="s">
        <v>27</v>
      </c>
      <c r="H436">
        <f>VLOOKUP(D436,[1]金額リスト!$A$2:$B$6,2,FALSE)</f>
        <v>114300</v>
      </c>
      <c r="I436" s="1" t="s">
        <v>33</v>
      </c>
      <c r="J436">
        <f t="shared" si="78"/>
        <v>0</v>
      </c>
      <c r="K436">
        <f t="shared" si="79"/>
        <v>0</v>
      </c>
      <c r="L436">
        <f t="shared" si="90"/>
        <v>0</v>
      </c>
      <c r="M436">
        <f t="shared" si="80"/>
        <v>0</v>
      </c>
      <c r="N436">
        <f t="shared" si="81"/>
        <v>114300</v>
      </c>
      <c r="O436">
        <f t="shared" si="82"/>
        <v>0</v>
      </c>
      <c r="P436">
        <f t="shared" si="83"/>
        <v>0</v>
      </c>
      <c r="Q436">
        <f t="shared" si="84"/>
        <v>0</v>
      </c>
      <c r="R436">
        <f t="shared" si="85"/>
        <v>0</v>
      </c>
      <c r="S436">
        <f t="shared" si="86"/>
        <v>0</v>
      </c>
      <c r="T436">
        <f t="shared" si="87"/>
        <v>0</v>
      </c>
      <c r="U436">
        <f t="shared" si="88"/>
        <v>0</v>
      </c>
      <c r="V436">
        <f t="shared" si="89"/>
        <v>0</v>
      </c>
    </row>
    <row r="437" spans="1:22" x14ac:dyDescent="0.4">
      <c r="A437" s="1" t="s">
        <v>1393</v>
      </c>
      <c r="B437" s="1" t="s">
        <v>1394</v>
      </c>
      <c r="C437" s="1" t="s">
        <v>1395</v>
      </c>
      <c r="D437" s="1" t="s">
        <v>44</v>
      </c>
      <c r="E437" s="1" t="s">
        <v>1161</v>
      </c>
      <c r="F437" s="5" t="s">
        <v>479</v>
      </c>
      <c r="G437" s="1" t="s">
        <v>27</v>
      </c>
      <c r="H437">
        <f>VLOOKUP(D437,[1]金額リスト!$A$2:$B$6,2,FALSE)</f>
        <v>114300</v>
      </c>
      <c r="I437" s="1" t="s">
        <v>868</v>
      </c>
      <c r="J437">
        <f t="shared" si="78"/>
        <v>0</v>
      </c>
      <c r="K437">
        <f t="shared" si="79"/>
        <v>0</v>
      </c>
      <c r="L437">
        <f t="shared" si="90"/>
        <v>114300</v>
      </c>
      <c r="M437">
        <f t="shared" si="80"/>
        <v>0</v>
      </c>
      <c r="N437">
        <f t="shared" si="81"/>
        <v>0</v>
      </c>
      <c r="O437">
        <f t="shared" si="82"/>
        <v>0</v>
      </c>
      <c r="P437">
        <f t="shared" si="83"/>
        <v>0</v>
      </c>
      <c r="Q437">
        <f t="shared" si="84"/>
        <v>0</v>
      </c>
      <c r="R437">
        <f t="shared" si="85"/>
        <v>0</v>
      </c>
      <c r="S437">
        <f t="shared" si="86"/>
        <v>0</v>
      </c>
      <c r="T437">
        <f t="shared" si="87"/>
        <v>0</v>
      </c>
      <c r="U437">
        <f t="shared" si="88"/>
        <v>0</v>
      </c>
      <c r="V437">
        <f t="shared" si="89"/>
        <v>0</v>
      </c>
    </row>
    <row r="438" spans="1:22" x14ac:dyDescent="0.4">
      <c r="A438" s="1" t="s">
        <v>1396</v>
      </c>
      <c r="B438" s="1" t="s">
        <v>1397</v>
      </c>
      <c r="C438" s="1" t="s">
        <v>1398</v>
      </c>
      <c r="D438" s="1" t="s">
        <v>44</v>
      </c>
      <c r="E438" s="1" t="s">
        <v>86</v>
      </c>
      <c r="F438" s="5" t="s">
        <v>46</v>
      </c>
      <c r="G438" s="1" t="s">
        <v>27</v>
      </c>
      <c r="H438">
        <f>VLOOKUP(D438,[1]金額リスト!$A$2:$B$6,2,FALSE)</f>
        <v>114300</v>
      </c>
      <c r="I438" s="1" t="s">
        <v>33</v>
      </c>
      <c r="J438">
        <f t="shared" si="78"/>
        <v>0</v>
      </c>
      <c r="K438">
        <f t="shared" si="79"/>
        <v>0</v>
      </c>
      <c r="L438">
        <f t="shared" si="90"/>
        <v>0</v>
      </c>
      <c r="M438">
        <f t="shared" si="80"/>
        <v>0</v>
      </c>
      <c r="N438">
        <f t="shared" si="81"/>
        <v>114300</v>
      </c>
      <c r="O438">
        <f t="shared" si="82"/>
        <v>0</v>
      </c>
      <c r="P438">
        <f t="shared" si="83"/>
        <v>0</v>
      </c>
      <c r="Q438">
        <f t="shared" si="84"/>
        <v>0</v>
      </c>
      <c r="R438">
        <f t="shared" si="85"/>
        <v>0</v>
      </c>
      <c r="S438">
        <f t="shared" si="86"/>
        <v>0</v>
      </c>
      <c r="T438">
        <f t="shared" si="87"/>
        <v>0</v>
      </c>
      <c r="U438">
        <f t="shared" si="88"/>
        <v>0</v>
      </c>
      <c r="V438">
        <f t="shared" si="89"/>
        <v>0</v>
      </c>
    </row>
    <row r="439" spans="1:22" x14ac:dyDescent="0.4">
      <c r="A439" s="1" t="s">
        <v>1399</v>
      </c>
      <c r="B439" s="1" t="s">
        <v>1400</v>
      </c>
      <c r="C439" s="1" t="s">
        <v>1401</v>
      </c>
      <c r="D439" s="1" t="s">
        <v>25</v>
      </c>
      <c r="E439" s="1" t="s">
        <v>1402</v>
      </c>
      <c r="F439" s="5" t="s">
        <v>479</v>
      </c>
      <c r="G439" s="1" t="s">
        <v>27</v>
      </c>
      <c r="H439">
        <f>VLOOKUP(D439,[1]金額リスト!$A$2:$B$6,2,FALSE)</f>
        <v>59400</v>
      </c>
      <c r="I439" s="1" t="s">
        <v>28</v>
      </c>
      <c r="J439">
        <f t="shared" si="78"/>
        <v>0</v>
      </c>
      <c r="K439">
        <f t="shared" si="79"/>
        <v>0</v>
      </c>
      <c r="L439">
        <f t="shared" si="90"/>
        <v>59400</v>
      </c>
      <c r="M439">
        <f t="shared" si="80"/>
        <v>0</v>
      </c>
      <c r="N439">
        <f t="shared" si="81"/>
        <v>0</v>
      </c>
      <c r="O439">
        <f t="shared" si="82"/>
        <v>0</v>
      </c>
      <c r="P439">
        <f t="shared" si="83"/>
        <v>0</v>
      </c>
      <c r="Q439">
        <f t="shared" si="84"/>
        <v>0</v>
      </c>
      <c r="R439">
        <f t="shared" si="85"/>
        <v>0</v>
      </c>
      <c r="S439">
        <f t="shared" si="86"/>
        <v>0</v>
      </c>
      <c r="T439">
        <f t="shared" si="87"/>
        <v>0</v>
      </c>
      <c r="U439">
        <f t="shared" si="88"/>
        <v>0</v>
      </c>
      <c r="V439">
        <f t="shared" si="89"/>
        <v>0</v>
      </c>
    </row>
    <row r="440" spans="1:22" x14ac:dyDescent="0.4">
      <c r="A440" s="1" t="s">
        <v>1403</v>
      </c>
      <c r="B440" s="1" t="s">
        <v>1404</v>
      </c>
      <c r="C440" s="1" t="s">
        <v>1405</v>
      </c>
      <c r="D440" s="1" t="s">
        <v>44</v>
      </c>
      <c r="E440" s="1" t="s">
        <v>1137</v>
      </c>
      <c r="F440" s="5" t="s">
        <v>479</v>
      </c>
      <c r="G440" s="1" t="s">
        <v>27</v>
      </c>
      <c r="H440">
        <f>VLOOKUP(D440,[1]金額リスト!$A$2:$B$6,2,FALSE)</f>
        <v>114300</v>
      </c>
      <c r="I440" s="1" t="s">
        <v>868</v>
      </c>
      <c r="J440">
        <f t="shared" si="78"/>
        <v>0</v>
      </c>
      <c r="K440">
        <f t="shared" si="79"/>
        <v>0</v>
      </c>
      <c r="L440">
        <f t="shared" si="90"/>
        <v>114300</v>
      </c>
      <c r="M440">
        <f t="shared" si="80"/>
        <v>0</v>
      </c>
      <c r="N440">
        <f t="shared" si="81"/>
        <v>0</v>
      </c>
      <c r="O440">
        <f t="shared" si="82"/>
        <v>0</v>
      </c>
      <c r="P440">
        <f t="shared" si="83"/>
        <v>0</v>
      </c>
      <c r="Q440">
        <f t="shared" si="84"/>
        <v>0</v>
      </c>
      <c r="R440">
        <f t="shared" si="85"/>
        <v>0</v>
      </c>
      <c r="S440">
        <f t="shared" si="86"/>
        <v>0</v>
      </c>
      <c r="T440">
        <f t="shared" si="87"/>
        <v>0</v>
      </c>
      <c r="U440">
        <f t="shared" si="88"/>
        <v>0</v>
      </c>
      <c r="V440">
        <f t="shared" si="89"/>
        <v>0</v>
      </c>
    </row>
    <row r="441" spans="1:22" x14ac:dyDescent="0.4">
      <c r="A441" s="1" t="s">
        <v>1406</v>
      </c>
      <c r="B441" s="1" t="s">
        <v>1407</v>
      </c>
      <c r="C441" s="1" t="s">
        <v>1408</v>
      </c>
      <c r="D441" s="1" t="s">
        <v>44</v>
      </c>
      <c r="E441" s="1" t="s">
        <v>97</v>
      </c>
      <c r="F441" s="5" t="s">
        <v>46</v>
      </c>
      <c r="G441" s="1" t="s">
        <v>27</v>
      </c>
      <c r="H441">
        <f>VLOOKUP(D441,[1]金額リスト!$A$2:$B$6,2,FALSE)</f>
        <v>114300</v>
      </c>
      <c r="I441" s="1" t="s">
        <v>33</v>
      </c>
      <c r="J441">
        <f t="shared" si="78"/>
        <v>0</v>
      </c>
      <c r="K441">
        <f t="shared" si="79"/>
        <v>0</v>
      </c>
      <c r="L441">
        <f t="shared" si="90"/>
        <v>0</v>
      </c>
      <c r="M441">
        <f t="shared" si="80"/>
        <v>0</v>
      </c>
      <c r="N441">
        <f t="shared" si="81"/>
        <v>114300</v>
      </c>
      <c r="O441">
        <f t="shared" si="82"/>
        <v>0</v>
      </c>
      <c r="P441">
        <f t="shared" si="83"/>
        <v>0</v>
      </c>
      <c r="Q441">
        <f t="shared" si="84"/>
        <v>0</v>
      </c>
      <c r="R441">
        <f t="shared" si="85"/>
        <v>0</v>
      </c>
      <c r="S441">
        <f t="shared" si="86"/>
        <v>0</v>
      </c>
      <c r="T441">
        <f t="shared" si="87"/>
        <v>0</v>
      </c>
      <c r="U441">
        <f t="shared" si="88"/>
        <v>0</v>
      </c>
      <c r="V441">
        <f t="shared" si="89"/>
        <v>0</v>
      </c>
    </row>
    <row r="442" spans="1:22" x14ac:dyDescent="0.4">
      <c r="A442" s="1" t="s">
        <v>1409</v>
      </c>
      <c r="B442" s="1" t="s">
        <v>1410</v>
      </c>
      <c r="C442" s="1" t="s">
        <v>1411</v>
      </c>
      <c r="D442" s="1" t="s">
        <v>44</v>
      </c>
      <c r="E442" s="1" t="s">
        <v>867</v>
      </c>
      <c r="F442" s="5" t="s">
        <v>479</v>
      </c>
      <c r="G442" s="1" t="s">
        <v>27</v>
      </c>
      <c r="H442">
        <f>VLOOKUP(D442,[1]金額リスト!$A$2:$B$6,2,FALSE)</f>
        <v>114300</v>
      </c>
      <c r="I442" s="1" t="s">
        <v>868</v>
      </c>
      <c r="J442">
        <f t="shared" si="78"/>
        <v>0</v>
      </c>
      <c r="K442">
        <f t="shared" si="79"/>
        <v>0</v>
      </c>
      <c r="L442">
        <f t="shared" si="90"/>
        <v>114300</v>
      </c>
      <c r="M442">
        <f t="shared" si="80"/>
        <v>0</v>
      </c>
      <c r="N442">
        <f t="shared" si="81"/>
        <v>0</v>
      </c>
      <c r="O442">
        <f t="shared" si="82"/>
        <v>0</v>
      </c>
      <c r="P442">
        <f t="shared" si="83"/>
        <v>0</v>
      </c>
      <c r="Q442">
        <f t="shared" si="84"/>
        <v>0</v>
      </c>
      <c r="R442">
        <f t="shared" si="85"/>
        <v>0</v>
      </c>
      <c r="S442">
        <f t="shared" si="86"/>
        <v>0</v>
      </c>
      <c r="T442">
        <f t="shared" si="87"/>
        <v>0</v>
      </c>
      <c r="U442">
        <f t="shared" si="88"/>
        <v>0</v>
      </c>
      <c r="V442">
        <f t="shared" si="89"/>
        <v>0</v>
      </c>
    </row>
    <row r="443" spans="1:22" x14ac:dyDescent="0.4">
      <c r="A443" s="1" t="s">
        <v>1412</v>
      </c>
      <c r="B443" s="1" t="s">
        <v>1413</v>
      </c>
      <c r="C443" s="1" t="s">
        <v>1414</v>
      </c>
      <c r="D443" s="1" t="s">
        <v>44</v>
      </c>
      <c r="E443" s="1" t="s">
        <v>97</v>
      </c>
      <c r="F443" s="5" t="s">
        <v>46</v>
      </c>
      <c r="G443" s="1" t="s">
        <v>27</v>
      </c>
      <c r="H443">
        <f>VLOOKUP(D443,[1]金額リスト!$A$2:$B$6,2,FALSE)</f>
        <v>114300</v>
      </c>
      <c r="I443" s="1" t="s">
        <v>33</v>
      </c>
      <c r="J443">
        <f t="shared" si="78"/>
        <v>0</v>
      </c>
      <c r="K443">
        <f t="shared" si="79"/>
        <v>0</v>
      </c>
      <c r="L443">
        <f t="shared" si="90"/>
        <v>0</v>
      </c>
      <c r="M443">
        <f t="shared" si="80"/>
        <v>0</v>
      </c>
      <c r="N443">
        <f t="shared" si="81"/>
        <v>114300</v>
      </c>
      <c r="O443">
        <f t="shared" si="82"/>
        <v>0</v>
      </c>
      <c r="P443">
        <f t="shared" si="83"/>
        <v>0</v>
      </c>
      <c r="Q443">
        <f t="shared" si="84"/>
        <v>0</v>
      </c>
      <c r="R443">
        <f t="shared" si="85"/>
        <v>0</v>
      </c>
      <c r="S443">
        <f t="shared" si="86"/>
        <v>0</v>
      </c>
      <c r="T443">
        <f t="shared" si="87"/>
        <v>0</v>
      </c>
      <c r="U443">
        <f t="shared" si="88"/>
        <v>0</v>
      </c>
      <c r="V443">
        <f t="shared" si="89"/>
        <v>0</v>
      </c>
    </row>
    <row r="444" spans="1:22" x14ac:dyDescent="0.4">
      <c r="A444" s="1" t="s">
        <v>1415</v>
      </c>
      <c r="B444" s="1" t="s">
        <v>1416</v>
      </c>
      <c r="C444" s="1" t="s">
        <v>1417</v>
      </c>
      <c r="D444" s="1" t="s">
        <v>44</v>
      </c>
      <c r="E444" s="1" t="s">
        <v>227</v>
      </c>
      <c r="F444" s="5" t="s">
        <v>46</v>
      </c>
      <c r="G444" s="1" t="s">
        <v>27</v>
      </c>
      <c r="H444">
        <f>VLOOKUP(D444,[1]金額リスト!$A$2:$B$6,2,FALSE)</f>
        <v>114300</v>
      </c>
      <c r="I444" s="1" t="s">
        <v>33</v>
      </c>
      <c r="J444">
        <f t="shared" si="78"/>
        <v>0</v>
      </c>
      <c r="K444">
        <f t="shared" si="79"/>
        <v>0</v>
      </c>
      <c r="L444">
        <f t="shared" si="90"/>
        <v>0</v>
      </c>
      <c r="M444">
        <f t="shared" si="80"/>
        <v>0</v>
      </c>
      <c r="N444">
        <f t="shared" si="81"/>
        <v>114300</v>
      </c>
      <c r="O444">
        <f t="shared" si="82"/>
        <v>0</v>
      </c>
      <c r="P444">
        <f t="shared" si="83"/>
        <v>0</v>
      </c>
      <c r="Q444">
        <f t="shared" si="84"/>
        <v>0</v>
      </c>
      <c r="R444">
        <f t="shared" si="85"/>
        <v>0</v>
      </c>
      <c r="S444">
        <f t="shared" si="86"/>
        <v>0</v>
      </c>
      <c r="T444">
        <f t="shared" si="87"/>
        <v>0</v>
      </c>
      <c r="U444">
        <f t="shared" si="88"/>
        <v>0</v>
      </c>
      <c r="V444">
        <f t="shared" si="89"/>
        <v>0</v>
      </c>
    </row>
    <row r="445" spans="1:22" x14ac:dyDescent="0.4">
      <c r="A445" s="1" t="s">
        <v>1418</v>
      </c>
      <c r="B445" s="1" t="s">
        <v>1419</v>
      </c>
      <c r="C445" s="1" t="s">
        <v>1420</v>
      </c>
      <c r="D445" s="1" t="s">
        <v>44</v>
      </c>
      <c r="E445" s="1" t="s">
        <v>90</v>
      </c>
      <c r="F445" s="5" t="s">
        <v>46</v>
      </c>
      <c r="G445" s="1" t="s">
        <v>27</v>
      </c>
      <c r="H445">
        <f>VLOOKUP(D445,[1]金額リスト!$A$2:$B$6,2,FALSE)</f>
        <v>114300</v>
      </c>
      <c r="I445" s="1" t="s">
        <v>33</v>
      </c>
      <c r="J445">
        <f t="shared" si="78"/>
        <v>0</v>
      </c>
      <c r="K445">
        <f t="shared" si="79"/>
        <v>0</v>
      </c>
      <c r="L445">
        <f t="shared" si="90"/>
        <v>0</v>
      </c>
      <c r="M445">
        <f t="shared" si="80"/>
        <v>0</v>
      </c>
      <c r="N445">
        <f t="shared" si="81"/>
        <v>114300</v>
      </c>
      <c r="O445">
        <f t="shared" si="82"/>
        <v>0</v>
      </c>
      <c r="P445">
        <f t="shared" si="83"/>
        <v>0</v>
      </c>
      <c r="Q445">
        <f t="shared" si="84"/>
        <v>0</v>
      </c>
      <c r="R445">
        <f t="shared" si="85"/>
        <v>0</v>
      </c>
      <c r="S445">
        <f t="shared" si="86"/>
        <v>0</v>
      </c>
      <c r="T445">
        <f t="shared" si="87"/>
        <v>0</v>
      </c>
      <c r="U445">
        <f t="shared" si="88"/>
        <v>0</v>
      </c>
      <c r="V445">
        <f t="shared" si="89"/>
        <v>0</v>
      </c>
    </row>
    <row r="446" spans="1:22" x14ac:dyDescent="0.4">
      <c r="A446" s="1" t="s">
        <v>1421</v>
      </c>
      <c r="B446" s="1" t="s">
        <v>1422</v>
      </c>
      <c r="C446" s="1" t="s">
        <v>1423</v>
      </c>
      <c r="D446" s="1" t="s">
        <v>25</v>
      </c>
      <c r="E446" s="1" t="s">
        <v>1238</v>
      </c>
      <c r="F446" s="5" t="s">
        <v>479</v>
      </c>
      <c r="G446" s="1" t="s">
        <v>27</v>
      </c>
      <c r="H446">
        <f>VLOOKUP(D446,[1]金額リスト!$A$2:$B$6,2,FALSE)</f>
        <v>59400</v>
      </c>
      <c r="I446" s="1" t="s">
        <v>28</v>
      </c>
      <c r="J446">
        <f t="shared" si="78"/>
        <v>0</v>
      </c>
      <c r="K446">
        <f t="shared" si="79"/>
        <v>0</v>
      </c>
      <c r="L446">
        <f t="shared" si="90"/>
        <v>59400</v>
      </c>
      <c r="M446">
        <f t="shared" si="80"/>
        <v>0</v>
      </c>
      <c r="N446">
        <f t="shared" si="81"/>
        <v>0</v>
      </c>
      <c r="O446">
        <f t="shared" si="82"/>
        <v>0</v>
      </c>
      <c r="P446">
        <f t="shared" si="83"/>
        <v>0</v>
      </c>
      <c r="Q446">
        <f t="shared" si="84"/>
        <v>0</v>
      </c>
      <c r="R446">
        <f t="shared" si="85"/>
        <v>0</v>
      </c>
      <c r="S446">
        <f t="shared" si="86"/>
        <v>0</v>
      </c>
      <c r="T446">
        <f t="shared" si="87"/>
        <v>0</v>
      </c>
      <c r="U446">
        <f t="shared" si="88"/>
        <v>0</v>
      </c>
      <c r="V446">
        <f t="shared" si="89"/>
        <v>0</v>
      </c>
    </row>
    <row r="447" spans="1:22" x14ac:dyDescent="0.4">
      <c r="A447" s="1" t="s">
        <v>1424</v>
      </c>
      <c r="B447" s="1" t="s">
        <v>1425</v>
      </c>
      <c r="C447" s="1" t="s">
        <v>1426</v>
      </c>
      <c r="D447" s="1" t="s">
        <v>25</v>
      </c>
      <c r="E447" s="1" t="s">
        <v>37</v>
      </c>
      <c r="F447" s="5" t="s">
        <v>10</v>
      </c>
      <c r="G447" s="1" t="s">
        <v>27</v>
      </c>
      <c r="H447">
        <f>VLOOKUP(D447,[1]金額リスト!$A$2:$B$6,2,FALSE)</f>
        <v>59400</v>
      </c>
      <c r="I447" s="1" t="s">
        <v>33</v>
      </c>
      <c r="J447">
        <f t="shared" si="78"/>
        <v>0</v>
      </c>
      <c r="K447">
        <f t="shared" si="79"/>
        <v>59400</v>
      </c>
      <c r="L447">
        <f t="shared" si="90"/>
        <v>0</v>
      </c>
      <c r="M447">
        <f t="shared" si="80"/>
        <v>0</v>
      </c>
      <c r="N447">
        <f t="shared" si="81"/>
        <v>0</v>
      </c>
      <c r="O447">
        <f t="shared" si="82"/>
        <v>0</v>
      </c>
      <c r="P447">
        <f t="shared" si="83"/>
        <v>0</v>
      </c>
      <c r="Q447">
        <f t="shared" si="84"/>
        <v>0</v>
      </c>
      <c r="R447">
        <f t="shared" si="85"/>
        <v>0</v>
      </c>
      <c r="S447">
        <f t="shared" si="86"/>
        <v>0</v>
      </c>
      <c r="T447">
        <f t="shared" si="87"/>
        <v>0</v>
      </c>
      <c r="U447">
        <f t="shared" si="88"/>
        <v>0</v>
      </c>
      <c r="V447">
        <f t="shared" si="89"/>
        <v>0</v>
      </c>
    </row>
    <row r="448" spans="1:22" x14ac:dyDescent="0.4">
      <c r="A448" s="1" t="s">
        <v>1427</v>
      </c>
      <c r="B448" s="1" t="s">
        <v>1428</v>
      </c>
      <c r="C448" s="1" t="s">
        <v>1429</v>
      </c>
      <c r="D448" s="1" t="s">
        <v>44</v>
      </c>
      <c r="E448" s="1" t="s">
        <v>924</v>
      </c>
      <c r="F448" s="5" t="s">
        <v>479</v>
      </c>
      <c r="G448" s="1" t="s">
        <v>27</v>
      </c>
      <c r="H448">
        <f>VLOOKUP(D448,[1]金額リスト!$A$2:$B$6,2,FALSE)</f>
        <v>114300</v>
      </c>
      <c r="I448" s="1" t="s">
        <v>868</v>
      </c>
      <c r="J448">
        <f t="shared" si="78"/>
        <v>0</v>
      </c>
      <c r="K448">
        <f t="shared" si="79"/>
        <v>0</v>
      </c>
      <c r="L448">
        <f t="shared" si="90"/>
        <v>114300</v>
      </c>
      <c r="M448">
        <f t="shared" si="80"/>
        <v>0</v>
      </c>
      <c r="N448">
        <f t="shared" si="81"/>
        <v>0</v>
      </c>
      <c r="O448">
        <f t="shared" si="82"/>
        <v>0</v>
      </c>
      <c r="P448">
        <f t="shared" si="83"/>
        <v>0</v>
      </c>
      <c r="Q448">
        <f t="shared" si="84"/>
        <v>0</v>
      </c>
      <c r="R448">
        <f t="shared" si="85"/>
        <v>0</v>
      </c>
      <c r="S448">
        <f t="shared" si="86"/>
        <v>0</v>
      </c>
      <c r="T448">
        <f t="shared" si="87"/>
        <v>0</v>
      </c>
      <c r="U448">
        <f t="shared" si="88"/>
        <v>0</v>
      </c>
      <c r="V448">
        <f t="shared" si="89"/>
        <v>0</v>
      </c>
    </row>
    <row r="449" spans="1:22" x14ac:dyDescent="0.4">
      <c r="A449" s="1" t="s">
        <v>1430</v>
      </c>
      <c r="B449" s="1" t="s">
        <v>1431</v>
      </c>
      <c r="C449" s="1" t="s">
        <v>1432</v>
      </c>
      <c r="D449" s="1" t="s">
        <v>44</v>
      </c>
      <c r="E449" s="1" t="s">
        <v>1207</v>
      </c>
      <c r="F449" s="5" t="s">
        <v>479</v>
      </c>
      <c r="G449" s="1" t="s">
        <v>27</v>
      </c>
      <c r="H449">
        <f>VLOOKUP(D449,[1]金額リスト!$A$2:$B$6,2,FALSE)</f>
        <v>114300</v>
      </c>
      <c r="I449" s="1" t="s">
        <v>868</v>
      </c>
      <c r="J449">
        <f t="shared" si="78"/>
        <v>0</v>
      </c>
      <c r="K449">
        <f t="shared" si="79"/>
        <v>0</v>
      </c>
      <c r="L449">
        <f t="shared" si="90"/>
        <v>114300</v>
      </c>
      <c r="M449">
        <f t="shared" si="80"/>
        <v>0</v>
      </c>
      <c r="N449">
        <f t="shared" si="81"/>
        <v>0</v>
      </c>
      <c r="O449">
        <f t="shared" si="82"/>
        <v>0</v>
      </c>
      <c r="P449">
        <f t="shared" si="83"/>
        <v>0</v>
      </c>
      <c r="Q449">
        <f t="shared" si="84"/>
        <v>0</v>
      </c>
      <c r="R449">
        <f t="shared" si="85"/>
        <v>0</v>
      </c>
      <c r="S449">
        <f t="shared" si="86"/>
        <v>0</v>
      </c>
      <c r="T449">
        <f t="shared" si="87"/>
        <v>0</v>
      </c>
      <c r="U449">
        <f t="shared" si="88"/>
        <v>0</v>
      </c>
      <c r="V449">
        <f t="shared" si="89"/>
        <v>0</v>
      </c>
    </row>
    <row r="450" spans="1:22" x14ac:dyDescent="0.4">
      <c r="A450" s="1" t="s">
        <v>1433</v>
      </c>
      <c r="B450" s="1" t="s">
        <v>1434</v>
      </c>
      <c r="C450" s="1" t="s">
        <v>1435</v>
      </c>
      <c r="D450" s="1" t="s">
        <v>44</v>
      </c>
      <c r="E450" s="1" t="s">
        <v>1172</v>
      </c>
      <c r="F450" s="5" t="s">
        <v>479</v>
      </c>
      <c r="G450" s="1" t="s">
        <v>27</v>
      </c>
      <c r="H450">
        <f>VLOOKUP(D450,[1]金額リスト!$A$2:$B$6,2,FALSE)</f>
        <v>114300</v>
      </c>
      <c r="I450" s="1" t="s">
        <v>868</v>
      </c>
      <c r="J450">
        <f t="shared" si="78"/>
        <v>0</v>
      </c>
      <c r="K450">
        <f t="shared" si="79"/>
        <v>0</v>
      </c>
      <c r="L450">
        <f t="shared" si="90"/>
        <v>114300</v>
      </c>
      <c r="M450">
        <f t="shared" si="80"/>
        <v>0</v>
      </c>
      <c r="N450">
        <f t="shared" si="81"/>
        <v>0</v>
      </c>
      <c r="O450">
        <f t="shared" si="82"/>
        <v>0</v>
      </c>
      <c r="P450">
        <f t="shared" si="83"/>
        <v>0</v>
      </c>
      <c r="Q450">
        <f t="shared" si="84"/>
        <v>0</v>
      </c>
      <c r="R450">
        <f t="shared" si="85"/>
        <v>0</v>
      </c>
      <c r="S450">
        <f t="shared" si="86"/>
        <v>0</v>
      </c>
      <c r="T450">
        <f t="shared" si="87"/>
        <v>0</v>
      </c>
      <c r="U450">
        <f t="shared" si="88"/>
        <v>0</v>
      </c>
      <c r="V450">
        <f t="shared" si="89"/>
        <v>0</v>
      </c>
    </row>
    <row r="451" spans="1:22" x14ac:dyDescent="0.4">
      <c r="A451" s="1" t="s">
        <v>1436</v>
      </c>
      <c r="B451" s="1" t="s">
        <v>1437</v>
      </c>
      <c r="C451" s="1" t="s">
        <v>1438</v>
      </c>
      <c r="D451" s="1" t="s">
        <v>44</v>
      </c>
      <c r="E451" s="1" t="s">
        <v>867</v>
      </c>
      <c r="F451" s="5" t="s">
        <v>479</v>
      </c>
      <c r="G451" s="1" t="s">
        <v>27</v>
      </c>
      <c r="H451">
        <f>VLOOKUP(D451,[1]金額リスト!$A$2:$B$6,2,FALSE)</f>
        <v>114300</v>
      </c>
      <c r="I451" s="1" t="s">
        <v>868</v>
      </c>
      <c r="J451">
        <f t="shared" ref="J451:J514" si="91">IFERROR(INDEX($F451:$H451,MATCH($J$1,$F451,0),3),0)</f>
        <v>0</v>
      </c>
      <c r="K451">
        <f t="shared" ref="K451:K514" si="92">IFERROR(INDEX($F451:$H451,MATCH($K$1,$F451,0),3),0)</f>
        <v>0</v>
      </c>
      <c r="L451">
        <f t="shared" si="90"/>
        <v>114300</v>
      </c>
      <c r="M451">
        <f t="shared" ref="M451:M514" si="93">IFERROR(INDEX($F451:$H451,MATCH($M$1,$F451,0),3),0)</f>
        <v>0</v>
      </c>
      <c r="N451">
        <f t="shared" ref="N451:N514" si="94">IFERROR(INDEX($F451:$H451,MATCH($N$1,$F451,0),3),0)</f>
        <v>0</v>
      </c>
      <c r="O451">
        <f t="shared" ref="O451:O514" si="95">IFERROR(INDEX($F451:$H451,MATCH($O$1,$F451,0),3),0)</f>
        <v>0</v>
      </c>
      <c r="P451">
        <f t="shared" ref="P451:P514" si="96">IFERROR(INDEX($F451:$H451,MATCH($P$1,$F451,0),3),0)</f>
        <v>0</v>
      </c>
      <c r="Q451">
        <f t="shared" ref="Q451:Q514" si="97">IFERROR(INDEX($F451:$H451,MATCH($Q$1,$F451,0),3),0)</f>
        <v>0</v>
      </c>
      <c r="R451">
        <f t="shared" ref="R451:R514" si="98">IFERROR(INDEX($F451:$H451,MATCH($R$1,$F451,0),3),0)</f>
        <v>0</v>
      </c>
      <c r="S451">
        <f t="shared" ref="S451:S514" si="99">IFERROR(INDEX($F451:$H451,MATCH($S$1,$F451,0),3),0)</f>
        <v>0</v>
      </c>
      <c r="T451">
        <f t="shared" ref="T451:T514" si="100">IFERROR(INDEX($F451:$H451,MATCH($T$1,$F451,0),3),0)</f>
        <v>0</v>
      </c>
      <c r="U451">
        <f t="shared" ref="U451:U514" si="101">IFERROR(INDEX($F451:$H451,MATCH($U$1,$F451,0),3),0)</f>
        <v>0</v>
      </c>
      <c r="V451">
        <f t="shared" ref="V451:V514" si="102">IFERROR(INDEX($F451:$H451,MATCH($V$1,$F451,0),3),0)</f>
        <v>0</v>
      </c>
    </row>
    <row r="452" spans="1:22" x14ac:dyDescent="0.4">
      <c r="A452" s="1" t="s">
        <v>1439</v>
      </c>
      <c r="B452" s="1" t="s">
        <v>1440</v>
      </c>
      <c r="C452" s="1" t="s">
        <v>1441</v>
      </c>
      <c r="D452" s="1" t="s">
        <v>44</v>
      </c>
      <c r="E452" s="1" t="s">
        <v>140</v>
      </c>
      <c r="F452" s="5" t="s">
        <v>46</v>
      </c>
      <c r="G452" s="1" t="s">
        <v>27</v>
      </c>
      <c r="H452">
        <f>VLOOKUP(D452,[1]金額リスト!$A$2:$B$6,2,FALSE)</f>
        <v>114300</v>
      </c>
      <c r="I452" s="1" t="s">
        <v>33</v>
      </c>
      <c r="J452">
        <f t="shared" si="91"/>
        <v>0</v>
      </c>
      <c r="K452">
        <f t="shared" si="92"/>
        <v>0</v>
      </c>
      <c r="L452">
        <f t="shared" ref="L452:L515" si="103">IFERROR(INDEX($F452:$H452,MATCH($L$1,$F452,0),3),0)</f>
        <v>0</v>
      </c>
      <c r="M452">
        <f t="shared" si="93"/>
        <v>0</v>
      </c>
      <c r="N452">
        <f t="shared" si="94"/>
        <v>114300</v>
      </c>
      <c r="O452">
        <f t="shared" si="95"/>
        <v>0</v>
      </c>
      <c r="P452">
        <f t="shared" si="96"/>
        <v>0</v>
      </c>
      <c r="Q452">
        <f t="shared" si="97"/>
        <v>0</v>
      </c>
      <c r="R452">
        <f t="shared" si="98"/>
        <v>0</v>
      </c>
      <c r="S452">
        <f t="shared" si="99"/>
        <v>0</v>
      </c>
      <c r="T452">
        <f t="shared" si="100"/>
        <v>0</v>
      </c>
      <c r="U452">
        <f t="shared" si="101"/>
        <v>0</v>
      </c>
      <c r="V452">
        <f t="shared" si="102"/>
        <v>0</v>
      </c>
    </row>
    <row r="453" spans="1:22" x14ac:dyDescent="0.4">
      <c r="A453" s="1" t="s">
        <v>1442</v>
      </c>
      <c r="B453" s="1" t="s">
        <v>1443</v>
      </c>
      <c r="C453" s="1" t="s">
        <v>1444</v>
      </c>
      <c r="D453" s="1" t="s">
        <v>44</v>
      </c>
      <c r="E453" s="1" t="s">
        <v>86</v>
      </c>
      <c r="F453" s="5" t="s">
        <v>46</v>
      </c>
      <c r="G453" s="1" t="s">
        <v>27</v>
      </c>
      <c r="H453">
        <f>VLOOKUP(D453,[1]金額リスト!$A$2:$B$6,2,FALSE)</f>
        <v>114300</v>
      </c>
      <c r="I453" s="1" t="s">
        <v>33</v>
      </c>
      <c r="J453">
        <f t="shared" si="91"/>
        <v>0</v>
      </c>
      <c r="K453">
        <f t="shared" si="92"/>
        <v>0</v>
      </c>
      <c r="L453">
        <f t="shared" si="103"/>
        <v>0</v>
      </c>
      <c r="M453">
        <f t="shared" si="93"/>
        <v>0</v>
      </c>
      <c r="N453">
        <f t="shared" si="94"/>
        <v>114300</v>
      </c>
      <c r="O453">
        <f t="shared" si="95"/>
        <v>0</v>
      </c>
      <c r="P453">
        <f t="shared" si="96"/>
        <v>0</v>
      </c>
      <c r="Q453">
        <f t="shared" si="97"/>
        <v>0</v>
      </c>
      <c r="R453">
        <f t="shared" si="98"/>
        <v>0</v>
      </c>
      <c r="S453">
        <f t="shared" si="99"/>
        <v>0</v>
      </c>
      <c r="T453">
        <f t="shared" si="100"/>
        <v>0</v>
      </c>
      <c r="U453">
        <f t="shared" si="101"/>
        <v>0</v>
      </c>
      <c r="V453">
        <f t="shared" si="102"/>
        <v>0</v>
      </c>
    </row>
    <row r="454" spans="1:22" x14ac:dyDescent="0.4">
      <c r="A454" s="1" t="s">
        <v>1445</v>
      </c>
      <c r="B454" s="1" t="s">
        <v>1446</v>
      </c>
      <c r="C454" s="1" t="s">
        <v>1447</v>
      </c>
      <c r="D454" s="1" t="s">
        <v>44</v>
      </c>
      <c r="E454" s="1" t="s">
        <v>101</v>
      </c>
      <c r="F454" s="5" t="s">
        <v>46</v>
      </c>
      <c r="G454" s="1" t="s">
        <v>27</v>
      </c>
      <c r="H454">
        <f>VLOOKUP(D454,[1]金額リスト!$A$2:$B$6,2,FALSE)</f>
        <v>114300</v>
      </c>
      <c r="I454" s="1" t="s">
        <v>33</v>
      </c>
      <c r="J454">
        <f t="shared" si="91"/>
        <v>0</v>
      </c>
      <c r="K454">
        <f t="shared" si="92"/>
        <v>0</v>
      </c>
      <c r="L454">
        <f t="shared" si="103"/>
        <v>0</v>
      </c>
      <c r="M454">
        <f t="shared" si="93"/>
        <v>0</v>
      </c>
      <c r="N454">
        <f t="shared" si="94"/>
        <v>114300</v>
      </c>
      <c r="O454">
        <f t="shared" si="95"/>
        <v>0</v>
      </c>
      <c r="P454">
        <f t="shared" si="96"/>
        <v>0</v>
      </c>
      <c r="Q454">
        <f t="shared" si="97"/>
        <v>0</v>
      </c>
      <c r="R454">
        <f t="shared" si="98"/>
        <v>0</v>
      </c>
      <c r="S454">
        <f t="shared" si="99"/>
        <v>0</v>
      </c>
      <c r="T454">
        <f t="shared" si="100"/>
        <v>0</v>
      </c>
      <c r="U454">
        <f t="shared" si="101"/>
        <v>0</v>
      </c>
      <c r="V454">
        <f t="shared" si="102"/>
        <v>0</v>
      </c>
    </row>
    <row r="455" spans="1:22" x14ac:dyDescent="0.4">
      <c r="A455" s="1" t="s">
        <v>1448</v>
      </c>
      <c r="B455" s="1" t="s">
        <v>1449</v>
      </c>
      <c r="C455" s="1" t="s">
        <v>1450</v>
      </c>
      <c r="D455" s="1" t="s">
        <v>25</v>
      </c>
      <c r="E455" s="1" t="s">
        <v>26</v>
      </c>
      <c r="F455" s="5" t="s">
        <v>479</v>
      </c>
      <c r="G455" s="1" t="s">
        <v>27</v>
      </c>
      <c r="H455">
        <f>VLOOKUP(D455,[1]金額リスト!$A$2:$B$6,2,FALSE)</f>
        <v>59400</v>
      </c>
      <c r="I455" s="1" t="s">
        <v>28</v>
      </c>
      <c r="J455">
        <f t="shared" si="91"/>
        <v>0</v>
      </c>
      <c r="K455">
        <f t="shared" si="92"/>
        <v>0</v>
      </c>
      <c r="L455">
        <f t="shared" si="103"/>
        <v>59400</v>
      </c>
      <c r="M455">
        <f t="shared" si="93"/>
        <v>0</v>
      </c>
      <c r="N455">
        <f t="shared" si="94"/>
        <v>0</v>
      </c>
      <c r="O455">
        <f t="shared" si="95"/>
        <v>0</v>
      </c>
      <c r="P455">
        <f t="shared" si="96"/>
        <v>0</v>
      </c>
      <c r="Q455">
        <f t="shared" si="97"/>
        <v>0</v>
      </c>
      <c r="R455">
        <f t="shared" si="98"/>
        <v>0</v>
      </c>
      <c r="S455">
        <f t="shared" si="99"/>
        <v>0</v>
      </c>
      <c r="T455">
        <f t="shared" si="100"/>
        <v>0</v>
      </c>
      <c r="U455">
        <f t="shared" si="101"/>
        <v>0</v>
      </c>
      <c r="V455">
        <f t="shared" si="102"/>
        <v>0</v>
      </c>
    </row>
    <row r="456" spans="1:22" x14ac:dyDescent="0.4">
      <c r="A456" s="1" t="s">
        <v>1451</v>
      </c>
      <c r="B456" s="1" t="s">
        <v>1452</v>
      </c>
      <c r="C456" s="1" t="s">
        <v>1453</v>
      </c>
      <c r="D456" s="1" t="s">
        <v>44</v>
      </c>
      <c r="E456" s="1" t="s">
        <v>1454</v>
      </c>
      <c r="F456" s="5" t="s">
        <v>1130</v>
      </c>
      <c r="G456" s="1" t="s">
        <v>27</v>
      </c>
      <c r="H456">
        <f>VLOOKUP(D456,[1]金額リスト!$A$2:$B$6,2,FALSE)</f>
        <v>114300</v>
      </c>
      <c r="I456" s="1" t="s">
        <v>1455</v>
      </c>
      <c r="J456">
        <f t="shared" si="91"/>
        <v>0</v>
      </c>
      <c r="K456">
        <f t="shared" si="92"/>
        <v>0</v>
      </c>
      <c r="L456">
        <f t="shared" si="103"/>
        <v>0</v>
      </c>
      <c r="M456">
        <f t="shared" si="93"/>
        <v>114300</v>
      </c>
      <c r="N456">
        <f t="shared" si="94"/>
        <v>0</v>
      </c>
      <c r="O456">
        <f t="shared" si="95"/>
        <v>0</v>
      </c>
      <c r="P456">
        <f t="shared" si="96"/>
        <v>0</v>
      </c>
      <c r="Q456">
        <f t="shared" si="97"/>
        <v>0</v>
      </c>
      <c r="R456">
        <f t="shared" si="98"/>
        <v>0</v>
      </c>
      <c r="S456">
        <f t="shared" si="99"/>
        <v>0</v>
      </c>
      <c r="T456">
        <f t="shared" si="100"/>
        <v>0</v>
      </c>
      <c r="U456">
        <f t="shared" si="101"/>
        <v>0</v>
      </c>
      <c r="V456">
        <f t="shared" si="102"/>
        <v>0</v>
      </c>
    </row>
    <row r="457" spans="1:22" x14ac:dyDescent="0.4">
      <c r="A457" s="1" t="s">
        <v>1456</v>
      </c>
      <c r="B457" s="1" t="s">
        <v>1457</v>
      </c>
      <c r="C457" s="1" t="s">
        <v>1458</v>
      </c>
      <c r="D457" s="1" t="s">
        <v>44</v>
      </c>
      <c r="E457" s="1" t="s">
        <v>867</v>
      </c>
      <c r="F457" s="5" t="s">
        <v>479</v>
      </c>
      <c r="G457" s="1" t="s">
        <v>27</v>
      </c>
      <c r="H457">
        <f>VLOOKUP(D457,[1]金額リスト!$A$2:$B$6,2,FALSE)</f>
        <v>114300</v>
      </c>
      <c r="I457" s="1" t="s">
        <v>868</v>
      </c>
      <c r="J457">
        <f t="shared" si="91"/>
        <v>0</v>
      </c>
      <c r="K457">
        <f t="shared" si="92"/>
        <v>0</v>
      </c>
      <c r="L457">
        <f t="shared" si="103"/>
        <v>114300</v>
      </c>
      <c r="M457">
        <f t="shared" si="93"/>
        <v>0</v>
      </c>
      <c r="N457">
        <f t="shared" si="94"/>
        <v>0</v>
      </c>
      <c r="O457">
        <f t="shared" si="95"/>
        <v>0</v>
      </c>
      <c r="P457">
        <f t="shared" si="96"/>
        <v>0</v>
      </c>
      <c r="Q457">
        <f t="shared" si="97"/>
        <v>0</v>
      </c>
      <c r="R457">
        <f t="shared" si="98"/>
        <v>0</v>
      </c>
      <c r="S457">
        <f t="shared" si="99"/>
        <v>0</v>
      </c>
      <c r="T457">
        <f t="shared" si="100"/>
        <v>0</v>
      </c>
      <c r="U457">
        <f t="shared" si="101"/>
        <v>0</v>
      </c>
      <c r="V457">
        <f t="shared" si="102"/>
        <v>0</v>
      </c>
    </row>
    <row r="458" spans="1:22" x14ac:dyDescent="0.4">
      <c r="A458" s="1" t="s">
        <v>1459</v>
      </c>
      <c r="B458" s="1" t="s">
        <v>1460</v>
      </c>
      <c r="C458" s="1" t="s">
        <v>1461</v>
      </c>
      <c r="D458" s="1" t="s">
        <v>44</v>
      </c>
      <c r="E458" s="1" t="s">
        <v>1141</v>
      </c>
      <c r="F458" s="5" t="s">
        <v>479</v>
      </c>
      <c r="G458" s="1" t="s">
        <v>27</v>
      </c>
      <c r="H458">
        <f>VLOOKUP(D458,[1]金額リスト!$A$2:$B$6,2,FALSE)</f>
        <v>114300</v>
      </c>
      <c r="I458" s="1" t="s">
        <v>868</v>
      </c>
      <c r="J458">
        <f t="shared" si="91"/>
        <v>0</v>
      </c>
      <c r="K458">
        <f t="shared" si="92"/>
        <v>0</v>
      </c>
      <c r="L458">
        <f t="shared" si="103"/>
        <v>114300</v>
      </c>
      <c r="M458">
        <f t="shared" si="93"/>
        <v>0</v>
      </c>
      <c r="N458">
        <f t="shared" si="94"/>
        <v>0</v>
      </c>
      <c r="O458">
        <f t="shared" si="95"/>
        <v>0</v>
      </c>
      <c r="P458">
        <f t="shared" si="96"/>
        <v>0</v>
      </c>
      <c r="Q458">
        <f t="shared" si="97"/>
        <v>0</v>
      </c>
      <c r="R458">
        <f t="shared" si="98"/>
        <v>0</v>
      </c>
      <c r="S458">
        <f t="shared" si="99"/>
        <v>0</v>
      </c>
      <c r="T458">
        <f t="shared" si="100"/>
        <v>0</v>
      </c>
      <c r="U458">
        <f t="shared" si="101"/>
        <v>0</v>
      </c>
      <c r="V458">
        <f t="shared" si="102"/>
        <v>0</v>
      </c>
    </row>
    <row r="459" spans="1:22" x14ac:dyDescent="0.4">
      <c r="A459" s="1" t="s">
        <v>1462</v>
      </c>
      <c r="B459" s="1" t="s">
        <v>1463</v>
      </c>
      <c r="C459" s="1" t="s">
        <v>1464</v>
      </c>
      <c r="D459" s="1" t="s">
        <v>44</v>
      </c>
      <c r="E459" s="1" t="s">
        <v>90</v>
      </c>
      <c r="F459" s="5" t="s">
        <v>46</v>
      </c>
      <c r="G459" s="1" t="s">
        <v>27</v>
      </c>
      <c r="H459">
        <f>VLOOKUP(D459,[1]金額リスト!$A$2:$B$6,2,FALSE)</f>
        <v>114300</v>
      </c>
      <c r="I459" s="1" t="s">
        <v>33</v>
      </c>
      <c r="J459">
        <f t="shared" si="91"/>
        <v>0</v>
      </c>
      <c r="K459">
        <f t="shared" si="92"/>
        <v>0</v>
      </c>
      <c r="L459">
        <f t="shared" si="103"/>
        <v>0</v>
      </c>
      <c r="M459">
        <f t="shared" si="93"/>
        <v>0</v>
      </c>
      <c r="N459">
        <f t="shared" si="94"/>
        <v>114300</v>
      </c>
      <c r="O459">
        <f t="shared" si="95"/>
        <v>0</v>
      </c>
      <c r="P459">
        <f t="shared" si="96"/>
        <v>0</v>
      </c>
      <c r="Q459">
        <f t="shared" si="97"/>
        <v>0</v>
      </c>
      <c r="R459">
        <f t="shared" si="98"/>
        <v>0</v>
      </c>
      <c r="S459">
        <f t="shared" si="99"/>
        <v>0</v>
      </c>
      <c r="T459">
        <f t="shared" si="100"/>
        <v>0</v>
      </c>
      <c r="U459">
        <f t="shared" si="101"/>
        <v>0</v>
      </c>
      <c r="V459">
        <f t="shared" si="102"/>
        <v>0</v>
      </c>
    </row>
    <row r="460" spans="1:22" x14ac:dyDescent="0.4">
      <c r="A460" s="1" t="s">
        <v>1465</v>
      </c>
      <c r="B460" s="1" t="s">
        <v>1466</v>
      </c>
      <c r="C460" s="1" t="s">
        <v>1467</v>
      </c>
      <c r="D460" s="1" t="s">
        <v>44</v>
      </c>
      <c r="E460" s="1" t="s">
        <v>32</v>
      </c>
      <c r="F460" s="5" t="s">
        <v>46</v>
      </c>
      <c r="G460" s="1" t="s">
        <v>27</v>
      </c>
      <c r="H460">
        <f>VLOOKUP(D460,[1]金額リスト!$A$2:$B$6,2,FALSE)</f>
        <v>114300</v>
      </c>
      <c r="I460" s="1" t="s">
        <v>33</v>
      </c>
      <c r="J460">
        <f t="shared" si="91"/>
        <v>0</v>
      </c>
      <c r="K460">
        <f t="shared" si="92"/>
        <v>0</v>
      </c>
      <c r="L460">
        <f t="shared" si="103"/>
        <v>0</v>
      </c>
      <c r="M460">
        <f t="shared" si="93"/>
        <v>0</v>
      </c>
      <c r="N460">
        <f t="shared" si="94"/>
        <v>114300</v>
      </c>
      <c r="O460">
        <f t="shared" si="95"/>
        <v>0</v>
      </c>
      <c r="P460">
        <f t="shared" si="96"/>
        <v>0</v>
      </c>
      <c r="Q460">
        <f t="shared" si="97"/>
        <v>0</v>
      </c>
      <c r="R460">
        <f t="shared" si="98"/>
        <v>0</v>
      </c>
      <c r="S460">
        <f t="shared" si="99"/>
        <v>0</v>
      </c>
      <c r="T460">
        <f t="shared" si="100"/>
        <v>0</v>
      </c>
      <c r="U460">
        <f t="shared" si="101"/>
        <v>0</v>
      </c>
      <c r="V460">
        <f t="shared" si="102"/>
        <v>0</v>
      </c>
    </row>
    <row r="461" spans="1:22" x14ac:dyDescent="0.4">
      <c r="A461" s="1" t="s">
        <v>1468</v>
      </c>
      <c r="B461" s="1" t="s">
        <v>1469</v>
      </c>
      <c r="C461" s="1" t="s">
        <v>1470</v>
      </c>
      <c r="D461" s="1" t="s">
        <v>25</v>
      </c>
      <c r="E461" s="1" t="s">
        <v>1195</v>
      </c>
      <c r="F461" s="5" t="s">
        <v>479</v>
      </c>
      <c r="G461" s="1" t="s">
        <v>27</v>
      </c>
      <c r="H461">
        <f>VLOOKUP(D461,[1]金額リスト!$A$2:$B$6,2,FALSE)</f>
        <v>59400</v>
      </c>
      <c r="I461" s="1" t="s">
        <v>28</v>
      </c>
      <c r="J461">
        <f t="shared" si="91"/>
        <v>0</v>
      </c>
      <c r="K461">
        <f t="shared" si="92"/>
        <v>0</v>
      </c>
      <c r="L461">
        <f t="shared" si="103"/>
        <v>59400</v>
      </c>
      <c r="M461">
        <f t="shared" si="93"/>
        <v>0</v>
      </c>
      <c r="N461">
        <f t="shared" si="94"/>
        <v>0</v>
      </c>
      <c r="O461">
        <f t="shared" si="95"/>
        <v>0</v>
      </c>
      <c r="P461">
        <f t="shared" si="96"/>
        <v>0</v>
      </c>
      <c r="Q461">
        <f t="shared" si="97"/>
        <v>0</v>
      </c>
      <c r="R461">
        <f t="shared" si="98"/>
        <v>0</v>
      </c>
      <c r="S461">
        <f t="shared" si="99"/>
        <v>0</v>
      </c>
      <c r="T461">
        <f t="shared" si="100"/>
        <v>0</v>
      </c>
      <c r="U461">
        <f t="shared" si="101"/>
        <v>0</v>
      </c>
      <c r="V461">
        <f t="shared" si="102"/>
        <v>0</v>
      </c>
    </row>
    <row r="462" spans="1:22" x14ac:dyDescent="0.4">
      <c r="A462" s="1" t="s">
        <v>1471</v>
      </c>
      <c r="B462" s="1" t="s">
        <v>1472</v>
      </c>
      <c r="C462" s="1" t="s">
        <v>1473</v>
      </c>
      <c r="D462" s="1" t="s">
        <v>44</v>
      </c>
      <c r="E462" s="1" t="s">
        <v>56</v>
      </c>
      <c r="F462" s="5" t="s">
        <v>46</v>
      </c>
      <c r="G462" s="1" t="s">
        <v>27</v>
      </c>
      <c r="H462">
        <f>VLOOKUP(D462,[1]金額リスト!$A$2:$B$6,2,FALSE)</f>
        <v>114300</v>
      </c>
      <c r="I462" s="1" t="s">
        <v>33</v>
      </c>
      <c r="J462">
        <f t="shared" si="91"/>
        <v>0</v>
      </c>
      <c r="K462">
        <f t="shared" si="92"/>
        <v>0</v>
      </c>
      <c r="L462">
        <f t="shared" si="103"/>
        <v>0</v>
      </c>
      <c r="M462">
        <f t="shared" si="93"/>
        <v>0</v>
      </c>
      <c r="N462">
        <f t="shared" si="94"/>
        <v>114300</v>
      </c>
      <c r="O462">
        <f t="shared" si="95"/>
        <v>0</v>
      </c>
      <c r="P462">
        <f t="shared" si="96"/>
        <v>0</v>
      </c>
      <c r="Q462">
        <f t="shared" si="97"/>
        <v>0</v>
      </c>
      <c r="R462">
        <f t="shared" si="98"/>
        <v>0</v>
      </c>
      <c r="S462">
        <f t="shared" si="99"/>
        <v>0</v>
      </c>
      <c r="T462">
        <f t="shared" si="100"/>
        <v>0</v>
      </c>
      <c r="U462">
        <f t="shared" si="101"/>
        <v>0</v>
      </c>
      <c r="V462">
        <f t="shared" si="102"/>
        <v>0</v>
      </c>
    </row>
    <row r="463" spans="1:22" x14ac:dyDescent="0.4">
      <c r="A463" s="1" t="s">
        <v>1474</v>
      </c>
      <c r="B463" s="1" t="s">
        <v>1475</v>
      </c>
      <c r="C463" s="1" t="s">
        <v>1476</v>
      </c>
      <c r="D463" s="1" t="s">
        <v>44</v>
      </c>
      <c r="E463" s="1" t="s">
        <v>32</v>
      </c>
      <c r="F463" s="5" t="s">
        <v>46</v>
      </c>
      <c r="G463" s="1" t="s">
        <v>27</v>
      </c>
      <c r="H463">
        <f>VLOOKUP(D463,[1]金額リスト!$A$2:$B$6,2,FALSE)</f>
        <v>114300</v>
      </c>
      <c r="I463" s="1" t="s">
        <v>33</v>
      </c>
      <c r="J463">
        <f t="shared" si="91"/>
        <v>0</v>
      </c>
      <c r="K463">
        <f t="shared" si="92"/>
        <v>0</v>
      </c>
      <c r="L463">
        <f t="shared" si="103"/>
        <v>0</v>
      </c>
      <c r="M463">
        <f t="shared" si="93"/>
        <v>0</v>
      </c>
      <c r="N463">
        <f t="shared" si="94"/>
        <v>114300</v>
      </c>
      <c r="O463">
        <f t="shared" si="95"/>
        <v>0</v>
      </c>
      <c r="P463">
        <f t="shared" si="96"/>
        <v>0</v>
      </c>
      <c r="Q463">
        <f t="shared" si="97"/>
        <v>0</v>
      </c>
      <c r="R463">
        <f t="shared" si="98"/>
        <v>0</v>
      </c>
      <c r="S463">
        <f t="shared" si="99"/>
        <v>0</v>
      </c>
      <c r="T463">
        <f t="shared" si="100"/>
        <v>0</v>
      </c>
      <c r="U463">
        <f t="shared" si="101"/>
        <v>0</v>
      </c>
      <c r="V463">
        <f t="shared" si="102"/>
        <v>0</v>
      </c>
    </row>
    <row r="464" spans="1:22" x14ac:dyDescent="0.4">
      <c r="A464" s="1" t="s">
        <v>1477</v>
      </c>
      <c r="B464" s="1" t="s">
        <v>1478</v>
      </c>
      <c r="C464" s="1" t="s">
        <v>1479</v>
      </c>
      <c r="D464" s="1" t="s">
        <v>44</v>
      </c>
      <c r="E464" s="1" t="s">
        <v>90</v>
      </c>
      <c r="F464" s="5" t="s">
        <v>46</v>
      </c>
      <c r="G464" s="1" t="s">
        <v>27</v>
      </c>
      <c r="H464">
        <f>VLOOKUP(D464,[1]金額リスト!$A$2:$B$6,2,FALSE)</f>
        <v>114300</v>
      </c>
      <c r="I464" s="1" t="s">
        <v>33</v>
      </c>
      <c r="J464">
        <f t="shared" si="91"/>
        <v>0</v>
      </c>
      <c r="K464">
        <f t="shared" si="92"/>
        <v>0</v>
      </c>
      <c r="L464">
        <f t="shared" si="103"/>
        <v>0</v>
      </c>
      <c r="M464">
        <f t="shared" si="93"/>
        <v>0</v>
      </c>
      <c r="N464">
        <f t="shared" si="94"/>
        <v>114300</v>
      </c>
      <c r="O464">
        <f t="shared" si="95"/>
        <v>0</v>
      </c>
      <c r="P464">
        <f t="shared" si="96"/>
        <v>0</v>
      </c>
      <c r="Q464">
        <f t="shared" si="97"/>
        <v>0</v>
      </c>
      <c r="R464">
        <f t="shared" si="98"/>
        <v>0</v>
      </c>
      <c r="S464">
        <f t="shared" si="99"/>
        <v>0</v>
      </c>
      <c r="T464">
        <f t="shared" si="100"/>
        <v>0</v>
      </c>
      <c r="U464">
        <f t="shared" si="101"/>
        <v>0</v>
      </c>
      <c r="V464">
        <f t="shared" si="102"/>
        <v>0</v>
      </c>
    </row>
    <row r="465" spans="1:22" x14ac:dyDescent="0.4">
      <c r="A465" s="1" t="s">
        <v>1480</v>
      </c>
      <c r="B465" s="1" t="s">
        <v>1481</v>
      </c>
      <c r="C465" s="1" t="s">
        <v>1482</v>
      </c>
      <c r="D465" s="1" t="s">
        <v>44</v>
      </c>
      <c r="E465" s="1" t="s">
        <v>82</v>
      </c>
      <c r="F465" s="5" t="s">
        <v>46</v>
      </c>
      <c r="G465" s="1" t="s">
        <v>27</v>
      </c>
      <c r="H465">
        <f>VLOOKUP(D465,[1]金額リスト!$A$2:$B$6,2,FALSE)</f>
        <v>114300</v>
      </c>
      <c r="I465" s="1" t="s">
        <v>33</v>
      </c>
      <c r="J465">
        <f t="shared" si="91"/>
        <v>0</v>
      </c>
      <c r="K465">
        <f t="shared" si="92"/>
        <v>0</v>
      </c>
      <c r="L465">
        <f t="shared" si="103"/>
        <v>0</v>
      </c>
      <c r="M465">
        <f t="shared" si="93"/>
        <v>0</v>
      </c>
      <c r="N465">
        <f t="shared" si="94"/>
        <v>114300</v>
      </c>
      <c r="O465">
        <f t="shared" si="95"/>
        <v>0</v>
      </c>
      <c r="P465">
        <f t="shared" si="96"/>
        <v>0</v>
      </c>
      <c r="Q465">
        <f t="shared" si="97"/>
        <v>0</v>
      </c>
      <c r="R465">
        <f t="shared" si="98"/>
        <v>0</v>
      </c>
      <c r="S465">
        <f t="shared" si="99"/>
        <v>0</v>
      </c>
      <c r="T465">
        <f t="shared" si="100"/>
        <v>0</v>
      </c>
      <c r="U465">
        <f t="shared" si="101"/>
        <v>0</v>
      </c>
      <c r="V465">
        <f t="shared" si="102"/>
        <v>0</v>
      </c>
    </row>
    <row r="466" spans="1:22" x14ac:dyDescent="0.4">
      <c r="A466" s="1" t="s">
        <v>1483</v>
      </c>
      <c r="B466" s="1" t="s">
        <v>1484</v>
      </c>
      <c r="C466" s="1" t="s">
        <v>1485</v>
      </c>
      <c r="D466" s="1" t="s">
        <v>44</v>
      </c>
      <c r="E466" s="1" t="s">
        <v>924</v>
      </c>
      <c r="F466" s="5" t="s">
        <v>479</v>
      </c>
      <c r="G466" s="1" t="s">
        <v>27</v>
      </c>
      <c r="H466">
        <f>VLOOKUP(D466,[1]金額リスト!$A$2:$B$6,2,FALSE)</f>
        <v>114300</v>
      </c>
      <c r="I466" s="1" t="s">
        <v>868</v>
      </c>
      <c r="J466">
        <f t="shared" si="91"/>
        <v>0</v>
      </c>
      <c r="K466">
        <f t="shared" si="92"/>
        <v>0</v>
      </c>
      <c r="L466">
        <f t="shared" si="103"/>
        <v>114300</v>
      </c>
      <c r="M466">
        <f t="shared" si="93"/>
        <v>0</v>
      </c>
      <c r="N466">
        <f t="shared" si="94"/>
        <v>0</v>
      </c>
      <c r="O466">
        <f t="shared" si="95"/>
        <v>0</v>
      </c>
      <c r="P466">
        <f t="shared" si="96"/>
        <v>0</v>
      </c>
      <c r="Q466">
        <f t="shared" si="97"/>
        <v>0</v>
      </c>
      <c r="R466">
        <f t="shared" si="98"/>
        <v>0</v>
      </c>
      <c r="S466">
        <f t="shared" si="99"/>
        <v>0</v>
      </c>
      <c r="T466">
        <f t="shared" si="100"/>
        <v>0</v>
      </c>
      <c r="U466">
        <f t="shared" si="101"/>
        <v>0</v>
      </c>
      <c r="V466">
        <f t="shared" si="102"/>
        <v>0</v>
      </c>
    </row>
    <row r="467" spans="1:22" x14ac:dyDescent="0.4">
      <c r="A467" s="1" t="s">
        <v>1486</v>
      </c>
      <c r="B467" s="1" t="s">
        <v>1487</v>
      </c>
      <c r="C467" s="1" t="s">
        <v>1488</v>
      </c>
      <c r="D467" s="1" t="s">
        <v>44</v>
      </c>
      <c r="E467" s="1" t="s">
        <v>86</v>
      </c>
      <c r="F467" s="5" t="s">
        <v>46</v>
      </c>
      <c r="G467" s="1" t="s">
        <v>27</v>
      </c>
      <c r="H467">
        <f>VLOOKUP(D467,[1]金額リスト!$A$2:$B$6,2,FALSE)</f>
        <v>114300</v>
      </c>
      <c r="I467" s="1" t="s">
        <v>33</v>
      </c>
      <c r="J467">
        <f t="shared" si="91"/>
        <v>0</v>
      </c>
      <c r="K467">
        <f t="shared" si="92"/>
        <v>0</v>
      </c>
      <c r="L467">
        <f t="shared" si="103"/>
        <v>0</v>
      </c>
      <c r="M467">
        <f t="shared" si="93"/>
        <v>0</v>
      </c>
      <c r="N467">
        <f t="shared" si="94"/>
        <v>114300</v>
      </c>
      <c r="O467">
        <f t="shared" si="95"/>
        <v>0</v>
      </c>
      <c r="P467">
        <f t="shared" si="96"/>
        <v>0</v>
      </c>
      <c r="Q467">
        <f t="shared" si="97"/>
        <v>0</v>
      </c>
      <c r="R467">
        <f t="shared" si="98"/>
        <v>0</v>
      </c>
      <c r="S467">
        <f t="shared" si="99"/>
        <v>0</v>
      </c>
      <c r="T467">
        <f t="shared" si="100"/>
        <v>0</v>
      </c>
      <c r="U467">
        <f t="shared" si="101"/>
        <v>0</v>
      </c>
      <c r="V467">
        <f t="shared" si="102"/>
        <v>0</v>
      </c>
    </row>
    <row r="468" spans="1:22" x14ac:dyDescent="0.4">
      <c r="A468" s="1" t="s">
        <v>1489</v>
      </c>
      <c r="B468" s="1" t="s">
        <v>1490</v>
      </c>
      <c r="C468" s="1" t="s">
        <v>1491</v>
      </c>
      <c r="D468" s="1" t="s">
        <v>44</v>
      </c>
      <c r="E468" s="1" t="s">
        <v>63</v>
      </c>
      <c r="F468" s="5" t="s">
        <v>46</v>
      </c>
      <c r="G468" s="1" t="s">
        <v>27</v>
      </c>
      <c r="H468">
        <f>VLOOKUP(D468,[1]金額リスト!$A$2:$B$6,2,FALSE)</f>
        <v>114300</v>
      </c>
      <c r="I468" s="1" t="s">
        <v>33</v>
      </c>
      <c r="J468">
        <f t="shared" si="91"/>
        <v>0</v>
      </c>
      <c r="K468">
        <f t="shared" si="92"/>
        <v>0</v>
      </c>
      <c r="L468">
        <f t="shared" si="103"/>
        <v>0</v>
      </c>
      <c r="M468">
        <f t="shared" si="93"/>
        <v>0</v>
      </c>
      <c r="N468">
        <f t="shared" si="94"/>
        <v>114300</v>
      </c>
      <c r="O468">
        <f t="shared" si="95"/>
        <v>0</v>
      </c>
      <c r="P468">
        <f t="shared" si="96"/>
        <v>0</v>
      </c>
      <c r="Q468">
        <f t="shared" si="97"/>
        <v>0</v>
      </c>
      <c r="R468">
        <f t="shared" si="98"/>
        <v>0</v>
      </c>
      <c r="S468">
        <f t="shared" si="99"/>
        <v>0</v>
      </c>
      <c r="T468">
        <f t="shared" si="100"/>
        <v>0</v>
      </c>
      <c r="U468">
        <f t="shared" si="101"/>
        <v>0</v>
      </c>
      <c r="V468">
        <f t="shared" si="102"/>
        <v>0</v>
      </c>
    </row>
    <row r="469" spans="1:22" x14ac:dyDescent="0.4">
      <c r="A469" s="1" t="s">
        <v>1492</v>
      </c>
      <c r="B469" s="1" t="s">
        <v>1493</v>
      </c>
      <c r="C469" s="1" t="s">
        <v>1494</v>
      </c>
      <c r="D469" s="1" t="s">
        <v>44</v>
      </c>
      <c r="E469" s="1" t="s">
        <v>86</v>
      </c>
      <c r="F469" s="5" t="s">
        <v>46</v>
      </c>
      <c r="G469" s="1" t="s">
        <v>27</v>
      </c>
      <c r="H469">
        <f>VLOOKUP(D469,[1]金額リスト!$A$2:$B$6,2,FALSE)</f>
        <v>114300</v>
      </c>
      <c r="I469" s="1" t="s">
        <v>33</v>
      </c>
      <c r="J469">
        <f t="shared" si="91"/>
        <v>0</v>
      </c>
      <c r="K469">
        <f t="shared" si="92"/>
        <v>0</v>
      </c>
      <c r="L469">
        <f t="shared" si="103"/>
        <v>0</v>
      </c>
      <c r="M469">
        <f t="shared" si="93"/>
        <v>0</v>
      </c>
      <c r="N469">
        <f t="shared" si="94"/>
        <v>114300</v>
      </c>
      <c r="O469">
        <f t="shared" si="95"/>
        <v>0</v>
      </c>
      <c r="P469">
        <f t="shared" si="96"/>
        <v>0</v>
      </c>
      <c r="Q469">
        <f t="shared" si="97"/>
        <v>0</v>
      </c>
      <c r="R469">
        <f t="shared" si="98"/>
        <v>0</v>
      </c>
      <c r="S469">
        <f t="shared" si="99"/>
        <v>0</v>
      </c>
      <c r="T469">
        <f t="shared" si="100"/>
        <v>0</v>
      </c>
      <c r="U469">
        <f t="shared" si="101"/>
        <v>0</v>
      </c>
      <c r="V469">
        <f t="shared" si="102"/>
        <v>0</v>
      </c>
    </row>
    <row r="470" spans="1:22" x14ac:dyDescent="0.4">
      <c r="A470" s="1" t="s">
        <v>1495</v>
      </c>
      <c r="B470" s="1" t="s">
        <v>1496</v>
      </c>
      <c r="C470" s="1" t="s">
        <v>1497</v>
      </c>
      <c r="D470" s="1" t="s">
        <v>44</v>
      </c>
      <c r="E470" s="1" t="s">
        <v>867</v>
      </c>
      <c r="F470" s="5" t="s">
        <v>479</v>
      </c>
      <c r="G470" s="1" t="s">
        <v>27</v>
      </c>
      <c r="H470">
        <f>VLOOKUP(D470,[1]金額リスト!$A$2:$B$6,2,FALSE)</f>
        <v>114300</v>
      </c>
      <c r="I470" s="1" t="s">
        <v>868</v>
      </c>
      <c r="J470">
        <f t="shared" si="91"/>
        <v>0</v>
      </c>
      <c r="K470">
        <f t="shared" si="92"/>
        <v>0</v>
      </c>
      <c r="L470">
        <f t="shared" si="103"/>
        <v>114300</v>
      </c>
      <c r="M470">
        <f t="shared" si="93"/>
        <v>0</v>
      </c>
      <c r="N470">
        <f t="shared" si="94"/>
        <v>0</v>
      </c>
      <c r="O470">
        <f t="shared" si="95"/>
        <v>0</v>
      </c>
      <c r="P470">
        <f t="shared" si="96"/>
        <v>0</v>
      </c>
      <c r="Q470">
        <f t="shared" si="97"/>
        <v>0</v>
      </c>
      <c r="R470">
        <f t="shared" si="98"/>
        <v>0</v>
      </c>
      <c r="S470">
        <f t="shared" si="99"/>
        <v>0</v>
      </c>
      <c r="T470">
        <f t="shared" si="100"/>
        <v>0</v>
      </c>
      <c r="U470">
        <f t="shared" si="101"/>
        <v>0</v>
      </c>
      <c r="V470">
        <f t="shared" si="102"/>
        <v>0</v>
      </c>
    </row>
    <row r="471" spans="1:22" x14ac:dyDescent="0.4">
      <c r="A471" s="1" t="s">
        <v>1498</v>
      </c>
      <c r="B471" s="1" t="s">
        <v>1499</v>
      </c>
      <c r="C471" s="1" t="s">
        <v>1500</v>
      </c>
      <c r="D471" s="1" t="s">
        <v>44</v>
      </c>
      <c r="E471" s="1" t="s">
        <v>1309</v>
      </c>
      <c r="F471" s="5" t="s">
        <v>479</v>
      </c>
      <c r="G471" s="1" t="s">
        <v>27</v>
      </c>
      <c r="H471">
        <f>VLOOKUP(D471,[1]金額リスト!$A$2:$B$6,2,FALSE)</f>
        <v>114300</v>
      </c>
      <c r="I471" s="1" t="s">
        <v>868</v>
      </c>
      <c r="J471">
        <f t="shared" si="91"/>
        <v>0</v>
      </c>
      <c r="K471">
        <f t="shared" si="92"/>
        <v>0</v>
      </c>
      <c r="L471">
        <f t="shared" si="103"/>
        <v>114300</v>
      </c>
      <c r="M471">
        <f t="shared" si="93"/>
        <v>0</v>
      </c>
      <c r="N471">
        <f t="shared" si="94"/>
        <v>0</v>
      </c>
      <c r="O471">
        <f t="shared" si="95"/>
        <v>0</v>
      </c>
      <c r="P471">
        <f t="shared" si="96"/>
        <v>0</v>
      </c>
      <c r="Q471">
        <f t="shared" si="97"/>
        <v>0</v>
      </c>
      <c r="R471">
        <f t="shared" si="98"/>
        <v>0</v>
      </c>
      <c r="S471">
        <f t="shared" si="99"/>
        <v>0</v>
      </c>
      <c r="T471">
        <f t="shared" si="100"/>
        <v>0</v>
      </c>
      <c r="U471">
        <f t="shared" si="101"/>
        <v>0</v>
      </c>
      <c r="V471">
        <f t="shared" si="102"/>
        <v>0</v>
      </c>
    </row>
    <row r="472" spans="1:22" x14ac:dyDescent="0.4">
      <c r="A472" s="1" t="s">
        <v>1501</v>
      </c>
      <c r="B472" s="1" t="s">
        <v>1502</v>
      </c>
      <c r="C472" s="1" t="s">
        <v>1503</v>
      </c>
      <c r="D472" s="1" t="s">
        <v>44</v>
      </c>
      <c r="E472" s="1" t="s">
        <v>932</v>
      </c>
      <c r="F472" s="5" t="s">
        <v>479</v>
      </c>
      <c r="G472" s="1" t="s">
        <v>27</v>
      </c>
      <c r="H472">
        <f>VLOOKUP(D472,[1]金額リスト!$A$2:$B$6,2,FALSE)</f>
        <v>114300</v>
      </c>
      <c r="I472" s="1" t="s">
        <v>868</v>
      </c>
      <c r="J472">
        <f t="shared" si="91"/>
        <v>0</v>
      </c>
      <c r="K472">
        <f t="shared" si="92"/>
        <v>0</v>
      </c>
      <c r="L472">
        <f t="shared" si="103"/>
        <v>114300</v>
      </c>
      <c r="M472">
        <f t="shared" si="93"/>
        <v>0</v>
      </c>
      <c r="N472">
        <f t="shared" si="94"/>
        <v>0</v>
      </c>
      <c r="O472">
        <f t="shared" si="95"/>
        <v>0</v>
      </c>
      <c r="P472">
        <f t="shared" si="96"/>
        <v>0</v>
      </c>
      <c r="Q472">
        <f t="shared" si="97"/>
        <v>0</v>
      </c>
      <c r="R472">
        <f t="shared" si="98"/>
        <v>0</v>
      </c>
      <c r="S472">
        <f t="shared" si="99"/>
        <v>0</v>
      </c>
      <c r="T472">
        <f t="shared" si="100"/>
        <v>0</v>
      </c>
      <c r="U472">
        <f t="shared" si="101"/>
        <v>0</v>
      </c>
      <c r="V472">
        <f t="shared" si="102"/>
        <v>0</v>
      </c>
    </row>
    <row r="473" spans="1:22" x14ac:dyDescent="0.4">
      <c r="A473" s="1" t="s">
        <v>1504</v>
      </c>
      <c r="B473" s="1" t="s">
        <v>1505</v>
      </c>
      <c r="C473" s="1" t="s">
        <v>1506</v>
      </c>
      <c r="D473" s="1" t="s">
        <v>44</v>
      </c>
      <c r="E473" s="1" t="s">
        <v>1195</v>
      </c>
      <c r="F473" s="5" t="s">
        <v>479</v>
      </c>
      <c r="G473" s="1" t="s">
        <v>27</v>
      </c>
      <c r="H473">
        <f>VLOOKUP(D473,[1]金額リスト!$A$2:$B$6,2,FALSE)</f>
        <v>114300</v>
      </c>
      <c r="I473" s="1" t="s">
        <v>868</v>
      </c>
      <c r="J473">
        <f t="shared" si="91"/>
        <v>0</v>
      </c>
      <c r="K473">
        <f t="shared" si="92"/>
        <v>0</v>
      </c>
      <c r="L473">
        <f t="shared" si="103"/>
        <v>114300</v>
      </c>
      <c r="M473">
        <f t="shared" si="93"/>
        <v>0</v>
      </c>
      <c r="N473">
        <f t="shared" si="94"/>
        <v>0</v>
      </c>
      <c r="O473">
        <f t="shared" si="95"/>
        <v>0</v>
      </c>
      <c r="P473">
        <f t="shared" si="96"/>
        <v>0</v>
      </c>
      <c r="Q473">
        <f t="shared" si="97"/>
        <v>0</v>
      </c>
      <c r="R473">
        <f t="shared" si="98"/>
        <v>0</v>
      </c>
      <c r="S473">
        <f t="shared" si="99"/>
        <v>0</v>
      </c>
      <c r="T473">
        <f t="shared" si="100"/>
        <v>0</v>
      </c>
      <c r="U473">
        <f t="shared" si="101"/>
        <v>0</v>
      </c>
      <c r="V473">
        <f t="shared" si="102"/>
        <v>0</v>
      </c>
    </row>
    <row r="474" spans="1:22" x14ac:dyDescent="0.4">
      <c r="A474" s="1" t="s">
        <v>1507</v>
      </c>
      <c r="B474" s="1" t="s">
        <v>1508</v>
      </c>
      <c r="C474" s="1" t="s">
        <v>1509</v>
      </c>
      <c r="D474" s="1" t="s">
        <v>44</v>
      </c>
      <c r="E474" s="1" t="s">
        <v>1195</v>
      </c>
      <c r="F474" s="5" t="s">
        <v>479</v>
      </c>
      <c r="G474" s="1" t="s">
        <v>27</v>
      </c>
      <c r="H474">
        <f>VLOOKUP(D474,[1]金額リスト!$A$2:$B$6,2,FALSE)</f>
        <v>114300</v>
      </c>
      <c r="I474" s="1" t="s">
        <v>868</v>
      </c>
      <c r="J474">
        <f t="shared" si="91"/>
        <v>0</v>
      </c>
      <c r="K474">
        <f t="shared" si="92"/>
        <v>0</v>
      </c>
      <c r="L474">
        <f t="shared" si="103"/>
        <v>114300</v>
      </c>
      <c r="M474">
        <f t="shared" si="93"/>
        <v>0</v>
      </c>
      <c r="N474">
        <f t="shared" si="94"/>
        <v>0</v>
      </c>
      <c r="O474">
        <f t="shared" si="95"/>
        <v>0</v>
      </c>
      <c r="P474">
        <f t="shared" si="96"/>
        <v>0</v>
      </c>
      <c r="Q474">
        <f t="shared" si="97"/>
        <v>0</v>
      </c>
      <c r="R474">
        <f t="shared" si="98"/>
        <v>0</v>
      </c>
      <c r="S474">
        <f t="shared" si="99"/>
        <v>0</v>
      </c>
      <c r="T474">
        <f t="shared" si="100"/>
        <v>0</v>
      </c>
      <c r="U474">
        <f t="shared" si="101"/>
        <v>0</v>
      </c>
      <c r="V474">
        <f t="shared" si="102"/>
        <v>0</v>
      </c>
    </row>
    <row r="475" spans="1:22" x14ac:dyDescent="0.4">
      <c r="A475" s="1" t="s">
        <v>1510</v>
      </c>
      <c r="B475" s="1" t="s">
        <v>1511</v>
      </c>
      <c r="C475" s="1" t="s">
        <v>1512</v>
      </c>
      <c r="D475" s="1" t="s">
        <v>70</v>
      </c>
      <c r="E475" s="1" t="s">
        <v>37</v>
      </c>
      <c r="F475" s="5" t="s">
        <v>10</v>
      </c>
      <c r="G475" s="1" t="s">
        <v>52</v>
      </c>
      <c r="H475">
        <f>VLOOKUP(D475,[1]金額リスト!$A$2:$B$6,2,FALSE)</f>
        <v>59400</v>
      </c>
      <c r="I475" s="1" t="s">
        <v>28</v>
      </c>
      <c r="J475">
        <f t="shared" si="91"/>
        <v>0</v>
      </c>
      <c r="K475">
        <f t="shared" si="92"/>
        <v>59400</v>
      </c>
      <c r="L475">
        <f t="shared" si="103"/>
        <v>0</v>
      </c>
      <c r="M475">
        <f t="shared" si="93"/>
        <v>0</v>
      </c>
      <c r="N475">
        <f t="shared" si="94"/>
        <v>0</v>
      </c>
      <c r="O475">
        <f t="shared" si="95"/>
        <v>0</v>
      </c>
      <c r="P475">
        <f t="shared" si="96"/>
        <v>0</v>
      </c>
      <c r="Q475">
        <f t="shared" si="97"/>
        <v>0</v>
      </c>
      <c r="R475">
        <f t="shared" si="98"/>
        <v>0</v>
      </c>
      <c r="S475">
        <f t="shared" si="99"/>
        <v>0</v>
      </c>
      <c r="T475">
        <f t="shared" si="100"/>
        <v>0</v>
      </c>
      <c r="U475">
        <f t="shared" si="101"/>
        <v>0</v>
      </c>
      <c r="V475">
        <f t="shared" si="102"/>
        <v>0</v>
      </c>
    </row>
    <row r="476" spans="1:22" x14ac:dyDescent="0.4">
      <c r="A476" s="1" t="s">
        <v>1513</v>
      </c>
      <c r="B476" s="1" t="s">
        <v>1514</v>
      </c>
      <c r="C476" s="1" t="s">
        <v>1515</v>
      </c>
      <c r="D476" s="1" t="s">
        <v>44</v>
      </c>
      <c r="E476" s="1" t="s">
        <v>932</v>
      </c>
      <c r="F476" s="5" t="s">
        <v>479</v>
      </c>
      <c r="G476" s="1" t="s">
        <v>27</v>
      </c>
      <c r="H476">
        <f>VLOOKUP(D476,[1]金額リスト!$A$2:$B$6,2,FALSE)</f>
        <v>114300</v>
      </c>
      <c r="I476" s="1" t="s">
        <v>868</v>
      </c>
      <c r="J476">
        <f t="shared" si="91"/>
        <v>0</v>
      </c>
      <c r="K476">
        <f t="shared" si="92"/>
        <v>0</v>
      </c>
      <c r="L476">
        <f t="shared" si="103"/>
        <v>114300</v>
      </c>
      <c r="M476">
        <f t="shared" si="93"/>
        <v>0</v>
      </c>
      <c r="N476">
        <f t="shared" si="94"/>
        <v>0</v>
      </c>
      <c r="O476">
        <f t="shared" si="95"/>
        <v>0</v>
      </c>
      <c r="P476">
        <f t="shared" si="96"/>
        <v>0</v>
      </c>
      <c r="Q476">
        <f t="shared" si="97"/>
        <v>0</v>
      </c>
      <c r="R476">
        <f t="shared" si="98"/>
        <v>0</v>
      </c>
      <c r="S476">
        <f t="shared" si="99"/>
        <v>0</v>
      </c>
      <c r="T476">
        <f t="shared" si="100"/>
        <v>0</v>
      </c>
      <c r="U476">
        <f t="shared" si="101"/>
        <v>0</v>
      </c>
      <c r="V476">
        <f t="shared" si="102"/>
        <v>0</v>
      </c>
    </row>
    <row r="477" spans="1:22" x14ac:dyDescent="0.4">
      <c r="A477" s="1" t="s">
        <v>1516</v>
      </c>
      <c r="B477" s="1" t="s">
        <v>1517</v>
      </c>
      <c r="C477" s="1" t="s">
        <v>1518</v>
      </c>
      <c r="D477" s="1" t="s">
        <v>44</v>
      </c>
      <c r="E477" s="1" t="s">
        <v>920</v>
      </c>
      <c r="F477" s="5" t="s">
        <v>479</v>
      </c>
      <c r="G477" s="1" t="s">
        <v>27</v>
      </c>
      <c r="H477">
        <f>VLOOKUP(D477,[1]金額リスト!$A$2:$B$6,2,FALSE)</f>
        <v>114300</v>
      </c>
      <c r="I477" s="1" t="s">
        <v>868</v>
      </c>
      <c r="J477">
        <f t="shared" si="91"/>
        <v>0</v>
      </c>
      <c r="K477">
        <f t="shared" si="92"/>
        <v>0</v>
      </c>
      <c r="L477">
        <f t="shared" si="103"/>
        <v>114300</v>
      </c>
      <c r="M477">
        <f t="shared" si="93"/>
        <v>0</v>
      </c>
      <c r="N477">
        <f t="shared" si="94"/>
        <v>0</v>
      </c>
      <c r="O477">
        <f t="shared" si="95"/>
        <v>0</v>
      </c>
      <c r="P477">
        <f t="shared" si="96"/>
        <v>0</v>
      </c>
      <c r="Q477">
        <f t="shared" si="97"/>
        <v>0</v>
      </c>
      <c r="R477">
        <f t="shared" si="98"/>
        <v>0</v>
      </c>
      <c r="S477">
        <f t="shared" si="99"/>
        <v>0</v>
      </c>
      <c r="T477">
        <f t="shared" si="100"/>
        <v>0</v>
      </c>
      <c r="U477">
        <f t="shared" si="101"/>
        <v>0</v>
      </c>
      <c r="V477">
        <f t="shared" si="102"/>
        <v>0</v>
      </c>
    </row>
    <row r="478" spans="1:22" x14ac:dyDescent="0.4">
      <c r="A478" s="1" t="s">
        <v>1519</v>
      </c>
      <c r="B478" s="1" t="s">
        <v>1520</v>
      </c>
      <c r="C478" s="1" t="s">
        <v>1521</v>
      </c>
      <c r="D478" s="1" t="s">
        <v>44</v>
      </c>
      <c r="E478" s="1" t="s">
        <v>56</v>
      </c>
      <c r="F478" s="5" t="s">
        <v>46</v>
      </c>
      <c r="G478" s="1" t="s">
        <v>27</v>
      </c>
      <c r="H478">
        <f>VLOOKUP(D478,[1]金額リスト!$A$2:$B$6,2,FALSE)</f>
        <v>114300</v>
      </c>
      <c r="I478" s="1" t="s">
        <v>33</v>
      </c>
      <c r="J478">
        <f t="shared" si="91"/>
        <v>0</v>
      </c>
      <c r="K478">
        <f t="shared" si="92"/>
        <v>0</v>
      </c>
      <c r="L478">
        <f t="shared" si="103"/>
        <v>0</v>
      </c>
      <c r="M478">
        <f t="shared" si="93"/>
        <v>0</v>
      </c>
      <c r="N478">
        <f t="shared" si="94"/>
        <v>114300</v>
      </c>
      <c r="O478">
        <f t="shared" si="95"/>
        <v>0</v>
      </c>
      <c r="P478">
        <f t="shared" si="96"/>
        <v>0</v>
      </c>
      <c r="Q478">
        <f t="shared" si="97"/>
        <v>0</v>
      </c>
      <c r="R478">
        <f t="shared" si="98"/>
        <v>0</v>
      </c>
      <c r="S478">
        <f t="shared" si="99"/>
        <v>0</v>
      </c>
      <c r="T478">
        <f t="shared" si="100"/>
        <v>0</v>
      </c>
      <c r="U478">
        <f t="shared" si="101"/>
        <v>0</v>
      </c>
      <c r="V478">
        <f t="shared" si="102"/>
        <v>0</v>
      </c>
    </row>
    <row r="479" spans="1:22" x14ac:dyDescent="0.4">
      <c r="A479" s="1" t="s">
        <v>1522</v>
      </c>
      <c r="B479" s="1" t="s">
        <v>1523</v>
      </c>
      <c r="C479" s="1" t="s">
        <v>1524</v>
      </c>
      <c r="D479" s="1" t="s">
        <v>44</v>
      </c>
      <c r="E479" s="1" t="s">
        <v>1141</v>
      </c>
      <c r="F479" s="5" t="s">
        <v>479</v>
      </c>
      <c r="G479" s="1" t="s">
        <v>27</v>
      </c>
      <c r="H479">
        <f>VLOOKUP(D479,[1]金額リスト!$A$2:$B$6,2,FALSE)</f>
        <v>114300</v>
      </c>
      <c r="I479" s="1" t="s">
        <v>868</v>
      </c>
      <c r="J479">
        <f t="shared" si="91"/>
        <v>0</v>
      </c>
      <c r="K479">
        <f t="shared" si="92"/>
        <v>0</v>
      </c>
      <c r="L479">
        <f t="shared" si="103"/>
        <v>114300</v>
      </c>
      <c r="M479">
        <f t="shared" si="93"/>
        <v>0</v>
      </c>
      <c r="N479">
        <f t="shared" si="94"/>
        <v>0</v>
      </c>
      <c r="O479">
        <f t="shared" si="95"/>
        <v>0</v>
      </c>
      <c r="P479">
        <f t="shared" si="96"/>
        <v>0</v>
      </c>
      <c r="Q479">
        <f t="shared" si="97"/>
        <v>0</v>
      </c>
      <c r="R479">
        <f t="shared" si="98"/>
        <v>0</v>
      </c>
      <c r="S479">
        <f t="shared" si="99"/>
        <v>0</v>
      </c>
      <c r="T479">
        <f t="shared" si="100"/>
        <v>0</v>
      </c>
      <c r="U479">
        <f t="shared" si="101"/>
        <v>0</v>
      </c>
      <c r="V479">
        <f t="shared" si="102"/>
        <v>0</v>
      </c>
    </row>
    <row r="480" spans="1:22" x14ac:dyDescent="0.4">
      <c r="A480" s="1" t="s">
        <v>1525</v>
      </c>
      <c r="B480" s="1" t="s">
        <v>1526</v>
      </c>
      <c r="C480" s="1" t="s">
        <v>1527</v>
      </c>
      <c r="D480" s="1" t="s">
        <v>44</v>
      </c>
      <c r="E480" s="1" t="s">
        <v>924</v>
      </c>
      <c r="F480" s="5" t="s">
        <v>479</v>
      </c>
      <c r="G480" s="1" t="s">
        <v>27</v>
      </c>
      <c r="H480">
        <f>VLOOKUP(D480,[1]金額リスト!$A$2:$B$6,2,FALSE)</f>
        <v>114300</v>
      </c>
      <c r="I480" s="1" t="s">
        <v>868</v>
      </c>
      <c r="J480">
        <f t="shared" si="91"/>
        <v>0</v>
      </c>
      <c r="K480">
        <f t="shared" si="92"/>
        <v>0</v>
      </c>
      <c r="L480">
        <f t="shared" si="103"/>
        <v>114300</v>
      </c>
      <c r="M480">
        <f t="shared" si="93"/>
        <v>0</v>
      </c>
      <c r="N480">
        <f t="shared" si="94"/>
        <v>0</v>
      </c>
      <c r="O480">
        <f t="shared" si="95"/>
        <v>0</v>
      </c>
      <c r="P480">
        <f t="shared" si="96"/>
        <v>0</v>
      </c>
      <c r="Q480">
        <f t="shared" si="97"/>
        <v>0</v>
      </c>
      <c r="R480">
        <f t="shared" si="98"/>
        <v>0</v>
      </c>
      <c r="S480">
        <f t="shared" si="99"/>
        <v>0</v>
      </c>
      <c r="T480">
        <f t="shared" si="100"/>
        <v>0</v>
      </c>
      <c r="U480">
        <f t="shared" si="101"/>
        <v>0</v>
      </c>
      <c r="V480">
        <f t="shared" si="102"/>
        <v>0</v>
      </c>
    </row>
    <row r="481" spans="1:22" x14ac:dyDescent="0.4">
      <c r="A481" s="1" t="s">
        <v>1528</v>
      </c>
      <c r="B481" s="1" t="s">
        <v>1529</v>
      </c>
      <c r="C481" s="1" t="s">
        <v>1530</v>
      </c>
      <c r="D481" s="1" t="s">
        <v>44</v>
      </c>
      <c r="E481" s="1" t="s">
        <v>97</v>
      </c>
      <c r="F481" s="5" t="s">
        <v>46</v>
      </c>
      <c r="G481" s="1" t="s">
        <v>27</v>
      </c>
      <c r="H481">
        <f>VLOOKUP(D481,[1]金額リスト!$A$2:$B$6,2,FALSE)</f>
        <v>114300</v>
      </c>
      <c r="I481" s="1" t="s">
        <v>33</v>
      </c>
      <c r="J481">
        <f t="shared" si="91"/>
        <v>0</v>
      </c>
      <c r="K481">
        <f t="shared" si="92"/>
        <v>0</v>
      </c>
      <c r="L481">
        <f t="shared" si="103"/>
        <v>0</v>
      </c>
      <c r="M481">
        <f t="shared" si="93"/>
        <v>0</v>
      </c>
      <c r="N481">
        <f t="shared" si="94"/>
        <v>114300</v>
      </c>
      <c r="O481">
        <f t="shared" si="95"/>
        <v>0</v>
      </c>
      <c r="P481">
        <f t="shared" si="96"/>
        <v>0</v>
      </c>
      <c r="Q481">
        <f t="shared" si="97"/>
        <v>0</v>
      </c>
      <c r="R481">
        <f t="shared" si="98"/>
        <v>0</v>
      </c>
      <c r="S481">
        <f t="shared" si="99"/>
        <v>0</v>
      </c>
      <c r="T481">
        <f t="shared" si="100"/>
        <v>0</v>
      </c>
      <c r="U481">
        <f t="shared" si="101"/>
        <v>0</v>
      </c>
      <c r="V481">
        <f t="shared" si="102"/>
        <v>0</v>
      </c>
    </row>
    <row r="482" spans="1:22" x14ac:dyDescent="0.4">
      <c r="A482" s="1" t="s">
        <v>1531</v>
      </c>
      <c r="B482" s="1" t="s">
        <v>1532</v>
      </c>
      <c r="C482" s="1" t="s">
        <v>1533</v>
      </c>
      <c r="D482" s="1" t="s">
        <v>70</v>
      </c>
      <c r="E482" s="1" t="s">
        <v>82</v>
      </c>
      <c r="F482" s="5" t="s">
        <v>10</v>
      </c>
      <c r="G482" s="1" t="s">
        <v>52</v>
      </c>
      <c r="H482">
        <f>VLOOKUP(D482,[1]金額リスト!$A$2:$B$6,2,FALSE)</f>
        <v>59400</v>
      </c>
      <c r="I482" s="1" t="s">
        <v>28</v>
      </c>
      <c r="J482">
        <f t="shared" si="91"/>
        <v>0</v>
      </c>
      <c r="K482">
        <f t="shared" si="92"/>
        <v>59400</v>
      </c>
      <c r="L482">
        <f t="shared" si="103"/>
        <v>0</v>
      </c>
      <c r="M482">
        <f t="shared" si="93"/>
        <v>0</v>
      </c>
      <c r="N482">
        <f t="shared" si="94"/>
        <v>0</v>
      </c>
      <c r="O482">
        <f t="shared" si="95"/>
        <v>0</v>
      </c>
      <c r="P482">
        <f t="shared" si="96"/>
        <v>0</v>
      </c>
      <c r="Q482">
        <f t="shared" si="97"/>
        <v>0</v>
      </c>
      <c r="R482">
        <f t="shared" si="98"/>
        <v>0</v>
      </c>
      <c r="S482">
        <f t="shared" si="99"/>
        <v>0</v>
      </c>
      <c r="T482">
        <f t="shared" si="100"/>
        <v>0</v>
      </c>
      <c r="U482">
        <f t="shared" si="101"/>
        <v>0</v>
      </c>
      <c r="V482">
        <f t="shared" si="102"/>
        <v>0</v>
      </c>
    </row>
    <row r="483" spans="1:22" x14ac:dyDescent="0.4">
      <c r="A483" s="1" t="s">
        <v>1534</v>
      </c>
      <c r="B483" s="1" t="s">
        <v>1535</v>
      </c>
      <c r="C483" s="1" t="s">
        <v>1536</v>
      </c>
      <c r="D483" s="1" t="s">
        <v>25</v>
      </c>
      <c r="E483" s="1" t="s">
        <v>37</v>
      </c>
      <c r="F483" s="5" t="s">
        <v>10</v>
      </c>
      <c r="G483" s="1" t="s">
        <v>27</v>
      </c>
      <c r="H483">
        <f>VLOOKUP(D483,[1]金額リスト!$A$2:$B$6,2,FALSE)</f>
        <v>59400</v>
      </c>
      <c r="I483" s="1" t="s">
        <v>33</v>
      </c>
      <c r="J483">
        <f t="shared" si="91"/>
        <v>0</v>
      </c>
      <c r="K483">
        <f t="shared" si="92"/>
        <v>59400</v>
      </c>
      <c r="L483">
        <f t="shared" si="103"/>
        <v>0</v>
      </c>
      <c r="M483">
        <f t="shared" si="93"/>
        <v>0</v>
      </c>
      <c r="N483">
        <f t="shared" si="94"/>
        <v>0</v>
      </c>
      <c r="O483">
        <f t="shared" si="95"/>
        <v>0</v>
      </c>
      <c r="P483">
        <f t="shared" si="96"/>
        <v>0</v>
      </c>
      <c r="Q483">
        <f t="shared" si="97"/>
        <v>0</v>
      </c>
      <c r="R483">
        <f t="shared" si="98"/>
        <v>0</v>
      </c>
      <c r="S483">
        <f t="shared" si="99"/>
        <v>0</v>
      </c>
      <c r="T483">
        <f t="shared" si="100"/>
        <v>0</v>
      </c>
      <c r="U483">
        <f t="shared" si="101"/>
        <v>0</v>
      </c>
      <c r="V483">
        <f t="shared" si="102"/>
        <v>0</v>
      </c>
    </row>
    <row r="484" spans="1:22" x14ac:dyDescent="0.4">
      <c r="A484" s="1" t="s">
        <v>1537</v>
      </c>
      <c r="B484" s="1" t="s">
        <v>1538</v>
      </c>
      <c r="C484" s="1" t="s">
        <v>1539</v>
      </c>
      <c r="D484" s="1" t="s">
        <v>44</v>
      </c>
      <c r="E484" s="1" t="s">
        <v>867</v>
      </c>
      <c r="F484" s="5" t="s">
        <v>479</v>
      </c>
      <c r="G484" s="1" t="s">
        <v>27</v>
      </c>
      <c r="H484">
        <f>VLOOKUP(D484,[1]金額リスト!$A$2:$B$6,2,FALSE)</f>
        <v>114300</v>
      </c>
      <c r="I484" s="1" t="s">
        <v>868</v>
      </c>
      <c r="J484">
        <f t="shared" si="91"/>
        <v>0</v>
      </c>
      <c r="K484">
        <f t="shared" si="92"/>
        <v>0</v>
      </c>
      <c r="L484">
        <f t="shared" si="103"/>
        <v>114300</v>
      </c>
      <c r="M484">
        <f t="shared" si="93"/>
        <v>0</v>
      </c>
      <c r="N484">
        <f t="shared" si="94"/>
        <v>0</v>
      </c>
      <c r="O484">
        <f t="shared" si="95"/>
        <v>0</v>
      </c>
      <c r="P484">
        <f t="shared" si="96"/>
        <v>0</v>
      </c>
      <c r="Q484">
        <f t="shared" si="97"/>
        <v>0</v>
      </c>
      <c r="R484">
        <f t="shared" si="98"/>
        <v>0</v>
      </c>
      <c r="S484">
        <f t="shared" si="99"/>
        <v>0</v>
      </c>
      <c r="T484">
        <f t="shared" si="100"/>
        <v>0</v>
      </c>
      <c r="U484">
        <f t="shared" si="101"/>
        <v>0</v>
      </c>
      <c r="V484">
        <f t="shared" si="102"/>
        <v>0</v>
      </c>
    </row>
    <row r="485" spans="1:22" x14ac:dyDescent="0.4">
      <c r="A485" s="1" t="s">
        <v>1540</v>
      </c>
      <c r="B485" s="1" t="s">
        <v>1541</v>
      </c>
      <c r="C485" s="1" t="s">
        <v>1542</v>
      </c>
      <c r="D485" s="1" t="s">
        <v>44</v>
      </c>
      <c r="E485" s="1" t="s">
        <v>1309</v>
      </c>
      <c r="F485" s="5" t="s">
        <v>479</v>
      </c>
      <c r="G485" s="1" t="s">
        <v>27</v>
      </c>
      <c r="H485">
        <f>VLOOKUP(D485,[1]金額リスト!$A$2:$B$6,2,FALSE)</f>
        <v>114300</v>
      </c>
      <c r="I485" s="1" t="s">
        <v>868</v>
      </c>
      <c r="J485">
        <f t="shared" si="91"/>
        <v>0</v>
      </c>
      <c r="K485">
        <f t="shared" si="92"/>
        <v>0</v>
      </c>
      <c r="L485">
        <f t="shared" si="103"/>
        <v>114300</v>
      </c>
      <c r="M485">
        <f t="shared" si="93"/>
        <v>0</v>
      </c>
      <c r="N485">
        <f t="shared" si="94"/>
        <v>0</v>
      </c>
      <c r="O485">
        <f t="shared" si="95"/>
        <v>0</v>
      </c>
      <c r="P485">
        <f t="shared" si="96"/>
        <v>0</v>
      </c>
      <c r="Q485">
        <f t="shared" si="97"/>
        <v>0</v>
      </c>
      <c r="R485">
        <f t="shared" si="98"/>
        <v>0</v>
      </c>
      <c r="S485">
        <f t="shared" si="99"/>
        <v>0</v>
      </c>
      <c r="T485">
        <f t="shared" si="100"/>
        <v>0</v>
      </c>
      <c r="U485">
        <f t="shared" si="101"/>
        <v>0</v>
      </c>
      <c r="V485">
        <f t="shared" si="102"/>
        <v>0</v>
      </c>
    </row>
    <row r="486" spans="1:22" x14ac:dyDescent="0.4">
      <c r="A486" s="1" t="s">
        <v>1543</v>
      </c>
      <c r="B486" s="1" t="s">
        <v>1544</v>
      </c>
      <c r="C486" s="1" t="s">
        <v>1545</v>
      </c>
      <c r="D486" s="1" t="s">
        <v>50</v>
      </c>
      <c r="E486" s="1" t="s">
        <v>140</v>
      </c>
      <c r="F486" s="5" t="s">
        <v>46</v>
      </c>
      <c r="G486" s="1" t="s">
        <v>52</v>
      </c>
      <c r="H486">
        <f>VLOOKUP(D486,[1]金額リスト!$A$2:$B$6,2,FALSE)</f>
        <v>114300</v>
      </c>
      <c r="I486" s="1" t="s">
        <v>28</v>
      </c>
      <c r="J486">
        <f t="shared" si="91"/>
        <v>0</v>
      </c>
      <c r="K486">
        <f t="shared" si="92"/>
        <v>0</v>
      </c>
      <c r="L486">
        <f t="shared" si="103"/>
        <v>0</v>
      </c>
      <c r="M486">
        <f t="shared" si="93"/>
        <v>0</v>
      </c>
      <c r="N486">
        <f t="shared" si="94"/>
        <v>114300</v>
      </c>
      <c r="O486">
        <f t="shared" si="95"/>
        <v>0</v>
      </c>
      <c r="P486">
        <f t="shared" si="96"/>
        <v>0</v>
      </c>
      <c r="Q486">
        <f t="shared" si="97"/>
        <v>0</v>
      </c>
      <c r="R486">
        <f t="shared" si="98"/>
        <v>0</v>
      </c>
      <c r="S486">
        <f t="shared" si="99"/>
        <v>0</v>
      </c>
      <c r="T486">
        <f t="shared" si="100"/>
        <v>0</v>
      </c>
      <c r="U486">
        <f t="shared" si="101"/>
        <v>0</v>
      </c>
      <c r="V486">
        <f t="shared" si="102"/>
        <v>0</v>
      </c>
    </row>
    <row r="487" spans="1:22" x14ac:dyDescent="0.4">
      <c r="A487" s="1" t="s">
        <v>1546</v>
      </c>
      <c r="B487" s="1" t="s">
        <v>1547</v>
      </c>
      <c r="C487" s="1" t="s">
        <v>1548</v>
      </c>
      <c r="D487" s="1" t="s">
        <v>44</v>
      </c>
      <c r="E487" s="1" t="s">
        <v>1242</v>
      </c>
      <c r="F487" s="5" t="s">
        <v>479</v>
      </c>
      <c r="G487" s="1" t="s">
        <v>27</v>
      </c>
      <c r="H487">
        <f>VLOOKUP(D487,[1]金額リスト!$A$2:$B$6,2,FALSE)</f>
        <v>114300</v>
      </c>
      <c r="I487" s="1" t="s">
        <v>868</v>
      </c>
      <c r="J487">
        <f t="shared" si="91"/>
        <v>0</v>
      </c>
      <c r="K487">
        <f t="shared" si="92"/>
        <v>0</v>
      </c>
      <c r="L487">
        <f t="shared" si="103"/>
        <v>114300</v>
      </c>
      <c r="M487">
        <f t="shared" si="93"/>
        <v>0</v>
      </c>
      <c r="N487">
        <f t="shared" si="94"/>
        <v>0</v>
      </c>
      <c r="O487">
        <f t="shared" si="95"/>
        <v>0</v>
      </c>
      <c r="P487">
        <f t="shared" si="96"/>
        <v>0</v>
      </c>
      <c r="Q487">
        <f t="shared" si="97"/>
        <v>0</v>
      </c>
      <c r="R487">
        <f t="shared" si="98"/>
        <v>0</v>
      </c>
      <c r="S487">
        <f t="shared" si="99"/>
        <v>0</v>
      </c>
      <c r="T487">
        <f t="shared" si="100"/>
        <v>0</v>
      </c>
      <c r="U487">
        <f t="shared" si="101"/>
        <v>0</v>
      </c>
      <c r="V487">
        <f t="shared" si="102"/>
        <v>0</v>
      </c>
    </row>
    <row r="488" spans="1:22" x14ac:dyDescent="0.4">
      <c r="A488" s="1" t="s">
        <v>1549</v>
      </c>
      <c r="B488" s="1" t="s">
        <v>1550</v>
      </c>
      <c r="C488" s="1" t="s">
        <v>1551</v>
      </c>
      <c r="D488" s="1" t="s">
        <v>44</v>
      </c>
      <c r="E488" s="1" t="s">
        <v>1252</v>
      </c>
      <c r="F488" s="5" t="s">
        <v>479</v>
      </c>
      <c r="G488" s="1" t="s">
        <v>27</v>
      </c>
      <c r="H488">
        <f>VLOOKUP(D488,[1]金額リスト!$A$2:$B$6,2,FALSE)</f>
        <v>114300</v>
      </c>
      <c r="I488" s="1" t="s">
        <v>868</v>
      </c>
      <c r="J488">
        <f t="shared" si="91"/>
        <v>0</v>
      </c>
      <c r="K488">
        <f t="shared" si="92"/>
        <v>0</v>
      </c>
      <c r="L488">
        <f t="shared" si="103"/>
        <v>114300</v>
      </c>
      <c r="M488">
        <f t="shared" si="93"/>
        <v>0</v>
      </c>
      <c r="N488">
        <f t="shared" si="94"/>
        <v>0</v>
      </c>
      <c r="O488">
        <f t="shared" si="95"/>
        <v>0</v>
      </c>
      <c r="P488">
        <f t="shared" si="96"/>
        <v>0</v>
      </c>
      <c r="Q488">
        <f t="shared" si="97"/>
        <v>0</v>
      </c>
      <c r="R488">
        <f t="shared" si="98"/>
        <v>0</v>
      </c>
      <c r="S488">
        <f t="shared" si="99"/>
        <v>0</v>
      </c>
      <c r="T488">
        <f t="shared" si="100"/>
        <v>0</v>
      </c>
      <c r="U488">
        <f t="shared" si="101"/>
        <v>0</v>
      </c>
      <c r="V488">
        <f t="shared" si="102"/>
        <v>0</v>
      </c>
    </row>
    <row r="489" spans="1:22" x14ac:dyDescent="0.4">
      <c r="A489" s="1" t="s">
        <v>1552</v>
      </c>
      <c r="B489" s="1" t="s">
        <v>1553</v>
      </c>
      <c r="C489" s="1" t="s">
        <v>1554</v>
      </c>
      <c r="D489" s="1" t="s">
        <v>44</v>
      </c>
      <c r="E489" s="1" t="s">
        <v>1195</v>
      </c>
      <c r="F489" s="5" t="s">
        <v>479</v>
      </c>
      <c r="G489" s="1" t="s">
        <v>27</v>
      </c>
      <c r="H489">
        <f>VLOOKUP(D489,[1]金額リスト!$A$2:$B$6,2,FALSE)</f>
        <v>114300</v>
      </c>
      <c r="I489" s="1" t="s">
        <v>868</v>
      </c>
      <c r="J489">
        <f t="shared" si="91"/>
        <v>0</v>
      </c>
      <c r="K489">
        <f t="shared" si="92"/>
        <v>0</v>
      </c>
      <c r="L489">
        <f t="shared" si="103"/>
        <v>114300</v>
      </c>
      <c r="M489">
        <f t="shared" si="93"/>
        <v>0</v>
      </c>
      <c r="N489">
        <f t="shared" si="94"/>
        <v>0</v>
      </c>
      <c r="O489">
        <f t="shared" si="95"/>
        <v>0</v>
      </c>
      <c r="P489">
        <f t="shared" si="96"/>
        <v>0</v>
      </c>
      <c r="Q489">
        <f t="shared" si="97"/>
        <v>0</v>
      </c>
      <c r="R489">
        <f t="shared" si="98"/>
        <v>0</v>
      </c>
      <c r="S489">
        <f t="shared" si="99"/>
        <v>0</v>
      </c>
      <c r="T489">
        <f t="shared" si="100"/>
        <v>0</v>
      </c>
      <c r="U489">
        <f t="shared" si="101"/>
        <v>0</v>
      </c>
      <c r="V489">
        <f t="shared" si="102"/>
        <v>0</v>
      </c>
    </row>
    <row r="490" spans="1:22" x14ac:dyDescent="0.4">
      <c r="A490" s="1" t="s">
        <v>1555</v>
      </c>
      <c r="B490" s="1" t="s">
        <v>1556</v>
      </c>
      <c r="C490" s="1" t="s">
        <v>1557</v>
      </c>
      <c r="D490" s="1" t="s">
        <v>25</v>
      </c>
      <c r="E490" s="1" t="s">
        <v>101</v>
      </c>
      <c r="F490" s="5" t="s">
        <v>10</v>
      </c>
      <c r="G490" s="1" t="s">
        <v>27</v>
      </c>
      <c r="H490">
        <f>VLOOKUP(D490,[1]金額リスト!$A$2:$B$6,2,FALSE)</f>
        <v>59400</v>
      </c>
      <c r="I490" s="1" t="s">
        <v>33</v>
      </c>
      <c r="J490">
        <f t="shared" si="91"/>
        <v>0</v>
      </c>
      <c r="K490">
        <f t="shared" si="92"/>
        <v>59400</v>
      </c>
      <c r="L490">
        <f t="shared" si="103"/>
        <v>0</v>
      </c>
      <c r="M490">
        <f t="shared" si="93"/>
        <v>0</v>
      </c>
      <c r="N490">
        <f t="shared" si="94"/>
        <v>0</v>
      </c>
      <c r="O490">
        <f t="shared" si="95"/>
        <v>0</v>
      </c>
      <c r="P490">
        <f t="shared" si="96"/>
        <v>0</v>
      </c>
      <c r="Q490">
        <f t="shared" si="97"/>
        <v>0</v>
      </c>
      <c r="R490">
        <f t="shared" si="98"/>
        <v>0</v>
      </c>
      <c r="S490">
        <f t="shared" si="99"/>
        <v>0</v>
      </c>
      <c r="T490">
        <f t="shared" si="100"/>
        <v>0</v>
      </c>
      <c r="U490">
        <f t="shared" si="101"/>
        <v>0</v>
      </c>
      <c r="V490">
        <f t="shared" si="102"/>
        <v>0</v>
      </c>
    </row>
    <row r="491" spans="1:22" x14ac:dyDescent="0.4">
      <c r="A491" s="1" t="s">
        <v>1558</v>
      </c>
      <c r="B491" s="1" t="s">
        <v>1559</v>
      </c>
      <c r="C491" s="1" t="s">
        <v>1560</v>
      </c>
      <c r="D491" s="1" t="s">
        <v>25</v>
      </c>
      <c r="E491" s="1" t="s">
        <v>32</v>
      </c>
      <c r="F491" s="5" t="s">
        <v>10</v>
      </c>
      <c r="G491" s="1" t="s">
        <v>27</v>
      </c>
      <c r="H491">
        <f>VLOOKUP(D491,[1]金額リスト!$A$2:$B$6,2,FALSE)</f>
        <v>59400</v>
      </c>
      <c r="I491" s="1" t="s">
        <v>33</v>
      </c>
      <c r="J491">
        <f t="shared" si="91"/>
        <v>0</v>
      </c>
      <c r="K491">
        <f t="shared" si="92"/>
        <v>59400</v>
      </c>
      <c r="L491">
        <f t="shared" si="103"/>
        <v>0</v>
      </c>
      <c r="M491">
        <f t="shared" si="93"/>
        <v>0</v>
      </c>
      <c r="N491">
        <f t="shared" si="94"/>
        <v>0</v>
      </c>
      <c r="O491">
        <f t="shared" si="95"/>
        <v>0</v>
      </c>
      <c r="P491">
        <f t="shared" si="96"/>
        <v>0</v>
      </c>
      <c r="Q491">
        <f t="shared" si="97"/>
        <v>0</v>
      </c>
      <c r="R491">
        <f t="shared" si="98"/>
        <v>0</v>
      </c>
      <c r="S491">
        <f t="shared" si="99"/>
        <v>0</v>
      </c>
      <c r="T491">
        <f t="shared" si="100"/>
        <v>0</v>
      </c>
      <c r="U491">
        <f t="shared" si="101"/>
        <v>0</v>
      </c>
      <c r="V491">
        <f t="shared" si="102"/>
        <v>0</v>
      </c>
    </row>
    <row r="492" spans="1:22" x14ac:dyDescent="0.4">
      <c r="A492" s="1" t="s">
        <v>1561</v>
      </c>
      <c r="B492" s="1" t="s">
        <v>1562</v>
      </c>
      <c r="C492" s="1" t="s">
        <v>1563</v>
      </c>
      <c r="D492" s="1" t="s">
        <v>44</v>
      </c>
      <c r="E492" s="1" t="s">
        <v>1402</v>
      </c>
      <c r="F492" s="5" t="s">
        <v>479</v>
      </c>
      <c r="G492" s="1" t="s">
        <v>27</v>
      </c>
      <c r="H492">
        <f>VLOOKUP(D492,[1]金額リスト!$A$2:$B$6,2,FALSE)</f>
        <v>114300</v>
      </c>
      <c r="I492" s="1" t="s">
        <v>1455</v>
      </c>
      <c r="J492">
        <f t="shared" si="91"/>
        <v>0</v>
      </c>
      <c r="K492">
        <f t="shared" si="92"/>
        <v>0</v>
      </c>
      <c r="L492">
        <f t="shared" si="103"/>
        <v>114300</v>
      </c>
      <c r="M492">
        <f t="shared" si="93"/>
        <v>0</v>
      </c>
      <c r="N492">
        <f t="shared" si="94"/>
        <v>0</v>
      </c>
      <c r="O492">
        <f t="shared" si="95"/>
        <v>0</v>
      </c>
      <c r="P492">
        <f t="shared" si="96"/>
        <v>0</v>
      </c>
      <c r="Q492">
        <f t="shared" si="97"/>
        <v>0</v>
      </c>
      <c r="R492">
        <f t="shared" si="98"/>
        <v>0</v>
      </c>
      <c r="S492">
        <f t="shared" si="99"/>
        <v>0</v>
      </c>
      <c r="T492">
        <f t="shared" si="100"/>
        <v>0</v>
      </c>
      <c r="U492">
        <f t="shared" si="101"/>
        <v>0</v>
      </c>
      <c r="V492">
        <f t="shared" si="102"/>
        <v>0</v>
      </c>
    </row>
    <row r="493" spans="1:22" x14ac:dyDescent="0.4">
      <c r="A493" s="1" t="s">
        <v>1564</v>
      </c>
      <c r="B493" s="1" t="s">
        <v>1565</v>
      </c>
      <c r="C493" s="1" t="s">
        <v>1566</v>
      </c>
      <c r="D493" s="1" t="s">
        <v>44</v>
      </c>
      <c r="E493" s="1" t="s">
        <v>1252</v>
      </c>
      <c r="F493" s="5" t="s">
        <v>479</v>
      </c>
      <c r="G493" s="1" t="s">
        <v>27</v>
      </c>
      <c r="H493">
        <f>VLOOKUP(D493,[1]金額リスト!$A$2:$B$6,2,FALSE)</f>
        <v>114300</v>
      </c>
      <c r="I493" s="1" t="s">
        <v>868</v>
      </c>
      <c r="J493">
        <f t="shared" si="91"/>
        <v>0</v>
      </c>
      <c r="K493">
        <f t="shared" si="92"/>
        <v>0</v>
      </c>
      <c r="L493">
        <f t="shared" si="103"/>
        <v>114300</v>
      </c>
      <c r="M493">
        <f t="shared" si="93"/>
        <v>0</v>
      </c>
      <c r="N493">
        <f t="shared" si="94"/>
        <v>0</v>
      </c>
      <c r="O493">
        <f t="shared" si="95"/>
        <v>0</v>
      </c>
      <c r="P493">
        <f t="shared" si="96"/>
        <v>0</v>
      </c>
      <c r="Q493">
        <f t="shared" si="97"/>
        <v>0</v>
      </c>
      <c r="R493">
        <f t="shared" si="98"/>
        <v>0</v>
      </c>
      <c r="S493">
        <f t="shared" si="99"/>
        <v>0</v>
      </c>
      <c r="T493">
        <f t="shared" si="100"/>
        <v>0</v>
      </c>
      <c r="U493">
        <f t="shared" si="101"/>
        <v>0</v>
      </c>
      <c r="V493">
        <f t="shared" si="102"/>
        <v>0</v>
      </c>
    </row>
    <row r="494" spans="1:22" x14ac:dyDescent="0.4">
      <c r="A494" s="1" t="s">
        <v>1567</v>
      </c>
      <c r="B494" s="1" t="s">
        <v>1568</v>
      </c>
      <c r="C494" s="1" t="s">
        <v>1569</v>
      </c>
      <c r="D494" s="1" t="s">
        <v>44</v>
      </c>
      <c r="E494" s="1" t="s">
        <v>86</v>
      </c>
      <c r="F494" s="5" t="s">
        <v>46</v>
      </c>
      <c r="G494" s="1" t="s">
        <v>27</v>
      </c>
      <c r="H494">
        <f>VLOOKUP(D494,[1]金額リスト!$A$2:$B$6,2,FALSE)</f>
        <v>114300</v>
      </c>
      <c r="I494" s="1" t="s">
        <v>33</v>
      </c>
      <c r="J494">
        <f t="shared" si="91"/>
        <v>0</v>
      </c>
      <c r="K494">
        <f t="shared" si="92"/>
        <v>0</v>
      </c>
      <c r="L494">
        <f t="shared" si="103"/>
        <v>0</v>
      </c>
      <c r="M494">
        <f t="shared" si="93"/>
        <v>0</v>
      </c>
      <c r="N494">
        <f t="shared" si="94"/>
        <v>114300</v>
      </c>
      <c r="O494">
        <f t="shared" si="95"/>
        <v>0</v>
      </c>
      <c r="P494">
        <f t="shared" si="96"/>
        <v>0</v>
      </c>
      <c r="Q494">
        <f t="shared" si="97"/>
        <v>0</v>
      </c>
      <c r="R494">
        <f t="shared" si="98"/>
        <v>0</v>
      </c>
      <c r="S494">
        <f t="shared" si="99"/>
        <v>0</v>
      </c>
      <c r="T494">
        <f t="shared" si="100"/>
        <v>0</v>
      </c>
      <c r="U494">
        <f t="shared" si="101"/>
        <v>0</v>
      </c>
      <c r="V494">
        <f t="shared" si="102"/>
        <v>0</v>
      </c>
    </row>
    <row r="495" spans="1:22" x14ac:dyDescent="0.4">
      <c r="A495" s="1" t="s">
        <v>1570</v>
      </c>
      <c r="B495" s="1" t="s">
        <v>1571</v>
      </c>
      <c r="C495" s="1" t="s">
        <v>1572</v>
      </c>
      <c r="D495" s="1" t="s">
        <v>44</v>
      </c>
      <c r="E495" s="1" t="s">
        <v>1573</v>
      </c>
      <c r="F495" s="5" t="s">
        <v>479</v>
      </c>
      <c r="G495" s="1" t="s">
        <v>27</v>
      </c>
      <c r="H495">
        <f>VLOOKUP(D495,[1]金額リスト!$A$2:$B$6,2,FALSE)</f>
        <v>114300</v>
      </c>
      <c r="I495" s="1" t="s">
        <v>868</v>
      </c>
      <c r="J495">
        <f t="shared" si="91"/>
        <v>0</v>
      </c>
      <c r="K495">
        <f t="shared" si="92"/>
        <v>0</v>
      </c>
      <c r="L495">
        <f t="shared" si="103"/>
        <v>114300</v>
      </c>
      <c r="M495">
        <f t="shared" si="93"/>
        <v>0</v>
      </c>
      <c r="N495">
        <f t="shared" si="94"/>
        <v>0</v>
      </c>
      <c r="O495">
        <f t="shared" si="95"/>
        <v>0</v>
      </c>
      <c r="P495">
        <f t="shared" si="96"/>
        <v>0</v>
      </c>
      <c r="Q495">
        <f t="shared" si="97"/>
        <v>0</v>
      </c>
      <c r="R495">
        <f t="shared" si="98"/>
        <v>0</v>
      </c>
      <c r="S495">
        <f t="shared" si="99"/>
        <v>0</v>
      </c>
      <c r="T495">
        <f t="shared" si="100"/>
        <v>0</v>
      </c>
      <c r="U495">
        <f t="shared" si="101"/>
        <v>0</v>
      </c>
      <c r="V495">
        <f t="shared" si="102"/>
        <v>0</v>
      </c>
    </row>
    <row r="496" spans="1:22" x14ac:dyDescent="0.4">
      <c r="A496" s="1" t="s">
        <v>1574</v>
      </c>
      <c r="B496" s="1" t="s">
        <v>1575</v>
      </c>
      <c r="C496" s="1" t="s">
        <v>1576</v>
      </c>
      <c r="D496" s="1" t="s">
        <v>25</v>
      </c>
      <c r="E496" s="1" t="s">
        <v>45</v>
      </c>
      <c r="F496" s="5" t="s">
        <v>10</v>
      </c>
      <c r="G496" s="1" t="s">
        <v>27</v>
      </c>
      <c r="H496">
        <f>VLOOKUP(D496,[1]金額リスト!$A$2:$B$6,2,FALSE)</f>
        <v>59400</v>
      </c>
      <c r="I496" s="1" t="s">
        <v>33</v>
      </c>
      <c r="J496">
        <f t="shared" si="91"/>
        <v>0</v>
      </c>
      <c r="K496">
        <f t="shared" si="92"/>
        <v>59400</v>
      </c>
      <c r="L496">
        <f t="shared" si="103"/>
        <v>0</v>
      </c>
      <c r="M496">
        <f t="shared" si="93"/>
        <v>0</v>
      </c>
      <c r="N496">
        <f t="shared" si="94"/>
        <v>0</v>
      </c>
      <c r="O496">
        <f t="shared" si="95"/>
        <v>0</v>
      </c>
      <c r="P496">
        <f t="shared" si="96"/>
        <v>0</v>
      </c>
      <c r="Q496">
        <f t="shared" si="97"/>
        <v>0</v>
      </c>
      <c r="R496">
        <f t="shared" si="98"/>
        <v>0</v>
      </c>
      <c r="S496">
        <f t="shared" si="99"/>
        <v>0</v>
      </c>
      <c r="T496">
        <f t="shared" si="100"/>
        <v>0</v>
      </c>
      <c r="U496">
        <f t="shared" si="101"/>
        <v>0</v>
      </c>
      <c r="V496">
        <f t="shared" si="102"/>
        <v>0</v>
      </c>
    </row>
    <row r="497" spans="1:22" x14ac:dyDescent="0.4">
      <c r="A497" s="1" t="s">
        <v>1577</v>
      </c>
      <c r="B497" s="1" t="s">
        <v>1578</v>
      </c>
      <c r="C497" s="1" t="s">
        <v>1579</v>
      </c>
      <c r="D497" s="1" t="s">
        <v>44</v>
      </c>
      <c r="E497" s="1" t="s">
        <v>56</v>
      </c>
      <c r="F497" s="5" t="s">
        <v>46</v>
      </c>
      <c r="G497" s="1" t="s">
        <v>27</v>
      </c>
      <c r="H497">
        <f>VLOOKUP(D497,[1]金額リスト!$A$2:$B$6,2,FALSE)</f>
        <v>114300</v>
      </c>
      <c r="I497" s="1" t="s">
        <v>33</v>
      </c>
      <c r="J497">
        <f t="shared" si="91"/>
        <v>0</v>
      </c>
      <c r="K497">
        <f t="shared" si="92"/>
        <v>0</v>
      </c>
      <c r="L497">
        <f t="shared" si="103"/>
        <v>0</v>
      </c>
      <c r="M497">
        <f t="shared" si="93"/>
        <v>0</v>
      </c>
      <c r="N497">
        <f t="shared" si="94"/>
        <v>114300</v>
      </c>
      <c r="O497">
        <f t="shared" si="95"/>
        <v>0</v>
      </c>
      <c r="P497">
        <f t="shared" si="96"/>
        <v>0</v>
      </c>
      <c r="Q497">
        <f t="shared" si="97"/>
        <v>0</v>
      </c>
      <c r="R497">
        <f t="shared" si="98"/>
        <v>0</v>
      </c>
      <c r="S497">
        <f t="shared" si="99"/>
        <v>0</v>
      </c>
      <c r="T497">
        <f t="shared" si="100"/>
        <v>0</v>
      </c>
      <c r="U497">
        <f t="shared" si="101"/>
        <v>0</v>
      </c>
      <c r="V497">
        <f t="shared" si="102"/>
        <v>0</v>
      </c>
    </row>
    <row r="498" spans="1:22" x14ac:dyDescent="0.4">
      <c r="A498" s="1" t="s">
        <v>1580</v>
      </c>
      <c r="B498" s="1" t="s">
        <v>1581</v>
      </c>
      <c r="C498" s="1" t="s">
        <v>1582</v>
      </c>
      <c r="D498" s="1" t="s">
        <v>44</v>
      </c>
      <c r="E498" s="1" t="s">
        <v>1141</v>
      </c>
      <c r="F498" s="5" t="s">
        <v>479</v>
      </c>
      <c r="G498" s="1" t="s">
        <v>27</v>
      </c>
      <c r="H498">
        <f>VLOOKUP(D498,[1]金額リスト!$A$2:$B$6,2,FALSE)</f>
        <v>114300</v>
      </c>
      <c r="I498" s="1" t="s">
        <v>868</v>
      </c>
      <c r="J498">
        <f t="shared" si="91"/>
        <v>0</v>
      </c>
      <c r="K498">
        <f t="shared" si="92"/>
        <v>0</v>
      </c>
      <c r="L498">
        <f t="shared" si="103"/>
        <v>114300</v>
      </c>
      <c r="M498">
        <f t="shared" si="93"/>
        <v>0</v>
      </c>
      <c r="N498">
        <f t="shared" si="94"/>
        <v>0</v>
      </c>
      <c r="O498">
        <f t="shared" si="95"/>
        <v>0</v>
      </c>
      <c r="P498">
        <f t="shared" si="96"/>
        <v>0</v>
      </c>
      <c r="Q498">
        <f t="shared" si="97"/>
        <v>0</v>
      </c>
      <c r="R498">
        <f t="shared" si="98"/>
        <v>0</v>
      </c>
      <c r="S498">
        <f t="shared" si="99"/>
        <v>0</v>
      </c>
      <c r="T498">
        <f t="shared" si="100"/>
        <v>0</v>
      </c>
      <c r="U498">
        <f t="shared" si="101"/>
        <v>0</v>
      </c>
      <c r="V498">
        <f t="shared" si="102"/>
        <v>0</v>
      </c>
    </row>
    <row r="499" spans="1:22" x14ac:dyDescent="0.4">
      <c r="A499" s="1" t="s">
        <v>1583</v>
      </c>
      <c r="B499" s="1" t="s">
        <v>1584</v>
      </c>
      <c r="C499" s="1" t="s">
        <v>1585</v>
      </c>
      <c r="D499" s="1" t="s">
        <v>44</v>
      </c>
      <c r="E499" s="1" t="s">
        <v>1242</v>
      </c>
      <c r="F499" s="5" t="s">
        <v>479</v>
      </c>
      <c r="G499" s="1" t="s">
        <v>27</v>
      </c>
      <c r="H499">
        <f>VLOOKUP(D499,[1]金額リスト!$A$2:$B$6,2,FALSE)</f>
        <v>114300</v>
      </c>
      <c r="I499" s="1" t="s">
        <v>868</v>
      </c>
      <c r="J499">
        <f t="shared" si="91"/>
        <v>0</v>
      </c>
      <c r="K499">
        <f t="shared" si="92"/>
        <v>0</v>
      </c>
      <c r="L499">
        <f t="shared" si="103"/>
        <v>114300</v>
      </c>
      <c r="M499">
        <f t="shared" si="93"/>
        <v>0</v>
      </c>
      <c r="N499">
        <f t="shared" si="94"/>
        <v>0</v>
      </c>
      <c r="O499">
        <f t="shared" si="95"/>
        <v>0</v>
      </c>
      <c r="P499">
        <f t="shared" si="96"/>
        <v>0</v>
      </c>
      <c r="Q499">
        <f t="shared" si="97"/>
        <v>0</v>
      </c>
      <c r="R499">
        <f t="shared" si="98"/>
        <v>0</v>
      </c>
      <c r="S499">
        <f t="shared" si="99"/>
        <v>0</v>
      </c>
      <c r="T499">
        <f t="shared" si="100"/>
        <v>0</v>
      </c>
      <c r="U499">
        <f t="shared" si="101"/>
        <v>0</v>
      </c>
      <c r="V499">
        <f t="shared" si="102"/>
        <v>0</v>
      </c>
    </row>
    <row r="500" spans="1:22" x14ac:dyDescent="0.4">
      <c r="A500" s="1" t="s">
        <v>1586</v>
      </c>
      <c r="B500" s="1" t="s">
        <v>1587</v>
      </c>
      <c r="C500" s="1" t="s">
        <v>1588</v>
      </c>
      <c r="D500" s="1" t="s">
        <v>44</v>
      </c>
      <c r="E500" s="1" t="s">
        <v>90</v>
      </c>
      <c r="F500" s="5" t="s">
        <v>46</v>
      </c>
      <c r="G500" s="1" t="s">
        <v>27</v>
      </c>
      <c r="H500">
        <f>VLOOKUP(D500,[1]金額リスト!$A$2:$B$6,2,FALSE)</f>
        <v>114300</v>
      </c>
      <c r="I500" s="1" t="s">
        <v>33</v>
      </c>
      <c r="J500">
        <f t="shared" si="91"/>
        <v>0</v>
      </c>
      <c r="K500">
        <f t="shared" si="92"/>
        <v>0</v>
      </c>
      <c r="L500">
        <f t="shared" si="103"/>
        <v>0</v>
      </c>
      <c r="M500">
        <f t="shared" si="93"/>
        <v>0</v>
      </c>
      <c r="N500">
        <f t="shared" si="94"/>
        <v>114300</v>
      </c>
      <c r="O500">
        <f t="shared" si="95"/>
        <v>0</v>
      </c>
      <c r="P500">
        <f t="shared" si="96"/>
        <v>0</v>
      </c>
      <c r="Q500">
        <f t="shared" si="97"/>
        <v>0</v>
      </c>
      <c r="R500">
        <f t="shared" si="98"/>
        <v>0</v>
      </c>
      <c r="S500">
        <f t="shared" si="99"/>
        <v>0</v>
      </c>
      <c r="T500">
        <f t="shared" si="100"/>
        <v>0</v>
      </c>
      <c r="U500">
        <f t="shared" si="101"/>
        <v>0</v>
      </c>
      <c r="V500">
        <f t="shared" si="102"/>
        <v>0</v>
      </c>
    </row>
    <row r="501" spans="1:22" x14ac:dyDescent="0.4">
      <c r="A501" s="1" t="s">
        <v>1589</v>
      </c>
      <c r="B501" s="1" t="s">
        <v>1590</v>
      </c>
      <c r="C501" s="1" t="s">
        <v>1591</v>
      </c>
      <c r="D501" s="1" t="s">
        <v>44</v>
      </c>
      <c r="E501" s="1" t="s">
        <v>1592</v>
      </c>
      <c r="F501" s="5" t="s">
        <v>10</v>
      </c>
      <c r="G501" s="1" t="s">
        <v>27</v>
      </c>
      <c r="H501">
        <f>VLOOKUP(D501,[1]金額リスト!$A$2:$B$6,2,FALSE)</f>
        <v>114300</v>
      </c>
      <c r="I501" s="1" t="s">
        <v>1593</v>
      </c>
      <c r="J501">
        <f t="shared" si="91"/>
        <v>0</v>
      </c>
      <c r="K501">
        <f t="shared" si="92"/>
        <v>114300</v>
      </c>
      <c r="L501">
        <f t="shared" si="103"/>
        <v>0</v>
      </c>
      <c r="M501">
        <f t="shared" si="93"/>
        <v>0</v>
      </c>
      <c r="N501">
        <f t="shared" si="94"/>
        <v>0</v>
      </c>
      <c r="O501">
        <f t="shared" si="95"/>
        <v>0</v>
      </c>
      <c r="P501">
        <f t="shared" si="96"/>
        <v>0</v>
      </c>
      <c r="Q501">
        <f t="shared" si="97"/>
        <v>0</v>
      </c>
      <c r="R501">
        <f t="shared" si="98"/>
        <v>0</v>
      </c>
      <c r="S501">
        <f t="shared" si="99"/>
        <v>0</v>
      </c>
      <c r="T501">
        <f t="shared" si="100"/>
        <v>0</v>
      </c>
      <c r="U501">
        <f t="shared" si="101"/>
        <v>0</v>
      </c>
      <c r="V501">
        <f t="shared" si="102"/>
        <v>0</v>
      </c>
    </row>
    <row r="502" spans="1:22" x14ac:dyDescent="0.4">
      <c r="A502" s="1" t="s">
        <v>1594</v>
      </c>
      <c r="B502" s="1" t="s">
        <v>1595</v>
      </c>
      <c r="C502" s="1" t="s">
        <v>1596</v>
      </c>
      <c r="D502" s="1" t="s">
        <v>44</v>
      </c>
      <c r="E502" s="1" t="s">
        <v>86</v>
      </c>
      <c r="F502" s="5" t="s">
        <v>46</v>
      </c>
      <c r="G502" s="1" t="s">
        <v>27</v>
      </c>
      <c r="H502">
        <f>VLOOKUP(D502,[1]金額リスト!$A$2:$B$6,2,FALSE)</f>
        <v>114300</v>
      </c>
      <c r="I502" s="1" t="s">
        <v>33</v>
      </c>
      <c r="J502">
        <f t="shared" si="91"/>
        <v>0</v>
      </c>
      <c r="K502">
        <f t="shared" si="92"/>
        <v>0</v>
      </c>
      <c r="L502">
        <f t="shared" si="103"/>
        <v>0</v>
      </c>
      <c r="M502">
        <f t="shared" si="93"/>
        <v>0</v>
      </c>
      <c r="N502">
        <f t="shared" si="94"/>
        <v>114300</v>
      </c>
      <c r="O502">
        <f t="shared" si="95"/>
        <v>0</v>
      </c>
      <c r="P502">
        <f t="shared" si="96"/>
        <v>0</v>
      </c>
      <c r="Q502">
        <f t="shared" si="97"/>
        <v>0</v>
      </c>
      <c r="R502">
        <f t="shared" si="98"/>
        <v>0</v>
      </c>
      <c r="S502">
        <f t="shared" si="99"/>
        <v>0</v>
      </c>
      <c r="T502">
        <f t="shared" si="100"/>
        <v>0</v>
      </c>
      <c r="U502">
        <f t="shared" si="101"/>
        <v>0</v>
      </c>
      <c r="V502">
        <f t="shared" si="102"/>
        <v>0</v>
      </c>
    </row>
    <row r="503" spans="1:22" x14ac:dyDescent="0.4">
      <c r="A503" s="1" t="s">
        <v>1597</v>
      </c>
      <c r="B503" s="1" t="s">
        <v>1598</v>
      </c>
      <c r="C503" s="1" t="s">
        <v>1599</v>
      </c>
      <c r="D503" s="1" t="s">
        <v>25</v>
      </c>
      <c r="E503" s="1" t="s">
        <v>1600</v>
      </c>
      <c r="F503" s="5" t="s">
        <v>10</v>
      </c>
      <c r="G503" s="1" t="s">
        <v>27</v>
      </c>
      <c r="H503">
        <f>VLOOKUP(D503,[1]金額リスト!$A$2:$B$6,2,FALSE)</f>
        <v>59400</v>
      </c>
      <c r="I503" s="1" t="s">
        <v>33</v>
      </c>
      <c r="J503">
        <f t="shared" si="91"/>
        <v>0</v>
      </c>
      <c r="K503">
        <f t="shared" si="92"/>
        <v>59400</v>
      </c>
      <c r="L503">
        <f t="shared" si="103"/>
        <v>0</v>
      </c>
      <c r="M503">
        <f t="shared" si="93"/>
        <v>0</v>
      </c>
      <c r="N503">
        <f t="shared" si="94"/>
        <v>0</v>
      </c>
      <c r="O503">
        <f t="shared" si="95"/>
        <v>0</v>
      </c>
      <c r="P503">
        <f t="shared" si="96"/>
        <v>0</v>
      </c>
      <c r="Q503">
        <f t="shared" si="97"/>
        <v>0</v>
      </c>
      <c r="R503">
        <f t="shared" si="98"/>
        <v>0</v>
      </c>
      <c r="S503">
        <f t="shared" si="99"/>
        <v>0</v>
      </c>
      <c r="T503">
        <f t="shared" si="100"/>
        <v>0</v>
      </c>
      <c r="U503">
        <f t="shared" si="101"/>
        <v>0</v>
      </c>
      <c r="V503">
        <f t="shared" si="102"/>
        <v>0</v>
      </c>
    </row>
    <row r="504" spans="1:22" x14ac:dyDescent="0.4">
      <c r="A504" s="1" t="s">
        <v>1601</v>
      </c>
      <c r="B504" s="1" t="s">
        <v>1602</v>
      </c>
      <c r="C504" s="1" t="s">
        <v>1603</v>
      </c>
      <c r="D504" s="1" t="s">
        <v>44</v>
      </c>
      <c r="E504" s="1" t="s">
        <v>932</v>
      </c>
      <c r="F504" s="5" t="s">
        <v>479</v>
      </c>
      <c r="G504" s="1" t="s">
        <v>27</v>
      </c>
      <c r="H504">
        <f>VLOOKUP(D504,[1]金額リスト!$A$2:$B$6,2,FALSE)</f>
        <v>114300</v>
      </c>
      <c r="I504" s="1" t="s">
        <v>868</v>
      </c>
      <c r="J504">
        <f t="shared" si="91"/>
        <v>0</v>
      </c>
      <c r="K504">
        <f t="shared" si="92"/>
        <v>0</v>
      </c>
      <c r="L504">
        <f t="shared" si="103"/>
        <v>114300</v>
      </c>
      <c r="M504">
        <f t="shared" si="93"/>
        <v>0</v>
      </c>
      <c r="N504">
        <f t="shared" si="94"/>
        <v>0</v>
      </c>
      <c r="O504">
        <f t="shared" si="95"/>
        <v>0</v>
      </c>
      <c r="P504">
        <f t="shared" si="96"/>
        <v>0</v>
      </c>
      <c r="Q504">
        <f t="shared" si="97"/>
        <v>0</v>
      </c>
      <c r="R504">
        <f t="shared" si="98"/>
        <v>0</v>
      </c>
      <c r="S504">
        <f t="shared" si="99"/>
        <v>0</v>
      </c>
      <c r="T504">
        <f t="shared" si="100"/>
        <v>0</v>
      </c>
      <c r="U504">
        <f t="shared" si="101"/>
        <v>0</v>
      </c>
      <c r="V504">
        <f t="shared" si="102"/>
        <v>0</v>
      </c>
    </row>
    <row r="505" spans="1:22" x14ac:dyDescent="0.4">
      <c r="A505" s="1" t="s">
        <v>1604</v>
      </c>
      <c r="B505" s="1" t="s">
        <v>1605</v>
      </c>
      <c r="C505" s="1" t="s">
        <v>1606</v>
      </c>
      <c r="D505" s="1" t="s">
        <v>44</v>
      </c>
      <c r="E505" s="1" t="s">
        <v>1211</v>
      </c>
      <c r="F505" s="5" t="s">
        <v>479</v>
      </c>
      <c r="G505" s="1" t="s">
        <v>27</v>
      </c>
      <c r="H505">
        <f>VLOOKUP(D505,[1]金額リスト!$A$2:$B$6,2,FALSE)</f>
        <v>114300</v>
      </c>
      <c r="I505" s="1" t="s">
        <v>868</v>
      </c>
      <c r="J505">
        <f t="shared" si="91"/>
        <v>0</v>
      </c>
      <c r="K505">
        <f t="shared" si="92"/>
        <v>0</v>
      </c>
      <c r="L505">
        <f t="shared" si="103"/>
        <v>114300</v>
      </c>
      <c r="M505">
        <f t="shared" si="93"/>
        <v>0</v>
      </c>
      <c r="N505">
        <f t="shared" si="94"/>
        <v>0</v>
      </c>
      <c r="O505">
        <f t="shared" si="95"/>
        <v>0</v>
      </c>
      <c r="P505">
        <f t="shared" si="96"/>
        <v>0</v>
      </c>
      <c r="Q505">
        <f t="shared" si="97"/>
        <v>0</v>
      </c>
      <c r="R505">
        <f t="shared" si="98"/>
        <v>0</v>
      </c>
      <c r="S505">
        <f t="shared" si="99"/>
        <v>0</v>
      </c>
      <c r="T505">
        <f t="shared" si="100"/>
        <v>0</v>
      </c>
      <c r="U505">
        <f t="shared" si="101"/>
        <v>0</v>
      </c>
      <c r="V505">
        <f t="shared" si="102"/>
        <v>0</v>
      </c>
    </row>
    <row r="506" spans="1:22" x14ac:dyDescent="0.4">
      <c r="A506" s="1" t="s">
        <v>1607</v>
      </c>
      <c r="B506" s="1" t="s">
        <v>1608</v>
      </c>
      <c r="C506" s="1" t="s">
        <v>1609</v>
      </c>
      <c r="D506" s="1" t="s">
        <v>44</v>
      </c>
      <c r="E506" s="1" t="s">
        <v>1610</v>
      </c>
      <c r="F506" s="5" t="s">
        <v>10</v>
      </c>
      <c r="G506" s="1" t="s">
        <v>27</v>
      </c>
      <c r="H506">
        <f>VLOOKUP(D506,[1]金額リスト!$A$2:$B$6,2,FALSE)</f>
        <v>114300</v>
      </c>
      <c r="I506" s="1" t="s">
        <v>1593</v>
      </c>
      <c r="J506">
        <f t="shared" si="91"/>
        <v>0</v>
      </c>
      <c r="K506">
        <f t="shared" si="92"/>
        <v>114300</v>
      </c>
      <c r="L506">
        <f t="shared" si="103"/>
        <v>0</v>
      </c>
      <c r="M506">
        <f t="shared" si="93"/>
        <v>0</v>
      </c>
      <c r="N506">
        <f t="shared" si="94"/>
        <v>0</v>
      </c>
      <c r="O506">
        <f t="shared" si="95"/>
        <v>0</v>
      </c>
      <c r="P506">
        <f t="shared" si="96"/>
        <v>0</v>
      </c>
      <c r="Q506">
        <f t="shared" si="97"/>
        <v>0</v>
      </c>
      <c r="R506">
        <f t="shared" si="98"/>
        <v>0</v>
      </c>
      <c r="S506">
        <f t="shared" si="99"/>
        <v>0</v>
      </c>
      <c r="T506">
        <f t="shared" si="100"/>
        <v>0</v>
      </c>
      <c r="U506">
        <f t="shared" si="101"/>
        <v>0</v>
      </c>
      <c r="V506">
        <f t="shared" si="102"/>
        <v>0</v>
      </c>
    </row>
    <row r="507" spans="1:22" x14ac:dyDescent="0.4">
      <c r="A507" s="1" t="s">
        <v>1611</v>
      </c>
      <c r="B507" s="1" t="s">
        <v>1612</v>
      </c>
      <c r="C507" s="1" t="s">
        <v>1613</v>
      </c>
      <c r="D507" s="1" t="s">
        <v>44</v>
      </c>
      <c r="E507" s="1" t="s">
        <v>1614</v>
      </c>
      <c r="F507" s="5" t="s">
        <v>10</v>
      </c>
      <c r="G507" s="1" t="s">
        <v>27</v>
      </c>
      <c r="H507">
        <f>VLOOKUP(D507,[1]金額リスト!$A$2:$B$6,2,FALSE)</f>
        <v>114300</v>
      </c>
      <c r="I507" s="1" t="s">
        <v>1593</v>
      </c>
      <c r="J507">
        <f t="shared" si="91"/>
        <v>0</v>
      </c>
      <c r="K507">
        <f t="shared" si="92"/>
        <v>114300</v>
      </c>
      <c r="L507">
        <f t="shared" si="103"/>
        <v>0</v>
      </c>
      <c r="M507">
        <f t="shared" si="93"/>
        <v>0</v>
      </c>
      <c r="N507">
        <f t="shared" si="94"/>
        <v>0</v>
      </c>
      <c r="O507">
        <f t="shared" si="95"/>
        <v>0</v>
      </c>
      <c r="P507">
        <f t="shared" si="96"/>
        <v>0</v>
      </c>
      <c r="Q507">
        <f t="shared" si="97"/>
        <v>0</v>
      </c>
      <c r="R507">
        <f t="shared" si="98"/>
        <v>0</v>
      </c>
      <c r="S507">
        <f t="shared" si="99"/>
        <v>0</v>
      </c>
      <c r="T507">
        <f t="shared" si="100"/>
        <v>0</v>
      </c>
      <c r="U507">
        <f t="shared" si="101"/>
        <v>0</v>
      </c>
      <c r="V507">
        <f t="shared" si="102"/>
        <v>0</v>
      </c>
    </row>
    <row r="508" spans="1:22" x14ac:dyDescent="0.4">
      <c r="A508" s="1" t="s">
        <v>1615</v>
      </c>
      <c r="B508" s="1" t="s">
        <v>1616</v>
      </c>
      <c r="C508" s="1" t="s">
        <v>1617</v>
      </c>
      <c r="D508" s="1" t="s">
        <v>44</v>
      </c>
      <c r="E508" s="1" t="s">
        <v>1618</v>
      </c>
      <c r="F508" s="5" t="s">
        <v>10</v>
      </c>
      <c r="G508" s="1" t="s">
        <v>27</v>
      </c>
      <c r="H508">
        <f>VLOOKUP(D508,[1]金額リスト!$A$2:$B$6,2,FALSE)</f>
        <v>114300</v>
      </c>
      <c r="I508" s="1" t="s">
        <v>1593</v>
      </c>
      <c r="J508">
        <f t="shared" si="91"/>
        <v>0</v>
      </c>
      <c r="K508">
        <f t="shared" si="92"/>
        <v>114300</v>
      </c>
      <c r="L508">
        <f t="shared" si="103"/>
        <v>0</v>
      </c>
      <c r="M508">
        <f t="shared" si="93"/>
        <v>0</v>
      </c>
      <c r="N508">
        <f t="shared" si="94"/>
        <v>0</v>
      </c>
      <c r="O508">
        <f t="shared" si="95"/>
        <v>0</v>
      </c>
      <c r="P508">
        <f t="shared" si="96"/>
        <v>0</v>
      </c>
      <c r="Q508">
        <f t="shared" si="97"/>
        <v>0</v>
      </c>
      <c r="R508">
        <f t="shared" si="98"/>
        <v>0</v>
      </c>
      <c r="S508">
        <f t="shared" si="99"/>
        <v>0</v>
      </c>
      <c r="T508">
        <f t="shared" si="100"/>
        <v>0</v>
      </c>
      <c r="U508">
        <f t="shared" si="101"/>
        <v>0</v>
      </c>
      <c r="V508">
        <f t="shared" si="102"/>
        <v>0</v>
      </c>
    </row>
    <row r="509" spans="1:22" x14ac:dyDescent="0.4">
      <c r="A509" s="1" t="s">
        <v>1619</v>
      </c>
      <c r="B509" s="1" t="s">
        <v>1620</v>
      </c>
      <c r="C509" s="1" t="s">
        <v>1621</v>
      </c>
      <c r="D509" s="1" t="s">
        <v>44</v>
      </c>
      <c r="E509" s="1" t="s">
        <v>1622</v>
      </c>
      <c r="F509" s="5" t="s">
        <v>1623</v>
      </c>
      <c r="G509" s="1" t="s">
        <v>27</v>
      </c>
      <c r="H509">
        <f>VLOOKUP(D509,[1]金額リスト!$A$2:$B$6,2,FALSE)</f>
        <v>114300</v>
      </c>
      <c r="I509" s="1" t="s">
        <v>28</v>
      </c>
      <c r="J509">
        <f t="shared" si="91"/>
        <v>0</v>
      </c>
      <c r="K509">
        <f t="shared" si="92"/>
        <v>0</v>
      </c>
      <c r="L509">
        <f t="shared" si="103"/>
        <v>0</v>
      </c>
      <c r="M509">
        <f t="shared" si="93"/>
        <v>0</v>
      </c>
      <c r="N509">
        <f t="shared" si="94"/>
        <v>0</v>
      </c>
      <c r="O509">
        <f t="shared" si="95"/>
        <v>0</v>
      </c>
      <c r="P509">
        <f t="shared" si="96"/>
        <v>114300</v>
      </c>
      <c r="Q509">
        <f t="shared" si="97"/>
        <v>0</v>
      </c>
      <c r="R509">
        <f t="shared" si="98"/>
        <v>0</v>
      </c>
      <c r="S509">
        <f t="shared" si="99"/>
        <v>0</v>
      </c>
      <c r="T509">
        <f t="shared" si="100"/>
        <v>0</v>
      </c>
      <c r="U509">
        <f t="shared" si="101"/>
        <v>0</v>
      </c>
      <c r="V509">
        <f t="shared" si="102"/>
        <v>0</v>
      </c>
    </row>
    <row r="510" spans="1:22" x14ac:dyDescent="0.4">
      <c r="A510" s="1" t="s">
        <v>1624</v>
      </c>
      <c r="B510" s="1" t="s">
        <v>1625</v>
      </c>
      <c r="C510" s="1" t="s">
        <v>1626</v>
      </c>
      <c r="D510" s="1" t="s">
        <v>44</v>
      </c>
      <c r="E510" s="1" t="s">
        <v>1627</v>
      </c>
      <c r="F510" s="5" t="s">
        <v>10</v>
      </c>
      <c r="G510" s="1" t="s">
        <v>27</v>
      </c>
      <c r="H510">
        <f>VLOOKUP(D510,[1]金額リスト!$A$2:$B$6,2,FALSE)</f>
        <v>114300</v>
      </c>
      <c r="I510" s="1" t="s">
        <v>1593</v>
      </c>
      <c r="J510">
        <f t="shared" si="91"/>
        <v>0</v>
      </c>
      <c r="K510">
        <f t="shared" si="92"/>
        <v>114300</v>
      </c>
      <c r="L510">
        <f t="shared" si="103"/>
        <v>0</v>
      </c>
      <c r="M510">
        <f t="shared" si="93"/>
        <v>0</v>
      </c>
      <c r="N510">
        <f t="shared" si="94"/>
        <v>0</v>
      </c>
      <c r="O510">
        <f t="shared" si="95"/>
        <v>0</v>
      </c>
      <c r="P510">
        <f t="shared" si="96"/>
        <v>0</v>
      </c>
      <c r="Q510">
        <f t="shared" si="97"/>
        <v>0</v>
      </c>
      <c r="R510">
        <f t="shared" si="98"/>
        <v>0</v>
      </c>
      <c r="S510">
        <f t="shared" si="99"/>
        <v>0</v>
      </c>
      <c r="T510">
        <f t="shared" si="100"/>
        <v>0</v>
      </c>
      <c r="U510">
        <f t="shared" si="101"/>
        <v>0</v>
      </c>
      <c r="V510">
        <f t="shared" si="102"/>
        <v>0</v>
      </c>
    </row>
    <row r="511" spans="1:22" x14ac:dyDescent="0.4">
      <c r="A511" s="1" t="s">
        <v>1628</v>
      </c>
      <c r="B511" s="1" t="s">
        <v>1629</v>
      </c>
      <c r="C511" s="1" t="s">
        <v>1630</v>
      </c>
      <c r="D511" s="1" t="s">
        <v>44</v>
      </c>
      <c r="E511" s="1" t="s">
        <v>37</v>
      </c>
      <c r="F511" s="5" t="s">
        <v>46</v>
      </c>
      <c r="G511" s="1" t="s">
        <v>27</v>
      </c>
      <c r="H511">
        <f>VLOOKUP(D511,[1]金額リスト!$A$2:$B$6,2,FALSE)</f>
        <v>114300</v>
      </c>
      <c r="I511" s="1" t="s">
        <v>33</v>
      </c>
      <c r="J511">
        <f t="shared" si="91"/>
        <v>0</v>
      </c>
      <c r="K511">
        <f t="shared" si="92"/>
        <v>0</v>
      </c>
      <c r="L511">
        <f t="shared" si="103"/>
        <v>0</v>
      </c>
      <c r="M511">
        <f t="shared" si="93"/>
        <v>0</v>
      </c>
      <c r="N511">
        <f t="shared" si="94"/>
        <v>114300</v>
      </c>
      <c r="O511">
        <f t="shared" si="95"/>
        <v>0</v>
      </c>
      <c r="P511">
        <f t="shared" si="96"/>
        <v>0</v>
      </c>
      <c r="Q511">
        <f t="shared" si="97"/>
        <v>0</v>
      </c>
      <c r="R511">
        <f t="shared" si="98"/>
        <v>0</v>
      </c>
      <c r="S511">
        <f t="shared" si="99"/>
        <v>0</v>
      </c>
      <c r="T511">
        <f t="shared" si="100"/>
        <v>0</v>
      </c>
      <c r="U511">
        <f t="shared" si="101"/>
        <v>0</v>
      </c>
      <c r="V511">
        <f t="shared" si="102"/>
        <v>0</v>
      </c>
    </row>
    <row r="512" spans="1:22" x14ac:dyDescent="0.4">
      <c r="A512" s="1" t="s">
        <v>1631</v>
      </c>
      <c r="B512" s="1" t="s">
        <v>1632</v>
      </c>
      <c r="C512" s="1" t="s">
        <v>1633</v>
      </c>
      <c r="D512" s="1" t="s">
        <v>44</v>
      </c>
      <c r="E512" s="1" t="s">
        <v>1634</v>
      </c>
      <c r="F512" s="5" t="s">
        <v>10</v>
      </c>
      <c r="G512" s="1" t="s">
        <v>27</v>
      </c>
      <c r="H512">
        <f>VLOOKUP(D512,[1]金額リスト!$A$2:$B$6,2,FALSE)</f>
        <v>114300</v>
      </c>
      <c r="I512" s="1" t="s">
        <v>1593</v>
      </c>
      <c r="J512">
        <f t="shared" si="91"/>
        <v>0</v>
      </c>
      <c r="K512">
        <f t="shared" si="92"/>
        <v>114300</v>
      </c>
      <c r="L512">
        <f t="shared" si="103"/>
        <v>0</v>
      </c>
      <c r="M512">
        <f t="shared" si="93"/>
        <v>0</v>
      </c>
      <c r="N512">
        <f t="shared" si="94"/>
        <v>0</v>
      </c>
      <c r="O512">
        <f t="shared" si="95"/>
        <v>0</v>
      </c>
      <c r="P512">
        <f t="shared" si="96"/>
        <v>0</v>
      </c>
      <c r="Q512">
        <f t="shared" si="97"/>
        <v>0</v>
      </c>
      <c r="R512">
        <f t="shared" si="98"/>
        <v>0</v>
      </c>
      <c r="S512">
        <f t="shared" si="99"/>
        <v>0</v>
      </c>
      <c r="T512">
        <f t="shared" si="100"/>
        <v>0</v>
      </c>
      <c r="U512">
        <f t="shared" si="101"/>
        <v>0</v>
      </c>
      <c r="V512">
        <f t="shared" si="102"/>
        <v>0</v>
      </c>
    </row>
    <row r="513" spans="1:22" x14ac:dyDescent="0.4">
      <c r="A513" s="1" t="s">
        <v>1635</v>
      </c>
      <c r="B513" s="1" t="s">
        <v>1636</v>
      </c>
      <c r="C513" s="1" t="s">
        <v>1637</v>
      </c>
      <c r="D513" s="1" t="s">
        <v>44</v>
      </c>
      <c r="E513" s="1" t="s">
        <v>1627</v>
      </c>
      <c r="F513" s="5" t="s">
        <v>10</v>
      </c>
      <c r="G513" s="1" t="s">
        <v>27</v>
      </c>
      <c r="H513">
        <f>VLOOKUP(D513,[1]金額リスト!$A$2:$B$6,2,FALSE)</f>
        <v>114300</v>
      </c>
      <c r="I513" s="1" t="s">
        <v>1593</v>
      </c>
      <c r="J513">
        <f t="shared" si="91"/>
        <v>0</v>
      </c>
      <c r="K513">
        <f t="shared" si="92"/>
        <v>114300</v>
      </c>
      <c r="L513">
        <f t="shared" si="103"/>
        <v>0</v>
      </c>
      <c r="M513">
        <f t="shared" si="93"/>
        <v>0</v>
      </c>
      <c r="N513">
        <f t="shared" si="94"/>
        <v>0</v>
      </c>
      <c r="O513">
        <f t="shared" si="95"/>
        <v>0</v>
      </c>
      <c r="P513">
        <f t="shared" si="96"/>
        <v>0</v>
      </c>
      <c r="Q513">
        <f t="shared" si="97"/>
        <v>0</v>
      </c>
      <c r="R513">
        <f t="shared" si="98"/>
        <v>0</v>
      </c>
      <c r="S513">
        <f t="shared" si="99"/>
        <v>0</v>
      </c>
      <c r="T513">
        <f t="shared" si="100"/>
        <v>0</v>
      </c>
      <c r="U513">
        <f t="shared" si="101"/>
        <v>0</v>
      </c>
      <c r="V513">
        <f t="shared" si="102"/>
        <v>0</v>
      </c>
    </row>
    <row r="514" spans="1:22" x14ac:dyDescent="0.4">
      <c r="A514" s="1" t="s">
        <v>1638</v>
      </c>
      <c r="B514" s="1" t="s">
        <v>1639</v>
      </c>
      <c r="C514" s="1" t="s">
        <v>1640</v>
      </c>
      <c r="D514" s="1" t="s">
        <v>25</v>
      </c>
      <c r="E514" s="1" t="s">
        <v>1641</v>
      </c>
      <c r="F514" s="5" t="s">
        <v>10</v>
      </c>
      <c r="G514" s="1" t="s">
        <v>27</v>
      </c>
      <c r="H514">
        <f>VLOOKUP(D514,[1]金額リスト!$A$2:$B$6,2,FALSE)</f>
        <v>59400</v>
      </c>
      <c r="I514" s="1" t="s">
        <v>33</v>
      </c>
      <c r="J514">
        <f t="shared" si="91"/>
        <v>0</v>
      </c>
      <c r="K514">
        <f t="shared" si="92"/>
        <v>59400</v>
      </c>
      <c r="L514">
        <f t="shared" si="103"/>
        <v>0</v>
      </c>
      <c r="M514">
        <f t="shared" si="93"/>
        <v>0</v>
      </c>
      <c r="N514">
        <f t="shared" si="94"/>
        <v>0</v>
      </c>
      <c r="O514">
        <f t="shared" si="95"/>
        <v>0</v>
      </c>
      <c r="P514">
        <f t="shared" si="96"/>
        <v>0</v>
      </c>
      <c r="Q514">
        <f t="shared" si="97"/>
        <v>0</v>
      </c>
      <c r="R514">
        <f t="shared" si="98"/>
        <v>0</v>
      </c>
      <c r="S514">
        <f t="shared" si="99"/>
        <v>0</v>
      </c>
      <c r="T514">
        <f t="shared" si="100"/>
        <v>0</v>
      </c>
      <c r="U514">
        <f t="shared" si="101"/>
        <v>0</v>
      </c>
      <c r="V514">
        <f t="shared" si="102"/>
        <v>0</v>
      </c>
    </row>
    <row r="515" spans="1:22" x14ac:dyDescent="0.4">
      <c r="A515" s="1" t="s">
        <v>1642</v>
      </c>
      <c r="B515" s="1" t="s">
        <v>1643</v>
      </c>
      <c r="C515" s="1" t="s">
        <v>1644</v>
      </c>
      <c r="D515" s="1" t="s">
        <v>44</v>
      </c>
      <c r="E515" s="1" t="s">
        <v>1627</v>
      </c>
      <c r="F515" s="5" t="s">
        <v>10</v>
      </c>
      <c r="G515" s="1" t="s">
        <v>27</v>
      </c>
      <c r="H515">
        <f>VLOOKUP(D515,[1]金額リスト!$A$2:$B$6,2,FALSE)</f>
        <v>114300</v>
      </c>
      <c r="I515" s="1" t="s">
        <v>1593</v>
      </c>
      <c r="J515">
        <f t="shared" ref="J515:J578" si="104">IFERROR(INDEX($F515:$H515,MATCH($J$1,$F515,0),3),0)</f>
        <v>0</v>
      </c>
      <c r="K515">
        <f t="shared" ref="K515:K578" si="105">IFERROR(INDEX($F515:$H515,MATCH($K$1,$F515,0),3),0)</f>
        <v>114300</v>
      </c>
      <c r="L515">
        <f t="shared" si="103"/>
        <v>0</v>
      </c>
      <c r="M515">
        <f t="shared" ref="M515:M578" si="106">IFERROR(INDEX($F515:$H515,MATCH($M$1,$F515,0),3),0)</f>
        <v>0</v>
      </c>
      <c r="N515">
        <f t="shared" ref="N515:N578" si="107">IFERROR(INDEX($F515:$H515,MATCH($N$1,$F515,0),3),0)</f>
        <v>0</v>
      </c>
      <c r="O515">
        <f t="shared" ref="O515:O578" si="108">IFERROR(INDEX($F515:$H515,MATCH($O$1,$F515,0),3),0)</f>
        <v>0</v>
      </c>
      <c r="P515">
        <f t="shared" ref="P515:P578" si="109">IFERROR(INDEX($F515:$H515,MATCH($P$1,$F515,0),3),0)</f>
        <v>0</v>
      </c>
      <c r="Q515">
        <f t="shared" ref="Q515:Q578" si="110">IFERROR(INDEX($F515:$H515,MATCH($Q$1,$F515,0),3),0)</f>
        <v>0</v>
      </c>
      <c r="R515">
        <f t="shared" ref="R515:R578" si="111">IFERROR(INDEX($F515:$H515,MATCH($R$1,$F515,0),3),0)</f>
        <v>0</v>
      </c>
      <c r="S515">
        <f t="shared" ref="S515:S578" si="112">IFERROR(INDEX($F515:$H515,MATCH($S$1,$F515,0),3),0)</f>
        <v>0</v>
      </c>
      <c r="T515">
        <f t="shared" ref="T515:T578" si="113">IFERROR(INDEX($F515:$H515,MATCH($T$1,$F515,0),3),0)</f>
        <v>0</v>
      </c>
      <c r="U515">
        <f t="shared" ref="U515:U578" si="114">IFERROR(INDEX($F515:$H515,MATCH($U$1,$F515,0),3),0)</f>
        <v>0</v>
      </c>
      <c r="V515">
        <f t="shared" ref="V515:V578" si="115">IFERROR(INDEX($F515:$H515,MATCH($V$1,$F515,0),3),0)</f>
        <v>0</v>
      </c>
    </row>
    <row r="516" spans="1:22" x14ac:dyDescent="0.4">
      <c r="A516" s="1" t="s">
        <v>1645</v>
      </c>
      <c r="B516" s="1" t="s">
        <v>1646</v>
      </c>
      <c r="C516" s="1" t="s">
        <v>1647</v>
      </c>
      <c r="D516" s="1" t="s">
        <v>44</v>
      </c>
      <c r="E516" s="1" t="s">
        <v>1648</v>
      </c>
      <c r="F516" s="5" t="s">
        <v>10</v>
      </c>
      <c r="G516" s="1" t="s">
        <v>27</v>
      </c>
      <c r="H516">
        <f>VLOOKUP(D516,[1]金額リスト!$A$2:$B$6,2,FALSE)</f>
        <v>114300</v>
      </c>
      <c r="I516" s="1" t="s">
        <v>1593</v>
      </c>
      <c r="J516">
        <f t="shared" si="104"/>
        <v>0</v>
      </c>
      <c r="K516">
        <f t="shared" si="105"/>
        <v>114300</v>
      </c>
      <c r="L516">
        <f t="shared" ref="L516:L579" si="116">IFERROR(INDEX($F516:$H516,MATCH($L$1,$F516,0),3),0)</f>
        <v>0</v>
      </c>
      <c r="M516">
        <f t="shared" si="106"/>
        <v>0</v>
      </c>
      <c r="N516">
        <f t="shared" si="107"/>
        <v>0</v>
      </c>
      <c r="O516">
        <f t="shared" si="108"/>
        <v>0</v>
      </c>
      <c r="P516">
        <f t="shared" si="109"/>
        <v>0</v>
      </c>
      <c r="Q516">
        <f t="shared" si="110"/>
        <v>0</v>
      </c>
      <c r="R516">
        <f t="shared" si="111"/>
        <v>0</v>
      </c>
      <c r="S516">
        <f t="shared" si="112"/>
        <v>0</v>
      </c>
      <c r="T516">
        <f t="shared" si="113"/>
        <v>0</v>
      </c>
      <c r="U516">
        <f t="shared" si="114"/>
        <v>0</v>
      </c>
      <c r="V516">
        <f t="shared" si="115"/>
        <v>0</v>
      </c>
    </row>
    <row r="517" spans="1:22" x14ac:dyDescent="0.4">
      <c r="A517" s="1" t="s">
        <v>1649</v>
      </c>
      <c r="B517" s="1" t="s">
        <v>1650</v>
      </c>
      <c r="C517" s="1" t="s">
        <v>1651</v>
      </c>
      <c r="D517" s="1" t="s">
        <v>44</v>
      </c>
      <c r="E517" s="1" t="s">
        <v>1652</v>
      </c>
      <c r="F517" s="5" t="s">
        <v>10</v>
      </c>
      <c r="G517" s="1" t="s">
        <v>27</v>
      </c>
      <c r="H517">
        <f>VLOOKUP(D517,[1]金額リスト!$A$2:$B$6,2,FALSE)</f>
        <v>114300</v>
      </c>
      <c r="I517" s="1" t="s">
        <v>1593</v>
      </c>
      <c r="J517">
        <f t="shared" si="104"/>
        <v>0</v>
      </c>
      <c r="K517">
        <f t="shared" si="105"/>
        <v>114300</v>
      </c>
      <c r="L517">
        <f t="shared" si="116"/>
        <v>0</v>
      </c>
      <c r="M517">
        <f t="shared" si="106"/>
        <v>0</v>
      </c>
      <c r="N517">
        <f t="shared" si="107"/>
        <v>0</v>
      </c>
      <c r="O517">
        <f t="shared" si="108"/>
        <v>0</v>
      </c>
      <c r="P517">
        <f t="shared" si="109"/>
        <v>0</v>
      </c>
      <c r="Q517">
        <f t="shared" si="110"/>
        <v>0</v>
      </c>
      <c r="R517">
        <f t="shared" si="111"/>
        <v>0</v>
      </c>
      <c r="S517">
        <f t="shared" si="112"/>
        <v>0</v>
      </c>
      <c r="T517">
        <f t="shared" si="113"/>
        <v>0</v>
      </c>
      <c r="U517">
        <f t="shared" si="114"/>
        <v>0</v>
      </c>
      <c r="V517">
        <f t="shared" si="115"/>
        <v>0</v>
      </c>
    </row>
    <row r="518" spans="1:22" x14ac:dyDescent="0.4">
      <c r="A518" s="1" t="s">
        <v>1653</v>
      </c>
      <c r="B518" s="1" t="s">
        <v>1654</v>
      </c>
      <c r="C518" s="1" t="s">
        <v>1655</v>
      </c>
      <c r="D518" s="1" t="s">
        <v>44</v>
      </c>
      <c r="E518" s="1" t="s">
        <v>1656</v>
      </c>
      <c r="F518" s="5" t="s">
        <v>479</v>
      </c>
      <c r="G518" s="1" t="s">
        <v>27</v>
      </c>
      <c r="H518">
        <f>VLOOKUP(D518,[1]金額リスト!$A$2:$B$6,2,FALSE)</f>
        <v>114300</v>
      </c>
      <c r="I518" s="1" t="s">
        <v>868</v>
      </c>
      <c r="J518">
        <f t="shared" si="104"/>
        <v>0</v>
      </c>
      <c r="K518">
        <f t="shared" si="105"/>
        <v>0</v>
      </c>
      <c r="L518">
        <f t="shared" si="116"/>
        <v>114300</v>
      </c>
      <c r="M518">
        <f t="shared" si="106"/>
        <v>0</v>
      </c>
      <c r="N518">
        <f t="shared" si="107"/>
        <v>0</v>
      </c>
      <c r="O518">
        <f t="shared" si="108"/>
        <v>0</v>
      </c>
      <c r="P518">
        <f t="shared" si="109"/>
        <v>0</v>
      </c>
      <c r="Q518">
        <f t="shared" si="110"/>
        <v>0</v>
      </c>
      <c r="R518">
        <f t="shared" si="111"/>
        <v>0</v>
      </c>
      <c r="S518">
        <f t="shared" si="112"/>
        <v>0</v>
      </c>
      <c r="T518">
        <f t="shared" si="113"/>
        <v>0</v>
      </c>
      <c r="U518">
        <f t="shared" si="114"/>
        <v>0</v>
      </c>
      <c r="V518">
        <f t="shared" si="115"/>
        <v>0</v>
      </c>
    </row>
    <row r="519" spans="1:22" x14ac:dyDescent="0.4">
      <c r="A519" s="1" t="s">
        <v>1657</v>
      </c>
      <c r="B519" s="1" t="s">
        <v>1658</v>
      </c>
      <c r="C519" s="1" t="s">
        <v>1659</v>
      </c>
      <c r="D519" s="1" t="s">
        <v>44</v>
      </c>
      <c r="E519" s="1" t="s">
        <v>1660</v>
      </c>
      <c r="F519" s="5" t="s">
        <v>10</v>
      </c>
      <c r="G519" s="1" t="s">
        <v>27</v>
      </c>
      <c r="H519">
        <f>VLOOKUP(D519,[1]金額リスト!$A$2:$B$6,2,FALSE)</f>
        <v>114300</v>
      </c>
      <c r="I519" s="1" t="s">
        <v>1593</v>
      </c>
      <c r="J519">
        <f t="shared" si="104"/>
        <v>0</v>
      </c>
      <c r="K519">
        <f t="shared" si="105"/>
        <v>114300</v>
      </c>
      <c r="L519">
        <f t="shared" si="116"/>
        <v>0</v>
      </c>
      <c r="M519">
        <f t="shared" si="106"/>
        <v>0</v>
      </c>
      <c r="N519">
        <f t="shared" si="107"/>
        <v>0</v>
      </c>
      <c r="O519">
        <f t="shared" si="108"/>
        <v>0</v>
      </c>
      <c r="P519">
        <f t="shared" si="109"/>
        <v>0</v>
      </c>
      <c r="Q519">
        <f t="shared" si="110"/>
        <v>0</v>
      </c>
      <c r="R519">
        <f t="shared" si="111"/>
        <v>0</v>
      </c>
      <c r="S519">
        <f t="shared" si="112"/>
        <v>0</v>
      </c>
      <c r="T519">
        <f t="shared" si="113"/>
        <v>0</v>
      </c>
      <c r="U519">
        <f t="shared" si="114"/>
        <v>0</v>
      </c>
      <c r="V519">
        <f t="shared" si="115"/>
        <v>0</v>
      </c>
    </row>
    <row r="520" spans="1:22" x14ac:dyDescent="0.4">
      <c r="A520" s="1" t="s">
        <v>1661</v>
      </c>
      <c r="B520" s="1" t="s">
        <v>1662</v>
      </c>
      <c r="C520" s="1" t="s">
        <v>1663</v>
      </c>
      <c r="D520" s="1" t="s">
        <v>44</v>
      </c>
      <c r="E520" s="1" t="s">
        <v>63</v>
      </c>
      <c r="F520" s="5" t="s">
        <v>46</v>
      </c>
      <c r="G520" s="1" t="s">
        <v>27</v>
      </c>
      <c r="H520">
        <f>VLOOKUP(D520,[1]金額リスト!$A$2:$B$6,2,FALSE)</f>
        <v>114300</v>
      </c>
      <c r="I520" s="1" t="s">
        <v>33</v>
      </c>
      <c r="J520">
        <f t="shared" si="104"/>
        <v>0</v>
      </c>
      <c r="K520">
        <f t="shared" si="105"/>
        <v>0</v>
      </c>
      <c r="L520">
        <f t="shared" si="116"/>
        <v>0</v>
      </c>
      <c r="M520">
        <f t="shared" si="106"/>
        <v>0</v>
      </c>
      <c r="N520">
        <f t="shared" si="107"/>
        <v>114300</v>
      </c>
      <c r="O520">
        <f t="shared" si="108"/>
        <v>0</v>
      </c>
      <c r="P520">
        <f t="shared" si="109"/>
        <v>0</v>
      </c>
      <c r="Q520">
        <f t="shared" si="110"/>
        <v>0</v>
      </c>
      <c r="R520">
        <f t="shared" si="111"/>
        <v>0</v>
      </c>
      <c r="S520">
        <f t="shared" si="112"/>
        <v>0</v>
      </c>
      <c r="T520">
        <f t="shared" si="113"/>
        <v>0</v>
      </c>
      <c r="U520">
        <f t="shared" si="114"/>
        <v>0</v>
      </c>
      <c r="V520">
        <f t="shared" si="115"/>
        <v>0</v>
      </c>
    </row>
    <row r="521" spans="1:22" x14ac:dyDescent="0.4">
      <c r="A521" s="1" t="s">
        <v>1664</v>
      </c>
      <c r="B521" s="1" t="s">
        <v>1665</v>
      </c>
      <c r="C521" s="1" t="s">
        <v>1666</v>
      </c>
      <c r="D521" s="1" t="s">
        <v>44</v>
      </c>
      <c r="E521" s="1" t="s">
        <v>45</v>
      </c>
      <c r="F521" s="5" t="s">
        <v>46</v>
      </c>
      <c r="G521" s="1" t="s">
        <v>27</v>
      </c>
      <c r="H521">
        <f>VLOOKUP(D521,[1]金額リスト!$A$2:$B$6,2,FALSE)</f>
        <v>114300</v>
      </c>
      <c r="I521" s="1" t="s">
        <v>33</v>
      </c>
      <c r="J521">
        <f t="shared" si="104"/>
        <v>0</v>
      </c>
      <c r="K521">
        <f t="shared" si="105"/>
        <v>0</v>
      </c>
      <c r="L521">
        <f t="shared" si="116"/>
        <v>0</v>
      </c>
      <c r="M521">
        <f t="shared" si="106"/>
        <v>0</v>
      </c>
      <c r="N521">
        <f t="shared" si="107"/>
        <v>114300</v>
      </c>
      <c r="O521">
        <f t="shared" si="108"/>
        <v>0</v>
      </c>
      <c r="P521">
        <f t="shared" si="109"/>
        <v>0</v>
      </c>
      <c r="Q521">
        <f t="shared" si="110"/>
        <v>0</v>
      </c>
      <c r="R521">
        <f t="shared" si="111"/>
        <v>0</v>
      </c>
      <c r="S521">
        <f t="shared" si="112"/>
        <v>0</v>
      </c>
      <c r="T521">
        <f t="shared" si="113"/>
        <v>0</v>
      </c>
      <c r="U521">
        <f t="shared" si="114"/>
        <v>0</v>
      </c>
      <c r="V521">
        <f t="shared" si="115"/>
        <v>0</v>
      </c>
    </row>
    <row r="522" spans="1:22" x14ac:dyDescent="0.4">
      <c r="A522" s="1" t="s">
        <v>1667</v>
      </c>
      <c r="B522" s="1" t="s">
        <v>1668</v>
      </c>
      <c r="C522" s="1" t="s">
        <v>1669</v>
      </c>
      <c r="D522" s="1" t="s">
        <v>44</v>
      </c>
      <c r="E522" s="1" t="s">
        <v>56</v>
      </c>
      <c r="F522" s="5" t="s">
        <v>46</v>
      </c>
      <c r="G522" s="1" t="s">
        <v>27</v>
      </c>
      <c r="H522">
        <f>VLOOKUP(D522,[1]金額リスト!$A$2:$B$6,2,FALSE)</f>
        <v>114300</v>
      </c>
      <c r="I522" s="1" t="s">
        <v>33</v>
      </c>
      <c r="J522">
        <f t="shared" si="104"/>
        <v>0</v>
      </c>
      <c r="K522">
        <f t="shared" si="105"/>
        <v>0</v>
      </c>
      <c r="L522">
        <f t="shared" si="116"/>
        <v>0</v>
      </c>
      <c r="M522">
        <f t="shared" si="106"/>
        <v>0</v>
      </c>
      <c r="N522">
        <f t="shared" si="107"/>
        <v>114300</v>
      </c>
      <c r="O522">
        <f t="shared" si="108"/>
        <v>0</v>
      </c>
      <c r="P522">
        <f t="shared" si="109"/>
        <v>0</v>
      </c>
      <c r="Q522">
        <f t="shared" si="110"/>
        <v>0</v>
      </c>
      <c r="R522">
        <f t="shared" si="111"/>
        <v>0</v>
      </c>
      <c r="S522">
        <f t="shared" si="112"/>
        <v>0</v>
      </c>
      <c r="T522">
        <f t="shared" si="113"/>
        <v>0</v>
      </c>
      <c r="U522">
        <f t="shared" si="114"/>
        <v>0</v>
      </c>
      <c r="V522">
        <f t="shared" si="115"/>
        <v>0</v>
      </c>
    </row>
    <row r="523" spans="1:22" x14ac:dyDescent="0.4">
      <c r="A523" s="1" t="s">
        <v>1670</v>
      </c>
      <c r="B523" s="1" t="s">
        <v>1671</v>
      </c>
      <c r="C523" s="1" t="s">
        <v>1672</v>
      </c>
      <c r="D523" s="1" t="s">
        <v>44</v>
      </c>
      <c r="E523" s="1" t="s">
        <v>1207</v>
      </c>
      <c r="F523" s="5" t="s">
        <v>479</v>
      </c>
      <c r="G523" s="1" t="s">
        <v>27</v>
      </c>
      <c r="H523">
        <f>VLOOKUP(D523,[1]金額リスト!$A$2:$B$6,2,FALSE)</f>
        <v>114300</v>
      </c>
      <c r="I523" s="1" t="s">
        <v>868</v>
      </c>
      <c r="J523">
        <f t="shared" si="104"/>
        <v>0</v>
      </c>
      <c r="K523">
        <f t="shared" si="105"/>
        <v>0</v>
      </c>
      <c r="L523">
        <f t="shared" si="116"/>
        <v>114300</v>
      </c>
      <c r="M523">
        <f t="shared" si="106"/>
        <v>0</v>
      </c>
      <c r="N523">
        <f t="shared" si="107"/>
        <v>0</v>
      </c>
      <c r="O523">
        <f t="shared" si="108"/>
        <v>0</v>
      </c>
      <c r="P523">
        <f t="shared" si="109"/>
        <v>0</v>
      </c>
      <c r="Q523">
        <f t="shared" si="110"/>
        <v>0</v>
      </c>
      <c r="R523">
        <f t="shared" si="111"/>
        <v>0</v>
      </c>
      <c r="S523">
        <f t="shared" si="112"/>
        <v>0</v>
      </c>
      <c r="T523">
        <f t="shared" si="113"/>
        <v>0</v>
      </c>
      <c r="U523">
        <f t="shared" si="114"/>
        <v>0</v>
      </c>
      <c r="V523">
        <f t="shared" si="115"/>
        <v>0</v>
      </c>
    </row>
    <row r="524" spans="1:22" x14ac:dyDescent="0.4">
      <c r="A524" s="1" t="s">
        <v>1673</v>
      </c>
      <c r="B524" s="1" t="s">
        <v>1674</v>
      </c>
      <c r="C524" s="1" t="s">
        <v>1675</v>
      </c>
      <c r="D524" s="1" t="s">
        <v>44</v>
      </c>
      <c r="E524" s="1" t="s">
        <v>63</v>
      </c>
      <c r="F524" s="5" t="s">
        <v>46</v>
      </c>
      <c r="G524" s="1" t="s">
        <v>27</v>
      </c>
      <c r="H524">
        <f>VLOOKUP(D524,[1]金額リスト!$A$2:$B$6,2,FALSE)</f>
        <v>114300</v>
      </c>
      <c r="I524" s="1" t="s">
        <v>33</v>
      </c>
      <c r="J524">
        <f t="shared" si="104"/>
        <v>0</v>
      </c>
      <c r="K524">
        <f t="shared" si="105"/>
        <v>0</v>
      </c>
      <c r="L524">
        <f t="shared" si="116"/>
        <v>0</v>
      </c>
      <c r="M524">
        <f t="shared" si="106"/>
        <v>0</v>
      </c>
      <c r="N524">
        <f t="shared" si="107"/>
        <v>114300</v>
      </c>
      <c r="O524">
        <f t="shared" si="108"/>
        <v>0</v>
      </c>
      <c r="P524">
        <f t="shared" si="109"/>
        <v>0</v>
      </c>
      <c r="Q524">
        <f t="shared" si="110"/>
        <v>0</v>
      </c>
      <c r="R524">
        <f t="shared" si="111"/>
        <v>0</v>
      </c>
      <c r="S524">
        <f t="shared" si="112"/>
        <v>0</v>
      </c>
      <c r="T524">
        <f t="shared" si="113"/>
        <v>0</v>
      </c>
      <c r="U524">
        <f t="shared" si="114"/>
        <v>0</v>
      </c>
      <c r="V524">
        <f t="shared" si="115"/>
        <v>0</v>
      </c>
    </row>
    <row r="525" spans="1:22" x14ac:dyDescent="0.4">
      <c r="A525" s="1" t="s">
        <v>1676</v>
      </c>
      <c r="B525" s="1" t="s">
        <v>1677</v>
      </c>
      <c r="C525" s="1" t="s">
        <v>1678</v>
      </c>
      <c r="D525" s="1" t="s">
        <v>44</v>
      </c>
      <c r="E525" s="1" t="s">
        <v>920</v>
      </c>
      <c r="F525" s="5" t="s">
        <v>479</v>
      </c>
      <c r="G525" s="1" t="s">
        <v>27</v>
      </c>
      <c r="H525">
        <f>VLOOKUP(D525,[1]金額リスト!$A$2:$B$6,2,FALSE)</f>
        <v>114300</v>
      </c>
      <c r="I525" s="1" t="s">
        <v>868</v>
      </c>
      <c r="J525">
        <f t="shared" si="104"/>
        <v>0</v>
      </c>
      <c r="K525">
        <f t="shared" si="105"/>
        <v>0</v>
      </c>
      <c r="L525">
        <f t="shared" si="116"/>
        <v>114300</v>
      </c>
      <c r="M525">
        <f t="shared" si="106"/>
        <v>0</v>
      </c>
      <c r="N525">
        <f t="shared" si="107"/>
        <v>0</v>
      </c>
      <c r="O525">
        <f t="shared" si="108"/>
        <v>0</v>
      </c>
      <c r="P525">
        <f t="shared" si="109"/>
        <v>0</v>
      </c>
      <c r="Q525">
        <f t="shared" si="110"/>
        <v>0</v>
      </c>
      <c r="R525">
        <f t="shared" si="111"/>
        <v>0</v>
      </c>
      <c r="S525">
        <f t="shared" si="112"/>
        <v>0</v>
      </c>
      <c r="T525">
        <f t="shared" si="113"/>
        <v>0</v>
      </c>
      <c r="U525">
        <f t="shared" si="114"/>
        <v>0</v>
      </c>
      <c r="V525">
        <f t="shared" si="115"/>
        <v>0</v>
      </c>
    </row>
    <row r="526" spans="1:22" x14ac:dyDescent="0.4">
      <c r="A526" s="1" t="s">
        <v>1679</v>
      </c>
      <c r="B526" s="1" t="s">
        <v>1680</v>
      </c>
      <c r="C526" s="1" t="s">
        <v>1681</v>
      </c>
      <c r="D526" s="1" t="s">
        <v>44</v>
      </c>
      <c r="E526" s="1" t="s">
        <v>1374</v>
      </c>
      <c r="F526" s="5" t="s">
        <v>479</v>
      </c>
      <c r="G526" s="1" t="s">
        <v>27</v>
      </c>
      <c r="H526">
        <f>VLOOKUP(D526,[1]金額リスト!$A$2:$B$6,2,FALSE)</f>
        <v>114300</v>
      </c>
      <c r="I526" s="1" t="s">
        <v>868</v>
      </c>
      <c r="J526">
        <f t="shared" si="104"/>
        <v>0</v>
      </c>
      <c r="K526">
        <f t="shared" si="105"/>
        <v>0</v>
      </c>
      <c r="L526">
        <f t="shared" si="116"/>
        <v>114300</v>
      </c>
      <c r="M526">
        <f t="shared" si="106"/>
        <v>0</v>
      </c>
      <c r="N526">
        <f t="shared" si="107"/>
        <v>0</v>
      </c>
      <c r="O526">
        <f t="shared" si="108"/>
        <v>0</v>
      </c>
      <c r="P526">
        <f t="shared" si="109"/>
        <v>0</v>
      </c>
      <c r="Q526">
        <f t="shared" si="110"/>
        <v>0</v>
      </c>
      <c r="R526">
        <f t="shared" si="111"/>
        <v>0</v>
      </c>
      <c r="S526">
        <f t="shared" si="112"/>
        <v>0</v>
      </c>
      <c r="T526">
        <f t="shared" si="113"/>
        <v>0</v>
      </c>
      <c r="U526">
        <f t="shared" si="114"/>
        <v>0</v>
      </c>
      <c r="V526">
        <f t="shared" si="115"/>
        <v>0</v>
      </c>
    </row>
    <row r="527" spans="1:22" x14ac:dyDescent="0.4">
      <c r="A527" s="1" t="s">
        <v>1682</v>
      </c>
      <c r="B527" s="1" t="s">
        <v>1683</v>
      </c>
      <c r="C527" s="1" t="s">
        <v>1684</v>
      </c>
      <c r="D527" s="1" t="s">
        <v>44</v>
      </c>
      <c r="E527" s="1" t="s">
        <v>924</v>
      </c>
      <c r="F527" s="5" t="s">
        <v>479</v>
      </c>
      <c r="G527" s="1" t="s">
        <v>27</v>
      </c>
      <c r="H527">
        <f>VLOOKUP(D527,[1]金額リスト!$A$2:$B$6,2,FALSE)</f>
        <v>114300</v>
      </c>
      <c r="I527" s="1" t="s">
        <v>868</v>
      </c>
      <c r="J527">
        <f t="shared" si="104"/>
        <v>0</v>
      </c>
      <c r="K527">
        <f t="shared" si="105"/>
        <v>0</v>
      </c>
      <c r="L527">
        <f t="shared" si="116"/>
        <v>114300</v>
      </c>
      <c r="M527">
        <f t="shared" si="106"/>
        <v>0</v>
      </c>
      <c r="N527">
        <f t="shared" si="107"/>
        <v>0</v>
      </c>
      <c r="O527">
        <f t="shared" si="108"/>
        <v>0</v>
      </c>
      <c r="P527">
        <f t="shared" si="109"/>
        <v>0</v>
      </c>
      <c r="Q527">
        <f t="shared" si="110"/>
        <v>0</v>
      </c>
      <c r="R527">
        <f t="shared" si="111"/>
        <v>0</v>
      </c>
      <c r="S527">
        <f t="shared" si="112"/>
        <v>0</v>
      </c>
      <c r="T527">
        <f t="shared" si="113"/>
        <v>0</v>
      </c>
      <c r="U527">
        <f t="shared" si="114"/>
        <v>0</v>
      </c>
      <c r="V527">
        <f t="shared" si="115"/>
        <v>0</v>
      </c>
    </row>
    <row r="528" spans="1:22" x14ac:dyDescent="0.4">
      <c r="A528" s="1" t="s">
        <v>1685</v>
      </c>
      <c r="B528" s="1" t="s">
        <v>1686</v>
      </c>
      <c r="C528" s="1" t="s">
        <v>1687</v>
      </c>
      <c r="D528" s="1" t="s">
        <v>25</v>
      </c>
      <c r="E528" s="1" t="s">
        <v>56</v>
      </c>
      <c r="F528" s="5" t="s">
        <v>10</v>
      </c>
      <c r="G528" s="1" t="s">
        <v>27</v>
      </c>
      <c r="H528">
        <f>VLOOKUP(D528,[1]金額リスト!$A$2:$B$6,2,FALSE)</f>
        <v>59400</v>
      </c>
      <c r="I528" s="1" t="s">
        <v>33</v>
      </c>
      <c r="J528">
        <f t="shared" si="104"/>
        <v>0</v>
      </c>
      <c r="K528">
        <f t="shared" si="105"/>
        <v>59400</v>
      </c>
      <c r="L528">
        <f t="shared" si="116"/>
        <v>0</v>
      </c>
      <c r="M528">
        <f t="shared" si="106"/>
        <v>0</v>
      </c>
      <c r="N528">
        <f t="shared" si="107"/>
        <v>0</v>
      </c>
      <c r="O528">
        <f t="shared" si="108"/>
        <v>0</v>
      </c>
      <c r="P528">
        <f t="shared" si="109"/>
        <v>0</v>
      </c>
      <c r="Q528">
        <f t="shared" si="110"/>
        <v>0</v>
      </c>
      <c r="R528">
        <f t="shared" si="111"/>
        <v>0</v>
      </c>
      <c r="S528">
        <f t="shared" si="112"/>
        <v>0</v>
      </c>
      <c r="T528">
        <f t="shared" si="113"/>
        <v>0</v>
      </c>
      <c r="U528">
        <f t="shared" si="114"/>
        <v>0</v>
      </c>
      <c r="V528">
        <f t="shared" si="115"/>
        <v>0</v>
      </c>
    </row>
    <row r="529" spans="1:22" x14ac:dyDescent="0.4">
      <c r="A529" s="1" t="s">
        <v>1688</v>
      </c>
      <c r="B529" s="1" t="s">
        <v>1689</v>
      </c>
      <c r="C529" s="1" t="s">
        <v>1690</v>
      </c>
      <c r="D529" s="1" t="s">
        <v>44</v>
      </c>
      <c r="E529" s="1" t="s">
        <v>86</v>
      </c>
      <c r="F529" s="5" t="s">
        <v>46</v>
      </c>
      <c r="G529" s="1" t="s">
        <v>27</v>
      </c>
      <c r="H529">
        <f>VLOOKUP(D529,[1]金額リスト!$A$2:$B$6,2,FALSE)</f>
        <v>114300</v>
      </c>
      <c r="I529" s="1" t="s">
        <v>33</v>
      </c>
      <c r="J529">
        <f t="shared" si="104"/>
        <v>0</v>
      </c>
      <c r="K529">
        <f t="shared" si="105"/>
        <v>0</v>
      </c>
      <c r="L529">
        <f t="shared" si="116"/>
        <v>0</v>
      </c>
      <c r="M529">
        <f t="shared" si="106"/>
        <v>0</v>
      </c>
      <c r="N529">
        <f t="shared" si="107"/>
        <v>114300</v>
      </c>
      <c r="O529">
        <f t="shared" si="108"/>
        <v>0</v>
      </c>
      <c r="P529">
        <f t="shared" si="109"/>
        <v>0</v>
      </c>
      <c r="Q529">
        <f t="shared" si="110"/>
        <v>0</v>
      </c>
      <c r="R529">
        <f t="shared" si="111"/>
        <v>0</v>
      </c>
      <c r="S529">
        <f t="shared" si="112"/>
        <v>0</v>
      </c>
      <c r="T529">
        <f t="shared" si="113"/>
        <v>0</v>
      </c>
      <c r="U529">
        <f t="shared" si="114"/>
        <v>0</v>
      </c>
      <c r="V529">
        <f t="shared" si="115"/>
        <v>0</v>
      </c>
    </row>
    <row r="530" spans="1:22" x14ac:dyDescent="0.4">
      <c r="A530" s="1" t="s">
        <v>1691</v>
      </c>
      <c r="B530" s="1" t="s">
        <v>1692</v>
      </c>
      <c r="C530" s="1" t="s">
        <v>1693</v>
      </c>
      <c r="D530" s="1" t="s">
        <v>44</v>
      </c>
      <c r="E530" s="1" t="s">
        <v>86</v>
      </c>
      <c r="F530" s="5" t="s">
        <v>46</v>
      </c>
      <c r="G530" s="1" t="s">
        <v>27</v>
      </c>
      <c r="H530">
        <f>VLOOKUP(D530,[1]金額リスト!$A$2:$B$6,2,FALSE)</f>
        <v>114300</v>
      </c>
      <c r="I530" s="1" t="s">
        <v>33</v>
      </c>
      <c r="J530">
        <f t="shared" si="104"/>
        <v>0</v>
      </c>
      <c r="K530">
        <f t="shared" si="105"/>
        <v>0</v>
      </c>
      <c r="L530">
        <f t="shared" si="116"/>
        <v>0</v>
      </c>
      <c r="M530">
        <f t="shared" si="106"/>
        <v>0</v>
      </c>
      <c r="N530">
        <f t="shared" si="107"/>
        <v>114300</v>
      </c>
      <c r="O530">
        <f t="shared" si="108"/>
        <v>0</v>
      </c>
      <c r="P530">
        <f t="shared" si="109"/>
        <v>0</v>
      </c>
      <c r="Q530">
        <f t="shared" si="110"/>
        <v>0</v>
      </c>
      <c r="R530">
        <f t="shared" si="111"/>
        <v>0</v>
      </c>
      <c r="S530">
        <f t="shared" si="112"/>
        <v>0</v>
      </c>
      <c r="T530">
        <f t="shared" si="113"/>
        <v>0</v>
      </c>
      <c r="U530">
        <f t="shared" si="114"/>
        <v>0</v>
      </c>
      <c r="V530">
        <f t="shared" si="115"/>
        <v>0</v>
      </c>
    </row>
    <row r="531" spans="1:22" x14ac:dyDescent="0.4">
      <c r="A531" s="1" t="s">
        <v>1694</v>
      </c>
      <c r="B531" s="1" t="s">
        <v>1695</v>
      </c>
      <c r="C531" s="1" t="s">
        <v>1696</v>
      </c>
      <c r="D531" s="1" t="s">
        <v>44</v>
      </c>
      <c r="E531" s="1" t="s">
        <v>928</v>
      </c>
      <c r="F531" s="5" t="s">
        <v>479</v>
      </c>
      <c r="G531" s="1" t="s">
        <v>27</v>
      </c>
      <c r="H531">
        <f>VLOOKUP(D531,[1]金額リスト!$A$2:$B$6,2,FALSE)</f>
        <v>114300</v>
      </c>
      <c r="I531" s="1" t="s">
        <v>868</v>
      </c>
      <c r="J531">
        <f t="shared" si="104"/>
        <v>0</v>
      </c>
      <c r="K531">
        <f t="shared" si="105"/>
        <v>0</v>
      </c>
      <c r="L531">
        <f t="shared" si="116"/>
        <v>114300</v>
      </c>
      <c r="M531">
        <f t="shared" si="106"/>
        <v>0</v>
      </c>
      <c r="N531">
        <f t="shared" si="107"/>
        <v>0</v>
      </c>
      <c r="O531">
        <f t="shared" si="108"/>
        <v>0</v>
      </c>
      <c r="P531">
        <f t="shared" si="109"/>
        <v>0</v>
      </c>
      <c r="Q531">
        <f t="shared" si="110"/>
        <v>0</v>
      </c>
      <c r="R531">
        <f t="shared" si="111"/>
        <v>0</v>
      </c>
      <c r="S531">
        <f t="shared" si="112"/>
        <v>0</v>
      </c>
      <c r="T531">
        <f t="shared" si="113"/>
        <v>0</v>
      </c>
      <c r="U531">
        <f t="shared" si="114"/>
        <v>0</v>
      </c>
      <c r="V531">
        <f t="shared" si="115"/>
        <v>0</v>
      </c>
    </row>
    <row r="532" spans="1:22" x14ac:dyDescent="0.4">
      <c r="A532" s="1" t="s">
        <v>1697</v>
      </c>
      <c r="B532" s="1" t="s">
        <v>1698</v>
      </c>
      <c r="C532" s="1" t="s">
        <v>1699</v>
      </c>
      <c r="D532" s="1" t="s">
        <v>44</v>
      </c>
      <c r="E532" s="1" t="s">
        <v>32</v>
      </c>
      <c r="F532" s="5" t="s">
        <v>46</v>
      </c>
      <c r="G532" s="1" t="s">
        <v>27</v>
      </c>
      <c r="H532">
        <f>VLOOKUP(D532,[1]金額リスト!$A$2:$B$6,2,FALSE)</f>
        <v>114300</v>
      </c>
      <c r="I532" s="1" t="s">
        <v>33</v>
      </c>
      <c r="J532">
        <f t="shared" si="104"/>
        <v>0</v>
      </c>
      <c r="K532">
        <f t="shared" si="105"/>
        <v>0</v>
      </c>
      <c r="L532">
        <f t="shared" si="116"/>
        <v>0</v>
      </c>
      <c r="M532">
        <f t="shared" si="106"/>
        <v>0</v>
      </c>
      <c r="N532">
        <f t="shared" si="107"/>
        <v>114300</v>
      </c>
      <c r="O532">
        <f t="shared" si="108"/>
        <v>0</v>
      </c>
      <c r="P532">
        <f t="shared" si="109"/>
        <v>0</v>
      </c>
      <c r="Q532">
        <f t="shared" si="110"/>
        <v>0</v>
      </c>
      <c r="R532">
        <f t="shared" si="111"/>
        <v>0</v>
      </c>
      <c r="S532">
        <f t="shared" si="112"/>
        <v>0</v>
      </c>
      <c r="T532">
        <f t="shared" si="113"/>
        <v>0</v>
      </c>
      <c r="U532">
        <f t="shared" si="114"/>
        <v>0</v>
      </c>
      <c r="V532">
        <f t="shared" si="115"/>
        <v>0</v>
      </c>
    </row>
    <row r="533" spans="1:22" x14ac:dyDescent="0.4">
      <c r="A533" s="1" t="s">
        <v>1700</v>
      </c>
      <c r="B533" s="1" t="s">
        <v>1701</v>
      </c>
      <c r="C533" s="1" t="s">
        <v>1702</v>
      </c>
      <c r="D533" s="1" t="s">
        <v>25</v>
      </c>
      <c r="E533" s="1" t="s">
        <v>86</v>
      </c>
      <c r="F533" s="5" t="s">
        <v>10</v>
      </c>
      <c r="G533" s="1" t="s">
        <v>27</v>
      </c>
      <c r="H533">
        <f>VLOOKUP(D533,[1]金額リスト!$A$2:$B$6,2,FALSE)</f>
        <v>59400</v>
      </c>
      <c r="I533" s="1" t="s">
        <v>33</v>
      </c>
      <c r="J533">
        <f t="shared" si="104"/>
        <v>0</v>
      </c>
      <c r="K533">
        <f t="shared" si="105"/>
        <v>59400</v>
      </c>
      <c r="L533">
        <f t="shared" si="116"/>
        <v>0</v>
      </c>
      <c r="M533">
        <f t="shared" si="106"/>
        <v>0</v>
      </c>
      <c r="N533">
        <f t="shared" si="107"/>
        <v>0</v>
      </c>
      <c r="O533">
        <f t="shared" si="108"/>
        <v>0</v>
      </c>
      <c r="P533">
        <f t="shared" si="109"/>
        <v>0</v>
      </c>
      <c r="Q533">
        <f t="shared" si="110"/>
        <v>0</v>
      </c>
      <c r="R533">
        <f t="shared" si="111"/>
        <v>0</v>
      </c>
      <c r="S533">
        <f t="shared" si="112"/>
        <v>0</v>
      </c>
      <c r="T533">
        <f t="shared" si="113"/>
        <v>0</v>
      </c>
      <c r="U533">
        <f t="shared" si="114"/>
        <v>0</v>
      </c>
      <c r="V533">
        <f t="shared" si="115"/>
        <v>0</v>
      </c>
    </row>
    <row r="534" spans="1:22" x14ac:dyDescent="0.4">
      <c r="A534" s="1" t="s">
        <v>1703</v>
      </c>
      <c r="B534" s="1" t="s">
        <v>1704</v>
      </c>
      <c r="C534" s="1" t="s">
        <v>1705</v>
      </c>
      <c r="D534" s="1" t="s">
        <v>44</v>
      </c>
      <c r="E534" s="1" t="s">
        <v>56</v>
      </c>
      <c r="F534" s="5" t="s">
        <v>46</v>
      </c>
      <c r="G534" s="1" t="s">
        <v>27</v>
      </c>
      <c r="H534">
        <f>VLOOKUP(D534,[1]金額リスト!$A$2:$B$6,2,FALSE)</f>
        <v>114300</v>
      </c>
      <c r="I534" s="1" t="s">
        <v>33</v>
      </c>
      <c r="J534">
        <f t="shared" si="104"/>
        <v>0</v>
      </c>
      <c r="K534">
        <f t="shared" si="105"/>
        <v>0</v>
      </c>
      <c r="L534">
        <f t="shared" si="116"/>
        <v>0</v>
      </c>
      <c r="M534">
        <f t="shared" si="106"/>
        <v>0</v>
      </c>
      <c r="N534">
        <f t="shared" si="107"/>
        <v>114300</v>
      </c>
      <c r="O534">
        <f t="shared" si="108"/>
        <v>0</v>
      </c>
      <c r="P534">
        <f t="shared" si="109"/>
        <v>0</v>
      </c>
      <c r="Q534">
        <f t="shared" si="110"/>
        <v>0</v>
      </c>
      <c r="R534">
        <f t="shared" si="111"/>
        <v>0</v>
      </c>
      <c r="S534">
        <f t="shared" si="112"/>
        <v>0</v>
      </c>
      <c r="T534">
        <f t="shared" si="113"/>
        <v>0</v>
      </c>
      <c r="U534">
        <f t="shared" si="114"/>
        <v>0</v>
      </c>
      <c r="V534">
        <f t="shared" si="115"/>
        <v>0</v>
      </c>
    </row>
    <row r="535" spans="1:22" x14ac:dyDescent="0.4">
      <c r="A535" s="1" t="s">
        <v>1706</v>
      </c>
      <c r="B535" s="1" t="s">
        <v>1707</v>
      </c>
      <c r="C535" s="1" t="s">
        <v>1708</v>
      </c>
      <c r="D535" s="1" t="s">
        <v>50</v>
      </c>
      <c r="E535" s="1" t="s">
        <v>56</v>
      </c>
      <c r="F535" s="5" t="s">
        <v>46</v>
      </c>
      <c r="G535" s="1" t="s">
        <v>52</v>
      </c>
      <c r="H535">
        <f>VLOOKUP(D535,[1]金額リスト!$A$2:$B$6,2,FALSE)</f>
        <v>114300</v>
      </c>
      <c r="I535" s="1" t="s">
        <v>28</v>
      </c>
      <c r="J535">
        <f t="shared" si="104"/>
        <v>0</v>
      </c>
      <c r="K535">
        <f t="shared" si="105"/>
        <v>0</v>
      </c>
      <c r="L535">
        <f t="shared" si="116"/>
        <v>0</v>
      </c>
      <c r="M535">
        <f t="shared" si="106"/>
        <v>0</v>
      </c>
      <c r="N535">
        <f t="shared" si="107"/>
        <v>114300</v>
      </c>
      <c r="O535">
        <f t="shared" si="108"/>
        <v>0</v>
      </c>
      <c r="P535">
        <f t="shared" si="109"/>
        <v>0</v>
      </c>
      <c r="Q535">
        <f t="shared" si="110"/>
        <v>0</v>
      </c>
      <c r="R535">
        <f t="shared" si="111"/>
        <v>0</v>
      </c>
      <c r="S535">
        <f t="shared" si="112"/>
        <v>0</v>
      </c>
      <c r="T535">
        <f t="shared" si="113"/>
        <v>0</v>
      </c>
      <c r="U535">
        <f t="shared" si="114"/>
        <v>0</v>
      </c>
      <c r="V535">
        <f t="shared" si="115"/>
        <v>0</v>
      </c>
    </row>
    <row r="536" spans="1:22" x14ac:dyDescent="0.4">
      <c r="A536" s="1" t="s">
        <v>1709</v>
      </c>
      <c r="B536" s="1" t="s">
        <v>1710</v>
      </c>
      <c r="C536" s="1" t="s">
        <v>1711</v>
      </c>
      <c r="D536" s="1" t="s">
        <v>44</v>
      </c>
      <c r="E536" s="1" t="s">
        <v>45</v>
      </c>
      <c r="F536" s="5" t="s">
        <v>46</v>
      </c>
      <c r="G536" s="1" t="s">
        <v>27</v>
      </c>
      <c r="H536">
        <f>VLOOKUP(D536,[1]金額リスト!$A$2:$B$6,2,FALSE)</f>
        <v>114300</v>
      </c>
      <c r="I536" s="1" t="s">
        <v>33</v>
      </c>
      <c r="J536">
        <f t="shared" si="104"/>
        <v>0</v>
      </c>
      <c r="K536">
        <f t="shared" si="105"/>
        <v>0</v>
      </c>
      <c r="L536">
        <f t="shared" si="116"/>
        <v>0</v>
      </c>
      <c r="M536">
        <f t="shared" si="106"/>
        <v>0</v>
      </c>
      <c r="N536">
        <f t="shared" si="107"/>
        <v>114300</v>
      </c>
      <c r="O536">
        <f t="shared" si="108"/>
        <v>0</v>
      </c>
      <c r="P536">
        <f t="shared" si="109"/>
        <v>0</v>
      </c>
      <c r="Q536">
        <f t="shared" si="110"/>
        <v>0</v>
      </c>
      <c r="R536">
        <f t="shared" si="111"/>
        <v>0</v>
      </c>
      <c r="S536">
        <f t="shared" si="112"/>
        <v>0</v>
      </c>
      <c r="T536">
        <f t="shared" si="113"/>
        <v>0</v>
      </c>
      <c r="U536">
        <f t="shared" si="114"/>
        <v>0</v>
      </c>
      <c r="V536">
        <f t="shared" si="115"/>
        <v>0</v>
      </c>
    </row>
    <row r="537" spans="1:22" x14ac:dyDescent="0.4">
      <c r="A537" s="1" t="s">
        <v>1712</v>
      </c>
      <c r="B537" s="1" t="s">
        <v>1713</v>
      </c>
      <c r="C537" s="1" t="s">
        <v>1714</v>
      </c>
      <c r="D537" s="1" t="s">
        <v>44</v>
      </c>
      <c r="E537" s="1" t="s">
        <v>1715</v>
      </c>
      <c r="F537" s="5" t="s">
        <v>10</v>
      </c>
      <c r="G537" s="1" t="s">
        <v>27</v>
      </c>
      <c r="H537">
        <f>VLOOKUP(D537,[1]金額リスト!$A$2:$B$6,2,FALSE)</f>
        <v>114300</v>
      </c>
      <c r="I537" s="1" t="s">
        <v>1593</v>
      </c>
      <c r="J537">
        <f t="shared" si="104"/>
        <v>0</v>
      </c>
      <c r="K537">
        <f t="shared" si="105"/>
        <v>114300</v>
      </c>
      <c r="L537">
        <f t="shared" si="116"/>
        <v>0</v>
      </c>
      <c r="M537">
        <f t="shared" si="106"/>
        <v>0</v>
      </c>
      <c r="N537">
        <f t="shared" si="107"/>
        <v>0</v>
      </c>
      <c r="O537">
        <f t="shared" si="108"/>
        <v>0</v>
      </c>
      <c r="P537">
        <f t="shared" si="109"/>
        <v>0</v>
      </c>
      <c r="Q537">
        <f t="shared" si="110"/>
        <v>0</v>
      </c>
      <c r="R537">
        <f t="shared" si="111"/>
        <v>0</v>
      </c>
      <c r="S537">
        <f t="shared" si="112"/>
        <v>0</v>
      </c>
      <c r="T537">
        <f t="shared" si="113"/>
        <v>0</v>
      </c>
      <c r="U537">
        <f t="shared" si="114"/>
        <v>0</v>
      </c>
      <c r="V537">
        <f t="shared" si="115"/>
        <v>0</v>
      </c>
    </row>
    <row r="538" spans="1:22" x14ac:dyDescent="0.4">
      <c r="A538" s="1" t="s">
        <v>1716</v>
      </c>
      <c r="B538" s="1" t="s">
        <v>1717</v>
      </c>
      <c r="C538" s="1" t="s">
        <v>1718</v>
      </c>
      <c r="D538" s="1" t="s">
        <v>44</v>
      </c>
      <c r="E538" s="1" t="s">
        <v>1309</v>
      </c>
      <c r="F538" s="5" t="s">
        <v>479</v>
      </c>
      <c r="G538" s="1" t="s">
        <v>27</v>
      </c>
      <c r="H538">
        <f>VLOOKUP(D538,[1]金額リスト!$A$2:$B$6,2,FALSE)</f>
        <v>114300</v>
      </c>
      <c r="I538" s="1" t="s">
        <v>868</v>
      </c>
      <c r="J538">
        <f t="shared" si="104"/>
        <v>0</v>
      </c>
      <c r="K538">
        <f t="shared" si="105"/>
        <v>0</v>
      </c>
      <c r="L538">
        <f t="shared" si="116"/>
        <v>114300</v>
      </c>
      <c r="M538">
        <f t="shared" si="106"/>
        <v>0</v>
      </c>
      <c r="N538">
        <f t="shared" si="107"/>
        <v>0</v>
      </c>
      <c r="O538">
        <f t="shared" si="108"/>
        <v>0</v>
      </c>
      <c r="P538">
        <f t="shared" si="109"/>
        <v>0</v>
      </c>
      <c r="Q538">
        <f t="shared" si="110"/>
        <v>0</v>
      </c>
      <c r="R538">
        <f t="shared" si="111"/>
        <v>0</v>
      </c>
      <c r="S538">
        <f t="shared" si="112"/>
        <v>0</v>
      </c>
      <c r="T538">
        <f t="shared" si="113"/>
        <v>0</v>
      </c>
      <c r="U538">
        <f t="shared" si="114"/>
        <v>0</v>
      </c>
      <c r="V538">
        <f t="shared" si="115"/>
        <v>0</v>
      </c>
    </row>
    <row r="539" spans="1:22" x14ac:dyDescent="0.4">
      <c r="A539" s="1" t="s">
        <v>1719</v>
      </c>
      <c r="B539" s="1" t="s">
        <v>1720</v>
      </c>
      <c r="C539" s="1" t="s">
        <v>1721</v>
      </c>
      <c r="D539" s="1" t="s">
        <v>25</v>
      </c>
      <c r="E539" s="1" t="s">
        <v>112</v>
      </c>
      <c r="F539" s="5" t="s">
        <v>10</v>
      </c>
      <c r="G539" s="1" t="s">
        <v>27</v>
      </c>
      <c r="H539">
        <f>VLOOKUP(D539,[1]金額リスト!$A$2:$B$6,2,FALSE)</f>
        <v>59400</v>
      </c>
      <c r="I539" s="1" t="s">
        <v>33</v>
      </c>
      <c r="J539">
        <f t="shared" si="104"/>
        <v>0</v>
      </c>
      <c r="K539">
        <f t="shared" si="105"/>
        <v>59400</v>
      </c>
      <c r="L539">
        <f t="shared" si="116"/>
        <v>0</v>
      </c>
      <c r="M539">
        <f t="shared" si="106"/>
        <v>0</v>
      </c>
      <c r="N539">
        <f t="shared" si="107"/>
        <v>0</v>
      </c>
      <c r="O539">
        <f t="shared" si="108"/>
        <v>0</v>
      </c>
      <c r="P539">
        <f t="shared" si="109"/>
        <v>0</v>
      </c>
      <c r="Q539">
        <f t="shared" si="110"/>
        <v>0</v>
      </c>
      <c r="R539">
        <f t="shared" si="111"/>
        <v>0</v>
      </c>
      <c r="S539">
        <f t="shared" si="112"/>
        <v>0</v>
      </c>
      <c r="T539">
        <f t="shared" si="113"/>
        <v>0</v>
      </c>
      <c r="U539">
        <f t="shared" si="114"/>
        <v>0</v>
      </c>
      <c r="V539">
        <f t="shared" si="115"/>
        <v>0</v>
      </c>
    </row>
    <row r="540" spans="1:22" x14ac:dyDescent="0.4">
      <c r="A540" s="1" t="s">
        <v>1722</v>
      </c>
      <c r="B540" s="1" t="s">
        <v>1723</v>
      </c>
      <c r="C540" s="1" t="s">
        <v>1724</v>
      </c>
      <c r="D540" s="1" t="s">
        <v>44</v>
      </c>
      <c r="E540" s="1" t="s">
        <v>63</v>
      </c>
      <c r="F540" s="5" t="s">
        <v>46</v>
      </c>
      <c r="G540" s="1" t="s">
        <v>27</v>
      </c>
      <c r="H540">
        <f>VLOOKUP(D540,[1]金額リスト!$A$2:$B$6,2,FALSE)</f>
        <v>114300</v>
      </c>
      <c r="I540" s="1" t="s">
        <v>33</v>
      </c>
      <c r="J540">
        <f t="shared" si="104"/>
        <v>0</v>
      </c>
      <c r="K540">
        <f t="shared" si="105"/>
        <v>0</v>
      </c>
      <c r="L540">
        <f t="shared" si="116"/>
        <v>0</v>
      </c>
      <c r="M540">
        <f t="shared" si="106"/>
        <v>0</v>
      </c>
      <c r="N540">
        <f t="shared" si="107"/>
        <v>114300</v>
      </c>
      <c r="O540">
        <f t="shared" si="108"/>
        <v>0</v>
      </c>
      <c r="P540">
        <f t="shared" si="109"/>
        <v>0</v>
      </c>
      <c r="Q540">
        <f t="shared" si="110"/>
        <v>0</v>
      </c>
      <c r="R540">
        <f t="shared" si="111"/>
        <v>0</v>
      </c>
      <c r="S540">
        <f t="shared" si="112"/>
        <v>0</v>
      </c>
      <c r="T540">
        <f t="shared" si="113"/>
        <v>0</v>
      </c>
      <c r="U540">
        <f t="shared" si="114"/>
        <v>0</v>
      </c>
      <c r="V540">
        <f t="shared" si="115"/>
        <v>0</v>
      </c>
    </row>
    <row r="541" spans="1:22" x14ac:dyDescent="0.4">
      <c r="A541" s="1" t="s">
        <v>1725</v>
      </c>
      <c r="B541" s="1" t="s">
        <v>1726</v>
      </c>
      <c r="C541" s="1" t="s">
        <v>1727</v>
      </c>
      <c r="D541" s="1" t="s">
        <v>44</v>
      </c>
      <c r="E541" s="1" t="s">
        <v>867</v>
      </c>
      <c r="F541" s="5" t="s">
        <v>479</v>
      </c>
      <c r="G541" s="1" t="s">
        <v>27</v>
      </c>
      <c r="H541">
        <f>VLOOKUP(D541,[1]金額リスト!$A$2:$B$6,2,FALSE)</f>
        <v>114300</v>
      </c>
      <c r="I541" s="1" t="s">
        <v>868</v>
      </c>
      <c r="J541">
        <f t="shared" si="104"/>
        <v>0</v>
      </c>
      <c r="K541">
        <f t="shared" si="105"/>
        <v>0</v>
      </c>
      <c r="L541">
        <f t="shared" si="116"/>
        <v>114300</v>
      </c>
      <c r="M541">
        <f t="shared" si="106"/>
        <v>0</v>
      </c>
      <c r="N541">
        <f t="shared" si="107"/>
        <v>0</v>
      </c>
      <c r="O541">
        <f t="shared" si="108"/>
        <v>0</v>
      </c>
      <c r="P541">
        <f t="shared" si="109"/>
        <v>0</v>
      </c>
      <c r="Q541">
        <f t="shared" si="110"/>
        <v>0</v>
      </c>
      <c r="R541">
        <f t="shared" si="111"/>
        <v>0</v>
      </c>
      <c r="S541">
        <f t="shared" si="112"/>
        <v>0</v>
      </c>
      <c r="T541">
        <f t="shared" si="113"/>
        <v>0</v>
      </c>
      <c r="U541">
        <f t="shared" si="114"/>
        <v>0</v>
      </c>
      <c r="V541">
        <f t="shared" si="115"/>
        <v>0</v>
      </c>
    </row>
    <row r="542" spans="1:22" x14ac:dyDescent="0.4">
      <c r="A542" s="1" t="s">
        <v>1728</v>
      </c>
      <c r="B542" s="1" t="s">
        <v>1729</v>
      </c>
      <c r="C542" s="1" t="s">
        <v>1730</v>
      </c>
      <c r="D542" s="1" t="s">
        <v>44</v>
      </c>
      <c r="E542" s="1" t="s">
        <v>1731</v>
      </c>
      <c r="F542" s="5" t="s">
        <v>75</v>
      </c>
      <c r="G542" s="1" t="s">
        <v>27</v>
      </c>
      <c r="H542">
        <f>VLOOKUP(D542,[1]金額リスト!$A$2:$B$6,2,FALSE)</f>
        <v>114300</v>
      </c>
      <c r="I542" s="1" t="s">
        <v>28</v>
      </c>
      <c r="J542">
        <f t="shared" si="104"/>
        <v>0</v>
      </c>
      <c r="K542">
        <f t="shared" si="105"/>
        <v>0</v>
      </c>
      <c r="L542">
        <f t="shared" si="116"/>
        <v>0</v>
      </c>
      <c r="M542">
        <f t="shared" si="106"/>
        <v>0</v>
      </c>
      <c r="N542">
        <f t="shared" si="107"/>
        <v>0</v>
      </c>
      <c r="O542">
        <f t="shared" si="108"/>
        <v>114300</v>
      </c>
      <c r="P542">
        <f t="shared" si="109"/>
        <v>0</v>
      </c>
      <c r="Q542">
        <f t="shared" si="110"/>
        <v>0</v>
      </c>
      <c r="R542">
        <f t="shared" si="111"/>
        <v>0</v>
      </c>
      <c r="S542">
        <f t="shared" si="112"/>
        <v>0</v>
      </c>
      <c r="T542">
        <f t="shared" si="113"/>
        <v>0</v>
      </c>
      <c r="U542">
        <f t="shared" si="114"/>
        <v>0</v>
      </c>
      <c r="V542">
        <f t="shared" si="115"/>
        <v>0</v>
      </c>
    </row>
    <row r="543" spans="1:22" x14ac:dyDescent="0.4">
      <c r="A543" s="1" t="s">
        <v>1732</v>
      </c>
      <c r="B543" s="1" t="s">
        <v>1733</v>
      </c>
      <c r="C543" s="1" t="s">
        <v>1734</v>
      </c>
      <c r="D543" s="1" t="s">
        <v>25</v>
      </c>
      <c r="E543" s="1" t="s">
        <v>150</v>
      </c>
      <c r="F543" s="5" t="s">
        <v>10</v>
      </c>
      <c r="G543" s="1" t="s">
        <v>27</v>
      </c>
      <c r="H543">
        <f>VLOOKUP(D543,[1]金額リスト!$A$2:$B$6,2,FALSE)</f>
        <v>59400</v>
      </c>
      <c r="I543" s="1" t="s">
        <v>33</v>
      </c>
      <c r="J543">
        <f t="shared" si="104"/>
        <v>0</v>
      </c>
      <c r="K543">
        <f t="shared" si="105"/>
        <v>59400</v>
      </c>
      <c r="L543">
        <f t="shared" si="116"/>
        <v>0</v>
      </c>
      <c r="M543">
        <f t="shared" si="106"/>
        <v>0</v>
      </c>
      <c r="N543">
        <f t="shared" si="107"/>
        <v>0</v>
      </c>
      <c r="O543">
        <f t="shared" si="108"/>
        <v>0</v>
      </c>
      <c r="P543">
        <f t="shared" si="109"/>
        <v>0</v>
      </c>
      <c r="Q543">
        <f t="shared" si="110"/>
        <v>0</v>
      </c>
      <c r="R543">
        <f t="shared" si="111"/>
        <v>0</v>
      </c>
      <c r="S543">
        <f t="shared" si="112"/>
        <v>0</v>
      </c>
      <c r="T543">
        <f t="shared" si="113"/>
        <v>0</v>
      </c>
      <c r="U543">
        <f t="shared" si="114"/>
        <v>0</v>
      </c>
      <c r="V543">
        <f t="shared" si="115"/>
        <v>0</v>
      </c>
    </row>
    <row r="544" spans="1:22" x14ac:dyDescent="0.4">
      <c r="A544" s="1" t="s">
        <v>1735</v>
      </c>
      <c r="B544" s="1" t="s">
        <v>1736</v>
      </c>
      <c r="C544" s="1" t="s">
        <v>1737</v>
      </c>
      <c r="D544" s="1" t="s">
        <v>44</v>
      </c>
      <c r="E544" s="1" t="s">
        <v>924</v>
      </c>
      <c r="F544" s="5" t="s">
        <v>479</v>
      </c>
      <c r="G544" s="1" t="s">
        <v>27</v>
      </c>
      <c r="H544">
        <f>VLOOKUP(D544,[1]金額リスト!$A$2:$B$6,2,FALSE)</f>
        <v>114300</v>
      </c>
      <c r="I544" s="1" t="s">
        <v>868</v>
      </c>
      <c r="J544">
        <f t="shared" si="104"/>
        <v>0</v>
      </c>
      <c r="K544">
        <f t="shared" si="105"/>
        <v>0</v>
      </c>
      <c r="L544">
        <f t="shared" si="116"/>
        <v>114300</v>
      </c>
      <c r="M544">
        <f t="shared" si="106"/>
        <v>0</v>
      </c>
      <c r="N544">
        <f t="shared" si="107"/>
        <v>0</v>
      </c>
      <c r="O544">
        <f t="shared" si="108"/>
        <v>0</v>
      </c>
      <c r="P544">
        <f t="shared" si="109"/>
        <v>0</v>
      </c>
      <c r="Q544">
        <f t="shared" si="110"/>
        <v>0</v>
      </c>
      <c r="R544">
        <f t="shared" si="111"/>
        <v>0</v>
      </c>
      <c r="S544">
        <f t="shared" si="112"/>
        <v>0</v>
      </c>
      <c r="T544">
        <f t="shared" si="113"/>
        <v>0</v>
      </c>
      <c r="U544">
        <f t="shared" si="114"/>
        <v>0</v>
      </c>
      <c r="V544">
        <f t="shared" si="115"/>
        <v>0</v>
      </c>
    </row>
    <row r="545" spans="1:22" x14ac:dyDescent="0.4">
      <c r="A545" s="1" t="s">
        <v>1738</v>
      </c>
      <c r="B545" s="1" t="s">
        <v>1739</v>
      </c>
      <c r="C545" s="1" t="s">
        <v>1740</v>
      </c>
      <c r="D545" s="1" t="s">
        <v>25</v>
      </c>
      <c r="E545" s="1" t="s">
        <v>920</v>
      </c>
      <c r="F545" s="5" t="s">
        <v>479</v>
      </c>
      <c r="G545" s="1" t="s">
        <v>27</v>
      </c>
      <c r="H545">
        <f>VLOOKUP(D545,[1]金額リスト!$A$2:$B$6,2,FALSE)</f>
        <v>59400</v>
      </c>
      <c r="I545" s="1" t="s">
        <v>28</v>
      </c>
      <c r="J545">
        <f t="shared" si="104"/>
        <v>0</v>
      </c>
      <c r="K545">
        <f t="shared" si="105"/>
        <v>0</v>
      </c>
      <c r="L545">
        <f t="shared" si="116"/>
        <v>59400</v>
      </c>
      <c r="M545">
        <f t="shared" si="106"/>
        <v>0</v>
      </c>
      <c r="N545">
        <f t="shared" si="107"/>
        <v>0</v>
      </c>
      <c r="O545">
        <f t="shared" si="108"/>
        <v>0</v>
      </c>
      <c r="P545">
        <f t="shared" si="109"/>
        <v>0</v>
      </c>
      <c r="Q545">
        <f t="shared" si="110"/>
        <v>0</v>
      </c>
      <c r="R545">
        <f t="shared" si="111"/>
        <v>0</v>
      </c>
      <c r="S545">
        <f t="shared" si="112"/>
        <v>0</v>
      </c>
      <c r="T545">
        <f t="shared" si="113"/>
        <v>0</v>
      </c>
      <c r="U545">
        <f t="shared" si="114"/>
        <v>0</v>
      </c>
      <c r="V545">
        <f t="shared" si="115"/>
        <v>0</v>
      </c>
    </row>
    <row r="546" spans="1:22" x14ac:dyDescent="0.4">
      <c r="A546" s="1" t="s">
        <v>1741</v>
      </c>
      <c r="B546" s="1" t="s">
        <v>1742</v>
      </c>
      <c r="C546" s="1" t="s">
        <v>1743</v>
      </c>
      <c r="D546" s="1" t="s">
        <v>44</v>
      </c>
      <c r="E546" s="1" t="s">
        <v>1172</v>
      </c>
      <c r="F546" s="5" t="s">
        <v>479</v>
      </c>
      <c r="G546" s="1" t="s">
        <v>27</v>
      </c>
      <c r="H546">
        <f>VLOOKUP(D546,[1]金額リスト!$A$2:$B$6,2,FALSE)</f>
        <v>114300</v>
      </c>
      <c r="I546" s="1" t="s">
        <v>868</v>
      </c>
      <c r="J546">
        <f t="shared" si="104"/>
        <v>0</v>
      </c>
      <c r="K546">
        <f t="shared" si="105"/>
        <v>0</v>
      </c>
      <c r="L546">
        <f t="shared" si="116"/>
        <v>114300</v>
      </c>
      <c r="M546">
        <f t="shared" si="106"/>
        <v>0</v>
      </c>
      <c r="N546">
        <f t="shared" si="107"/>
        <v>0</v>
      </c>
      <c r="O546">
        <f t="shared" si="108"/>
        <v>0</v>
      </c>
      <c r="P546">
        <f t="shared" si="109"/>
        <v>0</v>
      </c>
      <c r="Q546">
        <f t="shared" si="110"/>
        <v>0</v>
      </c>
      <c r="R546">
        <f t="shared" si="111"/>
        <v>0</v>
      </c>
      <c r="S546">
        <f t="shared" si="112"/>
        <v>0</v>
      </c>
      <c r="T546">
        <f t="shared" si="113"/>
        <v>0</v>
      </c>
      <c r="U546">
        <f t="shared" si="114"/>
        <v>0</v>
      </c>
      <c r="V546">
        <f t="shared" si="115"/>
        <v>0</v>
      </c>
    </row>
    <row r="547" spans="1:22" x14ac:dyDescent="0.4">
      <c r="A547" s="1" t="s">
        <v>1744</v>
      </c>
      <c r="B547" s="1" t="s">
        <v>1745</v>
      </c>
      <c r="C547" s="1" t="s">
        <v>1746</v>
      </c>
      <c r="D547" s="1" t="s">
        <v>44</v>
      </c>
      <c r="E547" s="1" t="s">
        <v>1141</v>
      </c>
      <c r="F547" s="5" t="s">
        <v>479</v>
      </c>
      <c r="G547" s="1" t="s">
        <v>27</v>
      </c>
      <c r="H547">
        <f>VLOOKUP(D547,[1]金額リスト!$A$2:$B$6,2,FALSE)</f>
        <v>114300</v>
      </c>
      <c r="I547" s="1" t="s">
        <v>868</v>
      </c>
      <c r="J547">
        <f t="shared" si="104"/>
        <v>0</v>
      </c>
      <c r="K547">
        <f t="shared" si="105"/>
        <v>0</v>
      </c>
      <c r="L547">
        <f t="shared" si="116"/>
        <v>114300</v>
      </c>
      <c r="M547">
        <f t="shared" si="106"/>
        <v>0</v>
      </c>
      <c r="N547">
        <f t="shared" si="107"/>
        <v>0</v>
      </c>
      <c r="O547">
        <f t="shared" si="108"/>
        <v>0</v>
      </c>
      <c r="P547">
        <f t="shared" si="109"/>
        <v>0</v>
      </c>
      <c r="Q547">
        <f t="shared" si="110"/>
        <v>0</v>
      </c>
      <c r="R547">
        <f t="shared" si="111"/>
        <v>0</v>
      </c>
      <c r="S547">
        <f t="shared" si="112"/>
        <v>0</v>
      </c>
      <c r="T547">
        <f t="shared" si="113"/>
        <v>0</v>
      </c>
      <c r="U547">
        <f t="shared" si="114"/>
        <v>0</v>
      </c>
      <c r="V547">
        <f t="shared" si="115"/>
        <v>0</v>
      </c>
    </row>
    <row r="548" spans="1:22" x14ac:dyDescent="0.4">
      <c r="A548" s="1" t="s">
        <v>1747</v>
      </c>
      <c r="B548" s="1" t="s">
        <v>1748</v>
      </c>
      <c r="C548" s="1" t="s">
        <v>1749</v>
      </c>
      <c r="D548" s="1" t="s">
        <v>44</v>
      </c>
      <c r="E548" s="1" t="s">
        <v>1750</v>
      </c>
      <c r="F548" s="5" t="s">
        <v>46</v>
      </c>
      <c r="G548" s="1" t="s">
        <v>27</v>
      </c>
      <c r="H548">
        <f>VLOOKUP(D548,[1]金額リスト!$A$2:$B$6,2,FALSE)</f>
        <v>114300</v>
      </c>
      <c r="I548" s="1" t="s">
        <v>33</v>
      </c>
      <c r="J548">
        <f t="shared" si="104"/>
        <v>0</v>
      </c>
      <c r="K548">
        <f t="shared" si="105"/>
        <v>0</v>
      </c>
      <c r="L548">
        <f t="shared" si="116"/>
        <v>0</v>
      </c>
      <c r="M548">
        <f t="shared" si="106"/>
        <v>0</v>
      </c>
      <c r="N548">
        <f t="shared" si="107"/>
        <v>114300</v>
      </c>
      <c r="O548">
        <f t="shared" si="108"/>
        <v>0</v>
      </c>
      <c r="P548">
        <f t="shared" si="109"/>
        <v>0</v>
      </c>
      <c r="Q548">
        <f t="shared" si="110"/>
        <v>0</v>
      </c>
      <c r="R548">
        <f t="shared" si="111"/>
        <v>0</v>
      </c>
      <c r="S548">
        <f t="shared" si="112"/>
        <v>0</v>
      </c>
      <c r="T548">
        <f t="shared" si="113"/>
        <v>0</v>
      </c>
      <c r="U548">
        <f t="shared" si="114"/>
        <v>0</v>
      </c>
      <c r="V548">
        <f t="shared" si="115"/>
        <v>0</v>
      </c>
    </row>
    <row r="549" spans="1:22" x14ac:dyDescent="0.4">
      <c r="A549" s="1" t="s">
        <v>1751</v>
      </c>
      <c r="B549" s="1" t="s">
        <v>1752</v>
      </c>
      <c r="C549" s="1" t="s">
        <v>1753</v>
      </c>
      <c r="D549" s="1" t="s">
        <v>25</v>
      </c>
      <c r="E549" s="1" t="s">
        <v>1754</v>
      </c>
      <c r="F549" s="5" t="s">
        <v>10</v>
      </c>
      <c r="G549" s="1" t="s">
        <v>27</v>
      </c>
      <c r="H549">
        <f>VLOOKUP(D549,[1]金額リスト!$A$2:$B$6,2,FALSE)</f>
        <v>59400</v>
      </c>
      <c r="I549" s="1" t="s">
        <v>33</v>
      </c>
      <c r="J549">
        <f t="shared" si="104"/>
        <v>0</v>
      </c>
      <c r="K549">
        <f t="shared" si="105"/>
        <v>59400</v>
      </c>
      <c r="L549">
        <f t="shared" si="116"/>
        <v>0</v>
      </c>
      <c r="M549">
        <f t="shared" si="106"/>
        <v>0</v>
      </c>
      <c r="N549">
        <f t="shared" si="107"/>
        <v>0</v>
      </c>
      <c r="O549">
        <f t="shared" si="108"/>
        <v>0</v>
      </c>
      <c r="P549">
        <f t="shared" si="109"/>
        <v>0</v>
      </c>
      <c r="Q549">
        <f t="shared" si="110"/>
        <v>0</v>
      </c>
      <c r="R549">
        <f t="shared" si="111"/>
        <v>0</v>
      </c>
      <c r="S549">
        <f t="shared" si="112"/>
        <v>0</v>
      </c>
      <c r="T549">
        <f t="shared" si="113"/>
        <v>0</v>
      </c>
      <c r="U549">
        <f t="shared" si="114"/>
        <v>0</v>
      </c>
      <c r="V549">
        <f t="shared" si="115"/>
        <v>0</v>
      </c>
    </row>
    <row r="550" spans="1:22" x14ac:dyDescent="0.4">
      <c r="A550" s="1" t="s">
        <v>1755</v>
      </c>
      <c r="B550" s="1" t="s">
        <v>1756</v>
      </c>
      <c r="C550" s="1" t="s">
        <v>1757</v>
      </c>
      <c r="D550" s="1" t="s">
        <v>50</v>
      </c>
      <c r="E550" s="1" t="s">
        <v>86</v>
      </c>
      <c r="F550" s="5" t="s">
        <v>46</v>
      </c>
      <c r="G550" s="1" t="s">
        <v>52</v>
      </c>
      <c r="H550">
        <f>VLOOKUP(D550,[1]金額リスト!$A$2:$B$6,2,FALSE)</f>
        <v>114300</v>
      </c>
      <c r="I550" s="1" t="s">
        <v>28</v>
      </c>
      <c r="J550">
        <f t="shared" si="104"/>
        <v>0</v>
      </c>
      <c r="K550">
        <f t="shared" si="105"/>
        <v>0</v>
      </c>
      <c r="L550">
        <f t="shared" si="116"/>
        <v>0</v>
      </c>
      <c r="M550">
        <f t="shared" si="106"/>
        <v>0</v>
      </c>
      <c r="N550">
        <f t="shared" si="107"/>
        <v>114300</v>
      </c>
      <c r="O550">
        <f t="shared" si="108"/>
        <v>0</v>
      </c>
      <c r="P550">
        <f t="shared" si="109"/>
        <v>0</v>
      </c>
      <c r="Q550">
        <f t="shared" si="110"/>
        <v>0</v>
      </c>
      <c r="R550">
        <f t="shared" si="111"/>
        <v>0</v>
      </c>
      <c r="S550">
        <f t="shared" si="112"/>
        <v>0</v>
      </c>
      <c r="T550">
        <f t="shared" si="113"/>
        <v>0</v>
      </c>
      <c r="U550">
        <f t="shared" si="114"/>
        <v>0</v>
      </c>
      <c r="V550">
        <f t="shared" si="115"/>
        <v>0</v>
      </c>
    </row>
    <row r="551" spans="1:22" x14ac:dyDescent="0.4">
      <c r="A551" s="1" t="s">
        <v>1758</v>
      </c>
      <c r="B551" s="1" t="s">
        <v>1759</v>
      </c>
      <c r="C551" s="1" t="s">
        <v>1760</v>
      </c>
      <c r="D551" s="1" t="s">
        <v>44</v>
      </c>
      <c r="E551" s="1" t="s">
        <v>140</v>
      </c>
      <c r="F551" s="5" t="s">
        <v>46</v>
      </c>
      <c r="G551" s="1" t="s">
        <v>27</v>
      </c>
      <c r="H551">
        <f>VLOOKUP(D551,[1]金額リスト!$A$2:$B$6,2,FALSE)</f>
        <v>114300</v>
      </c>
      <c r="I551" s="1" t="s">
        <v>33</v>
      </c>
      <c r="J551">
        <f t="shared" si="104"/>
        <v>0</v>
      </c>
      <c r="K551">
        <f t="shared" si="105"/>
        <v>0</v>
      </c>
      <c r="L551">
        <f t="shared" si="116"/>
        <v>0</v>
      </c>
      <c r="M551">
        <f t="shared" si="106"/>
        <v>0</v>
      </c>
      <c r="N551">
        <f t="shared" si="107"/>
        <v>114300</v>
      </c>
      <c r="O551">
        <f t="shared" si="108"/>
        <v>0</v>
      </c>
      <c r="P551">
        <f t="shared" si="109"/>
        <v>0</v>
      </c>
      <c r="Q551">
        <f t="shared" si="110"/>
        <v>0</v>
      </c>
      <c r="R551">
        <f t="shared" si="111"/>
        <v>0</v>
      </c>
      <c r="S551">
        <f t="shared" si="112"/>
        <v>0</v>
      </c>
      <c r="T551">
        <f t="shared" si="113"/>
        <v>0</v>
      </c>
      <c r="U551">
        <f t="shared" si="114"/>
        <v>0</v>
      </c>
      <c r="V551">
        <f t="shared" si="115"/>
        <v>0</v>
      </c>
    </row>
    <row r="552" spans="1:22" x14ac:dyDescent="0.4">
      <c r="A552" s="1" t="s">
        <v>1761</v>
      </c>
      <c r="B552" s="1" t="s">
        <v>1762</v>
      </c>
      <c r="C552" s="1" t="s">
        <v>1763</v>
      </c>
      <c r="D552" s="1" t="s">
        <v>44</v>
      </c>
      <c r="E552" s="1" t="s">
        <v>56</v>
      </c>
      <c r="F552" s="5" t="s">
        <v>46</v>
      </c>
      <c r="G552" s="1" t="s">
        <v>27</v>
      </c>
      <c r="H552">
        <f>VLOOKUP(D552,[1]金額リスト!$A$2:$B$6,2,FALSE)</f>
        <v>114300</v>
      </c>
      <c r="I552" s="1" t="s">
        <v>33</v>
      </c>
      <c r="J552">
        <f t="shared" si="104"/>
        <v>0</v>
      </c>
      <c r="K552">
        <f t="shared" si="105"/>
        <v>0</v>
      </c>
      <c r="L552">
        <f t="shared" si="116"/>
        <v>0</v>
      </c>
      <c r="M552">
        <f t="shared" si="106"/>
        <v>0</v>
      </c>
      <c r="N552">
        <f t="shared" si="107"/>
        <v>114300</v>
      </c>
      <c r="O552">
        <f t="shared" si="108"/>
        <v>0</v>
      </c>
      <c r="P552">
        <f t="shared" si="109"/>
        <v>0</v>
      </c>
      <c r="Q552">
        <f t="shared" si="110"/>
        <v>0</v>
      </c>
      <c r="R552">
        <f t="shared" si="111"/>
        <v>0</v>
      </c>
      <c r="S552">
        <f t="shared" si="112"/>
        <v>0</v>
      </c>
      <c r="T552">
        <f t="shared" si="113"/>
        <v>0</v>
      </c>
      <c r="U552">
        <f t="shared" si="114"/>
        <v>0</v>
      </c>
      <c r="V552">
        <f t="shared" si="115"/>
        <v>0</v>
      </c>
    </row>
    <row r="553" spans="1:22" x14ac:dyDescent="0.4">
      <c r="A553" s="1" t="s">
        <v>1764</v>
      </c>
      <c r="B553" s="1" t="s">
        <v>1765</v>
      </c>
      <c r="C553" s="1" t="s">
        <v>1766</v>
      </c>
      <c r="D553" s="1" t="s">
        <v>44</v>
      </c>
      <c r="E553" s="1" t="s">
        <v>90</v>
      </c>
      <c r="F553" s="5" t="s">
        <v>46</v>
      </c>
      <c r="G553" s="1" t="s">
        <v>27</v>
      </c>
      <c r="H553">
        <f>VLOOKUP(D553,[1]金額リスト!$A$2:$B$6,2,FALSE)</f>
        <v>114300</v>
      </c>
      <c r="I553" s="1" t="s">
        <v>33</v>
      </c>
      <c r="J553">
        <f t="shared" si="104"/>
        <v>0</v>
      </c>
      <c r="K553">
        <f t="shared" si="105"/>
        <v>0</v>
      </c>
      <c r="L553">
        <f t="shared" si="116"/>
        <v>0</v>
      </c>
      <c r="M553">
        <f t="shared" si="106"/>
        <v>0</v>
      </c>
      <c r="N553">
        <f t="shared" si="107"/>
        <v>114300</v>
      </c>
      <c r="O553">
        <f t="shared" si="108"/>
        <v>0</v>
      </c>
      <c r="P553">
        <f t="shared" si="109"/>
        <v>0</v>
      </c>
      <c r="Q553">
        <f t="shared" si="110"/>
        <v>0</v>
      </c>
      <c r="R553">
        <f t="shared" si="111"/>
        <v>0</v>
      </c>
      <c r="S553">
        <f t="shared" si="112"/>
        <v>0</v>
      </c>
      <c r="T553">
        <f t="shared" si="113"/>
        <v>0</v>
      </c>
      <c r="U553">
        <f t="shared" si="114"/>
        <v>0</v>
      </c>
      <c r="V553">
        <f t="shared" si="115"/>
        <v>0</v>
      </c>
    </row>
    <row r="554" spans="1:22" x14ac:dyDescent="0.4">
      <c r="A554" s="1" t="s">
        <v>1767</v>
      </c>
      <c r="B554" s="1" t="s">
        <v>1768</v>
      </c>
      <c r="C554" s="1" t="s">
        <v>1769</v>
      </c>
      <c r="D554" s="1" t="s">
        <v>44</v>
      </c>
      <c r="E554" s="1" t="s">
        <v>86</v>
      </c>
      <c r="F554" s="5" t="s">
        <v>46</v>
      </c>
      <c r="G554" s="1" t="s">
        <v>27</v>
      </c>
      <c r="H554">
        <f>VLOOKUP(D554,[1]金額リスト!$A$2:$B$6,2,FALSE)</f>
        <v>114300</v>
      </c>
      <c r="I554" s="1" t="s">
        <v>33</v>
      </c>
      <c r="J554">
        <f t="shared" si="104"/>
        <v>0</v>
      </c>
      <c r="K554">
        <f t="shared" si="105"/>
        <v>0</v>
      </c>
      <c r="L554">
        <f t="shared" si="116"/>
        <v>0</v>
      </c>
      <c r="M554">
        <f t="shared" si="106"/>
        <v>0</v>
      </c>
      <c r="N554">
        <f t="shared" si="107"/>
        <v>114300</v>
      </c>
      <c r="O554">
        <f t="shared" si="108"/>
        <v>0</v>
      </c>
      <c r="P554">
        <f t="shared" si="109"/>
        <v>0</v>
      </c>
      <c r="Q554">
        <f t="shared" si="110"/>
        <v>0</v>
      </c>
      <c r="R554">
        <f t="shared" si="111"/>
        <v>0</v>
      </c>
      <c r="S554">
        <f t="shared" si="112"/>
        <v>0</v>
      </c>
      <c r="T554">
        <f t="shared" si="113"/>
        <v>0</v>
      </c>
      <c r="U554">
        <f t="shared" si="114"/>
        <v>0</v>
      </c>
      <c r="V554">
        <f t="shared" si="115"/>
        <v>0</v>
      </c>
    </row>
    <row r="555" spans="1:22" x14ac:dyDescent="0.4">
      <c r="A555" s="1" t="s">
        <v>1770</v>
      </c>
      <c r="B555" s="1" t="s">
        <v>1771</v>
      </c>
      <c r="C555" s="1" t="s">
        <v>1772</v>
      </c>
      <c r="D555" s="1" t="s">
        <v>44</v>
      </c>
      <c r="E555" s="1" t="s">
        <v>867</v>
      </c>
      <c r="F555" s="5" t="s">
        <v>479</v>
      </c>
      <c r="G555" s="1" t="s">
        <v>27</v>
      </c>
      <c r="H555">
        <f>VLOOKUP(D555,[1]金額リスト!$A$2:$B$6,2,FALSE)</f>
        <v>114300</v>
      </c>
      <c r="I555" s="1" t="s">
        <v>868</v>
      </c>
      <c r="J555">
        <f t="shared" si="104"/>
        <v>0</v>
      </c>
      <c r="K555">
        <f t="shared" si="105"/>
        <v>0</v>
      </c>
      <c r="L555">
        <f t="shared" si="116"/>
        <v>114300</v>
      </c>
      <c r="M555">
        <f t="shared" si="106"/>
        <v>0</v>
      </c>
      <c r="N555">
        <f t="shared" si="107"/>
        <v>0</v>
      </c>
      <c r="O555">
        <f t="shared" si="108"/>
        <v>0</v>
      </c>
      <c r="P555">
        <f t="shared" si="109"/>
        <v>0</v>
      </c>
      <c r="Q555">
        <f t="shared" si="110"/>
        <v>0</v>
      </c>
      <c r="R555">
        <f t="shared" si="111"/>
        <v>0</v>
      </c>
      <c r="S555">
        <f t="shared" si="112"/>
        <v>0</v>
      </c>
      <c r="T555">
        <f t="shared" si="113"/>
        <v>0</v>
      </c>
      <c r="U555">
        <f t="shared" si="114"/>
        <v>0</v>
      </c>
      <c r="V555">
        <f t="shared" si="115"/>
        <v>0</v>
      </c>
    </row>
    <row r="556" spans="1:22" x14ac:dyDescent="0.4">
      <c r="A556" s="1" t="s">
        <v>1773</v>
      </c>
      <c r="B556" s="1" t="s">
        <v>1774</v>
      </c>
      <c r="C556" s="1" t="s">
        <v>1775</v>
      </c>
      <c r="D556" s="1" t="s">
        <v>44</v>
      </c>
      <c r="E556" s="1" t="s">
        <v>86</v>
      </c>
      <c r="F556" s="5" t="s">
        <v>46</v>
      </c>
      <c r="G556" s="1" t="s">
        <v>27</v>
      </c>
      <c r="H556">
        <f>VLOOKUP(D556,[1]金額リスト!$A$2:$B$6,2,FALSE)</f>
        <v>114300</v>
      </c>
      <c r="I556" s="1" t="s">
        <v>33</v>
      </c>
      <c r="J556">
        <f t="shared" si="104"/>
        <v>0</v>
      </c>
      <c r="K556">
        <f t="shared" si="105"/>
        <v>0</v>
      </c>
      <c r="L556">
        <f t="shared" si="116"/>
        <v>0</v>
      </c>
      <c r="M556">
        <f t="shared" si="106"/>
        <v>0</v>
      </c>
      <c r="N556">
        <f t="shared" si="107"/>
        <v>114300</v>
      </c>
      <c r="O556">
        <f t="shared" si="108"/>
        <v>0</v>
      </c>
      <c r="P556">
        <f t="shared" si="109"/>
        <v>0</v>
      </c>
      <c r="Q556">
        <f t="shared" si="110"/>
        <v>0</v>
      </c>
      <c r="R556">
        <f t="shared" si="111"/>
        <v>0</v>
      </c>
      <c r="S556">
        <f t="shared" si="112"/>
        <v>0</v>
      </c>
      <c r="T556">
        <f t="shared" si="113"/>
        <v>0</v>
      </c>
      <c r="U556">
        <f t="shared" si="114"/>
        <v>0</v>
      </c>
      <c r="V556">
        <f t="shared" si="115"/>
        <v>0</v>
      </c>
    </row>
    <row r="557" spans="1:22" x14ac:dyDescent="0.4">
      <c r="A557" s="1" t="s">
        <v>1776</v>
      </c>
      <c r="B557" s="1" t="s">
        <v>1777</v>
      </c>
      <c r="C557" s="1" t="s">
        <v>1778</v>
      </c>
      <c r="D557" s="1" t="s">
        <v>44</v>
      </c>
      <c r="E557" s="1" t="s">
        <v>1211</v>
      </c>
      <c r="F557" s="5" t="s">
        <v>479</v>
      </c>
      <c r="G557" s="1" t="s">
        <v>27</v>
      </c>
      <c r="H557">
        <f>VLOOKUP(D557,[1]金額リスト!$A$2:$B$6,2,FALSE)</f>
        <v>114300</v>
      </c>
      <c r="I557" s="1" t="s">
        <v>868</v>
      </c>
      <c r="J557">
        <f t="shared" si="104"/>
        <v>0</v>
      </c>
      <c r="K557">
        <f t="shared" si="105"/>
        <v>0</v>
      </c>
      <c r="L557">
        <f t="shared" si="116"/>
        <v>114300</v>
      </c>
      <c r="M557">
        <f t="shared" si="106"/>
        <v>0</v>
      </c>
      <c r="N557">
        <f t="shared" si="107"/>
        <v>0</v>
      </c>
      <c r="O557">
        <f t="shared" si="108"/>
        <v>0</v>
      </c>
      <c r="P557">
        <f t="shared" si="109"/>
        <v>0</v>
      </c>
      <c r="Q557">
        <f t="shared" si="110"/>
        <v>0</v>
      </c>
      <c r="R557">
        <f t="shared" si="111"/>
        <v>0</v>
      </c>
      <c r="S557">
        <f t="shared" si="112"/>
        <v>0</v>
      </c>
      <c r="T557">
        <f t="shared" si="113"/>
        <v>0</v>
      </c>
      <c r="U557">
        <f t="shared" si="114"/>
        <v>0</v>
      </c>
      <c r="V557">
        <f t="shared" si="115"/>
        <v>0</v>
      </c>
    </row>
    <row r="558" spans="1:22" x14ac:dyDescent="0.4">
      <c r="A558" s="1" t="s">
        <v>1779</v>
      </c>
      <c r="B558" s="1" t="s">
        <v>1780</v>
      </c>
      <c r="C558" s="1" t="s">
        <v>1781</v>
      </c>
      <c r="D558" s="1" t="s">
        <v>44</v>
      </c>
      <c r="E558" s="1" t="s">
        <v>1195</v>
      </c>
      <c r="F558" s="5" t="s">
        <v>479</v>
      </c>
      <c r="G558" s="1" t="s">
        <v>27</v>
      </c>
      <c r="H558">
        <f>VLOOKUP(D558,[1]金額リスト!$A$2:$B$6,2,FALSE)</f>
        <v>114300</v>
      </c>
      <c r="I558" s="1" t="s">
        <v>868</v>
      </c>
      <c r="J558">
        <f t="shared" si="104"/>
        <v>0</v>
      </c>
      <c r="K558">
        <f t="shared" si="105"/>
        <v>0</v>
      </c>
      <c r="L558">
        <f t="shared" si="116"/>
        <v>114300</v>
      </c>
      <c r="M558">
        <f t="shared" si="106"/>
        <v>0</v>
      </c>
      <c r="N558">
        <f t="shared" si="107"/>
        <v>0</v>
      </c>
      <c r="O558">
        <f t="shared" si="108"/>
        <v>0</v>
      </c>
      <c r="P558">
        <f t="shared" si="109"/>
        <v>0</v>
      </c>
      <c r="Q558">
        <f t="shared" si="110"/>
        <v>0</v>
      </c>
      <c r="R558">
        <f t="shared" si="111"/>
        <v>0</v>
      </c>
      <c r="S558">
        <f t="shared" si="112"/>
        <v>0</v>
      </c>
      <c r="T558">
        <f t="shared" si="113"/>
        <v>0</v>
      </c>
      <c r="U558">
        <f t="shared" si="114"/>
        <v>0</v>
      </c>
      <c r="V558">
        <f t="shared" si="115"/>
        <v>0</v>
      </c>
    </row>
    <row r="559" spans="1:22" x14ac:dyDescent="0.4">
      <c r="A559" s="1" t="s">
        <v>1782</v>
      </c>
      <c r="B559" s="1" t="s">
        <v>1783</v>
      </c>
      <c r="C559" s="1" t="s">
        <v>1784</v>
      </c>
      <c r="D559" s="1" t="s">
        <v>25</v>
      </c>
      <c r="E559" s="1" t="s">
        <v>63</v>
      </c>
      <c r="F559" s="5" t="s">
        <v>10</v>
      </c>
      <c r="G559" s="1" t="s">
        <v>27</v>
      </c>
      <c r="H559">
        <f>VLOOKUP(D559,[1]金額リスト!$A$2:$B$6,2,FALSE)</f>
        <v>59400</v>
      </c>
      <c r="I559" s="1" t="s">
        <v>33</v>
      </c>
      <c r="J559">
        <f t="shared" si="104"/>
        <v>0</v>
      </c>
      <c r="K559">
        <f t="shared" si="105"/>
        <v>59400</v>
      </c>
      <c r="L559">
        <f t="shared" si="116"/>
        <v>0</v>
      </c>
      <c r="M559">
        <f t="shared" si="106"/>
        <v>0</v>
      </c>
      <c r="N559">
        <f t="shared" si="107"/>
        <v>0</v>
      </c>
      <c r="O559">
        <f t="shared" si="108"/>
        <v>0</v>
      </c>
      <c r="P559">
        <f t="shared" si="109"/>
        <v>0</v>
      </c>
      <c r="Q559">
        <f t="shared" si="110"/>
        <v>0</v>
      </c>
      <c r="R559">
        <f t="shared" si="111"/>
        <v>0</v>
      </c>
      <c r="S559">
        <f t="shared" si="112"/>
        <v>0</v>
      </c>
      <c r="T559">
        <f t="shared" si="113"/>
        <v>0</v>
      </c>
      <c r="U559">
        <f t="shared" si="114"/>
        <v>0</v>
      </c>
      <c r="V559">
        <f t="shared" si="115"/>
        <v>0</v>
      </c>
    </row>
    <row r="560" spans="1:22" x14ac:dyDescent="0.4">
      <c r="A560" s="1" t="s">
        <v>1785</v>
      </c>
      <c r="B560" s="1" t="s">
        <v>1786</v>
      </c>
      <c r="C560" s="1" t="s">
        <v>1787</v>
      </c>
      <c r="D560" s="1" t="s">
        <v>44</v>
      </c>
      <c r="E560" s="1" t="s">
        <v>1648</v>
      </c>
      <c r="F560" s="5" t="s">
        <v>10</v>
      </c>
      <c r="G560" s="1" t="s">
        <v>27</v>
      </c>
      <c r="H560">
        <f>VLOOKUP(D560,[1]金額リスト!$A$2:$B$6,2,FALSE)</f>
        <v>114300</v>
      </c>
      <c r="I560" s="1" t="s">
        <v>1593</v>
      </c>
      <c r="J560">
        <f t="shared" si="104"/>
        <v>0</v>
      </c>
      <c r="K560">
        <f t="shared" si="105"/>
        <v>114300</v>
      </c>
      <c r="L560">
        <f t="shared" si="116"/>
        <v>0</v>
      </c>
      <c r="M560">
        <f t="shared" si="106"/>
        <v>0</v>
      </c>
      <c r="N560">
        <f t="shared" si="107"/>
        <v>0</v>
      </c>
      <c r="O560">
        <f t="shared" si="108"/>
        <v>0</v>
      </c>
      <c r="P560">
        <f t="shared" si="109"/>
        <v>0</v>
      </c>
      <c r="Q560">
        <f t="shared" si="110"/>
        <v>0</v>
      </c>
      <c r="R560">
        <f t="shared" si="111"/>
        <v>0</v>
      </c>
      <c r="S560">
        <f t="shared" si="112"/>
        <v>0</v>
      </c>
      <c r="T560">
        <f t="shared" si="113"/>
        <v>0</v>
      </c>
      <c r="U560">
        <f t="shared" si="114"/>
        <v>0</v>
      </c>
      <c r="V560">
        <f t="shared" si="115"/>
        <v>0</v>
      </c>
    </row>
    <row r="561" spans="1:22" x14ac:dyDescent="0.4">
      <c r="A561" s="1" t="s">
        <v>1788</v>
      </c>
      <c r="B561" s="1" t="s">
        <v>1789</v>
      </c>
      <c r="C561" s="1" t="s">
        <v>1790</v>
      </c>
      <c r="D561" s="1" t="s">
        <v>25</v>
      </c>
      <c r="E561" s="1" t="s">
        <v>37</v>
      </c>
      <c r="F561" s="5" t="s">
        <v>10</v>
      </c>
      <c r="G561" s="1" t="s">
        <v>27</v>
      </c>
      <c r="H561">
        <f>VLOOKUP(D561,[1]金額リスト!$A$2:$B$6,2,FALSE)</f>
        <v>59400</v>
      </c>
      <c r="I561" s="1" t="s">
        <v>33</v>
      </c>
      <c r="J561">
        <f t="shared" si="104"/>
        <v>0</v>
      </c>
      <c r="K561">
        <f t="shared" si="105"/>
        <v>59400</v>
      </c>
      <c r="L561">
        <f t="shared" si="116"/>
        <v>0</v>
      </c>
      <c r="M561">
        <f t="shared" si="106"/>
        <v>0</v>
      </c>
      <c r="N561">
        <f t="shared" si="107"/>
        <v>0</v>
      </c>
      <c r="O561">
        <f t="shared" si="108"/>
        <v>0</v>
      </c>
      <c r="P561">
        <f t="shared" si="109"/>
        <v>0</v>
      </c>
      <c r="Q561">
        <f t="shared" si="110"/>
        <v>0</v>
      </c>
      <c r="R561">
        <f t="shared" si="111"/>
        <v>0</v>
      </c>
      <c r="S561">
        <f t="shared" si="112"/>
        <v>0</v>
      </c>
      <c r="T561">
        <f t="shared" si="113"/>
        <v>0</v>
      </c>
      <c r="U561">
        <f t="shared" si="114"/>
        <v>0</v>
      </c>
      <c r="V561">
        <f t="shared" si="115"/>
        <v>0</v>
      </c>
    </row>
    <row r="562" spans="1:22" x14ac:dyDescent="0.4">
      <c r="A562" s="1" t="s">
        <v>1791</v>
      </c>
      <c r="B562" s="1" t="s">
        <v>1792</v>
      </c>
      <c r="C562" s="1" t="s">
        <v>1793</v>
      </c>
      <c r="D562" s="1" t="s">
        <v>44</v>
      </c>
      <c r="E562" s="1" t="s">
        <v>1610</v>
      </c>
      <c r="F562" s="5" t="s">
        <v>10</v>
      </c>
      <c r="G562" s="1" t="s">
        <v>27</v>
      </c>
      <c r="H562">
        <f>VLOOKUP(D562,[1]金額リスト!$A$2:$B$6,2,FALSE)</f>
        <v>114300</v>
      </c>
      <c r="I562" s="1" t="s">
        <v>1593</v>
      </c>
      <c r="J562">
        <f t="shared" si="104"/>
        <v>0</v>
      </c>
      <c r="K562">
        <f t="shared" si="105"/>
        <v>114300</v>
      </c>
      <c r="L562">
        <f t="shared" si="116"/>
        <v>0</v>
      </c>
      <c r="M562">
        <f t="shared" si="106"/>
        <v>0</v>
      </c>
      <c r="N562">
        <f t="shared" si="107"/>
        <v>0</v>
      </c>
      <c r="O562">
        <f t="shared" si="108"/>
        <v>0</v>
      </c>
      <c r="P562">
        <f t="shared" si="109"/>
        <v>0</v>
      </c>
      <c r="Q562">
        <f t="shared" si="110"/>
        <v>0</v>
      </c>
      <c r="R562">
        <f t="shared" si="111"/>
        <v>0</v>
      </c>
      <c r="S562">
        <f t="shared" si="112"/>
        <v>0</v>
      </c>
      <c r="T562">
        <f t="shared" si="113"/>
        <v>0</v>
      </c>
      <c r="U562">
        <f t="shared" si="114"/>
        <v>0</v>
      </c>
      <c r="V562">
        <f t="shared" si="115"/>
        <v>0</v>
      </c>
    </row>
    <row r="563" spans="1:22" x14ac:dyDescent="0.4">
      <c r="A563" s="1" t="s">
        <v>1794</v>
      </c>
      <c r="B563" s="1" t="s">
        <v>1795</v>
      </c>
      <c r="C563" s="1" t="s">
        <v>1796</v>
      </c>
      <c r="D563" s="1" t="s">
        <v>44</v>
      </c>
      <c r="E563" s="1" t="s">
        <v>1754</v>
      </c>
      <c r="F563" s="5" t="s">
        <v>10</v>
      </c>
      <c r="G563" s="1" t="s">
        <v>27</v>
      </c>
      <c r="H563">
        <f>VLOOKUP(D563,[1]金額リスト!$A$2:$B$6,2,FALSE)</f>
        <v>114300</v>
      </c>
      <c r="I563" s="1" t="s">
        <v>1593</v>
      </c>
      <c r="J563">
        <f t="shared" si="104"/>
        <v>0</v>
      </c>
      <c r="K563">
        <f t="shared" si="105"/>
        <v>114300</v>
      </c>
      <c r="L563">
        <f t="shared" si="116"/>
        <v>0</v>
      </c>
      <c r="M563">
        <f t="shared" si="106"/>
        <v>0</v>
      </c>
      <c r="N563">
        <f t="shared" si="107"/>
        <v>0</v>
      </c>
      <c r="O563">
        <f t="shared" si="108"/>
        <v>0</v>
      </c>
      <c r="P563">
        <f t="shared" si="109"/>
        <v>0</v>
      </c>
      <c r="Q563">
        <f t="shared" si="110"/>
        <v>0</v>
      </c>
      <c r="R563">
        <f t="shared" si="111"/>
        <v>0</v>
      </c>
      <c r="S563">
        <f t="shared" si="112"/>
        <v>0</v>
      </c>
      <c r="T563">
        <f t="shared" si="113"/>
        <v>0</v>
      </c>
      <c r="U563">
        <f t="shared" si="114"/>
        <v>0</v>
      </c>
      <c r="V563">
        <f t="shared" si="115"/>
        <v>0</v>
      </c>
    </row>
    <row r="564" spans="1:22" x14ac:dyDescent="0.4">
      <c r="A564" s="1" t="s">
        <v>1797</v>
      </c>
      <c r="B564" s="1" t="s">
        <v>1798</v>
      </c>
      <c r="C564" s="1" t="s">
        <v>1799</v>
      </c>
      <c r="D564" s="1" t="s">
        <v>25</v>
      </c>
      <c r="E564" s="1" t="s">
        <v>1627</v>
      </c>
      <c r="F564" s="5" t="s">
        <v>10</v>
      </c>
      <c r="G564" s="1" t="s">
        <v>27</v>
      </c>
      <c r="H564">
        <f>VLOOKUP(D564,[1]金額リスト!$A$2:$B$6,2,FALSE)</f>
        <v>59400</v>
      </c>
      <c r="I564" s="1" t="s">
        <v>33</v>
      </c>
      <c r="J564">
        <f t="shared" si="104"/>
        <v>0</v>
      </c>
      <c r="K564">
        <f t="shared" si="105"/>
        <v>59400</v>
      </c>
      <c r="L564">
        <f t="shared" si="116"/>
        <v>0</v>
      </c>
      <c r="M564">
        <f t="shared" si="106"/>
        <v>0</v>
      </c>
      <c r="N564">
        <f t="shared" si="107"/>
        <v>0</v>
      </c>
      <c r="O564">
        <f t="shared" si="108"/>
        <v>0</v>
      </c>
      <c r="P564">
        <f t="shared" si="109"/>
        <v>0</v>
      </c>
      <c r="Q564">
        <f t="shared" si="110"/>
        <v>0</v>
      </c>
      <c r="R564">
        <f t="shared" si="111"/>
        <v>0</v>
      </c>
      <c r="S564">
        <f t="shared" si="112"/>
        <v>0</v>
      </c>
      <c r="T564">
        <f t="shared" si="113"/>
        <v>0</v>
      </c>
      <c r="U564">
        <f t="shared" si="114"/>
        <v>0</v>
      </c>
      <c r="V564">
        <f t="shared" si="115"/>
        <v>0</v>
      </c>
    </row>
    <row r="565" spans="1:22" x14ac:dyDescent="0.4">
      <c r="A565" s="1" t="s">
        <v>1800</v>
      </c>
      <c r="B565" s="1" t="s">
        <v>1801</v>
      </c>
      <c r="C565" s="1" t="s">
        <v>1802</v>
      </c>
      <c r="D565" s="1" t="s">
        <v>25</v>
      </c>
      <c r="E565" s="1" t="s">
        <v>1803</v>
      </c>
      <c r="F565" s="5" t="s">
        <v>1130</v>
      </c>
      <c r="G565" s="1" t="s">
        <v>27</v>
      </c>
      <c r="H565">
        <f>VLOOKUP(D565,[1]金額リスト!$A$2:$B$6,2,FALSE)</f>
        <v>59400</v>
      </c>
      <c r="I565" s="1" t="s">
        <v>1455</v>
      </c>
      <c r="J565">
        <f t="shared" si="104"/>
        <v>0</v>
      </c>
      <c r="K565">
        <f t="shared" si="105"/>
        <v>0</v>
      </c>
      <c r="L565">
        <f t="shared" si="116"/>
        <v>0</v>
      </c>
      <c r="M565">
        <f t="shared" si="106"/>
        <v>59400</v>
      </c>
      <c r="N565">
        <f t="shared" si="107"/>
        <v>0</v>
      </c>
      <c r="O565">
        <f t="shared" si="108"/>
        <v>0</v>
      </c>
      <c r="P565">
        <f t="shared" si="109"/>
        <v>0</v>
      </c>
      <c r="Q565">
        <f t="shared" si="110"/>
        <v>0</v>
      </c>
      <c r="R565">
        <f t="shared" si="111"/>
        <v>0</v>
      </c>
      <c r="S565">
        <f t="shared" si="112"/>
        <v>0</v>
      </c>
      <c r="T565">
        <f t="shared" si="113"/>
        <v>0</v>
      </c>
      <c r="U565">
        <f t="shared" si="114"/>
        <v>0</v>
      </c>
      <c r="V565">
        <f t="shared" si="115"/>
        <v>0</v>
      </c>
    </row>
    <row r="566" spans="1:22" x14ac:dyDescent="0.4">
      <c r="A566" s="1" t="s">
        <v>1804</v>
      </c>
      <c r="B566" s="1" t="s">
        <v>1805</v>
      </c>
      <c r="C566" s="1" t="s">
        <v>1806</v>
      </c>
      <c r="D566" s="1" t="s">
        <v>44</v>
      </c>
      <c r="E566" s="1" t="s">
        <v>86</v>
      </c>
      <c r="F566" s="5" t="s">
        <v>46</v>
      </c>
      <c r="G566" s="1" t="s">
        <v>27</v>
      </c>
      <c r="H566">
        <f>VLOOKUP(D566,[1]金額リスト!$A$2:$B$6,2,FALSE)</f>
        <v>114300</v>
      </c>
      <c r="I566" s="1" t="s">
        <v>33</v>
      </c>
      <c r="J566">
        <f t="shared" si="104"/>
        <v>0</v>
      </c>
      <c r="K566">
        <f t="shared" si="105"/>
        <v>0</v>
      </c>
      <c r="L566">
        <f t="shared" si="116"/>
        <v>0</v>
      </c>
      <c r="M566">
        <f t="shared" si="106"/>
        <v>0</v>
      </c>
      <c r="N566">
        <f t="shared" si="107"/>
        <v>114300</v>
      </c>
      <c r="O566">
        <f t="shared" si="108"/>
        <v>0</v>
      </c>
      <c r="P566">
        <f t="shared" si="109"/>
        <v>0</v>
      </c>
      <c r="Q566">
        <f t="shared" si="110"/>
        <v>0</v>
      </c>
      <c r="R566">
        <f t="shared" si="111"/>
        <v>0</v>
      </c>
      <c r="S566">
        <f t="shared" si="112"/>
        <v>0</v>
      </c>
      <c r="T566">
        <f t="shared" si="113"/>
        <v>0</v>
      </c>
      <c r="U566">
        <f t="shared" si="114"/>
        <v>0</v>
      </c>
      <c r="V566">
        <f t="shared" si="115"/>
        <v>0</v>
      </c>
    </row>
    <row r="567" spans="1:22" x14ac:dyDescent="0.4">
      <c r="A567" s="1" t="s">
        <v>1807</v>
      </c>
      <c r="B567" s="1" t="s">
        <v>1808</v>
      </c>
      <c r="C567" s="1" t="s">
        <v>1809</v>
      </c>
      <c r="D567" s="1" t="s">
        <v>44</v>
      </c>
      <c r="E567" s="1" t="s">
        <v>1810</v>
      </c>
      <c r="F567" s="5" t="s">
        <v>46</v>
      </c>
      <c r="G567" s="1" t="s">
        <v>27</v>
      </c>
      <c r="H567">
        <f>VLOOKUP(D567,[1]金額リスト!$A$2:$B$6,2,FALSE)</f>
        <v>114300</v>
      </c>
      <c r="I567" s="1" t="s">
        <v>33</v>
      </c>
      <c r="J567">
        <f t="shared" si="104"/>
        <v>0</v>
      </c>
      <c r="K567">
        <f t="shared" si="105"/>
        <v>0</v>
      </c>
      <c r="L567">
        <f t="shared" si="116"/>
        <v>0</v>
      </c>
      <c r="M567">
        <f t="shared" si="106"/>
        <v>0</v>
      </c>
      <c r="N567">
        <f t="shared" si="107"/>
        <v>114300</v>
      </c>
      <c r="O567">
        <f t="shared" si="108"/>
        <v>0</v>
      </c>
      <c r="P567">
        <f t="shared" si="109"/>
        <v>0</v>
      </c>
      <c r="Q567">
        <f t="shared" si="110"/>
        <v>0</v>
      </c>
      <c r="R567">
        <f t="shared" si="111"/>
        <v>0</v>
      </c>
      <c r="S567">
        <f t="shared" si="112"/>
        <v>0</v>
      </c>
      <c r="T567">
        <f t="shared" si="113"/>
        <v>0</v>
      </c>
      <c r="U567">
        <f t="shared" si="114"/>
        <v>0</v>
      </c>
      <c r="V567">
        <f t="shared" si="115"/>
        <v>0</v>
      </c>
    </row>
    <row r="568" spans="1:22" x14ac:dyDescent="0.4">
      <c r="A568" s="1" t="s">
        <v>1811</v>
      </c>
      <c r="B568" s="1" t="s">
        <v>1812</v>
      </c>
      <c r="C568" s="1" t="s">
        <v>1813</v>
      </c>
      <c r="D568" s="1" t="s">
        <v>44</v>
      </c>
      <c r="E568" s="1" t="s">
        <v>932</v>
      </c>
      <c r="F568" s="5" t="s">
        <v>479</v>
      </c>
      <c r="G568" s="1" t="s">
        <v>27</v>
      </c>
      <c r="H568">
        <f>VLOOKUP(D568,[1]金額リスト!$A$2:$B$6,2,FALSE)</f>
        <v>114300</v>
      </c>
      <c r="I568" s="1" t="s">
        <v>868</v>
      </c>
      <c r="J568">
        <f t="shared" si="104"/>
        <v>0</v>
      </c>
      <c r="K568">
        <f t="shared" si="105"/>
        <v>0</v>
      </c>
      <c r="L568">
        <f t="shared" si="116"/>
        <v>114300</v>
      </c>
      <c r="M568">
        <f t="shared" si="106"/>
        <v>0</v>
      </c>
      <c r="N568">
        <f t="shared" si="107"/>
        <v>0</v>
      </c>
      <c r="O568">
        <f t="shared" si="108"/>
        <v>0</v>
      </c>
      <c r="P568">
        <f t="shared" si="109"/>
        <v>0</v>
      </c>
      <c r="Q568">
        <f t="shared" si="110"/>
        <v>0</v>
      </c>
      <c r="R568">
        <f t="shared" si="111"/>
        <v>0</v>
      </c>
      <c r="S568">
        <f t="shared" si="112"/>
        <v>0</v>
      </c>
      <c r="T568">
        <f t="shared" si="113"/>
        <v>0</v>
      </c>
      <c r="U568">
        <f t="shared" si="114"/>
        <v>0</v>
      </c>
      <c r="V568">
        <f t="shared" si="115"/>
        <v>0</v>
      </c>
    </row>
    <row r="569" spans="1:22" x14ac:dyDescent="0.4">
      <c r="A569" s="1" t="s">
        <v>1814</v>
      </c>
      <c r="B569" s="1" t="s">
        <v>1815</v>
      </c>
      <c r="C569" s="1" t="s">
        <v>1816</v>
      </c>
      <c r="D569" s="1" t="s">
        <v>50</v>
      </c>
      <c r="E569" s="1" t="s">
        <v>45</v>
      </c>
      <c r="F569" s="5" t="s">
        <v>46</v>
      </c>
      <c r="G569" s="1" t="s">
        <v>52</v>
      </c>
      <c r="H569">
        <f>VLOOKUP(D569,[1]金額リスト!$A$2:$B$6,2,FALSE)</f>
        <v>114300</v>
      </c>
      <c r="I569" s="1" t="s">
        <v>28</v>
      </c>
      <c r="J569">
        <f t="shared" si="104"/>
        <v>0</v>
      </c>
      <c r="K569">
        <f t="shared" si="105"/>
        <v>0</v>
      </c>
      <c r="L569">
        <f t="shared" si="116"/>
        <v>0</v>
      </c>
      <c r="M569">
        <f t="shared" si="106"/>
        <v>0</v>
      </c>
      <c r="N569">
        <f t="shared" si="107"/>
        <v>114300</v>
      </c>
      <c r="O569">
        <f t="shared" si="108"/>
        <v>0</v>
      </c>
      <c r="P569">
        <f t="shared" si="109"/>
        <v>0</v>
      </c>
      <c r="Q569">
        <f t="shared" si="110"/>
        <v>0</v>
      </c>
      <c r="R569">
        <f t="shared" si="111"/>
        <v>0</v>
      </c>
      <c r="S569">
        <f t="shared" si="112"/>
        <v>0</v>
      </c>
      <c r="T569">
        <f t="shared" si="113"/>
        <v>0</v>
      </c>
      <c r="U569">
        <f t="shared" si="114"/>
        <v>0</v>
      </c>
      <c r="V569">
        <f t="shared" si="115"/>
        <v>0</v>
      </c>
    </row>
    <row r="570" spans="1:22" x14ac:dyDescent="0.4">
      <c r="A570" s="1" t="s">
        <v>1817</v>
      </c>
      <c r="B570" s="1" t="s">
        <v>1818</v>
      </c>
      <c r="C570" s="1" t="s">
        <v>1819</v>
      </c>
      <c r="D570" s="1" t="s">
        <v>44</v>
      </c>
      <c r="E570" s="1" t="s">
        <v>86</v>
      </c>
      <c r="F570" s="5" t="s">
        <v>46</v>
      </c>
      <c r="G570" s="1" t="s">
        <v>27</v>
      </c>
      <c r="H570">
        <f>VLOOKUP(D570,[1]金額リスト!$A$2:$B$6,2,FALSE)</f>
        <v>114300</v>
      </c>
      <c r="I570" s="1" t="s">
        <v>33</v>
      </c>
      <c r="J570">
        <f t="shared" si="104"/>
        <v>0</v>
      </c>
      <c r="K570">
        <f t="shared" si="105"/>
        <v>0</v>
      </c>
      <c r="L570">
        <f t="shared" si="116"/>
        <v>0</v>
      </c>
      <c r="M570">
        <f t="shared" si="106"/>
        <v>0</v>
      </c>
      <c r="N570">
        <f t="shared" si="107"/>
        <v>114300</v>
      </c>
      <c r="O570">
        <f t="shared" si="108"/>
        <v>0</v>
      </c>
      <c r="P570">
        <f t="shared" si="109"/>
        <v>0</v>
      </c>
      <c r="Q570">
        <f t="shared" si="110"/>
        <v>0</v>
      </c>
      <c r="R570">
        <f t="shared" si="111"/>
        <v>0</v>
      </c>
      <c r="S570">
        <f t="shared" si="112"/>
        <v>0</v>
      </c>
      <c r="T570">
        <f t="shared" si="113"/>
        <v>0</v>
      </c>
      <c r="U570">
        <f t="shared" si="114"/>
        <v>0</v>
      </c>
      <c r="V570">
        <f t="shared" si="115"/>
        <v>0</v>
      </c>
    </row>
    <row r="571" spans="1:22" x14ac:dyDescent="0.4">
      <c r="A571" s="1" t="s">
        <v>1820</v>
      </c>
      <c r="B571" s="1" t="s">
        <v>1821</v>
      </c>
      <c r="C571" s="1" t="s">
        <v>1822</v>
      </c>
      <c r="D571" s="1" t="s">
        <v>44</v>
      </c>
      <c r="E571" s="1" t="s">
        <v>1161</v>
      </c>
      <c r="F571" s="5" t="s">
        <v>479</v>
      </c>
      <c r="G571" s="1" t="s">
        <v>27</v>
      </c>
      <c r="H571">
        <f>VLOOKUP(D571,[1]金額リスト!$A$2:$B$6,2,FALSE)</f>
        <v>114300</v>
      </c>
      <c r="I571" s="1" t="s">
        <v>868</v>
      </c>
      <c r="J571">
        <f t="shared" si="104"/>
        <v>0</v>
      </c>
      <c r="K571">
        <f t="shared" si="105"/>
        <v>0</v>
      </c>
      <c r="L571">
        <f t="shared" si="116"/>
        <v>114300</v>
      </c>
      <c r="M571">
        <f t="shared" si="106"/>
        <v>0</v>
      </c>
      <c r="N571">
        <f t="shared" si="107"/>
        <v>0</v>
      </c>
      <c r="O571">
        <f t="shared" si="108"/>
        <v>0</v>
      </c>
      <c r="P571">
        <f t="shared" si="109"/>
        <v>0</v>
      </c>
      <c r="Q571">
        <f t="shared" si="110"/>
        <v>0</v>
      </c>
      <c r="R571">
        <f t="shared" si="111"/>
        <v>0</v>
      </c>
      <c r="S571">
        <f t="shared" si="112"/>
        <v>0</v>
      </c>
      <c r="T571">
        <f t="shared" si="113"/>
        <v>0</v>
      </c>
      <c r="U571">
        <f t="shared" si="114"/>
        <v>0</v>
      </c>
      <c r="V571">
        <f t="shared" si="115"/>
        <v>0</v>
      </c>
    </row>
    <row r="572" spans="1:22" x14ac:dyDescent="0.4">
      <c r="A572" s="1" t="s">
        <v>1823</v>
      </c>
      <c r="B572" s="1" t="s">
        <v>1824</v>
      </c>
      <c r="C572" s="1" t="s">
        <v>1825</v>
      </c>
      <c r="D572" s="1" t="s">
        <v>44</v>
      </c>
      <c r="E572" s="1" t="s">
        <v>867</v>
      </c>
      <c r="F572" s="5" t="s">
        <v>479</v>
      </c>
      <c r="G572" s="1" t="s">
        <v>27</v>
      </c>
      <c r="H572">
        <f>VLOOKUP(D572,[1]金額リスト!$A$2:$B$6,2,FALSE)</f>
        <v>114300</v>
      </c>
      <c r="I572" s="1" t="s">
        <v>868</v>
      </c>
      <c r="J572">
        <f t="shared" si="104"/>
        <v>0</v>
      </c>
      <c r="K572">
        <f t="shared" si="105"/>
        <v>0</v>
      </c>
      <c r="L572">
        <f t="shared" si="116"/>
        <v>114300</v>
      </c>
      <c r="M572">
        <f t="shared" si="106"/>
        <v>0</v>
      </c>
      <c r="N572">
        <f t="shared" si="107"/>
        <v>0</v>
      </c>
      <c r="O572">
        <f t="shared" si="108"/>
        <v>0</v>
      </c>
      <c r="P572">
        <f t="shared" si="109"/>
        <v>0</v>
      </c>
      <c r="Q572">
        <f t="shared" si="110"/>
        <v>0</v>
      </c>
      <c r="R572">
        <f t="shared" si="111"/>
        <v>0</v>
      </c>
      <c r="S572">
        <f t="shared" si="112"/>
        <v>0</v>
      </c>
      <c r="T572">
        <f t="shared" si="113"/>
        <v>0</v>
      </c>
      <c r="U572">
        <f t="shared" si="114"/>
        <v>0</v>
      </c>
      <c r="V572">
        <f t="shared" si="115"/>
        <v>0</v>
      </c>
    </row>
    <row r="573" spans="1:22" x14ac:dyDescent="0.4">
      <c r="A573" s="1" t="s">
        <v>1826</v>
      </c>
      <c r="B573" s="1" t="s">
        <v>1827</v>
      </c>
      <c r="C573" s="1" t="s">
        <v>1828</v>
      </c>
      <c r="D573" s="1" t="s">
        <v>44</v>
      </c>
      <c r="E573" s="1" t="s">
        <v>920</v>
      </c>
      <c r="F573" s="5" t="s">
        <v>479</v>
      </c>
      <c r="G573" s="1" t="s">
        <v>27</v>
      </c>
      <c r="H573">
        <f>VLOOKUP(D573,[1]金額リスト!$A$2:$B$6,2,FALSE)</f>
        <v>114300</v>
      </c>
      <c r="I573" s="1" t="s">
        <v>868</v>
      </c>
      <c r="J573">
        <f t="shared" si="104"/>
        <v>0</v>
      </c>
      <c r="K573">
        <f t="shared" si="105"/>
        <v>0</v>
      </c>
      <c r="L573">
        <f t="shared" si="116"/>
        <v>114300</v>
      </c>
      <c r="M573">
        <f t="shared" si="106"/>
        <v>0</v>
      </c>
      <c r="N573">
        <f t="shared" si="107"/>
        <v>0</v>
      </c>
      <c r="O573">
        <f t="shared" si="108"/>
        <v>0</v>
      </c>
      <c r="P573">
        <f t="shared" si="109"/>
        <v>0</v>
      </c>
      <c r="Q573">
        <f t="shared" si="110"/>
        <v>0</v>
      </c>
      <c r="R573">
        <f t="shared" si="111"/>
        <v>0</v>
      </c>
      <c r="S573">
        <f t="shared" si="112"/>
        <v>0</v>
      </c>
      <c r="T573">
        <f t="shared" si="113"/>
        <v>0</v>
      </c>
      <c r="U573">
        <f t="shared" si="114"/>
        <v>0</v>
      </c>
      <c r="V573">
        <f t="shared" si="115"/>
        <v>0</v>
      </c>
    </row>
    <row r="574" spans="1:22" x14ac:dyDescent="0.4">
      <c r="A574" s="1" t="s">
        <v>1829</v>
      </c>
      <c r="B574" s="1" t="s">
        <v>1830</v>
      </c>
      <c r="C574" s="1" t="s">
        <v>1831</v>
      </c>
      <c r="D574" s="1" t="s">
        <v>25</v>
      </c>
      <c r="E574" s="1" t="s">
        <v>101</v>
      </c>
      <c r="F574" s="5" t="s">
        <v>10</v>
      </c>
      <c r="G574" s="1" t="s">
        <v>27</v>
      </c>
      <c r="H574">
        <f>VLOOKUP(D574,[1]金額リスト!$A$2:$B$6,2,FALSE)</f>
        <v>59400</v>
      </c>
      <c r="I574" s="1" t="s">
        <v>33</v>
      </c>
      <c r="J574">
        <f t="shared" si="104"/>
        <v>0</v>
      </c>
      <c r="K574">
        <f t="shared" si="105"/>
        <v>59400</v>
      </c>
      <c r="L574">
        <f t="shared" si="116"/>
        <v>0</v>
      </c>
      <c r="M574">
        <f t="shared" si="106"/>
        <v>0</v>
      </c>
      <c r="N574">
        <f t="shared" si="107"/>
        <v>0</v>
      </c>
      <c r="O574">
        <f t="shared" si="108"/>
        <v>0</v>
      </c>
      <c r="P574">
        <f t="shared" si="109"/>
        <v>0</v>
      </c>
      <c r="Q574">
        <f t="shared" si="110"/>
        <v>0</v>
      </c>
      <c r="R574">
        <f t="shared" si="111"/>
        <v>0</v>
      </c>
      <c r="S574">
        <f t="shared" si="112"/>
        <v>0</v>
      </c>
      <c r="T574">
        <f t="shared" si="113"/>
        <v>0</v>
      </c>
      <c r="U574">
        <f t="shared" si="114"/>
        <v>0</v>
      </c>
      <c r="V574">
        <f t="shared" si="115"/>
        <v>0</v>
      </c>
    </row>
    <row r="575" spans="1:22" x14ac:dyDescent="0.4">
      <c r="A575" s="1" t="s">
        <v>1832</v>
      </c>
      <c r="B575" s="1" t="s">
        <v>1833</v>
      </c>
      <c r="C575" s="1" t="s">
        <v>1834</v>
      </c>
      <c r="D575" s="1" t="s">
        <v>44</v>
      </c>
      <c r="E575" s="1" t="s">
        <v>86</v>
      </c>
      <c r="F575" s="5" t="s">
        <v>46</v>
      </c>
      <c r="G575" s="1" t="s">
        <v>27</v>
      </c>
      <c r="H575">
        <f>VLOOKUP(D575,[1]金額リスト!$A$2:$B$6,2,FALSE)</f>
        <v>114300</v>
      </c>
      <c r="I575" s="1" t="s">
        <v>33</v>
      </c>
      <c r="J575">
        <f t="shared" si="104"/>
        <v>0</v>
      </c>
      <c r="K575">
        <f t="shared" si="105"/>
        <v>0</v>
      </c>
      <c r="L575">
        <f t="shared" si="116"/>
        <v>0</v>
      </c>
      <c r="M575">
        <f t="shared" si="106"/>
        <v>0</v>
      </c>
      <c r="N575">
        <f t="shared" si="107"/>
        <v>114300</v>
      </c>
      <c r="O575">
        <f t="shared" si="108"/>
        <v>0</v>
      </c>
      <c r="P575">
        <f t="shared" si="109"/>
        <v>0</v>
      </c>
      <c r="Q575">
        <f t="shared" si="110"/>
        <v>0</v>
      </c>
      <c r="R575">
        <f t="shared" si="111"/>
        <v>0</v>
      </c>
      <c r="S575">
        <f t="shared" si="112"/>
        <v>0</v>
      </c>
      <c r="T575">
        <f t="shared" si="113"/>
        <v>0</v>
      </c>
      <c r="U575">
        <f t="shared" si="114"/>
        <v>0</v>
      </c>
      <c r="V575">
        <f t="shared" si="115"/>
        <v>0</v>
      </c>
    </row>
    <row r="576" spans="1:22" x14ac:dyDescent="0.4">
      <c r="A576" s="1" t="s">
        <v>1835</v>
      </c>
      <c r="B576" s="1" t="s">
        <v>1836</v>
      </c>
      <c r="C576" s="1" t="s">
        <v>1837</v>
      </c>
      <c r="D576" s="1" t="s">
        <v>44</v>
      </c>
      <c r="E576" s="1" t="s">
        <v>82</v>
      </c>
      <c r="F576" s="5" t="s">
        <v>46</v>
      </c>
      <c r="G576" s="1" t="s">
        <v>27</v>
      </c>
      <c r="H576">
        <f>VLOOKUP(D576,[1]金額リスト!$A$2:$B$6,2,FALSE)</f>
        <v>114300</v>
      </c>
      <c r="I576" s="1" t="s">
        <v>33</v>
      </c>
      <c r="J576">
        <f t="shared" si="104"/>
        <v>0</v>
      </c>
      <c r="K576">
        <f t="shared" si="105"/>
        <v>0</v>
      </c>
      <c r="L576">
        <f t="shared" si="116"/>
        <v>0</v>
      </c>
      <c r="M576">
        <f t="shared" si="106"/>
        <v>0</v>
      </c>
      <c r="N576">
        <f t="shared" si="107"/>
        <v>114300</v>
      </c>
      <c r="O576">
        <f t="shared" si="108"/>
        <v>0</v>
      </c>
      <c r="P576">
        <f t="shared" si="109"/>
        <v>0</v>
      </c>
      <c r="Q576">
        <f t="shared" si="110"/>
        <v>0</v>
      </c>
      <c r="R576">
        <f t="shared" si="111"/>
        <v>0</v>
      </c>
      <c r="S576">
        <f t="shared" si="112"/>
        <v>0</v>
      </c>
      <c r="T576">
        <f t="shared" si="113"/>
        <v>0</v>
      </c>
      <c r="U576">
        <f t="shared" si="114"/>
        <v>0</v>
      </c>
      <c r="V576">
        <f t="shared" si="115"/>
        <v>0</v>
      </c>
    </row>
    <row r="577" spans="1:22" x14ac:dyDescent="0.4">
      <c r="A577" s="1" t="s">
        <v>1838</v>
      </c>
      <c r="B577" s="1" t="s">
        <v>1839</v>
      </c>
      <c r="C577" s="1" t="s">
        <v>1840</v>
      </c>
      <c r="D577" s="1" t="s">
        <v>44</v>
      </c>
      <c r="E577" s="1" t="s">
        <v>1309</v>
      </c>
      <c r="F577" s="5" t="s">
        <v>479</v>
      </c>
      <c r="G577" s="1" t="s">
        <v>27</v>
      </c>
      <c r="H577">
        <f>VLOOKUP(D577,[1]金額リスト!$A$2:$B$6,2,FALSE)</f>
        <v>114300</v>
      </c>
      <c r="I577" s="1" t="s">
        <v>868</v>
      </c>
      <c r="J577">
        <f t="shared" si="104"/>
        <v>0</v>
      </c>
      <c r="K577">
        <f t="shared" si="105"/>
        <v>0</v>
      </c>
      <c r="L577">
        <f t="shared" si="116"/>
        <v>114300</v>
      </c>
      <c r="M577">
        <f t="shared" si="106"/>
        <v>0</v>
      </c>
      <c r="N577">
        <f t="shared" si="107"/>
        <v>0</v>
      </c>
      <c r="O577">
        <f t="shared" si="108"/>
        <v>0</v>
      </c>
      <c r="P577">
        <f t="shared" si="109"/>
        <v>0</v>
      </c>
      <c r="Q577">
        <f t="shared" si="110"/>
        <v>0</v>
      </c>
      <c r="R577">
        <f t="shared" si="111"/>
        <v>0</v>
      </c>
      <c r="S577">
        <f t="shared" si="112"/>
        <v>0</v>
      </c>
      <c r="T577">
        <f t="shared" si="113"/>
        <v>0</v>
      </c>
      <c r="U577">
        <f t="shared" si="114"/>
        <v>0</v>
      </c>
      <c r="V577">
        <f t="shared" si="115"/>
        <v>0</v>
      </c>
    </row>
    <row r="578" spans="1:22" x14ac:dyDescent="0.4">
      <c r="A578" s="1" t="s">
        <v>1841</v>
      </c>
      <c r="B578" s="1" t="s">
        <v>1842</v>
      </c>
      <c r="C578" s="1" t="s">
        <v>1843</v>
      </c>
      <c r="D578" s="1" t="s">
        <v>25</v>
      </c>
      <c r="E578" s="1" t="s">
        <v>1211</v>
      </c>
      <c r="F578" s="5" t="s">
        <v>479</v>
      </c>
      <c r="G578" s="1" t="s">
        <v>27</v>
      </c>
      <c r="H578">
        <f>VLOOKUP(D578,[1]金額リスト!$A$2:$B$6,2,FALSE)</f>
        <v>59400</v>
      </c>
      <c r="I578" s="1" t="s">
        <v>28</v>
      </c>
      <c r="J578">
        <f t="shared" si="104"/>
        <v>0</v>
      </c>
      <c r="K578">
        <f t="shared" si="105"/>
        <v>0</v>
      </c>
      <c r="L578">
        <f t="shared" si="116"/>
        <v>59400</v>
      </c>
      <c r="M578">
        <f t="shared" si="106"/>
        <v>0</v>
      </c>
      <c r="N578">
        <f t="shared" si="107"/>
        <v>0</v>
      </c>
      <c r="O578">
        <f t="shared" si="108"/>
        <v>0</v>
      </c>
      <c r="P578">
        <f t="shared" si="109"/>
        <v>0</v>
      </c>
      <c r="Q578">
        <f t="shared" si="110"/>
        <v>0</v>
      </c>
      <c r="R578">
        <f t="shared" si="111"/>
        <v>0</v>
      </c>
      <c r="S578">
        <f t="shared" si="112"/>
        <v>0</v>
      </c>
      <c r="T578">
        <f t="shared" si="113"/>
        <v>0</v>
      </c>
      <c r="U578">
        <f t="shared" si="114"/>
        <v>0</v>
      </c>
      <c r="V578">
        <f t="shared" si="115"/>
        <v>0</v>
      </c>
    </row>
    <row r="579" spans="1:22" x14ac:dyDescent="0.4">
      <c r="A579" s="1" t="s">
        <v>1844</v>
      </c>
      <c r="B579" s="1" t="s">
        <v>1845</v>
      </c>
      <c r="C579" s="1" t="s">
        <v>1846</v>
      </c>
      <c r="D579" s="1" t="s">
        <v>44</v>
      </c>
      <c r="E579" s="1" t="s">
        <v>867</v>
      </c>
      <c r="F579" s="5" t="s">
        <v>479</v>
      </c>
      <c r="G579" s="1" t="s">
        <v>27</v>
      </c>
      <c r="H579">
        <f>VLOOKUP(D579,[1]金額リスト!$A$2:$B$6,2,FALSE)</f>
        <v>114300</v>
      </c>
      <c r="I579" s="1" t="s">
        <v>868</v>
      </c>
      <c r="J579">
        <f t="shared" ref="J579:J642" si="117">IFERROR(INDEX($F579:$H579,MATCH($J$1,$F579,0),3),0)</f>
        <v>0</v>
      </c>
      <c r="K579">
        <f t="shared" ref="K579:K642" si="118">IFERROR(INDEX($F579:$H579,MATCH($K$1,$F579,0),3),0)</f>
        <v>0</v>
      </c>
      <c r="L579">
        <f t="shared" si="116"/>
        <v>114300</v>
      </c>
      <c r="M579">
        <f t="shared" ref="M579:M642" si="119">IFERROR(INDEX($F579:$H579,MATCH($M$1,$F579,0),3),0)</f>
        <v>0</v>
      </c>
      <c r="N579">
        <f t="shared" ref="N579:N642" si="120">IFERROR(INDEX($F579:$H579,MATCH($N$1,$F579,0),3),0)</f>
        <v>0</v>
      </c>
      <c r="O579">
        <f t="shared" ref="O579:O642" si="121">IFERROR(INDEX($F579:$H579,MATCH($O$1,$F579,0),3),0)</f>
        <v>0</v>
      </c>
      <c r="P579">
        <f t="shared" ref="P579:P642" si="122">IFERROR(INDEX($F579:$H579,MATCH($P$1,$F579,0),3),0)</f>
        <v>0</v>
      </c>
      <c r="Q579">
        <f t="shared" ref="Q579:Q642" si="123">IFERROR(INDEX($F579:$H579,MATCH($Q$1,$F579,0),3),0)</f>
        <v>0</v>
      </c>
      <c r="R579">
        <f t="shared" ref="R579:R642" si="124">IFERROR(INDEX($F579:$H579,MATCH($R$1,$F579,0),3),0)</f>
        <v>0</v>
      </c>
      <c r="S579">
        <f t="shared" ref="S579:S642" si="125">IFERROR(INDEX($F579:$H579,MATCH($S$1,$F579,0),3),0)</f>
        <v>0</v>
      </c>
      <c r="T579">
        <f t="shared" ref="T579:T642" si="126">IFERROR(INDEX($F579:$H579,MATCH($T$1,$F579,0),3),0)</f>
        <v>0</v>
      </c>
      <c r="U579">
        <f t="shared" ref="U579:U642" si="127">IFERROR(INDEX($F579:$H579,MATCH($U$1,$F579,0),3),0)</f>
        <v>0</v>
      </c>
      <c r="V579">
        <f t="shared" ref="V579:V642" si="128">IFERROR(INDEX($F579:$H579,MATCH($V$1,$F579,0),3),0)</f>
        <v>0</v>
      </c>
    </row>
    <row r="580" spans="1:22" x14ac:dyDescent="0.4">
      <c r="A580" s="1" t="s">
        <v>1847</v>
      </c>
      <c r="B580" s="1" t="s">
        <v>1848</v>
      </c>
      <c r="C580" s="1" t="s">
        <v>1849</v>
      </c>
      <c r="D580" s="1" t="s">
        <v>44</v>
      </c>
      <c r="E580" s="1" t="s">
        <v>924</v>
      </c>
      <c r="F580" s="5" t="s">
        <v>479</v>
      </c>
      <c r="G580" s="1" t="s">
        <v>27</v>
      </c>
      <c r="H580">
        <f>VLOOKUP(D580,[1]金額リスト!$A$2:$B$6,2,FALSE)</f>
        <v>114300</v>
      </c>
      <c r="I580" s="1" t="s">
        <v>868</v>
      </c>
      <c r="J580">
        <f t="shared" si="117"/>
        <v>0</v>
      </c>
      <c r="K580">
        <f t="shared" si="118"/>
        <v>0</v>
      </c>
      <c r="L580">
        <f t="shared" ref="L580:L643" si="129">IFERROR(INDEX($F580:$H580,MATCH($L$1,$F580,0),3),0)</f>
        <v>114300</v>
      </c>
      <c r="M580">
        <f t="shared" si="119"/>
        <v>0</v>
      </c>
      <c r="N580">
        <f t="shared" si="120"/>
        <v>0</v>
      </c>
      <c r="O580">
        <f t="shared" si="121"/>
        <v>0</v>
      </c>
      <c r="P580">
        <f t="shared" si="122"/>
        <v>0</v>
      </c>
      <c r="Q580">
        <f t="shared" si="123"/>
        <v>0</v>
      </c>
      <c r="R580">
        <f t="shared" si="124"/>
        <v>0</v>
      </c>
      <c r="S580">
        <f t="shared" si="125"/>
        <v>0</v>
      </c>
      <c r="T580">
        <f t="shared" si="126"/>
        <v>0</v>
      </c>
      <c r="U580">
        <f t="shared" si="127"/>
        <v>0</v>
      </c>
      <c r="V580">
        <f t="shared" si="128"/>
        <v>0</v>
      </c>
    </row>
    <row r="581" spans="1:22" x14ac:dyDescent="0.4">
      <c r="A581" s="1" t="s">
        <v>1850</v>
      </c>
      <c r="B581" s="1" t="s">
        <v>1851</v>
      </c>
      <c r="C581" s="1" t="s">
        <v>1852</v>
      </c>
      <c r="D581" s="1" t="s">
        <v>44</v>
      </c>
      <c r="E581" s="1" t="s">
        <v>1853</v>
      </c>
      <c r="F581" s="5" t="s">
        <v>1130</v>
      </c>
      <c r="G581" s="1" t="s">
        <v>27</v>
      </c>
      <c r="H581">
        <f>VLOOKUP(D581,[1]金額リスト!$A$2:$B$6,2,FALSE)</f>
        <v>114300</v>
      </c>
      <c r="I581" s="1" t="s">
        <v>1455</v>
      </c>
      <c r="J581">
        <f t="shared" si="117"/>
        <v>0</v>
      </c>
      <c r="K581">
        <f t="shared" si="118"/>
        <v>0</v>
      </c>
      <c r="L581">
        <f t="shared" si="129"/>
        <v>0</v>
      </c>
      <c r="M581">
        <f t="shared" si="119"/>
        <v>114300</v>
      </c>
      <c r="N581">
        <f t="shared" si="120"/>
        <v>0</v>
      </c>
      <c r="O581">
        <f t="shared" si="121"/>
        <v>0</v>
      </c>
      <c r="P581">
        <f t="shared" si="122"/>
        <v>0</v>
      </c>
      <c r="Q581">
        <f t="shared" si="123"/>
        <v>0</v>
      </c>
      <c r="R581">
        <f t="shared" si="124"/>
        <v>0</v>
      </c>
      <c r="S581">
        <f t="shared" si="125"/>
        <v>0</v>
      </c>
      <c r="T581">
        <f t="shared" si="126"/>
        <v>0</v>
      </c>
      <c r="U581">
        <f t="shared" si="127"/>
        <v>0</v>
      </c>
      <c r="V581">
        <f t="shared" si="128"/>
        <v>0</v>
      </c>
    </row>
    <row r="582" spans="1:22" x14ac:dyDescent="0.4">
      <c r="A582" s="1" t="s">
        <v>1854</v>
      </c>
      <c r="B582" s="1" t="s">
        <v>1855</v>
      </c>
      <c r="C582" s="1" t="s">
        <v>1856</v>
      </c>
      <c r="D582" s="1" t="s">
        <v>44</v>
      </c>
      <c r="E582" s="1" t="s">
        <v>1627</v>
      </c>
      <c r="F582" s="5" t="s">
        <v>10</v>
      </c>
      <c r="G582" s="1" t="s">
        <v>27</v>
      </c>
      <c r="H582">
        <f>VLOOKUP(D582,[1]金額リスト!$A$2:$B$6,2,FALSE)</f>
        <v>114300</v>
      </c>
      <c r="I582" s="1" t="s">
        <v>1593</v>
      </c>
      <c r="J582">
        <f t="shared" si="117"/>
        <v>0</v>
      </c>
      <c r="K582">
        <f t="shared" si="118"/>
        <v>114300</v>
      </c>
      <c r="L582">
        <f t="shared" si="129"/>
        <v>0</v>
      </c>
      <c r="M582">
        <f t="shared" si="119"/>
        <v>0</v>
      </c>
      <c r="N582">
        <f t="shared" si="120"/>
        <v>0</v>
      </c>
      <c r="O582">
        <f t="shared" si="121"/>
        <v>0</v>
      </c>
      <c r="P582">
        <f t="shared" si="122"/>
        <v>0</v>
      </c>
      <c r="Q582">
        <f t="shared" si="123"/>
        <v>0</v>
      </c>
      <c r="R582">
        <f t="shared" si="124"/>
        <v>0</v>
      </c>
      <c r="S582">
        <f t="shared" si="125"/>
        <v>0</v>
      </c>
      <c r="T582">
        <f t="shared" si="126"/>
        <v>0</v>
      </c>
      <c r="U582">
        <f t="shared" si="127"/>
        <v>0</v>
      </c>
      <c r="V582">
        <f t="shared" si="128"/>
        <v>0</v>
      </c>
    </row>
    <row r="583" spans="1:22" x14ac:dyDescent="0.4">
      <c r="A583" s="1" t="s">
        <v>1857</v>
      </c>
      <c r="B583" s="1" t="s">
        <v>1858</v>
      </c>
      <c r="C583" s="1" t="s">
        <v>1859</v>
      </c>
      <c r="D583" s="1" t="s">
        <v>44</v>
      </c>
      <c r="E583" s="1" t="s">
        <v>86</v>
      </c>
      <c r="F583" s="5" t="s">
        <v>46</v>
      </c>
      <c r="G583" s="1" t="s">
        <v>27</v>
      </c>
      <c r="H583">
        <f>VLOOKUP(D583,[1]金額リスト!$A$2:$B$6,2,FALSE)</f>
        <v>114300</v>
      </c>
      <c r="I583" s="1" t="s">
        <v>33</v>
      </c>
      <c r="J583">
        <f t="shared" si="117"/>
        <v>0</v>
      </c>
      <c r="K583">
        <f t="shared" si="118"/>
        <v>0</v>
      </c>
      <c r="L583">
        <f t="shared" si="129"/>
        <v>0</v>
      </c>
      <c r="M583">
        <f t="shared" si="119"/>
        <v>0</v>
      </c>
      <c r="N583">
        <f t="shared" si="120"/>
        <v>114300</v>
      </c>
      <c r="O583">
        <f t="shared" si="121"/>
        <v>0</v>
      </c>
      <c r="P583">
        <f t="shared" si="122"/>
        <v>0</v>
      </c>
      <c r="Q583">
        <f t="shared" si="123"/>
        <v>0</v>
      </c>
      <c r="R583">
        <f t="shared" si="124"/>
        <v>0</v>
      </c>
      <c r="S583">
        <f t="shared" si="125"/>
        <v>0</v>
      </c>
      <c r="T583">
        <f t="shared" si="126"/>
        <v>0</v>
      </c>
      <c r="U583">
        <f t="shared" si="127"/>
        <v>0</v>
      </c>
      <c r="V583">
        <f t="shared" si="128"/>
        <v>0</v>
      </c>
    </row>
    <row r="584" spans="1:22" x14ac:dyDescent="0.4">
      <c r="A584" s="1" t="s">
        <v>1860</v>
      </c>
      <c r="B584" s="1" t="s">
        <v>1861</v>
      </c>
      <c r="C584" s="1" t="s">
        <v>1862</v>
      </c>
      <c r="D584" s="1" t="s">
        <v>44</v>
      </c>
      <c r="E584" s="1" t="s">
        <v>867</v>
      </c>
      <c r="F584" s="5" t="s">
        <v>479</v>
      </c>
      <c r="G584" s="1" t="s">
        <v>27</v>
      </c>
      <c r="H584">
        <f>VLOOKUP(D584,[1]金額リスト!$A$2:$B$6,2,FALSE)</f>
        <v>114300</v>
      </c>
      <c r="I584" s="1" t="s">
        <v>868</v>
      </c>
      <c r="J584">
        <f t="shared" si="117"/>
        <v>0</v>
      </c>
      <c r="K584">
        <f t="shared" si="118"/>
        <v>0</v>
      </c>
      <c r="L584">
        <f t="shared" si="129"/>
        <v>114300</v>
      </c>
      <c r="M584">
        <f t="shared" si="119"/>
        <v>0</v>
      </c>
      <c r="N584">
        <f t="shared" si="120"/>
        <v>0</v>
      </c>
      <c r="O584">
        <f t="shared" si="121"/>
        <v>0</v>
      </c>
      <c r="P584">
        <f t="shared" si="122"/>
        <v>0</v>
      </c>
      <c r="Q584">
        <f t="shared" si="123"/>
        <v>0</v>
      </c>
      <c r="R584">
        <f t="shared" si="124"/>
        <v>0</v>
      </c>
      <c r="S584">
        <f t="shared" si="125"/>
        <v>0</v>
      </c>
      <c r="T584">
        <f t="shared" si="126"/>
        <v>0</v>
      </c>
      <c r="U584">
        <f t="shared" si="127"/>
        <v>0</v>
      </c>
      <c r="V584">
        <f t="shared" si="128"/>
        <v>0</v>
      </c>
    </row>
    <row r="585" spans="1:22" x14ac:dyDescent="0.4">
      <c r="A585" s="1" t="s">
        <v>1863</v>
      </c>
      <c r="B585" s="1" t="s">
        <v>1864</v>
      </c>
      <c r="C585" s="1" t="s">
        <v>1865</v>
      </c>
      <c r="D585" s="1" t="s">
        <v>44</v>
      </c>
      <c r="E585" s="1" t="s">
        <v>112</v>
      </c>
      <c r="F585" s="5" t="s">
        <v>46</v>
      </c>
      <c r="G585" s="1" t="s">
        <v>27</v>
      </c>
      <c r="H585">
        <f>VLOOKUP(D585,[1]金額リスト!$A$2:$B$6,2,FALSE)</f>
        <v>114300</v>
      </c>
      <c r="I585" s="1" t="s">
        <v>33</v>
      </c>
      <c r="J585">
        <f t="shared" si="117"/>
        <v>0</v>
      </c>
      <c r="K585">
        <f t="shared" si="118"/>
        <v>0</v>
      </c>
      <c r="L585">
        <f t="shared" si="129"/>
        <v>0</v>
      </c>
      <c r="M585">
        <f t="shared" si="119"/>
        <v>0</v>
      </c>
      <c r="N585">
        <f t="shared" si="120"/>
        <v>114300</v>
      </c>
      <c r="O585">
        <f t="shared" si="121"/>
        <v>0</v>
      </c>
      <c r="P585">
        <f t="shared" si="122"/>
        <v>0</v>
      </c>
      <c r="Q585">
        <f t="shared" si="123"/>
        <v>0</v>
      </c>
      <c r="R585">
        <f t="shared" si="124"/>
        <v>0</v>
      </c>
      <c r="S585">
        <f t="shared" si="125"/>
        <v>0</v>
      </c>
      <c r="T585">
        <f t="shared" si="126"/>
        <v>0</v>
      </c>
      <c r="U585">
        <f t="shared" si="127"/>
        <v>0</v>
      </c>
      <c r="V585">
        <f t="shared" si="128"/>
        <v>0</v>
      </c>
    </row>
    <row r="586" spans="1:22" x14ac:dyDescent="0.4">
      <c r="A586" s="1" t="s">
        <v>1866</v>
      </c>
      <c r="B586" s="1" t="s">
        <v>1867</v>
      </c>
      <c r="C586" s="1" t="s">
        <v>1868</v>
      </c>
      <c r="D586" s="1" t="s">
        <v>44</v>
      </c>
      <c r="E586" s="1" t="s">
        <v>86</v>
      </c>
      <c r="F586" s="5" t="s">
        <v>46</v>
      </c>
      <c r="G586" s="1" t="s">
        <v>27</v>
      </c>
      <c r="H586">
        <f>VLOOKUP(D586,[1]金額リスト!$A$2:$B$6,2,FALSE)</f>
        <v>114300</v>
      </c>
      <c r="I586" s="1" t="s">
        <v>33</v>
      </c>
      <c r="J586">
        <f t="shared" si="117"/>
        <v>0</v>
      </c>
      <c r="K586">
        <f t="shared" si="118"/>
        <v>0</v>
      </c>
      <c r="L586">
        <f t="shared" si="129"/>
        <v>0</v>
      </c>
      <c r="M586">
        <f t="shared" si="119"/>
        <v>0</v>
      </c>
      <c r="N586">
        <f t="shared" si="120"/>
        <v>114300</v>
      </c>
      <c r="O586">
        <f t="shared" si="121"/>
        <v>0</v>
      </c>
      <c r="P586">
        <f t="shared" si="122"/>
        <v>0</v>
      </c>
      <c r="Q586">
        <f t="shared" si="123"/>
        <v>0</v>
      </c>
      <c r="R586">
        <f t="shared" si="124"/>
        <v>0</v>
      </c>
      <c r="S586">
        <f t="shared" si="125"/>
        <v>0</v>
      </c>
      <c r="T586">
        <f t="shared" si="126"/>
        <v>0</v>
      </c>
      <c r="U586">
        <f t="shared" si="127"/>
        <v>0</v>
      </c>
      <c r="V586">
        <f t="shared" si="128"/>
        <v>0</v>
      </c>
    </row>
    <row r="587" spans="1:22" x14ac:dyDescent="0.4">
      <c r="A587" s="1" t="s">
        <v>1869</v>
      </c>
      <c r="B587" s="1" t="s">
        <v>1870</v>
      </c>
      <c r="C587" s="1" t="s">
        <v>1871</v>
      </c>
      <c r="D587" s="1" t="s">
        <v>44</v>
      </c>
      <c r="E587" s="1" t="s">
        <v>1872</v>
      </c>
      <c r="F587" s="5" t="s">
        <v>1130</v>
      </c>
      <c r="G587" s="1" t="s">
        <v>27</v>
      </c>
      <c r="H587">
        <f>VLOOKUP(D587,[1]金額リスト!$A$2:$B$6,2,FALSE)</f>
        <v>114300</v>
      </c>
      <c r="I587" s="1" t="s">
        <v>1455</v>
      </c>
      <c r="J587">
        <f t="shared" si="117"/>
        <v>0</v>
      </c>
      <c r="K587">
        <f t="shared" si="118"/>
        <v>0</v>
      </c>
      <c r="L587">
        <f t="shared" si="129"/>
        <v>0</v>
      </c>
      <c r="M587">
        <f t="shared" si="119"/>
        <v>114300</v>
      </c>
      <c r="N587">
        <f t="shared" si="120"/>
        <v>0</v>
      </c>
      <c r="O587">
        <f t="shared" si="121"/>
        <v>0</v>
      </c>
      <c r="P587">
        <f t="shared" si="122"/>
        <v>0</v>
      </c>
      <c r="Q587">
        <f t="shared" si="123"/>
        <v>0</v>
      </c>
      <c r="R587">
        <f t="shared" si="124"/>
        <v>0</v>
      </c>
      <c r="S587">
        <f t="shared" si="125"/>
        <v>0</v>
      </c>
      <c r="T587">
        <f t="shared" si="126"/>
        <v>0</v>
      </c>
      <c r="U587">
        <f t="shared" si="127"/>
        <v>0</v>
      </c>
      <c r="V587">
        <f t="shared" si="128"/>
        <v>0</v>
      </c>
    </row>
    <row r="588" spans="1:22" x14ac:dyDescent="0.4">
      <c r="A588" s="1" t="s">
        <v>1873</v>
      </c>
      <c r="B588" s="1" t="s">
        <v>1874</v>
      </c>
      <c r="C588" s="1" t="s">
        <v>1875</v>
      </c>
      <c r="D588" s="1" t="s">
        <v>44</v>
      </c>
      <c r="E588" s="1" t="s">
        <v>63</v>
      </c>
      <c r="F588" s="5" t="s">
        <v>46</v>
      </c>
      <c r="G588" s="1" t="s">
        <v>27</v>
      </c>
      <c r="H588">
        <f>VLOOKUP(D588,[1]金額リスト!$A$2:$B$6,2,FALSE)</f>
        <v>114300</v>
      </c>
      <c r="I588" s="1" t="s">
        <v>33</v>
      </c>
      <c r="J588">
        <f t="shared" si="117"/>
        <v>0</v>
      </c>
      <c r="K588">
        <f t="shared" si="118"/>
        <v>0</v>
      </c>
      <c r="L588">
        <f t="shared" si="129"/>
        <v>0</v>
      </c>
      <c r="M588">
        <f t="shared" si="119"/>
        <v>0</v>
      </c>
      <c r="N588">
        <f t="shared" si="120"/>
        <v>114300</v>
      </c>
      <c r="O588">
        <f t="shared" si="121"/>
        <v>0</v>
      </c>
      <c r="P588">
        <f t="shared" si="122"/>
        <v>0</v>
      </c>
      <c r="Q588">
        <f t="shared" si="123"/>
        <v>0</v>
      </c>
      <c r="R588">
        <f t="shared" si="124"/>
        <v>0</v>
      </c>
      <c r="S588">
        <f t="shared" si="125"/>
        <v>0</v>
      </c>
      <c r="T588">
        <f t="shared" si="126"/>
        <v>0</v>
      </c>
      <c r="U588">
        <f t="shared" si="127"/>
        <v>0</v>
      </c>
      <c r="V588">
        <f t="shared" si="128"/>
        <v>0</v>
      </c>
    </row>
    <row r="589" spans="1:22" x14ac:dyDescent="0.4">
      <c r="A589" s="1" t="s">
        <v>1876</v>
      </c>
      <c r="B589" s="1" t="s">
        <v>1877</v>
      </c>
      <c r="C589" s="1" t="s">
        <v>1878</v>
      </c>
      <c r="D589" s="1" t="s">
        <v>44</v>
      </c>
      <c r="E589" s="1" t="s">
        <v>45</v>
      </c>
      <c r="F589" s="5" t="s">
        <v>46</v>
      </c>
      <c r="G589" s="1" t="s">
        <v>27</v>
      </c>
      <c r="H589">
        <f>VLOOKUP(D589,[1]金額リスト!$A$2:$B$6,2,FALSE)</f>
        <v>114300</v>
      </c>
      <c r="I589" s="1" t="s">
        <v>33</v>
      </c>
      <c r="J589">
        <f t="shared" si="117"/>
        <v>0</v>
      </c>
      <c r="K589">
        <f t="shared" si="118"/>
        <v>0</v>
      </c>
      <c r="L589">
        <f t="shared" si="129"/>
        <v>0</v>
      </c>
      <c r="M589">
        <f t="shared" si="119"/>
        <v>0</v>
      </c>
      <c r="N589">
        <f t="shared" si="120"/>
        <v>114300</v>
      </c>
      <c r="O589">
        <f t="shared" si="121"/>
        <v>0</v>
      </c>
      <c r="P589">
        <f t="shared" si="122"/>
        <v>0</v>
      </c>
      <c r="Q589">
        <f t="shared" si="123"/>
        <v>0</v>
      </c>
      <c r="R589">
        <f t="shared" si="124"/>
        <v>0</v>
      </c>
      <c r="S589">
        <f t="shared" si="125"/>
        <v>0</v>
      </c>
      <c r="T589">
        <f t="shared" si="126"/>
        <v>0</v>
      </c>
      <c r="U589">
        <f t="shared" si="127"/>
        <v>0</v>
      </c>
      <c r="V589">
        <f t="shared" si="128"/>
        <v>0</v>
      </c>
    </row>
    <row r="590" spans="1:22" x14ac:dyDescent="0.4">
      <c r="A590" s="1" t="s">
        <v>1879</v>
      </c>
      <c r="B590" s="1" t="s">
        <v>1880</v>
      </c>
      <c r="C590" s="1" t="s">
        <v>1881</v>
      </c>
      <c r="D590" s="1" t="s">
        <v>44</v>
      </c>
      <c r="E590" s="1" t="s">
        <v>90</v>
      </c>
      <c r="F590" s="5" t="s">
        <v>46</v>
      </c>
      <c r="G590" s="1" t="s">
        <v>27</v>
      </c>
      <c r="H590">
        <f>VLOOKUP(D590,[1]金額リスト!$A$2:$B$6,2,FALSE)</f>
        <v>114300</v>
      </c>
      <c r="I590" s="1" t="s">
        <v>33</v>
      </c>
      <c r="J590">
        <f t="shared" si="117"/>
        <v>0</v>
      </c>
      <c r="K590">
        <f t="shared" si="118"/>
        <v>0</v>
      </c>
      <c r="L590">
        <f t="shared" si="129"/>
        <v>0</v>
      </c>
      <c r="M590">
        <f t="shared" si="119"/>
        <v>0</v>
      </c>
      <c r="N590">
        <f t="shared" si="120"/>
        <v>114300</v>
      </c>
      <c r="O590">
        <f t="shared" si="121"/>
        <v>0</v>
      </c>
      <c r="P590">
        <f t="shared" si="122"/>
        <v>0</v>
      </c>
      <c r="Q590">
        <f t="shared" si="123"/>
        <v>0</v>
      </c>
      <c r="R590">
        <f t="shared" si="124"/>
        <v>0</v>
      </c>
      <c r="S590">
        <f t="shared" si="125"/>
        <v>0</v>
      </c>
      <c r="T590">
        <f t="shared" si="126"/>
        <v>0</v>
      </c>
      <c r="U590">
        <f t="shared" si="127"/>
        <v>0</v>
      </c>
      <c r="V590">
        <f t="shared" si="128"/>
        <v>0</v>
      </c>
    </row>
    <row r="591" spans="1:22" x14ac:dyDescent="0.4">
      <c r="A591" s="1" t="s">
        <v>1882</v>
      </c>
      <c r="B591" s="1" t="s">
        <v>1883</v>
      </c>
      <c r="C591" s="1" t="s">
        <v>1884</v>
      </c>
      <c r="D591" s="1" t="s">
        <v>44</v>
      </c>
      <c r="E591" s="1" t="s">
        <v>1885</v>
      </c>
      <c r="F591" s="5" t="s">
        <v>10</v>
      </c>
      <c r="G591" s="1" t="s">
        <v>27</v>
      </c>
      <c r="H591">
        <f>VLOOKUP(D591,[1]金額リスト!$A$2:$B$6,2,FALSE)</f>
        <v>114300</v>
      </c>
      <c r="I591" s="1" t="s">
        <v>1593</v>
      </c>
      <c r="J591">
        <f t="shared" si="117"/>
        <v>0</v>
      </c>
      <c r="K591">
        <f t="shared" si="118"/>
        <v>114300</v>
      </c>
      <c r="L591">
        <f t="shared" si="129"/>
        <v>0</v>
      </c>
      <c r="M591">
        <f t="shared" si="119"/>
        <v>0</v>
      </c>
      <c r="N591">
        <f t="shared" si="120"/>
        <v>0</v>
      </c>
      <c r="O591">
        <f t="shared" si="121"/>
        <v>0</v>
      </c>
      <c r="P591">
        <f t="shared" si="122"/>
        <v>0</v>
      </c>
      <c r="Q591">
        <f t="shared" si="123"/>
        <v>0</v>
      </c>
      <c r="R591">
        <f t="shared" si="124"/>
        <v>0</v>
      </c>
      <c r="S591">
        <f t="shared" si="125"/>
        <v>0</v>
      </c>
      <c r="T591">
        <f t="shared" si="126"/>
        <v>0</v>
      </c>
      <c r="U591">
        <f t="shared" si="127"/>
        <v>0</v>
      </c>
      <c r="V591">
        <f t="shared" si="128"/>
        <v>0</v>
      </c>
    </row>
    <row r="592" spans="1:22" x14ac:dyDescent="0.4">
      <c r="A592" s="1" t="s">
        <v>1886</v>
      </c>
      <c r="B592" s="1" t="s">
        <v>1887</v>
      </c>
      <c r="C592" s="1" t="s">
        <v>1888</v>
      </c>
      <c r="D592" s="1" t="s">
        <v>44</v>
      </c>
      <c r="E592" s="1" t="s">
        <v>1627</v>
      </c>
      <c r="F592" s="5" t="s">
        <v>10</v>
      </c>
      <c r="G592" s="1" t="s">
        <v>27</v>
      </c>
      <c r="H592">
        <f>VLOOKUP(D592,[1]金額リスト!$A$2:$B$6,2,FALSE)</f>
        <v>114300</v>
      </c>
      <c r="I592" s="1" t="s">
        <v>1593</v>
      </c>
      <c r="J592">
        <f t="shared" si="117"/>
        <v>0</v>
      </c>
      <c r="K592">
        <f t="shared" si="118"/>
        <v>114300</v>
      </c>
      <c r="L592">
        <f t="shared" si="129"/>
        <v>0</v>
      </c>
      <c r="M592">
        <f t="shared" si="119"/>
        <v>0</v>
      </c>
      <c r="N592">
        <f t="shared" si="120"/>
        <v>0</v>
      </c>
      <c r="O592">
        <f t="shared" si="121"/>
        <v>0</v>
      </c>
      <c r="P592">
        <f t="shared" si="122"/>
        <v>0</v>
      </c>
      <c r="Q592">
        <f t="shared" si="123"/>
        <v>0</v>
      </c>
      <c r="R592">
        <f t="shared" si="124"/>
        <v>0</v>
      </c>
      <c r="S592">
        <f t="shared" si="125"/>
        <v>0</v>
      </c>
      <c r="T592">
        <f t="shared" si="126"/>
        <v>0</v>
      </c>
      <c r="U592">
        <f t="shared" si="127"/>
        <v>0</v>
      </c>
      <c r="V592">
        <f t="shared" si="128"/>
        <v>0</v>
      </c>
    </row>
    <row r="593" spans="1:22" x14ac:dyDescent="0.4">
      <c r="A593" s="1" t="s">
        <v>1889</v>
      </c>
      <c r="B593" s="1" t="s">
        <v>1890</v>
      </c>
      <c r="C593" s="1" t="s">
        <v>1891</v>
      </c>
      <c r="D593" s="1" t="s">
        <v>44</v>
      </c>
      <c r="E593" s="1" t="s">
        <v>1892</v>
      </c>
      <c r="F593" s="5" t="s">
        <v>1130</v>
      </c>
      <c r="G593" s="1" t="s">
        <v>27</v>
      </c>
      <c r="H593">
        <f>VLOOKUP(D593,[1]金額リスト!$A$2:$B$6,2,FALSE)</f>
        <v>114300</v>
      </c>
      <c r="I593" s="1" t="s">
        <v>1455</v>
      </c>
      <c r="J593">
        <f t="shared" si="117"/>
        <v>0</v>
      </c>
      <c r="K593">
        <f t="shared" si="118"/>
        <v>0</v>
      </c>
      <c r="L593">
        <f t="shared" si="129"/>
        <v>0</v>
      </c>
      <c r="M593">
        <f t="shared" si="119"/>
        <v>114300</v>
      </c>
      <c r="N593">
        <f t="shared" si="120"/>
        <v>0</v>
      </c>
      <c r="O593">
        <f t="shared" si="121"/>
        <v>0</v>
      </c>
      <c r="P593">
        <f t="shared" si="122"/>
        <v>0</v>
      </c>
      <c r="Q593">
        <f t="shared" si="123"/>
        <v>0</v>
      </c>
      <c r="R593">
        <f t="shared" si="124"/>
        <v>0</v>
      </c>
      <c r="S593">
        <f t="shared" si="125"/>
        <v>0</v>
      </c>
      <c r="T593">
        <f t="shared" si="126"/>
        <v>0</v>
      </c>
      <c r="U593">
        <f t="shared" si="127"/>
        <v>0</v>
      </c>
      <c r="V593">
        <f t="shared" si="128"/>
        <v>0</v>
      </c>
    </row>
    <row r="594" spans="1:22" x14ac:dyDescent="0.4">
      <c r="A594" s="1" t="s">
        <v>1893</v>
      </c>
      <c r="B594" s="1" t="s">
        <v>1894</v>
      </c>
      <c r="C594" s="1" t="s">
        <v>1895</v>
      </c>
      <c r="D594" s="1" t="s">
        <v>44</v>
      </c>
      <c r="E594" s="1" t="s">
        <v>1896</v>
      </c>
      <c r="F594" s="5" t="s">
        <v>10</v>
      </c>
      <c r="G594" s="1" t="s">
        <v>27</v>
      </c>
      <c r="H594">
        <f>VLOOKUP(D594,[1]金額リスト!$A$2:$B$6,2,FALSE)</f>
        <v>114300</v>
      </c>
      <c r="I594" s="1" t="s">
        <v>1593</v>
      </c>
      <c r="J594">
        <f t="shared" si="117"/>
        <v>0</v>
      </c>
      <c r="K594">
        <f t="shared" si="118"/>
        <v>114300</v>
      </c>
      <c r="L594">
        <f t="shared" si="129"/>
        <v>0</v>
      </c>
      <c r="M594">
        <f t="shared" si="119"/>
        <v>0</v>
      </c>
      <c r="N594">
        <f t="shared" si="120"/>
        <v>0</v>
      </c>
      <c r="O594">
        <f t="shared" si="121"/>
        <v>0</v>
      </c>
      <c r="P594">
        <f t="shared" si="122"/>
        <v>0</v>
      </c>
      <c r="Q594">
        <f t="shared" si="123"/>
        <v>0</v>
      </c>
      <c r="R594">
        <f t="shared" si="124"/>
        <v>0</v>
      </c>
      <c r="S594">
        <f t="shared" si="125"/>
        <v>0</v>
      </c>
      <c r="T594">
        <f t="shared" si="126"/>
        <v>0</v>
      </c>
      <c r="U594">
        <f t="shared" si="127"/>
        <v>0</v>
      </c>
      <c r="V594">
        <f t="shared" si="128"/>
        <v>0</v>
      </c>
    </row>
    <row r="595" spans="1:22" x14ac:dyDescent="0.4">
      <c r="A595" s="1" t="s">
        <v>1897</v>
      </c>
      <c r="B595" s="1" t="s">
        <v>1898</v>
      </c>
      <c r="C595" s="1" t="s">
        <v>1899</v>
      </c>
      <c r="D595" s="1" t="s">
        <v>44</v>
      </c>
      <c r="E595" s="1" t="s">
        <v>1627</v>
      </c>
      <c r="F595" s="5" t="s">
        <v>10</v>
      </c>
      <c r="G595" s="1" t="s">
        <v>27</v>
      </c>
      <c r="H595">
        <f>VLOOKUP(D595,[1]金額リスト!$A$2:$B$6,2,FALSE)</f>
        <v>114300</v>
      </c>
      <c r="I595" s="1" t="s">
        <v>1593</v>
      </c>
      <c r="J595">
        <f t="shared" si="117"/>
        <v>0</v>
      </c>
      <c r="K595">
        <f t="shared" si="118"/>
        <v>114300</v>
      </c>
      <c r="L595">
        <f t="shared" si="129"/>
        <v>0</v>
      </c>
      <c r="M595">
        <f t="shared" si="119"/>
        <v>0</v>
      </c>
      <c r="N595">
        <f t="shared" si="120"/>
        <v>0</v>
      </c>
      <c r="O595">
        <f t="shared" si="121"/>
        <v>0</v>
      </c>
      <c r="P595">
        <f t="shared" si="122"/>
        <v>0</v>
      </c>
      <c r="Q595">
        <f t="shared" si="123"/>
        <v>0</v>
      </c>
      <c r="R595">
        <f t="shared" si="124"/>
        <v>0</v>
      </c>
      <c r="S595">
        <f t="shared" si="125"/>
        <v>0</v>
      </c>
      <c r="T595">
        <f t="shared" si="126"/>
        <v>0</v>
      </c>
      <c r="U595">
        <f t="shared" si="127"/>
        <v>0</v>
      </c>
      <c r="V595">
        <f t="shared" si="128"/>
        <v>0</v>
      </c>
    </row>
    <row r="596" spans="1:22" x14ac:dyDescent="0.4">
      <c r="A596" s="1" t="s">
        <v>1900</v>
      </c>
      <c r="B596" s="1" t="s">
        <v>1901</v>
      </c>
      <c r="C596" s="1" t="s">
        <v>1902</v>
      </c>
      <c r="D596" s="1" t="s">
        <v>44</v>
      </c>
      <c r="E596" s="1" t="s">
        <v>56</v>
      </c>
      <c r="F596" s="5" t="s">
        <v>46</v>
      </c>
      <c r="G596" s="1" t="s">
        <v>27</v>
      </c>
      <c r="H596">
        <f>VLOOKUP(D596,[1]金額リスト!$A$2:$B$6,2,FALSE)</f>
        <v>114300</v>
      </c>
      <c r="I596" s="1" t="s">
        <v>33</v>
      </c>
      <c r="J596">
        <f t="shared" si="117"/>
        <v>0</v>
      </c>
      <c r="K596">
        <f t="shared" si="118"/>
        <v>0</v>
      </c>
      <c r="L596">
        <f t="shared" si="129"/>
        <v>0</v>
      </c>
      <c r="M596">
        <f t="shared" si="119"/>
        <v>0</v>
      </c>
      <c r="N596">
        <f t="shared" si="120"/>
        <v>114300</v>
      </c>
      <c r="O596">
        <f t="shared" si="121"/>
        <v>0</v>
      </c>
      <c r="P596">
        <f t="shared" si="122"/>
        <v>0</v>
      </c>
      <c r="Q596">
        <f t="shared" si="123"/>
        <v>0</v>
      </c>
      <c r="R596">
        <f t="shared" si="124"/>
        <v>0</v>
      </c>
      <c r="S596">
        <f t="shared" si="125"/>
        <v>0</v>
      </c>
      <c r="T596">
        <f t="shared" si="126"/>
        <v>0</v>
      </c>
      <c r="U596">
        <f t="shared" si="127"/>
        <v>0</v>
      </c>
      <c r="V596">
        <f t="shared" si="128"/>
        <v>0</v>
      </c>
    </row>
    <row r="597" spans="1:22" x14ac:dyDescent="0.4">
      <c r="A597" s="1" t="s">
        <v>1903</v>
      </c>
      <c r="B597" s="1" t="s">
        <v>1904</v>
      </c>
      <c r="C597" s="1" t="s">
        <v>1905</v>
      </c>
      <c r="D597" s="1" t="s">
        <v>44</v>
      </c>
      <c r="E597" s="1" t="s">
        <v>932</v>
      </c>
      <c r="F597" s="5" t="s">
        <v>479</v>
      </c>
      <c r="G597" s="1" t="s">
        <v>27</v>
      </c>
      <c r="H597">
        <f>VLOOKUP(D597,[1]金額リスト!$A$2:$B$6,2,FALSE)</f>
        <v>114300</v>
      </c>
      <c r="I597" s="1" t="s">
        <v>868</v>
      </c>
      <c r="J597">
        <f t="shared" si="117"/>
        <v>0</v>
      </c>
      <c r="K597">
        <f t="shared" si="118"/>
        <v>0</v>
      </c>
      <c r="L597">
        <f t="shared" si="129"/>
        <v>114300</v>
      </c>
      <c r="M597">
        <f t="shared" si="119"/>
        <v>0</v>
      </c>
      <c r="N597">
        <f t="shared" si="120"/>
        <v>0</v>
      </c>
      <c r="O597">
        <f t="shared" si="121"/>
        <v>0</v>
      </c>
      <c r="P597">
        <f t="shared" si="122"/>
        <v>0</v>
      </c>
      <c r="Q597">
        <f t="shared" si="123"/>
        <v>0</v>
      </c>
      <c r="R597">
        <f t="shared" si="124"/>
        <v>0</v>
      </c>
      <c r="S597">
        <f t="shared" si="125"/>
        <v>0</v>
      </c>
      <c r="T597">
        <f t="shared" si="126"/>
        <v>0</v>
      </c>
      <c r="U597">
        <f t="shared" si="127"/>
        <v>0</v>
      </c>
      <c r="V597">
        <f t="shared" si="128"/>
        <v>0</v>
      </c>
    </row>
    <row r="598" spans="1:22" x14ac:dyDescent="0.4">
      <c r="A598" s="1" t="s">
        <v>1906</v>
      </c>
      <c r="B598" s="1" t="s">
        <v>1907</v>
      </c>
      <c r="C598" s="1" t="s">
        <v>1908</v>
      </c>
      <c r="D598" s="1" t="s">
        <v>44</v>
      </c>
      <c r="E598" s="1" t="s">
        <v>1161</v>
      </c>
      <c r="F598" s="5" t="s">
        <v>479</v>
      </c>
      <c r="G598" s="1" t="s">
        <v>27</v>
      </c>
      <c r="H598">
        <f>VLOOKUP(D598,[1]金額リスト!$A$2:$B$6,2,FALSE)</f>
        <v>114300</v>
      </c>
      <c r="I598" s="1" t="s">
        <v>868</v>
      </c>
      <c r="J598">
        <f t="shared" si="117"/>
        <v>0</v>
      </c>
      <c r="K598">
        <f t="shared" si="118"/>
        <v>0</v>
      </c>
      <c r="L598">
        <f t="shared" si="129"/>
        <v>114300</v>
      </c>
      <c r="M598">
        <f t="shared" si="119"/>
        <v>0</v>
      </c>
      <c r="N598">
        <f t="shared" si="120"/>
        <v>0</v>
      </c>
      <c r="O598">
        <f t="shared" si="121"/>
        <v>0</v>
      </c>
      <c r="P598">
        <f t="shared" si="122"/>
        <v>0</v>
      </c>
      <c r="Q598">
        <f t="shared" si="123"/>
        <v>0</v>
      </c>
      <c r="R598">
        <f t="shared" si="124"/>
        <v>0</v>
      </c>
      <c r="S598">
        <f t="shared" si="125"/>
        <v>0</v>
      </c>
      <c r="T598">
        <f t="shared" si="126"/>
        <v>0</v>
      </c>
      <c r="U598">
        <f t="shared" si="127"/>
        <v>0</v>
      </c>
      <c r="V598">
        <f t="shared" si="128"/>
        <v>0</v>
      </c>
    </row>
    <row r="599" spans="1:22" x14ac:dyDescent="0.4">
      <c r="A599" s="1" t="s">
        <v>1909</v>
      </c>
      <c r="B599" s="1" t="s">
        <v>1910</v>
      </c>
      <c r="C599" s="1" t="s">
        <v>1911</v>
      </c>
      <c r="D599" s="1" t="s">
        <v>44</v>
      </c>
      <c r="E599" s="1" t="s">
        <v>140</v>
      </c>
      <c r="F599" s="5" t="s">
        <v>46</v>
      </c>
      <c r="G599" s="1" t="s">
        <v>27</v>
      </c>
      <c r="H599">
        <f>VLOOKUP(D599,[1]金額リスト!$A$2:$B$6,2,FALSE)</f>
        <v>114300</v>
      </c>
      <c r="I599" s="1" t="s">
        <v>33</v>
      </c>
      <c r="J599">
        <f t="shared" si="117"/>
        <v>0</v>
      </c>
      <c r="K599">
        <f t="shared" si="118"/>
        <v>0</v>
      </c>
      <c r="L599">
        <f t="shared" si="129"/>
        <v>0</v>
      </c>
      <c r="M599">
        <f t="shared" si="119"/>
        <v>0</v>
      </c>
      <c r="N599">
        <f t="shared" si="120"/>
        <v>114300</v>
      </c>
      <c r="O599">
        <f t="shared" si="121"/>
        <v>0</v>
      </c>
      <c r="P599">
        <f t="shared" si="122"/>
        <v>0</v>
      </c>
      <c r="Q599">
        <f t="shared" si="123"/>
        <v>0</v>
      </c>
      <c r="R599">
        <f t="shared" si="124"/>
        <v>0</v>
      </c>
      <c r="S599">
        <f t="shared" si="125"/>
        <v>0</v>
      </c>
      <c r="T599">
        <f t="shared" si="126"/>
        <v>0</v>
      </c>
      <c r="U599">
        <f t="shared" si="127"/>
        <v>0</v>
      </c>
      <c r="V599">
        <f t="shared" si="128"/>
        <v>0</v>
      </c>
    </row>
    <row r="600" spans="1:22" x14ac:dyDescent="0.4">
      <c r="A600" s="1" t="s">
        <v>1912</v>
      </c>
      <c r="B600" s="1" t="s">
        <v>1913</v>
      </c>
      <c r="C600" s="1" t="s">
        <v>1914</v>
      </c>
      <c r="D600" s="1" t="s">
        <v>44</v>
      </c>
      <c r="E600" s="1" t="s">
        <v>56</v>
      </c>
      <c r="F600" s="5" t="s">
        <v>46</v>
      </c>
      <c r="G600" s="1" t="s">
        <v>27</v>
      </c>
      <c r="H600">
        <f>VLOOKUP(D600,[1]金額リスト!$A$2:$B$6,2,FALSE)</f>
        <v>114300</v>
      </c>
      <c r="I600" s="1" t="s">
        <v>33</v>
      </c>
      <c r="J600">
        <f t="shared" si="117"/>
        <v>0</v>
      </c>
      <c r="K600">
        <f t="shared" si="118"/>
        <v>0</v>
      </c>
      <c r="L600">
        <f t="shared" si="129"/>
        <v>0</v>
      </c>
      <c r="M600">
        <f t="shared" si="119"/>
        <v>0</v>
      </c>
      <c r="N600">
        <f t="shared" si="120"/>
        <v>114300</v>
      </c>
      <c r="O600">
        <f t="shared" si="121"/>
        <v>0</v>
      </c>
      <c r="P600">
        <f t="shared" si="122"/>
        <v>0</v>
      </c>
      <c r="Q600">
        <f t="shared" si="123"/>
        <v>0</v>
      </c>
      <c r="R600">
        <f t="shared" si="124"/>
        <v>0</v>
      </c>
      <c r="S600">
        <f t="shared" si="125"/>
        <v>0</v>
      </c>
      <c r="T600">
        <f t="shared" si="126"/>
        <v>0</v>
      </c>
      <c r="U600">
        <f t="shared" si="127"/>
        <v>0</v>
      </c>
      <c r="V600">
        <f t="shared" si="128"/>
        <v>0</v>
      </c>
    </row>
    <row r="601" spans="1:22" x14ac:dyDescent="0.4">
      <c r="A601" s="1" t="s">
        <v>1915</v>
      </c>
      <c r="B601" s="1" t="s">
        <v>1916</v>
      </c>
      <c r="C601" s="1" t="s">
        <v>1917</v>
      </c>
      <c r="D601" s="1" t="s">
        <v>44</v>
      </c>
      <c r="E601" s="1" t="s">
        <v>1918</v>
      </c>
      <c r="F601" s="5" t="s">
        <v>479</v>
      </c>
      <c r="G601" s="1" t="s">
        <v>27</v>
      </c>
      <c r="H601">
        <f>VLOOKUP(D601,[1]金額リスト!$A$2:$B$6,2,FALSE)</f>
        <v>114300</v>
      </c>
      <c r="I601" s="1" t="s">
        <v>868</v>
      </c>
      <c r="J601">
        <f t="shared" si="117"/>
        <v>0</v>
      </c>
      <c r="K601">
        <f t="shared" si="118"/>
        <v>0</v>
      </c>
      <c r="L601">
        <f t="shared" si="129"/>
        <v>114300</v>
      </c>
      <c r="M601">
        <f t="shared" si="119"/>
        <v>0</v>
      </c>
      <c r="N601">
        <f t="shared" si="120"/>
        <v>0</v>
      </c>
      <c r="O601">
        <f t="shared" si="121"/>
        <v>0</v>
      </c>
      <c r="P601">
        <f t="shared" si="122"/>
        <v>0</v>
      </c>
      <c r="Q601">
        <f t="shared" si="123"/>
        <v>0</v>
      </c>
      <c r="R601">
        <f t="shared" si="124"/>
        <v>0</v>
      </c>
      <c r="S601">
        <f t="shared" si="125"/>
        <v>0</v>
      </c>
      <c r="T601">
        <f t="shared" si="126"/>
        <v>0</v>
      </c>
      <c r="U601">
        <f t="shared" si="127"/>
        <v>0</v>
      </c>
      <c r="V601">
        <f t="shared" si="128"/>
        <v>0</v>
      </c>
    </row>
    <row r="602" spans="1:22" x14ac:dyDescent="0.4">
      <c r="A602" s="1" t="s">
        <v>1919</v>
      </c>
      <c r="B602" s="1" t="s">
        <v>1920</v>
      </c>
      <c r="C602" s="1" t="s">
        <v>1921</v>
      </c>
      <c r="D602" s="1" t="s">
        <v>25</v>
      </c>
      <c r="E602" s="1" t="s">
        <v>37</v>
      </c>
      <c r="F602" s="5" t="s">
        <v>10</v>
      </c>
      <c r="G602" s="1" t="s">
        <v>27</v>
      </c>
      <c r="H602">
        <f>VLOOKUP(D602,[1]金額リスト!$A$2:$B$6,2,FALSE)</f>
        <v>59400</v>
      </c>
      <c r="I602" s="1" t="s">
        <v>33</v>
      </c>
      <c r="J602">
        <f t="shared" si="117"/>
        <v>0</v>
      </c>
      <c r="K602">
        <f t="shared" si="118"/>
        <v>59400</v>
      </c>
      <c r="L602">
        <f t="shared" si="129"/>
        <v>0</v>
      </c>
      <c r="M602">
        <f t="shared" si="119"/>
        <v>0</v>
      </c>
      <c r="N602">
        <f t="shared" si="120"/>
        <v>0</v>
      </c>
      <c r="O602">
        <f t="shared" si="121"/>
        <v>0</v>
      </c>
      <c r="P602">
        <f t="shared" si="122"/>
        <v>0</v>
      </c>
      <c r="Q602">
        <f t="shared" si="123"/>
        <v>0</v>
      </c>
      <c r="R602">
        <f t="shared" si="124"/>
        <v>0</v>
      </c>
      <c r="S602">
        <f t="shared" si="125"/>
        <v>0</v>
      </c>
      <c r="T602">
        <f t="shared" si="126"/>
        <v>0</v>
      </c>
      <c r="U602">
        <f t="shared" si="127"/>
        <v>0</v>
      </c>
      <c r="V602">
        <f t="shared" si="128"/>
        <v>0</v>
      </c>
    </row>
    <row r="603" spans="1:22" x14ac:dyDescent="0.4">
      <c r="A603" s="1" t="s">
        <v>1922</v>
      </c>
      <c r="B603" s="1" t="s">
        <v>1923</v>
      </c>
      <c r="C603" s="1" t="s">
        <v>1924</v>
      </c>
      <c r="D603" s="1" t="s">
        <v>44</v>
      </c>
      <c r="E603" s="1" t="s">
        <v>1141</v>
      </c>
      <c r="F603" s="5" t="s">
        <v>479</v>
      </c>
      <c r="G603" s="1" t="s">
        <v>27</v>
      </c>
      <c r="H603">
        <f>VLOOKUP(D603,[1]金額リスト!$A$2:$B$6,2,FALSE)</f>
        <v>114300</v>
      </c>
      <c r="I603" s="1" t="s">
        <v>868</v>
      </c>
      <c r="J603">
        <f t="shared" si="117"/>
        <v>0</v>
      </c>
      <c r="K603">
        <f t="shared" si="118"/>
        <v>0</v>
      </c>
      <c r="L603">
        <f t="shared" si="129"/>
        <v>114300</v>
      </c>
      <c r="M603">
        <f t="shared" si="119"/>
        <v>0</v>
      </c>
      <c r="N603">
        <f t="shared" si="120"/>
        <v>0</v>
      </c>
      <c r="O603">
        <f t="shared" si="121"/>
        <v>0</v>
      </c>
      <c r="P603">
        <f t="shared" si="122"/>
        <v>0</v>
      </c>
      <c r="Q603">
        <f t="shared" si="123"/>
        <v>0</v>
      </c>
      <c r="R603">
        <f t="shared" si="124"/>
        <v>0</v>
      </c>
      <c r="S603">
        <f t="shared" si="125"/>
        <v>0</v>
      </c>
      <c r="T603">
        <f t="shared" si="126"/>
        <v>0</v>
      </c>
      <c r="U603">
        <f t="shared" si="127"/>
        <v>0</v>
      </c>
      <c r="V603">
        <f t="shared" si="128"/>
        <v>0</v>
      </c>
    </row>
    <row r="604" spans="1:22" x14ac:dyDescent="0.4">
      <c r="A604" s="1" t="s">
        <v>1925</v>
      </c>
      <c r="B604" s="1" t="s">
        <v>1926</v>
      </c>
      <c r="C604" s="1" t="s">
        <v>1927</v>
      </c>
      <c r="D604" s="1" t="s">
        <v>44</v>
      </c>
      <c r="E604" s="1" t="s">
        <v>1928</v>
      </c>
      <c r="F604" s="5" t="s">
        <v>1929</v>
      </c>
      <c r="G604" s="1" t="s">
        <v>27</v>
      </c>
      <c r="H604">
        <f>VLOOKUP(D604,[1]金額リスト!$A$2:$B$6,2,FALSE)</f>
        <v>114300</v>
      </c>
      <c r="I604" s="1" t="s">
        <v>1930</v>
      </c>
      <c r="J604">
        <f t="shared" si="117"/>
        <v>114300</v>
      </c>
      <c r="K604">
        <f t="shared" si="118"/>
        <v>0</v>
      </c>
      <c r="L604">
        <f t="shared" si="129"/>
        <v>0</v>
      </c>
      <c r="M604">
        <f t="shared" si="119"/>
        <v>0</v>
      </c>
      <c r="N604">
        <f t="shared" si="120"/>
        <v>0</v>
      </c>
      <c r="O604">
        <f t="shared" si="121"/>
        <v>0</v>
      </c>
      <c r="P604">
        <f t="shared" si="122"/>
        <v>0</v>
      </c>
      <c r="Q604">
        <f t="shared" si="123"/>
        <v>0</v>
      </c>
      <c r="R604">
        <f t="shared" si="124"/>
        <v>0</v>
      </c>
      <c r="S604">
        <f t="shared" si="125"/>
        <v>0</v>
      </c>
      <c r="T604">
        <f t="shared" si="126"/>
        <v>0</v>
      </c>
      <c r="U604">
        <f t="shared" si="127"/>
        <v>0</v>
      </c>
      <c r="V604">
        <f t="shared" si="128"/>
        <v>0</v>
      </c>
    </row>
    <row r="605" spans="1:22" x14ac:dyDescent="0.4">
      <c r="A605" s="1" t="s">
        <v>1931</v>
      </c>
      <c r="B605" s="1" t="s">
        <v>1932</v>
      </c>
      <c r="C605" s="1" t="s">
        <v>1933</v>
      </c>
      <c r="D605" s="1" t="s">
        <v>44</v>
      </c>
      <c r="E605" s="1" t="s">
        <v>1934</v>
      </c>
      <c r="F605" s="5" t="s">
        <v>10</v>
      </c>
      <c r="G605" s="1" t="s">
        <v>27</v>
      </c>
      <c r="H605">
        <f>VLOOKUP(D605,[1]金額リスト!$A$2:$B$6,2,FALSE)</f>
        <v>114300</v>
      </c>
      <c r="I605" s="1" t="s">
        <v>1593</v>
      </c>
      <c r="J605">
        <f t="shared" si="117"/>
        <v>0</v>
      </c>
      <c r="K605">
        <f t="shared" si="118"/>
        <v>114300</v>
      </c>
      <c r="L605">
        <f t="shared" si="129"/>
        <v>0</v>
      </c>
      <c r="M605">
        <f t="shared" si="119"/>
        <v>0</v>
      </c>
      <c r="N605">
        <f t="shared" si="120"/>
        <v>0</v>
      </c>
      <c r="O605">
        <f t="shared" si="121"/>
        <v>0</v>
      </c>
      <c r="P605">
        <f t="shared" si="122"/>
        <v>0</v>
      </c>
      <c r="Q605">
        <f t="shared" si="123"/>
        <v>0</v>
      </c>
      <c r="R605">
        <f t="shared" si="124"/>
        <v>0</v>
      </c>
      <c r="S605">
        <f t="shared" si="125"/>
        <v>0</v>
      </c>
      <c r="T605">
        <f t="shared" si="126"/>
        <v>0</v>
      </c>
      <c r="U605">
        <f t="shared" si="127"/>
        <v>0</v>
      </c>
      <c r="V605">
        <f t="shared" si="128"/>
        <v>0</v>
      </c>
    </row>
    <row r="606" spans="1:22" x14ac:dyDescent="0.4">
      <c r="A606" s="1" t="s">
        <v>1935</v>
      </c>
      <c r="B606" s="1" t="s">
        <v>1936</v>
      </c>
      <c r="C606" s="1" t="s">
        <v>1937</v>
      </c>
      <c r="D606" s="1" t="s">
        <v>44</v>
      </c>
      <c r="E606" s="1" t="s">
        <v>1188</v>
      </c>
      <c r="F606" s="5" t="s">
        <v>479</v>
      </c>
      <c r="G606" s="1" t="s">
        <v>27</v>
      </c>
      <c r="H606">
        <f>VLOOKUP(D606,[1]金額リスト!$A$2:$B$6,2,FALSE)</f>
        <v>114300</v>
      </c>
      <c r="I606" s="1" t="s">
        <v>868</v>
      </c>
      <c r="J606">
        <f t="shared" si="117"/>
        <v>0</v>
      </c>
      <c r="K606">
        <f t="shared" si="118"/>
        <v>0</v>
      </c>
      <c r="L606">
        <f t="shared" si="129"/>
        <v>114300</v>
      </c>
      <c r="M606">
        <f t="shared" si="119"/>
        <v>0</v>
      </c>
      <c r="N606">
        <f t="shared" si="120"/>
        <v>0</v>
      </c>
      <c r="O606">
        <f t="shared" si="121"/>
        <v>0</v>
      </c>
      <c r="P606">
        <f t="shared" si="122"/>
        <v>0</v>
      </c>
      <c r="Q606">
        <f t="shared" si="123"/>
        <v>0</v>
      </c>
      <c r="R606">
        <f t="shared" si="124"/>
        <v>0</v>
      </c>
      <c r="S606">
        <f t="shared" si="125"/>
        <v>0</v>
      </c>
      <c r="T606">
        <f t="shared" si="126"/>
        <v>0</v>
      </c>
      <c r="U606">
        <f t="shared" si="127"/>
        <v>0</v>
      </c>
      <c r="V606">
        <f t="shared" si="128"/>
        <v>0</v>
      </c>
    </row>
    <row r="607" spans="1:22" x14ac:dyDescent="0.4">
      <c r="A607" s="1" t="s">
        <v>1938</v>
      </c>
      <c r="B607" s="1" t="s">
        <v>1939</v>
      </c>
      <c r="C607" s="1" t="s">
        <v>1940</v>
      </c>
      <c r="D607" s="1" t="s">
        <v>44</v>
      </c>
      <c r="E607" s="1" t="s">
        <v>924</v>
      </c>
      <c r="F607" s="5" t="s">
        <v>479</v>
      </c>
      <c r="G607" s="1" t="s">
        <v>27</v>
      </c>
      <c r="H607">
        <f>VLOOKUP(D607,[1]金額リスト!$A$2:$B$6,2,FALSE)</f>
        <v>114300</v>
      </c>
      <c r="I607" s="1" t="s">
        <v>868</v>
      </c>
      <c r="J607">
        <f t="shared" si="117"/>
        <v>0</v>
      </c>
      <c r="K607">
        <f t="shared" si="118"/>
        <v>0</v>
      </c>
      <c r="L607">
        <f t="shared" si="129"/>
        <v>114300</v>
      </c>
      <c r="M607">
        <f t="shared" si="119"/>
        <v>0</v>
      </c>
      <c r="N607">
        <f t="shared" si="120"/>
        <v>0</v>
      </c>
      <c r="O607">
        <f t="shared" si="121"/>
        <v>0</v>
      </c>
      <c r="P607">
        <f t="shared" si="122"/>
        <v>0</v>
      </c>
      <c r="Q607">
        <f t="shared" si="123"/>
        <v>0</v>
      </c>
      <c r="R607">
        <f t="shared" si="124"/>
        <v>0</v>
      </c>
      <c r="S607">
        <f t="shared" si="125"/>
        <v>0</v>
      </c>
      <c r="T607">
        <f t="shared" si="126"/>
        <v>0</v>
      </c>
      <c r="U607">
        <f t="shared" si="127"/>
        <v>0</v>
      </c>
      <c r="V607">
        <f t="shared" si="128"/>
        <v>0</v>
      </c>
    </row>
    <row r="608" spans="1:22" x14ac:dyDescent="0.4">
      <c r="A608" s="1" t="s">
        <v>1941</v>
      </c>
      <c r="B608" s="1" t="s">
        <v>1942</v>
      </c>
      <c r="C608" s="1" t="s">
        <v>1943</v>
      </c>
      <c r="D608" s="1" t="s">
        <v>1944</v>
      </c>
      <c r="E608" s="1" t="s">
        <v>1945</v>
      </c>
      <c r="F608" s="5" t="s">
        <v>1946</v>
      </c>
      <c r="G608" s="1" t="s">
        <v>27</v>
      </c>
      <c r="H608">
        <f>VLOOKUP(D608,[1]金額リスト!$A$2:$B$6,2,FALSE)</f>
        <v>113220</v>
      </c>
      <c r="I608" s="1" t="s">
        <v>28</v>
      </c>
      <c r="J608">
        <f t="shared" si="117"/>
        <v>0</v>
      </c>
      <c r="K608">
        <f t="shared" si="118"/>
        <v>0</v>
      </c>
      <c r="L608">
        <f t="shared" si="129"/>
        <v>0</v>
      </c>
      <c r="M608">
        <f t="shared" si="119"/>
        <v>0</v>
      </c>
      <c r="N608">
        <f t="shared" si="120"/>
        <v>0</v>
      </c>
      <c r="O608">
        <f t="shared" si="121"/>
        <v>0</v>
      </c>
      <c r="P608">
        <f t="shared" si="122"/>
        <v>0</v>
      </c>
      <c r="Q608">
        <f t="shared" si="123"/>
        <v>0</v>
      </c>
      <c r="R608">
        <f t="shared" si="124"/>
        <v>0</v>
      </c>
      <c r="S608">
        <f t="shared" si="125"/>
        <v>0</v>
      </c>
      <c r="T608">
        <f t="shared" si="126"/>
        <v>0</v>
      </c>
      <c r="U608">
        <f t="shared" si="127"/>
        <v>0</v>
      </c>
      <c r="V608">
        <f t="shared" si="128"/>
        <v>113220</v>
      </c>
    </row>
    <row r="609" spans="1:22" x14ac:dyDescent="0.4">
      <c r="A609" s="1" t="s">
        <v>1947</v>
      </c>
      <c r="B609" s="1" t="s">
        <v>1948</v>
      </c>
      <c r="C609" s="1" t="s">
        <v>1949</v>
      </c>
      <c r="D609" s="1" t="s">
        <v>44</v>
      </c>
      <c r="E609" s="1" t="s">
        <v>51</v>
      </c>
      <c r="F609" s="5" t="s">
        <v>46</v>
      </c>
      <c r="G609" s="1" t="s">
        <v>27</v>
      </c>
      <c r="H609">
        <f>VLOOKUP(D609,[1]金額リスト!$A$2:$B$6,2,FALSE)</f>
        <v>114300</v>
      </c>
      <c r="I609" s="1" t="s">
        <v>33</v>
      </c>
      <c r="J609">
        <f t="shared" si="117"/>
        <v>0</v>
      </c>
      <c r="K609">
        <f t="shared" si="118"/>
        <v>0</v>
      </c>
      <c r="L609">
        <f t="shared" si="129"/>
        <v>0</v>
      </c>
      <c r="M609">
        <f t="shared" si="119"/>
        <v>0</v>
      </c>
      <c r="N609">
        <f t="shared" si="120"/>
        <v>114300</v>
      </c>
      <c r="O609">
        <f t="shared" si="121"/>
        <v>0</v>
      </c>
      <c r="P609">
        <f t="shared" si="122"/>
        <v>0</v>
      </c>
      <c r="Q609">
        <f t="shared" si="123"/>
        <v>0</v>
      </c>
      <c r="R609">
        <f t="shared" si="124"/>
        <v>0</v>
      </c>
      <c r="S609">
        <f t="shared" si="125"/>
        <v>0</v>
      </c>
      <c r="T609">
        <f t="shared" si="126"/>
        <v>0</v>
      </c>
      <c r="U609">
        <f t="shared" si="127"/>
        <v>0</v>
      </c>
      <c r="V609">
        <f t="shared" si="128"/>
        <v>0</v>
      </c>
    </row>
    <row r="610" spans="1:22" x14ac:dyDescent="0.4">
      <c r="A610" s="1" t="s">
        <v>1950</v>
      </c>
      <c r="B610" s="1" t="s">
        <v>1951</v>
      </c>
      <c r="C610" s="1" t="s">
        <v>1952</v>
      </c>
      <c r="D610" s="1" t="s">
        <v>1944</v>
      </c>
      <c r="E610" s="1" t="s">
        <v>1945</v>
      </c>
      <c r="F610" s="5" t="s">
        <v>1946</v>
      </c>
      <c r="G610" s="1" t="s">
        <v>27</v>
      </c>
      <c r="H610">
        <f>VLOOKUP(D610,[1]金額リスト!$A$2:$B$6,2,FALSE)</f>
        <v>113220</v>
      </c>
      <c r="I610" s="1" t="s">
        <v>28</v>
      </c>
      <c r="J610">
        <f t="shared" si="117"/>
        <v>0</v>
      </c>
      <c r="K610">
        <f t="shared" si="118"/>
        <v>0</v>
      </c>
      <c r="L610">
        <f t="shared" si="129"/>
        <v>0</v>
      </c>
      <c r="M610">
        <f t="shared" si="119"/>
        <v>0</v>
      </c>
      <c r="N610">
        <f t="shared" si="120"/>
        <v>0</v>
      </c>
      <c r="O610">
        <f t="shared" si="121"/>
        <v>0</v>
      </c>
      <c r="P610">
        <f t="shared" si="122"/>
        <v>0</v>
      </c>
      <c r="Q610">
        <f t="shared" si="123"/>
        <v>0</v>
      </c>
      <c r="R610">
        <f t="shared" si="124"/>
        <v>0</v>
      </c>
      <c r="S610">
        <f t="shared" si="125"/>
        <v>0</v>
      </c>
      <c r="T610">
        <f t="shared" si="126"/>
        <v>0</v>
      </c>
      <c r="U610">
        <f t="shared" si="127"/>
        <v>0</v>
      </c>
      <c r="V610">
        <f t="shared" si="128"/>
        <v>113220</v>
      </c>
    </row>
    <row r="611" spans="1:22" x14ac:dyDescent="0.4">
      <c r="A611" s="1" t="s">
        <v>1953</v>
      </c>
      <c r="B611" s="1" t="s">
        <v>1954</v>
      </c>
      <c r="C611" s="1" t="s">
        <v>1955</v>
      </c>
      <c r="D611" s="1" t="s">
        <v>44</v>
      </c>
      <c r="E611" s="1" t="s">
        <v>1956</v>
      </c>
      <c r="F611" s="5" t="s">
        <v>1130</v>
      </c>
      <c r="G611" s="1" t="s">
        <v>27</v>
      </c>
      <c r="H611">
        <f>VLOOKUP(D611,[1]金額リスト!$A$2:$B$6,2,FALSE)</f>
        <v>114300</v>
      </c>
      <c r="I611" s="1" t="s">
        <v>1455</v>
      </c>
      <c r="J611">
        <f t="shared" si="117"/>
        <v>0</v>
      </c>
      <c r="K611">
        <f t="shared" si="118"/>
        <v>0</v>
      </c>
      <c r="L611">
        <f t="shared" si="129"/>
        <v>0</v>
      </c>
      <c r="M611">
        <f t="shared" si="119"/>
        <v>114300</v>
      </c>
      <c r="N611">
        <f t="shared" si="120"/>
        <v>0</v>
      </c>
      <c r="O611">
        <f t="shared" si="121"/>
        <v>0</v>
      </c>
      <c r="P611">
        <f t="shared" si="122"/>
        <v>0</v>
      </c>
      <c r="Q611">
        <f t="shared" si="123"/>
        <v>0</v>
      </c>
      <c r="R611">
        <f t="shared" si="124"/>
        <v>0</v>
      </c>
      <c r="S611">
        <f t="shared" si="125"/>
        <v>0</v>
      </c>
      <c r="T611">
        <f t="shared" si="126"/>
        <v>0</v>
      </c>
      <c r="U611">
        <f t="shared" si="127"/>
        <v>0</v>
      </c>
      <c r="V611">
        <f t="shared" si="128"/>
        <v>0</v>
      </c>
    </row>
    <row r="612" spans="1:22" x14ac:dyDescent="0.4">
      <c r="A612" s="1" t="s">
        <v>1957</v>
      </c>
      <c r="B612" s="1" t="s">
        <v>1958</v>
      </c>
      <c r="C612" s="1" t="s">
        <v>1959</v>
      </c>
      <c r="D612" s="1" t="s">
        <v>44</v>
      </c>
      <c r="E612" s="1" t="s">
        <v>1137</v>
      </c>
      <c r="F612" s="5" t="s">
        <v>479</v>
      </c>
      <c r="G612" s="1" t="s">
        <v>27</v>
      </c>
      <c r="H612">
        <f>VLOOKUP(D612,[1]金額リスト!$A$2:$B$6,2,FALSE)</f>
        <v>114300</v>
      </c>
      <c r="I612" s="1" t="s">
        <v>868</v>
      </c>
      <c r="J612">
        <f t="shared" si="117"/>
        <v>0</v>
      </c>
      <c r="K612">
        <f t="shared" si="118"/>
        <v>0</v>
      </c>
      <c r="L612">
        <f t="shared" si="129"/>
        <v>114300</v>
      </c>
      <c r="M612">
        <f t="shared" si="119"/>
        <v>0</v>
      </c>
      <c r="N612">
        <f t="shared" si="120"/>
        <v>0</v>
      </c>
      <c r="O612">
        <f t="shared" si="121"/>
        <v>0</v>
      </c>
      <c r="P612">
        <f t="shared" si="122"/>
        <v>0</v>
      </c>
      <c r="Q612">
        <f t="shared" si="123"/>
        <v>0</v>
      </c>
      <c r="R612">
        <f t="shared" si="124"/>
        <v>0</v>
      </c>
      <c r="S612">
        <f t="shared" si="125"/>
        <v>0</v>
      </c>
      <c r="T612">
        <f t="shared" si="126"/>
        <v>0</v>
      </c>
      <c r="U612">
        <f t="shared" si="127"/>
        <v>0</v>
      </c>
      <c r="V612">
        <f t="shared" si="128"/>
        <v>0</v>
      </c>
    </row>
    <row r="613" spans="1:22" x14ac:dyDescent="0.4">
      <c r="A613" s="1" t="s">
        <v>1960</v>
      </c>
      <c r="B613" s="1" t="s">
        <v>1961</v>
      </c>
      <c r="C613" s="1" t="s">
        <v>1962</v>
      </c>
      <c r="D613" s="1" t="s">
        <v>25</v>
      </c>
      <c r="E613" s="1" t="s">
        <v>1309</v>
      </c>
      <c r="F613" s="5" t="s">
        <v>479</v>
      </c>
      <c r="G613" s="1" t="s">
        <v>27</v>
      </c>
      <c r="H613">
        <f>VLOOKUP(D613,[1]金額リスト!$A$2:$B$6,2,FALSE)</f>
        <v>59400</v>
      </c>
      <c r="I613" s="1" t="s">
        <v>28</v>
      </c>
      <c r="J613">
        <f t="shared" si="117"/>
        <v>0</v>
      </c>
      <c r="K613">
        <f t="shared" si="118"/>
        <v>0</v>
      </c>
      <c r="L613">
        <f t="shared" si="129"/>
        <v>59400</v>
      </c>
      <c r="M613">
        <f t="shared" si="119"/>
        <v>0</v>
      </c>
      <c r="N613">
        <f t="shared" si="120"/>
        <v>0</v>
      </c>
      <c r="O613">
        <f t="shared" si="121"/>
        <v>0</v>
      </c>
      <c r="P613">
        <f t="shared" si="122"/>
        <v>0</v>
      </c>
      <c r="Q613">
        <f t="shared" si="123"/>
        <v>0</v>
      </c>
      <c r="R613">
        <f t="shared" si="124"/>
        <v>0</v>
      </c>
      <c r="S613">
        <f t="shared" si="125"/>
        <v>0</v>
      </c>
      <c r="T613">
        <f t="shared" si="126"/>
        <v>0</v>
      </c>
      <c r="U613">
        <f t="shared" si="127"/>
        <v>0</v>
      </c>
      <c r="V613">
        <f t="shared" si="128"/>
        <v>0</v>
      </c>
    </row>
    <row r="614" spans="1:22" x14ac:dyDescent="0.4">
      <c r="A614" s="1" t="s">
        <v>1963</v>
      </c>
      <c r="B614" s="1" t="s">
        <v>1964</v>
      </c>
      <c r="C614" s="1" t="s">
        <v>1965</v>
      </c>
      <c r="D614" s="1" t="s">
        <v>25</v>
      </c>
      <c r="F614" s="5"/>
      <c r="H614">
        <f>VLOOKUP(D614,[1]金額リスト!$A$2:$B$6,2,FALSE)</f>
        <v>59400</v>
      </c>
      <c r="I614" s="1" t="s">
        <v>1455</v>
      </c>
      <c r="J614">
        <f t="shared" si="117"/>
        <v>0</v>
      </c>
      <c r="K614">
        <f t="shared" si="118"/>
        <v>0</v>
      </c>
      <c r="L614">
        <f t="shared" si="129"/>
        <v>0</v>
      </c>
      <c r="M614">
        <f t="shared" si="119"/>
        <v>0</v>
      </c>
      <c r="N614">
        <f t="shared" si="120"/>
        <v>0</v>
      </c>
      <c r="O614">
        <f t="shared" si="121"/>
        <v>0</v>
      </c>
      <c r="P614">
        <f t="shared" si="122"/>
        <v>0</v>
      </c>
      <c r="Q614">
        <f t="shared" si="123"/>
        <v>0</v>
      </c>
      <c r="R614">
        <f t="shared" si="124"/>
        <v>0</v>
      </c>
      <c r="S614">
        <f t="shared" si="125"/>
        <v>0</v>
      </c>
      <c r="T614">
        <f t="shared" si="126"/>
        <v>0</v>
      </c>
      <c r="U614">
        <f t="shared" si="127"/>
        <v>0</v>
      </c>
      <c r="V614">
        <f t="shared" si="128"/>
        <v>0</v>
      </c>
    </row>
    <row r="615" spans="1:22" x14ac:dyDescent="0.4">
      <c r="A615" s="1" t="s">
        <v>1966</v>
      </c>
      <c r="B615" s="1" t="s">
        <v>1967</v>
      </c>
      <c r="C615" s="1" t="s">
        <v>1968</v>
      </c>
      <c r="D615" s="1" t="s">
        <v>44</v>
      </c>
      <c r="E615" s="1" t="s">
        <v>1969</v>
      </c>
      <c r="F615" s="5" t="s">
        <v>10</v>
      </c>
      <c r="G615" s="1" t="s">
        <v>27</v>
      </c>
      <c r="H615">
        <f>VLOOKUP(D615,[1]金額リスト!$A$2:$B$6,2,FALSE)</f>
        <v>114300</v>
      </c>
      <c r="I615" s="1" t="s">
        <v>1593</v>
      </c>
      <c r="J615">
        <f t="shared" si="117"/>
        <v>0</v>
      </c>
      <c r="K615">
        <f t="shared" si="118"/>
        <v>114300</v>
      </c>
      <c r="L615">
        <f t="shared" si="129"/>
        <v>0</v>
      </c>
      <c r="M615">
        <f t="shared" si="119"/>
        <v>0</v>
      </c>
      <c r="N615">
        <f t="shared" si="120"/>
        <v>0</v>
      </c>
      <c r="O615">
        <f t="shared" si="121"/>
        <v>0</v>
      </c>
      <c r="P615">
        <f t="shared" si="122"/>
        <v>0</v>
      </c>
      <c r="Q615">
        <f t="shared" si="123"/>
        <v>0</v>
      </c>
      <c r="R615">
        <f t="shared" si="124"/>
        <v>0</v>
      </c>
      <c r="S615">
        <f t="shared" si="125"/>
        <v>0</v>
      </c>
      <c r="T615">
        <f t="shared" si="126"/>
        <v>0</v>
      </c>
      <c r="U615">
        <f t="shared" si="127"/>
        <v>0</v>
      </c>
      <c r="V615">
        <f t="shared" si="128"/>
        <v>0</v>
      </c>
    </row>
    <row r="616" spans="1:22" x14ac:dyDescent="0.4">
      <c r="A616" s="1" t="s">
        <v>1970</v>
      </c>
      <c r="B616" s="1" t="s">
        <v>1971</v>
      </c>
      <c r="C616" s="1" t="s">
        <v>1972</v>
      </c>
      <c r="D616" s="1" t="s">
        <v>44</v>
      </c>
      <c r="E616" s="1" t="s">
        <v>1161</v>
      </c>
      <c r="F616" s="5" t="s">
        <v>479</v>
      </c>
      <c r="G616" s="1" t="s">
        <v>27</v>
      </c>
      <c r="H616">
        <f>VLOOKUP(D616,[1]金額リスト!$A$2:$B$6,2,FALSE)</f>
        <v>114300</v>
      </c>
      <c r="I616" s="1" t="s">
        <v>868</v>
      </c>
      <c r="J616">
        <f t="shared" si="117"/>
        <v>0</v>
      </c>
      <c r="K616">
        <f t="shared" si="118"/>
        <v>0</v>
      </c>
      <c r="L616">
        <f t="shared" si="129"/>
        <v>114300</v>
      </c>
      <c r="M616">
        <f t="shared" si="119"/>
        <v>0</v>
      </c>
      <c r="N616">
        <f t="shared" si="120"/>
        <v>0</v>
      </c>
      <c r="O616">
        <f t="shared" si="121"/>
        <v>0</v>
      </c>
      <c r="P616">
        <f t="shared" si="122"/>
        <v>0</v>
      </c>
      <c r="Q616">
        <f t="shared" si="123"/>
        <v>0</v>
      </c>
      <c r="R616">
        <f t="shared" si="124"/>
        <v>0</v>
      </c>
      <c r="S616">
        <f t="shared" si="125"/>
        <v>0</v>
      </c>
      <c r="T616">
        <f t="shared" si="126"/>
        <v>0</v>
      </c>
      <c r="U616">
        <f t="shared" si="127"/>
        <v>0</v>
      </c>
      <c r="V616">
        <f t="shared" si="128"/>
        <v>0</v>
      </c>
    </row>
    <row r="617" spans="1:22" x14ac:dyDescent="0.4">
      <c r="A617" s="1" t="s">
        <v>1973</v>
      </c>
      <c r="B617" s="1" t="s">
        <v>1974</v>
      </c>
      <c r="C617" s="1" t="s">
        <v>1975</v>
      </c>
      <c r="D617" s="1" t="s">
        <v>25</v>
      </c>
      <c r="E617" s="1" t="s">
        <v>867</v>
      </c>
      <c r="F617" s="5" t="s">
        <v>479</v>
      </c>
      <c r="G617" s="1" t="s">
        <v>27</v>
      </c>
      <c r="H617">
        <f>VLOOKUP(D617,[1]金額リスト!$A$2:$B$6,2,FALSE)</f>
        <v>59400</v>
      </c>
      <c r="I617" s="1" t="s">
        <v>28</v>
      </c>
      <c r="J617">
        <f t="shared" si="117"/>
        <v>0</v>
      </c>
      <c r="K617">
        <f t="shared" si="118"/>
        <v>0</v>
      </c>
      <c r="L617">
        <f t="shared" si="129"/>
        <v>59400</v>
      </c>
      <c r="M617">
        <f t="shared" si="119"/>
        <v>0</v>
      </c>
      <c r="N617">
        <f t="shared" si="120"/>
        <v>0</v>
      </c>
      <c r="O617">
        <f t="shared" si="121"/>
        <v>0</v>
      </c>
      <c r="P617">
        <f t="shared" si="122"/>
        <v>0</v>
      </c>
      <c r="Q617">
        <f t="shared" si="123"/>
        <v>0</v>
      </c>
      <c r="R617">
        <f t="shared" si="124"/>
        <v>0</v>
      </c>
      <c r="S617">
        <f t="shared" si="125"/>
        <v>0</v>
      </c>
      <c r="T617">
        <f t="shared" si="126"/>
        <v>0</v>
      </c>
      <c r="U617">
        <f t="shared" si="127"/>
        <v>0</v>
      </c>
      <c r="V617">
        <f t="shared" si="128"/>
        <v>0</v>
      </c>
    </row>
    <row r="618" spans="1:22" x14ac:dyDescent="0.4">
      <c r="A618" s="1" t="s">
        <v>1976</v>
      </c>
      <c r="B618" s="1" t="s">
        <v>1977</v>
      </c>
      <c r="C618" s="1" t="s">
        <v>1978</v>
      </c>
      <c r="D618" s="1" t="s">
        <v>44</v>
      </c>
      <c r="E618" s="1" t="s">
        <v>1979</v>
      </c>
      <c r="F618" s="5" t="s">
        <v>10</v>
      </c>
      <c r="G618" s="1" t="s">
        <v>27</v>
      </c>
      <c r="H618">
        <f>VLOOKUP(D618,[1]金額リスト!$A$2:$B$6,2,FALSE)</f>
        <v>114300</v>
      </c>
      <c r="I618" s="1" t="s">
        <v>1593</v>
      </c>
      <c r="J618">
        <f t="shared" si="117"/>
        <v>0</v>
      </c>
      <c r="K618">
        <f t="shared" si="118"/>
        <v>114300</v>
      </c>
      <c r="L618">
        <f t="shared" si="129"/>
        <v>0</v>
      </c>
      <c r="M618">
        <f t="shared" si="119"/>
        <v>0</v>
      </c>
      <c r="N618">
        <f t="shared" si="120"/>
        <v>0</v>
      </c>
      <c r="O618">
        <f t="shared" si="121"/>
        <v>0</v>
      </c>
      <c r="P618">
        <f t="shared" si="122"/>
        <v>0</v>
      </c>
      <c r="Q618">
        <f t="shared" si="123"/>
        <v>0</v>
      </c>
      <c r="R618">
        <f t="shared" si="124"/>
        <v>0</v>
      </c>
      <c r="S618">
        <f t="shared" si="125"/>
        <v>0</v>
      </c>
      <c r="T618">
        <f t="shared" si="126"/>
        <v>0</v>
      </c>
      <c r="U618">
        <f t="shared" si="127"/>
        <v>0</v>
      </c>
      <c r="V618">
        <f t="shared" si="128"/>
        <v>0</v>
      </c>
    </row>
    <row r="619" spans="1:22" x14ac:dyDescent="0.4">
      <c r="A619" s="1" t="s">
        <v>1980</v>
      </c>
      <c r="B619" s="1" t="s">
        <v>1981</v>
      </c>
      <c r="C619" s="1" t="s">
        <v>1982</v>
      </c>
      <c r="D619" s="1" t="s">
        <v>44</v>
      </c>
      <c r="E619" s="1" t="s">
        <v>920</v>
      </c>
      <c r="F619" s="5" t="s">
        <v>479</v>
      </c>
      <c r="G619" s="1" t="s">
        <v>27</v>
      </c>
      <c r="H619">
        <f>VLOOKUP(D619,[1]金額リスト!$A$2:$B$6,2,FALSE)</f>
        <v>114300</v>
      </c>
      <c r="I619" s="1" t="s">
        <v>868</v>
      </c>
      <c r="J619">
        <f t="shared" si="117"/>
        <v>0</v>
      </c>
      <c r="K619">
        <f t="shared" si="118"/>
        <v>0</v>
      </c>
      <c r="L619">
        <f t="shared" si="129"/>
        <v>114300</v>
      </c>
      <c r="M619">
        <f t="shared" si="119"/>
        <v>0</v>
      </c>
      <c r="N619">
        <f t="shared" si="120"/>
        <v>0</v>
      </c>
      <c r="O619">
        <f t="shared" si="121"/>
        <v>0</v>
      </c>
      <c r="P619">
        <f t="shared" si="122"/>
        <v>0</v>
      </c>
      <c r="Q619">
        <f t="shared" si="123"/>
        <v>0</v>
      </c>
      <c r="R619">
        <f t="shared" si="124"/>
        <v>0</v>
      </c>
      <c r="S619">
        <f t="shared" si="125"/>
        <v>0</v>
      </c>
      <c r="T619">
        <f t="shared" si="126"/>
        <v>0</v>
      </c>
      <c r="U619">
        <f t="shared" si="127"/>
        <v>0</v>
      </c>
      <c r="V619">
        <f t="shared" si="128"/>
        <v>0</v>
      </c>
    </row>
    <row r="620" spans="1:22" x14ac:dyDescent="0.4">
      <c r="A620" s="1" t="s">
        <v>1983</v>
      </c>
      <c r="B620" s="1" t="s">
        <v>1984</v>
      </c>
      <c r="C620" s="1" t="s">
        <v>1985</v>
      </c>
      <c r="D620" s="1" t="s">
        <v>44</v>
      </c>
      <c r="E620" s="1" t="s">
        <v>1986</v>
      </c>
      <c r="F620" s="5" t="s">
        <v>1130</v>
      </c>
      <c r="G620" s="1" t="s">
        <v>27</v>
      </c>
      <c r="H620">
        <f>VLOOKUP(D620,[1]金額リスト!$A$2:$B$6,2,FALSE)</f>
        <v>114300</v>
      </c>
      <c r="I620" s="1" t="s">
        <v>1455</v>
      </c>
      <c r="J620">
        <f t="shared" si="117"/>
        <v>0</v>
      </c>
      <c r="K620">
        <f t="shared" si="118"/>
        <v>0</v>
      </c>
      <c r="L620">
        <f t="shared" si="129"/>
        <v>0</v>
      </c>
      <c r="M620">
        <f t="shared" si="119"/>
        <v>114300</v>
      </c>
      <c r="N620">
        <f t="shared" si="120"/>
        <v>0</v>
      </c>
      <c r="O620">
        <f t="shared" si="121"/>
        <v>0</v>
      </c>
      <c r="P620">
        <f t="shared" si="122"/>
        <v>0</v>
      </c>
      <c r="Q620">
        <f t="shared" si="123"/>
        <v>0</v>
      </c>
      <c r="R620">
        <f t="shared" si="124"/>
        <v>0</v>
      </c>
      <c r="S620">
        <f t="shared" si="125"/>
        <v>0</v>
      </c>
      <c r="T620">
        <f t="shared" si="126"/>
        <v>0</v>
      </c>
      <c r="U620">
        <f t="shared" si="127"/>
        <v>0</v>
      </c>
      <c r="V620">
        <f t="shared" si="128"/>
        <v>0</v>
      </c>
    </row>
    <row r="621" spans="1:22" x14ac:dyDescent="0.4">
      <c r="A621" s="1" t="s">
        <v>1987</v>
      </c>
      <c r="B621" s="1" t="s">
        <v>1988</v>
      </c>
      <c r="C621" s="1" t="s">
        <v>1989</v>
      </c>
      <c r="D621" s="1" t="s">
        <v>44</v>
      </c>
      <c r="E621" s="1" t="s">
        <v>37</v>
      </c>
      <c r="F621" s="5" t="s">
        <v>46</v>
      </c>
      <c r="G621" s="1" t="s">
        <v>27</v>
      </c>
      <c r="H621">
        <f>VLOOKUP(D621,[1]金額リスト!$A$2:$B$6,2,FALSE)</f>
        <v>114300</v>
      </c>
      <c r="I621" s="1" t="s">
        <v>33</v>
      </c>
      <c r="J621">
        <f t="shared" si="117"/>
        <v>0</v>
      </c>
      <c r="K621">
        <f t="shared" si="118"/>
        <v>0</v>
      </c>
      <c r="L621">
        <f t="shared" si="129"/>
        <v>0</v>
      </c>
      <c r="M621">
        <f t="shared" si="119"/>
        <v>0</v>
      </c>
      <c r="N621">
        <f t="shared" si="120"/>
        <v>114300</v>
      </c>
      <c r="O621">
        <f t="shared" si="121"/>
        <v>0</v>
      </c>
      <c r="P621">
        <f t="shared" si="122"/>
        <v>0</v>
      </c>
      <c r="Q621">
        <f t="shared" si="123"/>
        <v>0</v>
      </c>
      <c r="R621">
        <f t="shared" si="124"/>
        <v>0</v>
      </c>
      <c r="S621">
        <f t="shared" si="125"/>
        <v>0</v>
      </c>
      <c r="T621">
        <f t="shared" si="126"/>
        <v>0</v>
      </c>
      <c r="U621">
        <f t="shared" si="127"/>
        <v>0</v>
      </c>
      <c r="V621">
        <f t="shared" si="128"/>
        <v>0</v>
      </c>
    </row>
    <row r="622" spans="1:22" x14ac:dyDescent="0.4">
      <c r="A622" s="1" t="s">
        <v>1990</v>
      </c>
      <c r="B622" s="1" t="s">
        <v>1991</v>
      </c>
      <c r="C622" s="1" t="s">
        <v>1992</v>
      </c>
      <c r="D622" s="1" t="s">
        <v>1944</v>
      </c>
      <c r="E622" s="1" t="s">
        <v>1945</v>
      </c>
      <c r="F622" s="5" t="s">
        <v>1946</v>
      </c>
      <c r="G622" s="1" t="s">
        <v>27</v>
      </c>
      <c r="H622">
        <f>VLOOKUP(D622,[1]金額リスト!$A$2:$B$6,2,FALSE)</f>
        <v>113220</v>
      </c>
      <c r="I622" s="1" t="s">
        <v>28</v>
      </c>
      <c r="J622">
        <f t="shared" si="117"/>
        <v>0</v>
      </c>
      <c r="K622">
        <f t="shared" si="118"/>
        <v>0</v>
      </c>
      <c r="L622">
        <f t="shared" si="129"/>
        <v>0</v>
      </c>
      <c r="M622">
        <f t="shared" si="119"/>
        <v>0</v>
      </c>
      <c r="N622">
        <f t="shared" si="120"/>
        <v>0</v>
      </c>
      <c r="O622">
        <f t="shared" si="121"/>
        <v>0</v>
      </c>
      <c r="P622">
        <f t="shared" si="122"/>
        <v>0</v>
      </c>
      <c r="Q622">
        <f t="shared" si="123"/>
        <v>0</v>
      </c>
      <c r="R622">
        <f t="shared" si="124"/>
        <v>0</v>
      </c>
      <c r="S622">
        <f t="shared" si="125"/>
        <v>0</v>
      </c>
      <c r="T622">
        <f t="shared" si="126"/>
        <v>0</v>
      </c>
      <c r="U622">
        <f t="shared" si="127"/>
        <v>0</v>
      </c>
      <c r="V622">
        <f t="shared" si="128"/>
        <v>113220</v>
      </c>
    </row>
    <row r="623" spans="1:22" x14ac:dyDescent="0.4">
      <c r="A623" s="1" t="s">
        <v>1993</v>
      </c>
      <c r="B623" s="1" t="s">
        <v>1994</v>
      </c>
      <c r="C623" s="1" t="s">
        <v>1995</v>
      </c>
      <c r="D623" s="1" t="s">
        <v>44</v>
      </c>
      <c r="E623" s="1" t="s">
        <v>1157</v>
      </c>
      <c r="F623" s="5" t="s">
        <v>479</v>
      </c>
      <c r="G623" s="1" t="s">
        <v>27</v>
      </c>
      <c r="H623">
        <f>VLOOKUP(D623,[1]金額リスト!$A$2:$B$6,2,FALSE)</f>
        <v>114300</v>
      </c>
      <c r="I623" s="1" t="s">
        <v>868</v>
      </c>
      <c r="J623">
        <f t="shared" si="117"/>
        <v>0</v>
      </c>
      <c r="K623">
        <f t="shared" si="118"/>
        <v>0</v>
      </c>
      <c r="L623">
        <f t="shared" si="129"/>
        <v>114300</v>
      </c>
      <c r="M623">
        <f t="shared" si="119"/>
        <v>0</v>
      </c>
      <c r="N623">
        <f t="shared" si="120"/>
        <v>0</v>
      </c>
      <c r="O623">
        <f t="shared" si="121"/>
        <v>0</v>
      </c>
      <c r="P623">
        <f t="shared" si="122"/>
        <v>0</v>
      </c>
      <c r="Q623">
        <f t="shared" si="123"/>
        <v>0</v>
      </c>
      <c r="R623">
        <f t="shared" si="124"/>
        <v>0</v>
      </c>
      <c r="S623">
        <f t="shared" si="125"/>
        <v>0</v>
      </c>
      <c r="T623">
        <f t="shared" si="126"/>
        <v>0</v>
      </c>
      <c r="U623">
        <f t="shared" si="127"/>
        <v>0</v>
      </c>
      <c r="V623">
        <f t="shared" si="128"/>
        <v>0</v>
      </c>
    </row>
    <row r="624" spans="1:22" x14ac:dyDescent="0.4">
      <c r="A624" s="1" t="s">
        <v>1996</v>
      </c>
      <c r="B624" s="1" t="s">
        <v>1997</v>
      </c>
      <c r="C624" s="1" t="s">
        <v>1998</v>
      </c>
      <c r="D624" s="1" t="s">
        <v>50</v>
      </c>
      <c r="E624" s="1" t="s">
        <v>376</v>
      </c>
      <c r="F624" s="5" t="s">
        <v>46</v>
      </c>
      <c r="G624" s="1" t="s">
        <v>52</v>
      </c>
      <c r="H624">
        <f>VLOOKUP(D624,[1]金額リスト!$A$2:$B$6,2,FALSE)</f>
        <v>114300</v>
      </c>
      <c r="I624" s="1" t="s">
        <v>28</v>
      </c>
      <c r="J624">
        <f t="shared" si="117"/>
        <v>0</v>
      </c>
      <c r="K624">
        <f t="shared" si="118"/>
        <v>0</v>
      </c>
      <c r="L624">
        <f t="shared" si="129"/>
        <v>0</v>
      </c>
      <c r="M624">
        <f t="shared" si="119"/>
        <v>0</v>
      </c>
      <c r="N624">
        <f t="shared" si="120"/>
        <v>114300</v>
      </c>
      <c r="O624">
        <f t="shared" si="121"/>
        <v>0</v>
      </c>
      <c r="P624">
        <f t="shared" si="122"/>
        <v>0</v>
      </c>
      <c r="Q624">
        <f t="shared" si="123"/>
        <v>0</v>
      </c>
      <c r="R624">
        <f t="shared" si="124"/>
        <v>0</v>
      </c>
      <c r="S624">
        <f t="shared" si="125"/>
        <v>0</v>
      </c>
      <c r="T624">
        <f t="shared" si="126"/>
        <v>0</v>
      </c>
      <c r="U624">
        <f t="shared" si="127"/>
        <v>0</v>
      </c>
      <c r="V624">
        <f t="shared" si="128"/>
        <v>0</v>
      </c>
    </row>
    <row r="625" spans="1:22" x14ac:dyDescent="0.4">
      <c r="A625" s="1" t="s">
        <v>1999</v>
      </c>
      <c r="B625" s="1" t="s">
        <v>2000</v>
      </c>
      <c r="C625" s="1" t="s">
        <v>2001</v>
      </c>
      <c r="D625" s="1" t="s">
        <v>44</v>
      </c>
      <c r="E625" s="1" t="s">
        <v>1141</v>
      </c>
      <c r="F625" s="5" t="s">
        <v>479</v>
      </c>
      <c r="G625" s="1" t="s">
        <v>27</v>
      </c>
      <c r="H625">
        <f>VLOOKUP(D625,[1]金額リスト!$A$2:$B$6,2,FALSE)</f>
        <v>114300</v>
      </c>
      <c r="I625" s="1" t="s">
        <v>868</v>
      </c>
      <c r="J625">
        <f t="shared" si="117"/>
        <v>0</v>
      </c>
      <c r="K625">
        <f t="shared" si="118"/>
        <v>0</v>
      </c>
      <c r="L625">
        <f t="shared" si="129"/>
        <v>114300</v>
      </c>
      <c r="M625">
        <f t="shared" si="119"/>
        <v>0</v>
      </c>
      <c r="N625">
        <f t="shared" si="120"/>
        <v>0</v>
      </c>
      <c r="O625">
        <f t="shared" si="121"/>
        <v>0</v>
      </c>
      <c r="P625">
        <f t="shared" si="122"/>
        <v>0</v>
      </c>
      <c r="Q625">
        <f t="shared" si="123"/>
        <v>0</v>
      </c>
      <c r="R625">
        <f t="shared" si="124"/>
        <v>0</v>
      </c>
      <c r="S625">
        <f t="shared" si="125"/>
        <v>0</v>
      </c>
      <c r="T625">
        <f t="shared" si="126"/>
        <v>0</v>
      </c>
      <c r="U625">
        <f t="shared" si="127"/>
        <v>0</v>
      </c>
      <c r="V625">
        <f t="shared" si="128"/>
        <v>0</v>
      </c>
    </row>
    <row r="626" spans="1:22" x14ac:dyDescent="0.4">
      <c r="A626" s="1" t="s">
        <v>2002</v>
      </c>
      <c r="B626" s="1" t="s">
        <v>2003</v>
      </c>
      <c r="C626" s="1" t="s">
        <v>2004</v>
      </c>
      <c r="D626" s="1" t="s">
        <v>44</v>
      </c>
      <c r="E626" s="1" t="s">
        <v>928</v>
      </c>
      <c r="F626" s="5" t="s">
        <v>479</v>
      </c>
      <c r="G626" s="1" t="s">
        <v>27</v>
      </c>
      <c r="H626">
        <f>VLOOKUP(D626,[1]金額リスト!$A$2:$B$6,2,FALSE)</f>
        <v>114300</v>
      </c>
      <c r="I626" s="1" t="s">
        <v>868</v>
      </c>
      <c r="J626">
        <f t="shared" si="117"/>
        <v>0</v>
      </c>
      <c r="K626">
        <f t="shared" si="118"/>
        <v>0</v>
      </c>
      <c r="L626">
        <f t="shared" si="129"/>
        <v>114300</v>
      </c>
      <c r="M626">
        <f t="shared" si="119"/>
        <v>0</v>
      </c>
      <c r="N626">
        <f t="shared" si="120"/>
        <v>0</v>
      </c>
      <c r="O626">
        <f t="shared" si="121"/>
        <v>0</v>
      </c>
      <c r="P626">
        <f t="shared" si="122"/>
        <v>0</v>
      </c>
      <c r="Q626">
        <f t="shared" si="123"/>
        <v>0</v>
      </c>
      <c r="R626">
        <f t="shared" si="124"/>
        <v>0</v>
      </c>
      <c r="S626">
        <f t="shared" si="125"/>
        <v>0</v>
      </c>
      <c r="T626">
        <f t="shared" si="126"/>
        <v>0</v>
      </c>
      <c r="U626">
        <f t="shared" si="127"/>
        <v>0</v>
      </c>
      <c r="V626">
        <f t="shared" si="128"/>
        <v>0</v>
      </c>
    </row>
    <row r="627" spans="1:22" x14ac:dyDescent="0.4">
      <c r="A627" s="1" t="s">
        <v>2005</v>
      </c>
      <c r="B627" s="1" t="s">
        <v>2006</v>
      </c>
      <c r="C627" s="1" t="s">
        <v>2007</v>
      </c>
      <c r="D627" s="1" t="s">
        <v>44</v>
      </c>
      <c r="E627" s="1" t="s">
        <v>56</v>
      </c>
      <c r="F627" s="5" t="s">
        <v>46</v>
      </c>
      <c r="G627" s="1" t="s">
        <v>27</v>
      </c>
      <c r="H627">
        <f>VLOOKUP(D627,[1]金額リスト!$A$2:$B$6,2,FALSE)</f>
        <v>114300</v>
      </c>
      <c r="I627" s="1" t="s">
        <v>33</v>
      </c>
      <c r="J627">
        <f t="shared" si="117"/>
        <v>0</v>
      </c>
      <c r="K627">
        <f t="shared" si="118"/>
        <v>0</v>
      </c>
      <c r="L627">
        <f t="shared" si="129"/>
        <v>0</v>
      </c>
      <c r="M627">
        <f t="shared" si="119"/>
        <v>0</v>
      </c>
      <c r="N627">
        <f t="shared" si="120"/>
        <v>114300</v>
      </c>
      <c r="O627">
        <f t="shared" si="121"/>
        <v>0</v>
      </c>
      <c r="P627">
        <f t="shared" si="122"/>
        <v>0</v>
      </c>
      <c r="Q627">
        <f t="shared" si="123"/>
        <v>0</v>
      </c>
      <c r="R627">
        <f t="shared" si="124"/>
        <v>0</v>
      </c>
      <c r="S627">
        <f t="shared" si="125"/>
        <v>0</v>
      </c>
      <c r="T627">
        <f t="shared" si="126"/>
        <v>0</v>
      </c>
      <c r="U627">
        <f t="shared" si="127"/>
        <v>0</v>
      </c>
      <c r="V627">
        <f t="shared" si="128"/>
        <v>0</v>
      </c>
    </row>
    <row r="628" spans="1:22" x14ac:dyDescent="0.4">
      <c r="A628" s="1" t="s">
        <v>2008</v>
      </c>
      <c r="B628" s="1" t="s">
        <v>2009</v>
      </c>
      <c r="C628" s="1" t="s">
        <v>2010</v>
      </c>
      <c r="D628" s="1" t="s">
        <v>44</v>
      </c>
      <c r="E628" s="1" t="s">
        <v>2011</v>
      </c>
      <c r="F628" s="5" t="s">
        <v>1130</v>
      </c>
      <c r="G628" s="1" t="s">
        <v>27</v>
      </c>
      <c r="H628">
        <f>VLOOKUP(D628,[1]金額リスト!$A$2:$B$6,2,FALSE)</f>
        <v>114300</v>
      </c>
      <c r="I628" s="1" t="s">
        <v>1455</v>
      </c>
      <c r="J628">
        <f t="shared" si="117"/>
        <v>0</v>
      </c>
      <c r="K628">
        <f t="shared" si="118"/>
        <v>0</v>
      </c>
      <c r="L628">
        <f t="shared" si="129"/>
        <v>0</v>
      </c>
      <c r="M628">
        <f t="shared" si="119"/>
        <v>114300</v>
      </c>
      <c r="N628">
        <f t="shared" si="120"/>
        <v>0</v>
      </c>
      <c r="O628">
        <f t="shared" si="121"/>
        <v>0</v>
      </c>
      <c r="P628">
        <f t="shared" si="122"/>
        <v>0</v>
      </c>
      <c r="Q628">
        <f t="shared" si="123"/>
        <v>0</v>
      </c>
      <c r="R628">
        <f t="shared" si="124"/>
        <v>0</v>
      </c>
      <c r="S628">
        <f t="shared" si="125"/>
        <v>0</v>
      </c>
      <c r="T628">
        <f t="shared" si="126"/>
        <v>0</v>
      </c>
      <c r="U628">
        <f t="shared" si="127"/>
        <v>0</v>
      </c>
      <c r="V628">
        <f t="shared" si="128"/>
        <v>0</v>
      </c>
    </row>
    <row r="629" spans="1:22" x14ac:dyDescent="0.4">
      <c r="A629" s="1" t="s">
        <v>2012</v>
      </c>
      <c r="B629" s="1" t="s">
        <v>2013</v>
      </c>
      <c r="C629" s="1" t="s">
        <v>2014</v>
      </c>
      <c r="D629" s="1" t="s">
        <v>44</v>
      </c>
      <c r="E629" s="1" t="s">
        <v>867</v>
      </c>
      <c r="F629" s="5" t="s">
        <v>479</v>
      </c>
      <c r="G629" s="1" t="s">
        <v>27</v>
      </c>
      <c r="H629">
        <f>VLOOKUP(D629,[1]金額リスト!$A$2:$B$6,2,FALSE)</f>
        <v>114300</v>
      </c>
      <c r="I629" s="1" t="s">
        <v>868</v>
      </c>
      <c r="J629">
        <f t="shared" si="117"/>
        <v>0</v>
      </c>
      <c r="K629">
        <f t="shared" si="118"/>
        <v>0</v>
      </c>
      <c r="L629">
        <f t="shared" si="129"/>
        <v>114300</v>
      </c>
      <c r="M629">
        <f t="shared" si="119"/>
        <v>0</v>
      </c>
      <c r="N629">
        <f t="shared" si="120"/>
        <v>0</v>
      </c>
      <c r="O629">
        <f t="shared" si="121"/>
        <v>0</v>
      </c>
      <c r="P629">
        <f t="shared" si="122"/>
        <v>0</v>
      </c>
      <c r="Q629">
        <f t="shared" si="123"/>
        <v>0</v>
      </c>
      <c r="R629">
        <f t="shared" si="124"/>
        <v>0</v>
      </c>
      <c r="S629">
        <f t="shared" si="125"/>
        <v>0</v>
      </c>
      <c r="T629">
        <f t="shared" si="126"/>
        <v>0</v>
      </c>
      <c r="U629">
        <f t="shared" si="127"/>
        <v>0</v>
      </c>
      <c r="V629">
        <f t="shared" si="128"/>
        <v>0</v>
      </c>
    </row>
    <row r="630" spans="1:22" x14ac:dyDescent="0.4">
      <c r="A630" s="1" t="s">
        <v>2015</v>
      </c>
      <c r="B630" s="1" t="s">
        <v>2016</v>
      </c>
      <c r="C630" s="1" t="s">
        <v>2017</v>
      </c>
      <c r="D630" s="1" t="s">
        <v>44</v>
      </c>
      <c r="E630" s="1" t="s">
        <v>867</v>
      </c>
      <c r="F630" s="5" t="s">
        <v>479</v>
      </c>
      <c r="G630" s="1" t="s">
        <v>27</v>
      </c>
      <c r="H630">
        <f>VLOOKUP(D630,[1]金額リスト!$A$2:$B$6,2,FALSE)</f>
        <v>114300</v>
      </c>
      <c r="I630" s="1" t="s">
        <v>868</v>
      </c>
      <c r="J630">
        <f t="shared" si="117"/>
        <v>0</v>
      </c>
      <c r="K630">
        <f t="shared" si="118"/>
        <v>0</v>
      </c>
      <c r="L630">
        <f t="shared" si="129"/>
        <v>114300</v>
      </c>
      <c r="M630">
        <f t="shared" si="119"/>
        <v>0</v>
      </c>
      <c r="N630">
        <f t="shared" si="120"/>
        <v>0</v>
      </c>
      <c r="O630">
        <f t="shared" si="121"/>
        <v>0</v>
      </c>
      <c r="P630">
        <f t="shared" si="122"/>
        <v>0</v>
      </c>
      <c r="Q630">
        <f t="shared" si="123"/>
        <v>0</v>
      </c>
      <c r="R630">
        <f t="shared" si="124"/>
        <v>0</v>
      </c>
      <c r="S630">
        <f t="shared" si="125"/>
        <v>0</v>
      </c>
      <c r="T630">
        <f t="shared" si="126"/>
        <v>0</v>
      </c>
      <c r="U630">
        <f t="shared" si="127"/>
        <v>0</v>
      </c>
      <c r="V630">
        <f t="shared" si="128"/>
        <v>0</v>
      </c>
    </row>
    <row r="631" spans="1:22" x14ac:dyDescent="0.4">
      <c r="A631" s="1" t="s">
        <v>2018</v>
      </c>
      <c r="B631" s="1" t="s">
        <v>2019</v>
      </c>
      <c r="C631" s="1" t="s">
        <v>2020</v>
      </c>
      <c r="D631" s="1" t="s">
        <v>44</v>
      </c>
      <c r="E631" s="1" t="s">
        <v>2021</v>
      </c>
      <c r="F631" s="5" t="s">
        <v>1929</v>
      </c>
      <c r="G631" s="1" t="s">
        <v>27</v>
      </c>
      <c r="H631">
        <f>VLOOKUP(D631,[1]金額リスト!$A$2:$B$6,2,FALSE)</f>
        <v>114300</v>
      </c>
      <c r="I631" s="1" t="s">
        <v>1930</v>
      </c>
      <c r="J631">
        <f t="shared" si="117"/>
        <v>114300</v>
      </c>
      <c r="K631">
        <f t="shared" si="118"/>
        <v>0</v>
      </c>
      <c r="L631">
        <f t="shared" si="129"/>
        <v>0</v>
      </c>
      <c r="M631">
        <f t="shared" si="119"/>
        <v>0</v>
      </c>
      <c r="N631">
        <f t="shared" si="120"/>
        <v>0</v>
      </c>
      <c r="O631">
        <f t="shared" si="121"/>
        <v>0</v>
      </c>
      <c r="P631">
        <f t="shared" si="122"/>
        <v>0</v>
      </c>
      <c r="Q631">
        <f t="shared" si="123"/>
        <v>0</v>
      </c>
      <c r="R631">
        <f t="shared" si="124"/>
        <v>0</v>
      </c>
      <c r="S631">
        <f t="shared" si="125"/>
        <v>0</v>
      </c>
      <c r="T631">
        <f t="shared" si="126"/>
        <v>0</v>
      </c>
      <c r="U631">
        <f t="shared" si="127"/>
        <v>0</v>
      </c>
      <c r="V631">
        <f t="shared" si="128"/>
        <v>0</v>
      </c>
    </row>
    <row r="632" spans="1:22" x14ac:dyDescent="0.4">
      <c r="A632" s="1" t="s">
        <v>2022</v>
      </c>
      <c r="B632" s="1" t="s">
        <v>2023</v>
      </c>
      <c r="C632" s="1" t="s">
        <v>2024</v>
      </c>
      <c r="D632" s="1" t="s">
        <v>44</v>
      </c>
      <c r="E632" s="1" t="s">
        <v>86</v>
      </c>
      <c r="F632" s="5" t="s">
        <v>46</v>
      </c>
      <c r="G632" s="1" t="s">
        <v>27</v>
      </c>
      <c r="H632">
        <f>VLOOKUP(D632,[1]金額リスト!$A$2:$B$6,2,FALSE)</f>
        <v>114300</v>
      </c>
      <c r="I632" s="1" t="s">
        <v>33</v>
      </c>
      <c r="J632">
        <f t="shared" si="117"/>
        <v>0</v>
      </c>
      <c r="K632">
        <f t="shared" si="118"/>
        <v>0</v>
      </c>
      <c r="L632">
        <f t="shared" si="129"/>
        <v>0</v>
      </c>
      <c r="M632">
        <f t="shared" si="119"/>
        <v>0</v>
      </c>
      <c r="N632">
        <f t="shared" si="120"/>
        <v>114300</v>
      </c>
      <c r="O632">
        <f t="shared" si="121"/>
        <v>0</v>
      </c>
      <c r="P632">
        <f t="shared" si="122"/>
        <v>0</v>
      </c>
      <c r="Q632">
        <f t="shared" si="123"/>
        <v>0</v>
      </c>
      <c r="R632">
        <f t="shared" si="124"/>
        <v>0</v>
      </c>
      <c r="S632">
        <f t="shared" si="125"/>
        <v>0</v>
      </c>
      <c r="T632">
        <f t="shared" si="126"/>
        <v>0</v>
      </c>
      <c r="U632">
        <f t="shared" si="127"/>
        <v>0</v>
      </c>
      <c r="V632">
        <f t="shared" si="128"/>
        <v>0</v>
      </c>
    </row>
    <row r="633" spans="1:22" x14ac:dyDescent="0.4">
      <c r="A633" s="1" t="s">
        <v>2025</v>
      </c>
      <c r="B633" s="1" t="s">
        <v>2026</v>
      </c>
      <c r="C633" s="1" t="s">
        <v>2027</v>
      </c>
      <c r="D633" s="1" t="s">
        <v>44</v>
      </c>
      <c r="E633" s="1" t="s">
        <v>1195</v>
      </c>
      <c r="F633" s="5" t="s">
        <v>479</v>
      </c>
      <c r="G633" s="1" t="s">
        <v>27</v>
      </c>
      <c r="H633">
        <f>VLOOKUP(D633,[1]金額リスト!$A$2:$B$6,2,FALSE)</f>
        <v>114300</v>
      </c>
      <c r="I633" s="1" t="s">
        <v>868</v>
      </c>
      <c r="J633">
        <f t="shared" si="117"/>
        <v>0</v>
      </c>
      <c r="K633">
        <f t="shared" si="118"/>
        <v>0</v>
      </c>
      <c r="L633">
        <f t="shared" si="129"/>
        <v>114300</v>
      </c>
      <c r="M633">
        <f t="shared" si="119"/>
        <v>0</v>
      </c>
      <c r="N633">
        <f t="shared" si="120"/>
        <v>0</v>
      </c>
      <c r="O633">
        <f t="shared" si="121"/>
        <v>0</v>
      </c>
      <c r="P633">
        <f t="shared" si="122"/>
        <v>0</v>
      </c>
      <c r="Q633">
        <f t="shared" si="123"/>
        <v>0</v>
      </c>
      <c r="R633">
        <f t="shared" si="124"/>
        <v>0</v>
      </c>
      <c r="S633">
        <f t="shared" si="125"/>
        <v>0</v>
      </c>
      <c r="T633">
        <f t="shared" si="126"/>
        <v>0</v>
      </c>
      <c r="U633">
        <f t="shared" si="127"/>
        <v>0</v>
      </c>
      <c r="V633">
        <f t="shared" si="128"/>
        <v>0</v>
      </c>
    </row>
    <row r="634" spans="1:22" x14ac:dyDescent="0.4">
      <c r="A634" s="1" t="s">
        <v>2028</v>
      </c>
      <c r="B634" s="1" t="s">
        <v>2029</v>
      </c>
      <c r="C634" s="1" t="s">
        <v>2030</v>
      </c>
      <c r="D634" s="1" t="s">
        <v>44</v>
      </c>
      <c r="E634" s="1" t="s">
        <v>2031</v>
      </c>
      <c r="F634" s="5" t="s">
        <v>10</v>
      </c>
      <c r="G634" s="1" t="s">
        <v>27</v>
      </c>
      <c r="H634">
        <f>VLOOKUP(D634,[1]金額リスト!$A$2:$B$6,2,FALSE)</f>
        <v>114300</v>
      </c>
      <c r="I634" s="1" t="s">
        <v>1593</v>
      </c>
      <c r="J634">
        <f t="shared" si="117"/>
        <v>0</v>
      </c>
      <c r="K634">
        <f t="shared" si="118"/>
        <v>114300</v>
      </c>
      <c r="L634">
        <f t="shared" si="129"/>
        <v>0</v>
      </c>
      <c r="M634">
        <f t="shared" si="119"/>
        <v>0</v>
      </c>
      <c r="N634">
        <f t="shared" si="120"/>
        <v>0</v>
      </c>
      <c r="O634">
        <f t="shared" si="121"/>
        <v>0</v>
      </c>
      <c r="P634">
        <f t="shared" si="122"/>
        <v>0</v>
      </c>
      <c r="Q634">
        <f t="shared" si="123"/>
        <v>0</v>
      </c>
      <c r="R634">
        <f t="shared" si="124"/>
        <v>0</v>
      </c>
      <c r="S634">
        <f t="shared" si="125"/>
        <v>0</v>
      </c>
      <c r="T634">
        <f t="shared" si="126"/>
        <v>0</v>
      </c>
      <c r="U634">
        <f t="shared" si="127"/>
        <v>0</v>
      </c>
      <c r="V634">
        <f t="shared" si="128"/>
        <v>0</v>
      </c>
    </row>
    <row r="635" spans="1:22" x14ac:dyDescent="0.4">
      <c r="A635" s="1" t="s">
        <v>2032</v>
      </c>
      <c r="B635" s="1" t="s">
        <v>2033</v>
      </c>
      <c r="C635" s="1" t="s">
        <v>2034</v>
      </c>
      <c r="D635" s="1" t="s">
        <v>1944</v>
      </c>
      <c r="E635" s="1" t="s">
        <v>2035</v>
      </c>
      <c r="F635" s="5" t="s">
        <v>1623</v>
      </c>
      <c r="G635" s="1" t="s">
        <v>27</v>
      </c>
      <c r="H635">
        <f>VLOOKUP(D635,[1]金額リスト!$A$2:$B$6,2,FALSE)</f>
        <v>113220</v>
      </c>
      <c r="I635" s="1" t="s">
        <v>1930</v>
      </c>
      <c r="J635">
        <f t="shared" si="117"/>
        <v>0</v>
      </c>
      <c r="K635">
        <f t="shared" si="118"/>
        <v>0</v>
      </c>
      <c r="L635">
        <f t="shared" si="129"/>
        <v>0</v>
      </c>
      <c r="M635">
        <f t="shared" si="119"/>
        <v>0</v>
      </c>
      <c r="N635">
        <f t="shared" si="120"/>
        <v>0</v>
      </c>
      <c r="O635">
        <f t="shared" si="121"/>
        <v>0</v>
      </c>
      <c r="P635">
        <f t="shared" si="122"/>
        <v>113220</v>
      </c>
      <c r="Q635">
        <f t="shared" si="123"/>
        <v>0</v>
      </c>
      <c r="R635">
        <f t="shared" si="124"/>
        <v>0</v>
      </c>
      <c r="S635">
        <f t="shared" si="125"/>
        <v>0</v>
      </c>
      <c r="T635">
        <f t="shared" si="126"/>
        <v>0</v>
      </c>
      <c r="U635">
        <f t="shared" si="127"/>
        <v>0</v>
      </c>
      <c r="V635">
        <f t="shared" si="128"/>
        <v>0</v>
      </c>
    </row>
    <row r="636" spans="1:22" x14ac:dyDescent="0.4">
      <c r="A636" s="1" t="s">
        <v>2036</v>
      </c>
      <c r="B636" s="1" t="s">
        <v>2037</v>
      </c>
      <c r="C636" s="1" t="s">
        <v>2038</v>
      </c>
      <c r="D636" s="1" t="s">
        <v>25</v>
      </c>
      <c r="E636" s="1" t="s">
        <v>45</v>
      </c>
      <c r="F636" s="5" t="s">
        <v>10</v>
      </c>
      <c r="G636" s="1" t="s">
        <v>27</v>
      </c>
      <c r="H636">
        <f>VLOOKUP(D636,[1]金額リスト!$A$2:$B$6,2,FALSE)</f>
        <v>59400</v>
      </c>
      <c r="I636" s="1" t="s">
        <v>33</v>
      </c>
      <c r="J636">
        <f t="shared" si="117"/>
        <v>0</v>
      </c>
      <c r="K636">
        <f t="shared" si="118"/>
        <v>59400</v>
      </c>
      <c r="L636">
        <f t="shared" si="129"/>
        <v>0</v>
      </c>
      <c r="M636">
        <f t="shared" si="119"/>
        <v>0</v>
      </c>
      <c r="N636">
        <f t="shared" si="120"/>
        <v>0</v>
      </c>
      <c r="O636">
        <f t="shared" si="121"/>
        <v>0</v>
      </c>
      <c r="P636">
        <f t="shared" si="122"/>
        <v>0</v>
      </c>
      <c r="Q636">
        <f t="shared" si="123"/>
        <v>0</v>
      </c>
      <c r="R636">
        <f t="shared" si="124"/>
        <v>0</v>
      </c>
      <c r="S636">
        <f t="shared" si="125"/>
        <v>0</v>
      </c>
      <c r="T636">
        <f t="shared" si="126"/>
        <v>0</v>
      </c>
      <c r="U636">
        <f t="shared" si="127"/>
        <v>0</v>
      </c>
      <c r="V636">
        <f t="shared" si="128"/>
        <v>0</v>
      </c>
    </row>
    <row r="637" spans="1:22" x14ac:dyDescent="0.4">
      <c r="A637" s="1" t="s">
        <v>2039</v>
      </c>
      <c r="B637" s="1" t="s">
        <v>2040</v>
      </c>
      <c r="C637" s="1" t="s">
        <v>2041</v>
      </c>
      <c r="D637" s="1" t="s">
        <v>1944</v>
      </c>
      <c r="E637" s="1" t="s">
        <v>2042</v>
      </c>
      <c r="F637" s="5" t="s">
        <v>1623</v>
      </c>
      <c r="G637" s="1" t="s">
        <v>27</v>
      </c>
      <c r="H637">
        <f>VLOOKUP(D637,[1]金額リスト!$A$2:$B$6,2,FALSE)</f>
        <v>113220</v>
      </c>
      <c r="I637" s="1" t="s">
        <v>1930</v>
      </c>
      <c r="J637">
        <f t="shared" si="117"/>
        <v>0</v>
      </c>
      <c r="K637">
        <f t="shared" si="118"/>
        <v>0</v>
      </c>
      <c r="L637">
        <f t="shared" si="129"/>
        <v>0</v>
      </c>
      <c r="M637">
        <f t="shared" si="119"/>
        <v>0</v>
      </c>
      <c r="N637">
        <f t="shared" si="120"/>
        <v>0</v>
      </c>
      <c r="O637">
        <f t="shared" si="121"/>
        <v>0</v>
      </c>
      <c r="P637">
        <f t="shared" si="122"/>
        <v>113220</v>
      </c>
      <c r="Q637">
        <f t="shared" si="123"/>
        <v>0</v>
      </c>
      <c r="R637">
        <f t="shared" si="124"/>
        <v>0</v>
      </c>
      <c r="S637">
        <f t="shared" si="125"/>
        <v>0</v>
      </c>
      <c r="T637">
        <f t="shared" si="126"/>
        <v>0</v>
      </c>
      <c r="U637">
        <f t="shared" si="127"/>
        <v>0</v>
      </c>
      <c r="V637">
        <f t="shared" si="128"/>
        <v>0</v>
      </c>
    </row>
    <row r="638" spans="1:22" x14ac:dyDescent="0.4">
      <c r="A638" s="1" t="s">
        <v>2043</v>
      </c>
      <c r="B638" s="1" t="s">
        <v>2044</v>
      </c>
      <c r="C638" s="1" t="s">
        <v>2045</v>
      </c>
      <c r="D638" s="1" t="s">
        <v>44</v>
      </c>
      <c r="E638" s="1" t="s">
        <v>1660</v>
      </c>
      <c r="F638" s="5" t="s">
        <v>10</v>
      </c>
      <c r="G638" s="1" t="s">
        <v>27</v>
      </c>
      <c r="H638">
        <f>VLOOKUP(D638,[1]金額リスト!$A$2:$B$6,2,FALSE)</f>
        <v>114300</v>
      </c>
      <c r="I638" s="1" t="s">
        <v>1593</v>
      </c>
      <c r="J638">
        <f t="shared" si="117"/>
        <v>0</v>
      </c>
      <c r="K638">
        <f t="shared" si="118"/>
        <v>114300</v>
      </c>
      <c r="L638">
        <f t="shared" si="129"/>
        <v>0</v>
      </c>
      <c r="M638">
        <f t="shared" si="119"/>
        <v>0</v>
      </c>
      <c r="N638">
        <f t="shared" si="120"/>
        <v>0</v>
      </c>
      <c r="O638">
        <f t="shared" si="121"/>
        <v>0</v>
      </c>
      <c r="P638">
        <f t="shared" si="122"/>
        <v>0</v>
      </c>
      <c r="Q638">
        <f t="shared" si="123"/>
        <v>0</v>
      </c>
      <c r="R638">
        <f t="shared" si="124"/>
        <v>0</v>
      </c>
      <c r="S638">
        <f t="shared" si="125"/>
        <v>0</v>
      </c>
      <c r="T638">
        <f t="shared" si="126"/>
        <v>0</v>
      </c>
      <c r="U638">
        <f t="shared" si="127"/>
        <v>0</v>
      </c>
      <c r="V638">
        <f t="shared" si="128"/>
        <v>0</v>
      </c>
    </row>
    <row r="639" spans="1:22" x14ac:dyDescent="0.4">
      <c r="A639" s="1" t="s">
        <v>2046</v>
      </c>
      <c r="B639" s="1" t="s">
        <v>2047</v>
      </c>
      <c r="C639" s="1" t="s">
        <v>2048</v>
      </c>
      <c r="D639" s="1" t="s">
        <v>25</v>
      </c>
      <c r="E639" s="1" t="s">
        <v>32</v>
      </c>
      <c r="F639" s="5" t="s">
        <v>10</v>
      </c>
      <c r="G639" s="1" t="s">
        <v>27</v>
      </c>
      <c r="H639">
        <f>VLOOKUP(D639,[1]金額リスト!$A$2:$B$6,2,FALSE)</f>
        <v>59400</v>
      </c>
      <c r="I639" s="1" t="s">
        <v>33</v>
      </c>
      <c r="J639">
        <f t="shared" si="117"/>
        <v>0</v>
      </c>
      <c r="K639">
        <f t="shared" si="118"/>
        <v>59400</v>
      </c>
      <c r="L639">
        <f t="shared" si="129"/>
        <v>0</v>
      </c>
      <c r="M639">
        <f t="shared" si="119"/>
        <v>0</v>
      </c>
      <c r="N639">
        <f t="shared" si="120"/>
        <v>0</v>
      </c>
      <c r="O639">
        <f t="shared" si="121"/>
        <v>0</v>
      </c>
      <c r="P639">
        <f t="shared" si="122"/>
        <v>0</v>
      </c>
      <c r="Q639">
        <f t="shared" si="123"/>
        <v>0</v>
      </c>
      <c r="R639">
        <f t="shared" si="124"/>
        <v>0</v>
      </c>
      <c r="S639">
        <f t="shared" si="125"/>
        <v>0</v>
      </c>
      <c r="T639">
        <f t="shared" si="126"/>
        <v>0</v>
      </c>
      <c r="U639">
        <f t="shared" si="127"/>
        <v>0</v>
      </c>
      <c r="V639">
        <f t="shared" si="128"/>
        <v>0</v>
      </c>
    </row>
    <row r="640" spans="1:22" x14ac:dyDescent="0.4">
      <c r="A640" s="1" t="s">
        <v>2049</v>
      </c>
      <c r="B640" s="1" t="s">
        <v>2050</v>
      </c>
      <c r="C640" s="1" t="s">
        <v>2051</v>
      </c>
      <c r="D640" s="1" t="s">
        <v>44</v>
      </c>
      <c r="E640" s="1" t="s">
        <v>112</v>
      </c>
      <c r="F640" s="5" t="s">
        <v>46</v>
      </c>
      <c r="G640" s="1" t="s">
        <v>27</v>
      </c>
      <c r="H640">
        <f>VLOOKUP(D640,[1]金額リスト!$A$2:$B$6,2,FALSE)</f>
        <v>114300</v>
      </c>
      <c r="I640" s="1" t="s">
        <v>33</v>
      </c>
      <c r="J640">
        <f t="shared" si="117"/>
        <v>0</v>
      </c>
      <c r="K640">
        <f t="shared" si="118"/>
        <v>0</v>
      </c>
      <c r="L640">
        <f t="shared" si="129"/>
        <v>0</v>
      </c>
      <c r="M640">
        <f t="shared" si="119"/>
        <v>0</v>
      </c>
      <c r="N640">
        <f t="shared" si="120"/>
        <v>114300</v>
      </c>
      <c r="O640">
        <f t="shared" si="121"/>
        <v>0</v>
      </c>
      <c r="P640">
        <f t="shared" si="122"/>
        <v>0</v>
      </c>
      <c r="Q640">
        <f t="shared" si="123"/>
        <v>0</v>
      </c>
      <c r="R640">
        <f t="shared" si="124"/>
        <v>0</v>
      </c>
      <c r="S640">
        <f t="shared" si="125"/>
        <v>0</v>
      </c>
      <c r="T640">
        <f t="shared" si="126"/>
        <v>0</v>
      </c>
      <c r="U640">
        <f t="shared" si="127"/>
        <v>0</v>
      </c>
      <c r="V640">
        <f t="shared" si="128"/>
        <v>0</v>
      </c>
    </row>
    <row r="641" spans="1:22" x14ac:dyDescent="0.4">
      <c r="A641" s="1" t="s">
        <v>2052</v>
      </c>
      <c r="B641" s="1" t="s">
        <v>2053</v>
      </c>
      <c r="C641" s="1" t="s">
        <v>2054</v>
      </c>
      <c r="D641" s="1" t="s">
        <v>44</v>
      </c>
      <c r="E641" s="1" t="s">
        <v>1215</v>
      </c>
      <c r="F641" s="5" t="s">
        <v>479</v>
      </c>
      <c r="G641" s="1" t="s">
        <v>27</v>
      </c>
      <c r="H641">
        <f>VLOOKUP(D641,[1]金額リスト!$A$2:$B$6,2,FALSE)</f>
        <v>114300</v>
      </c>
      <c r="I641" s="1" t="s">
        <v>868</v>
      </c>
      <c r="J641">
        <f t="shared" si="117"/>
        <v>0</v>
      </c>
      <c r="K641">
        <f t="shared" si="118"/>
        <v>0</v>
      </c>
      <c r="L641">
        <f t="shared" si="129"/>
        <v>114300</v>
      </c>
      <c r="M641">
        <f t="shared" si="119"/>
        <v>0</v>
      </c>
      <c r="N641">
        <f t="shared" si="120"/>
        <v>0</v>
      </c>
      <c r="O641">
        <f t="shared" si="121"/>
        <v>0</v>
      </c>
      <c r="P641">
        <f t="shared" si="122"/>
        <v>0</v>
      </c>
      <c r="Q641">
        <f t="shared" si="123"/>
        <v>0</v>
      </c>
      <c r="R641">
        <f t="shared" si="124"/>
        <v>0</v>
      </c>
      <c r="S641">
        <f t="shared" si="125"/>
        <v>0</v>
      </c>
      <c r="T641">
        <f t="shared" si="126"/>
        <v>0</v>
      </c>
      <c r="U641">
        <f t="shared" si="127"/>
        <v>0</v>
      </c>
      <c r="V641">
        <f t="shared" si="128"/>
        <v>0</v>
      </c>
    </row>
    <row r="642" spans="1:22" x14ac:dyDescent="0.4">
      <c r="A642" s="1" t="s">
        <v>2055</v>
      </c>
      <c r="B642" s="1" t="s">
        <v>2056</v>
      </c>
      <c r="C642" s="1" t="s">
        <v>2057</v>
      </c>
      <c r="D642" s="1" t="s">
        <v>44</v>
      </c>
      <c r="E642" s="1" t="s">
        <v>924</v>
      </c>
      <c r="F642" s="5" t="s">
        <v>479</v>
      </c>
      <c r="G642" s="1" t="s">
        <v>27</v>
      </c>
      <c r="H642">
        <f>VLOOKUP(D642,[1]金額リスト!$A$2:$B$6,2,FALSE)</f>
        <v>114300</v>
      </c>
      <c r="I642" s="1" t="s">
        <v>868</v>
      </c>
      <c r="J642">
        <f t="shared" si="117"/>
        <v>0</v>
      </c>
      <c r="K642">
        <f t="shared" si="118"/>
        <v>0</v>
      </c>
      <c r="L642">
        <f t="shared" si="129"/>
        <v>114300</v>
      </c>
      <c r="M642">
        <f t="shared" si="119"/>
        <v>0</v>
      </c>
      <c r="N642">
        <f t="shared" si="120"/>
        <v>0</v>
      </c>
      <c r="O642">
        <f t="shared" si="121"/>
        <v>0</v>
      </c>
      <c r="P642">
        <f t="shared" si="122"/>
        <v>0</v>
      </c>
      <c r="Q642">
        <f t="shared" si="123"/>
        <v>0</v>
      </c>
      <c r="R642">
        <f t="shared" si="124"/>
        <v>0</v>
      </c>
      <c r="S642">
        <f t="shared" si="125"/>
        <v>0</v>
      </c>
      <c r="T642">
        <f t="shared" si="126"/>
        <v>0</v>
      </c>
      <c r="U642">
        <f t="shared" si="127"/>
        <v>0</v>
      </c>
      <c r="V642">
        <f t="shared" si="128"/>
        <v>0</v>
      </c>
    </row>
    <row r="643" spans="1:22" x14ac:dyDescent="0.4">
      <c r="A643" s="1" t="s">
        <v>2058</v>
      </c>
      <c r="B643" s="1" t="s">
        <v>2059</v>
      </c>
      <c r="C643" s="1" t="s">
        <v>2060</v>
      </c>
      <c r="D643" s="1" t="s">
        <v>1944</v>
      </c>
      <c r="E643" s="1" t="s">
        <v>2061</v>
      </c>
      <c r="F643" s="5" t="s">
        <v>1946</v>
      </c>
      <c r="G643" s="1" t="s">
        <v>27</v>
      </c>
      <c r="H643">
        <f>VLOOKUP(D643,[1]金額リスト!$A$2:$B$6,2,FALSE)</f>
        <v>113220</v>
      </c>
      <c r="I643" s="1" t="s">
        <v>28</v>
      </c>
      <c r="J643">
        <f t="shared" ref="J643:J691" si="130">IFERROR(INDEX($F643:$H643,MATCH($J$1,$F643,0),3),0)</f>
        <v>0</v>
      </c>
      <c r="K643">
        <f t="shared" ref="K643:K691" si="131">IFERROR(INDEX($F643:$H643,MATCH($K$1,$F643,0),3),0)</f>
        <v>0</v>
      </c>
      <c r="L643">
        <f t="shared" si="129"/>
        <v>0</v>
      </c>
      <c r="M643">
        <f t="shared" ref="M643:M691" si="132">IFERROR(INDEX($F643:$H643,MATCH($M$1,$F643,0),3),0)</f>
        <v>0</v>
      </c>
      <c r="N643">
        <f t="shared" ref="N643:N691" si="133">IFERROR(INDEX($F643:$H643,MATCH($N$1,$F643,0),3),0)</f>
        <v>0</v>
      </c>
      <c r="O643">
        <f t="shared" ref="O643:O691" si="134">IFERROR(INDEX($F643:$H643,MATCH($O$1,$F643,0),3),0)</f>
        <v>0</v>
      </c>
      <c r="P643">
        <f t="shared" ref="P643:P691" si="135">IFERROR(INDEX($F643:$H643,MATCH($P$1,$F643,0),3),0)</f>
        <v>0</v>
      </c>
      <c r="Q643">
        <f t="shared" ref="Q643:Q691" si="136">IFERROR(INDEX($F643:$H643,MATCH($Q$1,$F643,0),3),0)</f>
        <v>0</v>
      </c>
      <c r="R643">
        <f t="shared" ref="R643:R691" si="137">IFERROR(INDEX($F643:$H643,MATCH($R$1,$F643,0),3),0)</f>
        <v>0</v>
      </c>
      <c r="S643">
        <f t="shared" ref="S643:S691" si="138">IFERROR(INDEX($F643:$H643,MATCH($S$1,$F643,0),3),0)</f>
        <v>0</v>
      </c>
      <c r="T643">
        <f t="shared" ref="T643:T691" si="139">IFERROR(INDEX($F643:$H643,MATCH($T$1,$F643,0),3),0)</f>
        <v>0</v>
      </c>
      <c r="U643">
        <f t="shared" ref="U643:U691" si="140">IFERROR(INDEX($F643:$H643,MATCH($U$1,$F643,0),3),0)</f>
        <v>0</v>
      </c>
      <c r="V643">
        <f t="shared" ref="V643:V691" si="141">IFERROR(INDEX($F643:$H643,MATCH($V$1,$F643,0),3),0)</f>
        <v>113220</v>
      </c>
    </row>
    <row r="644" spans="1:22" x14ac:dyDescent="0.4">
      <c r="A644" s="1" t="s">
        <v>2062</v>
      </c>
      <c r="B644" s="1" t="s">
        <v>2063</v>
      </c>
      <c r="C644" s="1" t="s">
        <v>2064</v>
      </c>
      <c r="D644" s="1" t="s">
        <v>44</v>
      </c>
      <c r="E644" s="1" t="s">
        <v>2065</v>
      </c>
      <c r="F644" s="5" t="s">
        <v>10</v>
      </c>
      <c r="G644" s="1" t="s">
        <v>27</v>
      </c>
      <c r="H644">
        <f>VLOOKUP(D644,[1]金額リスト!$A$2:$B$6,2,FALSE)</f>
        <v>114300</v>
      </c>
      <c r="I644" s="1" t="s">
        <v>1593</v>
      </c>
      <c r="J644">
        <f t="shared" si="130"/>
        <v>0</v>
      </c>
      <c r="K644">
        <f t="shared" si="131"/>
        <v>114300</v>
      </c>
      <c r="L644">
        <f t="shared" ref="L644:L691" si="142">IFERROR(INDEX($F644:$H644,MATCH($L$1,$F644,0),3),0)</f>
        <v>0</v>
      </c>
      <c r="M644">
        <f t="shared" si="132"/>
        <v>0</v>
      </c>
      <c r="N644">
        <f t="shared" si="133"/>
        <v>0</v>
      </c>
      <c r="O644">
        <f t="shared" si="134"/>
        <v>0</v>
      </c>
      <c r="P644">
        <f t="shared" si="135"/>
        <v>0</v>
      </c>
      <c r="Q644">
        <f t="shared" si="136"/>
        <v>0</v>
      </c>
      <c r="R644">
        <f t="shared" si="137"/>
        <v>0</v>
      </c>
      <c r="S644">
        <f t="shared" si="138"/>
        <v>0</v>
      </c>
      <c r="T644">
        <f t="shared" si="139"/>
        <v>0</v>
      </c>
      <c r="U644">
        <f t="shared" si="140"/>
        <v>0</v>
      </c>
      <c r="V644">
        <f t="shared" si="141"/>
        <v>0</v>
      </c>
    </row>
    <row r="645" spans="1:22" x14ac:dyDescent="0.4">
      <c r="A645" s="1" t="s">
        <v>2066</v>
      </c>
      <c r="B645" s="1" t="s">
        <v>2067</v>
      </c>
      <c r="C645" s="1" t="s">
        <v>2068</v>
      </c>
      <c r="D645" s="1" t="s">
        <v>1944</v>
      </c>
      <c r="E645" s="1" t="s">
        <v>2069</v>
      </c>
      <c r="F645" s="5" t="s">
        <v>1623</v>
      </c>
      <c r="G645" s="1" t="s">
        <v>27</v>
      </c>
      <c r="H645">
        <f>VLOOKUP(D645,[1]金額リスト!$A$2:$B$6,2,FALSE)</f>
        <v>113220</v>
      </c>
      <c r="I645" s="1" t="s">
        <v>1930</v>
      </c>
      <c r="J645">
        <f t="shared" si="130"/>
        <v>0</v>
      </c>
      <c r="K645">
        <f t="shared" si="131"/>
        <v>0</v>
      </c>
      <c r="L645">
        <f t="shared" si="142"/>
        <v>0</v>
      </c>
      <c r="M645">
        <f t="shared" si="132"/>
        <v>0</v>
      </c>
      <c r="N645">
        <f t="shared" si="133"/>
        <v>0</v>
      </c>
      <c r="O645">
        <f t="shared" si="134"/>
        <v>0</v>
      </c>
      <c r="P645">
        <f t="shared" si="135"/>
        <v>113220</v>
      </c>
      <c r="Q645">
        <f t="shared" si="136"/>
        <v>0</v>
      </c>
      <c r="R645">
        <f t="shared" si="137"/>
        <v>0</v>
      </c>
      <c r="S645">
        <f t="shared" si="138"/>
        <v>0</v>
      </c>
      <c r="T645">
        <f t="shared" si="139"/>
        <v>0</v>
      </c>
      <c r="U645">
        <f t="shared" si="140"/>
        <v>0</v>
      </c>
      <c r="V645">
        <f t="shared" si="141"/>
        <v>0</v>
      </c>
    </row>
    <row r="646" spans="1:22" x14ac:dyDescent="0.4">
      <c r="A646" s="1" t="s">
        <v>2070</v>
      </c>
      <c r="B646" s="1" t="s">
        <v>2071</v>
      </c>
      <c r="C646" s="1" t="s">
        <v>2072</v>
      </c>
      <c r="D646" s="1" t="s">
        <v>1944</v>
      </c>
      <c r="E646" s="1" t="s">
        <v>2073</v>
      </c>
      <c r="F646" s="5" t="s">
        <v>75</v>
      </c>
      <c r="G646" s="1" t="s">
        <v>27</v>
      </c>
      <c r="H646">
        <f>VLOOKUP(D646,[1]金額リスト!$A$2:$B$6,2,FALSE)</f>
        <v>113220</v>
      </c>
      <c r="I646" s="1" t="s">
        <v>2074</v>
      </c>
      <c r="J646">
        <f t="shared" si="130"/>
        <v>0</v>
      </c>
      <c r="K646">
        <f t="shared" si="131"/>
        <v>0</v>
      </c>
      <c r="L646">
        <f t="shared" si="142"/>
        <v>0</v>
      </c>
      <c r="M646">
        <f t="shared" si="132"/>
        <v>0</v>
      </c>
      <c r="N646">
        <f t="shared" si="133"/>
        <v>0</v>
      </c>
      <c r="O646">
        <f t="shared" si="134"/>
        <v>113220</v>
      </c>
      <c r="P646">
        <f t="shared" si="135"/>
        <v>0</v>
      </c>
      <c r="Q646">
        <f t="shared" si="136"/>
        <v>0</v>
      </c>
      <c r="R646">
        <f t="shared" si="137"/>
        <v>0</v>
      </c>
      <c r="S646">
        <f t="shared" si="138"/>
        <v>0</v>
      </c>
      <c r="T646">
        <f t="shared" si="139"/>
        <v>0</v>
      </c>
      <c r="U646">
        <f t="shared" si="140"/>
        <v>0</v>
      </c>
      <c r="V646">
        <f t="shared" si="141"/>
        <v>0</v>
      </c>
    </row>
    <row r="647" spans="1:22" x14ac:dyDescent="0.4">
      <c r="A647" s="1" t="s">
        <v>2075</v>
      </c>
      <c r="B647" s="1" t="s">
        <v>2076</v>
      </c>
      <c r="C647" s="1" t="s">
        <v>2077</v>
      </c>
      <c r="D647" s="1" t="s">
        <v>44</v>
      </c>
      <c r="E647" s="1" t="s">
        <v>924</v>
      </c>
      <c r="F647" s="5" t="s">
        <v>479</v>
      </c>
      <c r="G647" s="1" t="s">
        <v>27</v>
      </c>
      <c r="H647">
        <f>VLOOKUP(D647,[1]金額リスト!$A$2:$B$6,2,FALSE)</f>
        <v>114300</v>
      </c>
      <c r="I647" s="1" t="s">
        <v>868</v>
      </c>
      <c r="J647">
        <f t="shared" si="130"/>
        <v>0</v>
      </c>
      <c r="K647">
        <f t="shared" si="131"/>
        <v>0</v>
      </c>
      <c r="L647">
        <f t="shared" si="142"/>
        <v>114300</v>
      </c>
      <c r="M647">
        <f t="shared" si="132"/>
        <v>0</v>
      </c>
      <c r="N647">
        <f t="shared" si="133"/>
        <v>0</v>
      </c>
      <c r="O647">
        <f t="shared" si="134"/>
        <v>0</v>
      </c>
      <c r="P647">
        <f t="shared" si="135"/>
        <v>0</v>
      </c>
      <c r="Q647">
        <f t="shared" si="136"/>
        <v>0</v>
      </c>
      <c r="R647">
        <f t="shared" si="137"/>
        <v>0</v>
      </c>
      <c r="S647">
        <f t="shared" si="138"/>
        <v>0</v>
      </c>
      <c r="T647">
        <f t="shared" si="139"/>
        <v>0</v>
      </c>
      <c r="U647">
        <f t="shared" si="140"/>
        <v>0</v>
      </c>
      <c r="V647">
        <f t="shared" si="141"/>
        <v>0</v>
      </c>
    </row>
    <row r="648" spans="1:22" x14ac:dyDescent="0.4">
      <c r="A648" s="1" t="s">
        <v>2078</v>
      </c>
      <c r="B648" s="1" t="s">
        <v>2079</v>
      </c>
      <c r="C648" s="1" t="s">
        <v>2080</v>
      </c>
      <c r="D648" s="1" t="s">
        <v>50</v>
      </c>
      <c r="E648" s="1" t="s">
        <v>2081</v>
      </c>
      <c r="F648" s="5"/>
      <c r="G648" s="1" t="s">
        <v>52</v>
      </c>
      <c r="H648">
        <f>VLOOKUP(D648,[1]金額リスト!$A$2:$B$6,2,FALSE)</f>
        <v>114300</v>
      </c>
      <c r="I648" s="1" t="s">
        <v>28</v>
      </c>
      <c r="J648">
        <f t="shared" si="130"/>
        <v>0</v>
      </c>
      <c r="K648">
        <f t="shared" si="131"/>
        <v>0</v>
      </c>
      <c r="L648">
        <f t="shared" si="142"/>
        <v>0</v>
      </c>
      <c r="M648">
        <f t="shared" si="132"/>
        <v>0</v>
      </c>
      <c r="N648">
        <f t="shared" si="133"/>
        <v>0</v>
      </c>
      <c r="O648">
        <f t="shared" si="134"/>
        <v>0</v>
      </c>
      <c r="P648">
        <f t="shared" si="135"/>
        <v>0</v>
      </c>
      <c r="Q648">
        <f t="shared" si="136"/>
        <v>0</v>
      </c>
      <c r="R648">
        <f t="shared" si="137"/>
        <v>0</v>
      </c>
      <c r="S648">
        <f t="shared" si="138"/>
        <v>0</v>
      </c>
      <c r="T648">
        <f t="shared" si="139"/>
        <v>0</v>
      </c>
      <c r="U648">
        <f t="shared" si="140"/>
        <v>0</v>
      </c>
      <c r="V648">
        <f t="shared" si="141"/>
        <v>0</v>
      </c>
    </row>
    <row r="649" spans="1:22" x14ac:dyDescent="0.4">
      <c r="A649" s="1" t="s">
        <v>2082</v>
      </c>
      <c r="B649" s="1" t="s">
        <v>2083</v>
      </c>
      <c r="C649" s="1" t="s">
        <v>2084</v>
      </c>
      <c r="D649" s="1" t="s">
        <v>1944</v>
      </c>
      <c r="E649" s="1" t="s">
        <v>1622</v>
      </c>
      <c r="F649" s="5" t="s">
        <v>1946</v>
      </c>
      <c r="G649" s="1" t="s">
        <v>27</v>
      </c>
      <c r="H649">
        <f>VLOOKUP(D649,[1]金額リスト!$A$2:$B$6,2,FALSE)</f>
        <v>113220</v>
      </c>
      <c r="I649" s="1" t="s">
        <v>28</v>
      </c>
      <c r="J649">
        <f t="shared" si="130"/>
        <v>0</v>
      </c>
      <c r="K649">
        <f t="shared" si="131"/>
        <v>0</v>
      </c>
      <c r="L649">
        <f t="shared" si="142"/>
        <v>0</v>
      </c>
      <c r="M649">
        <f t="shared" si="132"/>
        <v>0</v>
      </c>
      <c r="N649">
        <f t="shared" si="133"/>
        <v>0</v>
      </c>
      <c r="O649">
        <f t="shared" si="134"/>
        <v>0</v>
      </c>
      <c r="P649">
        <f t="shared" si="135"/>
        <v>0</v>
      </c>
      <c r="Q649">
        <f t="shared" si="136"/>
        <v>0</v>
      </c>
      <c r="R649">
        <f t="shared" si="137"/>
        <v>0</v>
      </c>
      <c r="S649">
        <f t="shared" si="138"/>
        <v>0</v>
      </c>
      <c r="T649">
        <f t="shared" si="139"/>
        <v>0</v>
      </c>
      <c r="U649">
        <f t="shared" si="140"/>
        <v>0</v>
      </c>
      <c r="V649">
        <f t="shared" si="141"/>
        <v>113220</v>
      </c>
    </row>
    <row r="650" spans="1:22" x14ac:dyDescent="0.4">
      <c r="A650" s="1" t="s">
        <v>2085</v>
      </c>
      <c r="B650" s="1" t="s">
        <v>2086</v>
      </c>
      <c r="C650" s="1" t="s">
        <v>2087</v>
      </c>
      <c r="D650" s="1" t="s">
        <v>25</v>
      </c>
      <c r="E650" s="1" t="s">
        <v>1238</v>
      </c>
      <c r="F650" s="5" t="s">
        <v>479</v>
      </c>
      <c r="G650" s="1" t="s">
        <v>27</v>
      </c>
      <c r="H650">
        <f>VLOOKUP(D650,[1]金額リスト!$A$2:$B$6,2,FALSE)</f>
        <v>59400</v>
      </c>
      <c r="I650" s="1" t="s">
        <v>28</v>
      </c>
      <c r="J650">
        <f t="shared" si="130"/>
        <v>0</v>
      </c>
      <c r="K650">
        <f t="shared" si="131"/>
        <v>0</v>
      </c>
      <c r="L650">
        <f t="shared" si="142"/>
        <v>59400</v>
      </c>
      <c r="M650">
        <f t="shared" si="132"/>
        <v>0</v>
      </c>
      <c r="N650">
        <f t="shared" si="133"/>
        <v>0</v>
      </c>
      <c r="O650">
        <f t="shared" si="134"/>
        <v>0</v>
      </c>
      <c r="P650">
        <f t="shared" si="135"/>
        <v>0</v>
      </c>
      <c r="Q650">
        <f t="shared" si="136"/>
        <v>0</v>
      </c>
      <c r="R650">
        <f t="shared" si="137"/>
        <v>0</v>
      </c>
      <c r="S650">
        <f t="shared" si="138"/>
        <v>0</v>
      </c>
      <c r="T650">
        <f t="shared" si="139"/>
        <v>0</v>
      </c>
      <c r="U650">
        <f t="shared" si="140"/>
        <v>0</v>
      </c>
      <c r="V650">
        <f t="shared" si="141"/>
        <v>0</v>
      </c>
    </row>
    <row r="651" spans="1:22" x14ac:dyDescent="0.4">
      <c r="A651" s="1" t="s">
        <v>2088</v>
      </c>
      <c r="B651" s="1" t="s">
        <v>2089</v>
      </c>
      <c r="C651" s="1" t="s">
        <v>2090</v>
      </c>
      <c r="D651" s="1" t="s">
        <v>44</v>
      </c>
      <c r="E651" s="1" t="s">
        <v>924</v>
      </c>
      <c r="F651" s="5" t="s">
        <v>479</v>
      </c>
      <c r="G651" s="1" t="s">
        <v>27</v>
      </c>
      <c r="H651">
        <f>VLOOKUP(D651,[1]金額リスト!$A$2:$B$6,2,FALSE)</f>
        <v>114300</v>
      </c>
      <c r="I651" s="1" t="s">
        <v>868</v>
      </c>
      <c r="J651">
        <f t="shared" si="130"/>
        <v>0</v>
      </c>
      <c r="K651">
        <f t="shared" si="131"/>
        <v>0</v>
      </c>
      <c r="L651">
        <f t="shared" si="142"/>
        <v>114300</v>
      </c>
      <c r="M651">
        <f t="shared" si="132"/>
        <v>0</v>
      </c>
      <c r="N651">
        <f t="shared" si="133"/>
        <v>0</v>
      </c>
      <c r="O651">
        <f t="shared" si="134"/>
        <v>0</v>
      </c>
      <c r="P651">
        <f t="shared" si="135"/>
        <v>0</v>
      </c>
      <c r="Q651">
        <f t="shared" si="136"/>
        <v>0</v>
      </c>
      <c r="R651">
        <f t="shared" si="137"/>
        <v>0</v>
      </c>
      <c r="S651">
        <f t="shared" si="138"/>
        <v>0</v>
      </c>
      <c r="T651">
        <f t="shared" si="139"/>
        <v>0</v>
      </c>
      <c r="U651">
        <f t="shared" si="140"/>
        <v>0</v>
      </c>
      <c r="V651">
        <f t="shared" si="141"/>
        <v>0</v>
      </c>
    </row>
    <row r="652" spans="1:22" x14ac:dyDescent="0.4">
      <c r="A652" s="1" t="s">
        <v>2091</v>
      </c>
      <c r="B652" s="1" t="s">
        <v>2092</v>
      </c>
      <c r="C652" s="1" t="s">
        <v>2093</v>
      </c>
      <c r="D652" s="1" t="s">
        <v>25</v>
      </c>
      <c r="E652" s="1" t="s">
        <v>1928</v>
      </c>
      <c r="F652" s="5" t="s">
        <v>1929</v>
      </c>
      <c r="G652" s="1" t="s">
        <v>27</v>
      </c>
      <c r="H652">
        <f>VLOOKUP(D652,[1]金額リスト!$A$2:$B$6,2,FALSE)</f>
        <v>59400</v>
      </c>
      <c r="I652" s="1" t="s">
        <v>1455</v>
      </c>
      <c r="J652">
        <f t="shared" si="130"/>
        <v>59400</v>
      </c>
      <c r="K652">
        <f t="shared" si="131"/>
        <v>0</v>
      </c>
      <c r="L652">
        <f t="shared" si="142"/>
        <v>0</v>
      </c>
      <c r="M652">
        <f t="shared" si="132"/>
        <v>0</v>
      </c>
      <c r="N652">
        <f t="shared" si="133"/>
        <v>0</v>
      </c>
      <c r="O652">
        <f t="shared" si="134"/>
        <v>0</v>
      </c>
      <c r="P652">
        <f t="shared" si="135"/>
        <v>0</v>
      </c>
      <c r="Q652">
        <f t="shared" si="136"/>
        <v>0</v>
      </c>
      <c r="R652">
        <f t="shared" si="137"/>
        <v>0</v>
      </c>
      <c r="S652">
        <f t="shared" si="138"/>
        <v>0</v>
      </c>
      <c r="T652">
        <f t="shared" si="139"/>
        <v>0</v>
      </c>
      <c r="U652">
        <f t="shared" si="140"/>
        <v>0</v>
      </c>
      <c r="V652">
        <f t="shared" si="141"/>
        <v>0</v>
      </c>
    </row>
    <row r="653" spans="1:22" x14ac:dyDescent="0.4">
      <c r="A653" s="1" t="s">
        <v>2094</v>
      </c>
      <c r="B653" s="1" t="s">
        <v>2095</v>
      </c>
      <c r="C653" s="1" t="s">
        <v>2096</v>
      </c>
      <c r="D653" s="1" t="s">
        <v>1944</v>
      </c>
      <c r="E653" s="1" t="s">
        <v>2042</v>
      </c>
      <c r="F653" s="5" t="s">
        <v>1623</v>
      </c>
      <c r="G653" s="1" t="s">
        <v>27</v>
      </c>
      <c r="H653">
        <f>VLOOKUP(D653,[1]金額リスト!$A$2:$B$6,2,FALSE)</f>
        <v>113220</v>
      </c>
      <c r="I653" s="1" t="s">
        <v>1930</v>
      </c>
      <c r="J653">
        <f t="shared" si="130"/>
        <v>0</v>
      </c>
      <c r="K653">
        <f t="shared" si="131"/>
        <v>0</v>
      </c>
      <c r="L653">
        <f t="shared" si="142"/>
        <v>0</v>
      </c>
      <c r="M653">
        <f t="shared" si="132"/>
        <v>0</v>
      </c>
      <c r="N653">
        <f t="shared" si="133"/>
        <v>0</v>
      </c>
      <c r="O653">
        <f t="shared" si="134"/>
        <v>0</v>
      </c>
      <c r="P653">
        <f t="shared" si="135"/>
        <v>113220</v>
      </c>
      <c r="Q653">
        <f t="shared" si="136"/>
        <v>0</v>
      </c>
      <c r="R653">
        <f t="shared" si="137"/>
        <v>0</v>
      </c>
      <c r="S653">
        <f t="shared" si="138"/>
        <v>0</v>
      </c>
      <c r="T653">
        <f t="shared" si="139"/>
        <v>0</v>
      </c>
      <c r="U653">
        <f t="shared" si="140"/>
        <v>0</v>
      </c>
      <c r="V653">
        <f t="shared" si="141"/>
        <v>0</v>
      </c>
    </row>
    <row r="654" spans="1:22" x14ac:dyDescent="0.4">
      <c r="A654" s="1" t="s">
        <v>2097</v>
      </c>
      <c r="B654" s="1" t="s">
        <v>2098</v>
      </c>
      <c r="C654" s="1" t="s">
        <v>2099</v>
      </c>
      <c r="D654" s="1" t="s">
        <v>1944</v>
      </c>
      <c r="E654" s="1" t="s">
        <v>2100</v>
      </c>
      <c r="F654" s="5" t="s">
        <v>1623</v>
      </c>
      <c r="G654" s="1" t="s">
        <v>27</v>
      </c>
      <c r="H654">
        <f>VLOOKUP(D654,[1]金額リスト!$A$2:$B$6,2,FALSE)</f>
        <v>113220</v>
      </c>
      <c r="I654" s="1" t="s">
        <v>1930</v>
      </c>
      <c r="J654">
        <f t="shared" si="130"/>
        <v>0</v>
      </c>
      <c r="K654">
        <f t="shared" si="131"/>
        <v>0</v>
      </c>
      <c r="L654">
        <f t="shared" si="142"/>
        <v>0</v>
      </c>
      <c r="M654">
        <f t="shared" si="132"/>
        <v>0</v>
      </c>
      <c r="N654">
        <f t="shared" si="133"/>
        <v>0</v>
      </c>
      <c r="O654">
        <f t="shared" si="134"/>
        <v>0</v>
      </c>
      <c r="P654">
        <f t="shared" si="135"/>
        <v>113220</v>
      </c>
      <c r="Q654">
        <f t="shared" si="136"/>
        <v>0</v>
      </c>
      <c r="R654">
        <f t="shared" si="137"/>
        <v>0</v>
      </c>
      <c r="S654">
        <f t="shared" si="138"/>
        <v>0</v>
      </c>
      <c r="T654">
        <f t="shared" si="139"/>
        <v>0</v>
      </c>
      <c r="U654">
        <f t="shared" si="140"/>
        <v>0</v>
      </c>
      <c r="V654">
        <f t="shared" si="141"/>
        <v>0</v>
      </c>
    </row>
    <row r="655" spans="1:22" x14ac:dyDescent="0.4">
      <c r="A655" s="1" t="s">
        <v>2101</v>
      </c>
      <c r="B655" s="1" t="s">
        <v>2102</v>
      </c>
      <c r="C655" s="1" t="s">
        <v>2103</v>
      </c>
      <c r="D655" s="1" t="s">
        <v>1944</v>
      </c>
      <c r="E655" s="1" t="s">
        <v>2104</v>
      </c>
      <c r="F655" s="5" t="s">
        <v>1130</v>
      </c>
      <c r="G655" s="1" t="s">
        <v>27</v>
      </c>
      <c r="H655">
        <f>VLOOKUP(D655,[1]金額リスト!$A$2:$B$6,2,FALSE)</f>
        <v>113220</v>
      </c>
      <c r="I655" s="1" t="s">
        <v>2105</v>
      </c>
      <c r="J655">
        <f t="shared" si="130"/>
        <v>0</v>
      </c>
      <c r="K655">
        <f t="shared" si="131"/>
        <v>0</v>
      </c>
      <c r="L655">
        <f t="shared" si="142"/>
        <v>0</v>
      </c>
      <c r="M655">
        <f t="shared" si="132"/>
        <v>113220</v>
      </c>
      <c r="N655">
        <f t="shared" si="133"/>
        <v>0</v>
      </c>
      <c r="O655">
        <f t="shared" si="134"/>
        <v>0</v>
      </c>
      <c r="P655">
        <f t="shared" si="135"/>
        <v>0</v>
      </c>
      <c r="Q655">
        <f t="shared" si="136"/>
        <v>0</v>
      </c>
      <c r="R655">
        <f t="shared" si="137"/>
        <v>0</v>
      </c>
      <c r="S655">
        <f t="shared" si="138"/>
        <v>0</v>
      </c>
      <c r="T655">
        <f t="shared" si="139"/>
        <v>0</v>
      </c>
      <c r="U655">
        <f t="shared" si="140"/>
        <v>0</v>
      </c>
      <c r="V655">
        <f t="shared" si="141"/>
        <v>0</v>
      </c>
    </row>
    <row r="656" spans="1:22" x14ac:dyDescent="0.4">
      <c r="A656" s="1" t="s">
        <v>2106</v>
      </c>
      <c r="B656" s="1" t="s">
        <v>2107</v>
      </c>
      <c r="C656" s="1" t="s">
        <v>2108</v>
      </c>
      <c r="D656" s="1" t="s">
        <v>1944</v>
      </c>
      <c r="E656" s="1" t="s">
        <v>1622</v>
      </c>
      <c r="F656" s="5" t="s">
        <v>1946</v>
      </c>
      <c r="G656" s="1" t="s">
        <v>27</v>
      </c>
      <c r="H656">
        <f>VLOOKUP(D656,[1]金額リスト!$A$2:$B$6,2,FALSE)</f>
        <v>113220</v>
      </c>
      <c r="I656" s="1" t="s">
        <v>28</v>
      </c>
      <c r="J656">
        <f t="shared" si="130"/>
        <v>0</v>
      </c>
      <c r="K656">
        <f t="shared" si="131"/>
        <v>0</v>
      </c>
      <c r="L656">
        <f t="shared" si="142"/>
        <v>0</v>
      </c>
      <c r="M656">
        <f t="shared" si="132"/>
        <v>0</v>
      </c>
      <c r="N656">
        <f t="shared" si="133"/>
        <v>0</v>
      </c>
      <c r="O656">
        <f t="shared" si="134"/>
        <v>0</v>
      </c>
      <c r="P656">
        <f t="shared" si="135"/>
        <v>0</v>
      </c>
      <c r="Q656">
        <f t="shared" si="136"/>
        <v>0</v>
      </c>
      <c r="R656">
        <f t="shared" si="137"/>
        <v>0</v>
      </c>
      <c r="S656">
        <f t="shared" si="138"/>
        <v>0</v>
      </c>
      <c r="T656">
        <f t="shared" si="139"/>
        <v>0</v>
      </c>
      <c r="U656">
        <f t="shared" si="140"/>
        <v>0</v>
      </c>
      <c r="V656">
        <f t="shared" si="141"/>
        <v>113220</v>
      </c>
    </row>
    <row r="657" spans="1:22" x14ac:dyDescent="0.4">
      <c r="A657" s="1" t="s">
        <v>2109</v>
      </c>
      <c r="B657" s="1" t="s">
        <v>2110</v>
      </c>
      <c r="C657" s="1" t="s">
        <v>2111</v>
      </c>
      <c r="D657" s="1" t="s">
        <v>1944</v>
      </c>
      <c r="E657" s="1" t="s">
        <v>2112</v>
      </c>
      <c r="F657" s="5" t="s">
        <v>1130</v>
      </c>
      <c r="G657" s="1" t="s">
        <v>27</v>
      </c>
      <c r="H657">
        <f>VLOOKUP(D657,[1]金額リスト!$A$2:$B$6,2,FALSE)</f>
        <v>113220</v>
      </c>
      <c r="I657" s="1" t="s">
        <v>2105</v>
      </c>
      <c r="J657">
        <f t="shared" si="130"/>
        <v>0</v>
      </c>
      <c r="K657">
        <f t="shared" si="131"/>
        <v>0</v>
      </c>
      <c r="L657">
        <f t="shared" si="142"/>
        <v>0</v>
      </c>
      <c r="M657">
        <f t="shared" si="132"/>
        <v>113220</v>
      </c>
      <c r="N657">
        <f t="shared" si="133"/>
        <v>0</v>
      </c>
      <c r="O657">
        <f t="shared" si="134"/>
        <v>0</v>
      </c>
      <c r="P657">
        <f t="shared" si="135"/>
        <v>0</v>
      </c>
      <c r="Q657">
        <f t="shared" si="136"/>
        <v>0</v>
      </c>
      <c r="R657">
        <f t="shared" si="137"/>
        <v>0</v>
      </c>
      <c r="S657">
        <f t="shared" si="138"/>
        <v>0</v>
      </c>
      <c r="T657">
        <f t="shared" si="139"/>
        <v>0</v>
      </c>
      <c r="U657">
        <f t="shared" si="140"/>
        <v>0</v>
      </c>
      <c r="V657">
        <f t="shared" si="141"/>
        <v>0</v>
      </c>
    </row>
    <row r="658" spans="1:22" x14ac:dyDescent="0.4">
      <c r="A658" s="1" t="s">
        <v>2113</v>
      </c>
      <c r="B658" s="1" t="s">
        <v>2114</v>
      </c>
      <c r="C658" s="1" t="s">
        <v>2115</v>
      </c>
      <c r="D658" s="1" t="s">
        <v>1944</v>
      </c>
      <c r="E658" s="1" t="s">
        <v>2042</v>
      </c>
      <c r="F658" s="5" t="s">
        <v>1623</v>
      </c>
      <c r="G658" s="1" t="s">
        <v>27</v>
      </c>
      <c r="H658">
        <f>VLOOKUP(D658,[1]金額リスト!$A$2:$B$6,2,FALSE)</f>
        <v>113220</v>
      </c>
      <c r="I658" s="1" t="s">
        <v>1930</v>
      </c>
      <c r="J658">
        <f t="shared" si="130"/>
        <v>0</v>
      </c>
      <c r="K658">
        <f t="shared" si="131"/>
        <v>0</v>
      </c>
      <c r="L658">
        <f t="shared" si="142"/>
        <v>0</v>
      </c>
      <c r="M658">
        <f t="shared" si="132"/>
        <v>0</v>
      </c>
      <c r="N658">
        <f t="shared" si="133"/>
        <v>0</v>
      </c>
      <c r="O658">
        <f t="shared" si="134"/>
        <v>0</v>
      </c>
      <c r="P658">
        <f t="shared" si="135"/>
        <v>113220</v>
      </c>
      <c r="Q658">
        <f t="shared" si="136"/>
        <v>0</v>
      </c>
      <c r="R658">
        <f t="shared" si="137"/>
        <v>0</v>
      </c>
      <c r="S658">
        <f t="shared" si="138"/>
        <v>0</v>
      </c>
      <c r="T658">
        <f t="shared" si="139"/>
        <v>0</v>
      </c>
      <c r="U658">
        <f t="shared" si="140"/>
        <v>0</v>
      </c>
      <c r="V658">
        <f t="shared" si="141"/>
        <v>0</v>
      </c>
    </row>
    <row r="659" spans="1:22" x14ac:dyDescent="0.4">
      <c r="A659" s="1" t="s">
        <v>2116</v>
      </c>
      <c r="B659" s="1" t="s">
        <v>2117</v>
      </c>
      <c r="C659" s="1" t="s">
        <v>2118</v>
      </c>
      <c r="D659" s="1" t="s">
        <v>1944</v>
      </c>
      <c r="E659" s="1" t="s">
        <v>1622</v>
      </c>
      <c r="F659" s="5" t="s">
        <v>1946</v>
      </c>
      <c r="G659" s="1" t="s">
        <v>27</v>
      </c>
      <c r="H659">
        <f>VLOOKUP(D659,[1]金額リスト!$A$2:$B$6,2,FALSE)</f>
        <v>113220</v>
      </c>
      <c r="I659" s="1" t="s">
        <v>28</v>
      </c>
      <c r="J659">
        <f t="shared" si="130"/>
        <v>0</v>
      </c>
      <c r="K659">
        <f t="shared" si="131"/>
        <v>0</v>
      </c>
      <c r="L659">
        <f t="shared" si="142"/>
        <v>0</v>
      </c>
      <c r="M659">
        <f t="shared" si="132"/>
        <v>0</v>
      </c>
      <c r="N659">
        <f t="shared" si="133"/>
        <v>0</v>
      </c>
      <c r="O659">
        <f t="shared" si="134"/>
        <v>0</v>
      </c>
      <c r="P659">
        <f t="shared" si="135"/>
        <v>0</v>
      </c>
      <c r="Q659">
        <f t="shared" si="136"/>
        <v>0</v>
      </c>
      <c r="R659">
        <f t="shared" si="137"/>
        <v>0</v>
      </c>
      <c r="S659">
        <f t="shared" si="138"/>
        <v>0</v>
      </c>
      <c r="T659">
        <f t="shared" si="139"/>
        <v>0</v>
      </c>
      <c r="U659">
        <f t="shared" si="140"/>
        <v>0</v>
      </c>
      <c r="V659">
        <f t="shared" si="141"/>
        <v>113220</v>
      </c>
    </row>
    <row r="660" spans="1:22" x14ac:dyDescent="0.4">
      <c r="A660" s="1" t="s">
        <v>2119</v>
      </c>
      <c r="B660" s="1" t="s">
        <v>2120</v>
      </c>
      <c r="C660" s="1" t="s">
        <v>2121</v>
      </c>
      <c r="D660" s="1" t="s">
        <v>44</v>
      </c>
      <c r="E660" s="1" t="s">
        <v>333</v>
      </c>
      <c r="F660" s="5" t="s">
        <v>46</v>
      </c>
      <c r="G660" s="1" t="s">
        <v>27</v>
      </c>
      <c r="H660">
        <f>VLOOKUP(D660,[1]金額リスト!$A$2:$B$6,2,FALSE)</f>
        <v>114300</v>
      </c>
      <c r="I660" s="1" t="s">
        <v>33</v>
      </c>
      <c r="J660">
        <f t="shared" si="130"/>
        <v>0</v>
      </c>
      <c r="K660">
        <f t="shared" si="131"/>
        <v>0</v>
      </c>
      <c r="L660">
        <f t="shared" si="142"/>
        <v>0</v>
      </c>
      <c r="M660">
        <f t="shared" si="132"/>
        <v>0</v>
      </c>
      <c r="N660">
        <f t="shared" si="133"/>
        <v>114300</v>
      </c>
      <c r="O660">
        <f t="shared" si="134"/>
        <v>0</v>
      </c>
      <c r="P660">
        <f t="shared" si="135"/>
        <v>0</v>
      </c>
      <c r="Q660">
        <f t="shared" si="136"/>
        <v>0</v>
      </c>
      <c r="R660">
        <f t="shared" si="137"/>
        <v>0</v>
      </c>
      <c r="S660">
        <f t="shared" si="138"/>
        <v>0</v>
      </c>
      <c r="T660">
        <f t="shared" si="139"/>
        <v>0</v>
      </c>
      <c r="U660">
        <f t="shared" si="140"/>
        <v>0</v>
      </c>
      <c r="V660">
        <f t="shared" si="141"/>
        <v>0</v>
      </c>
    </row>
    <row r="661" spans="1:22" x14ac:dyDescent="0.4">
      <c r="A661" s="1" t="s">
        <v>2122</v>
      </c>
      <c r="B661" s="1" t="s">
        <v>2123</v>
      </c>
      <c r="C661" s="1" t="s">
        <v>2124</v>
      </c>
      <c r="D661" s="1" t="s">
        <v>1944</v>
      </c>
      <c r="E661" s="1" t="s">
        <v>2125</v>
      </c>
      <c r="F661" s="5" t="s">
        <v>479</v>
      </c>
      <c r="G661" s="1" t="s">
        <v>27</v>
      </c>
      <c r="H661">
        <f>VLOOKUP(D661,[1]金額リスト!$A$2:$B$6,2,FALSE)</f>
        <v>113220</v>
      </c>
      <c r="I661" s="1" t="s">
        <v>2126</v>
      </c>
      <c r="J661">
        <f t="shared" si="130"/>
        <v>0</v>
      </c>
      <c r="K661">
        <f t="shared" si="131"/>
        <v>0</v>
      </c>
      <c r="L661">
        <f t="shared" si="142"/>
        <v>113220</v>
      </c>
      <c r="M661">
        <f t="shared" si="132"/>
        <v>0</v>
      </c>
      <c r="N661">
        <f t="shared" si="133"/>
        <v>0</v>
      </c>
      <c r="O661">
        <f t="shared" si="134"/>
        <v>0</v>
      </c>
      <c r="P661">
        <f t="shared" si="135"/>
        <v>0</v>
      </c>
      <c r="Q661">
        <f t="shared" si="136"/>
        <v>0</v>
      </c>
      <c r="R661">
        <f t="shared" si="137"/>
        <v>0</v>
      </c>
      <c r="S661">
        <f t="shared" si="138"/>
        <v>0</v>
      </c>
      <c r="T661">
        <f t="shared" si="139"/>
        <v>0</v>
      </c>
      <c r="U661">
        <f t="shared" si="140"/>
        <v>0</v>
      </c>
      <c r="V661">
        <f t="shared" si="141"/>
        <v>0</v>
      </c>
    </row>
    <row r="662" spans="1:22" x14ac:dyDescent="0.4">
      <c r="A662" s="1" t="s">
        <v>2127</v>
      </c>
      <c r="B662" s="1" t="s">
        <v>2128</v>
      </c>
      <c r="C662" s="1" t="s">
        <v>2129</v>
      </c>
      <c r="D662" s="1" t="s">
        <v>44</v>
      </c>
      <c r="E662" s="1" t="s">
        <v>32</v>
      </c>
      <c r="F662" s="5" t="s">
        <v>46</v>
      </c>
      <c r="G662" s="1" t="s">
        <v>27</v>
      </c>
      <c r="H662">
        <f>VLOOKUP(D662,[1]金額リスト!$A$2:$B$6,2,FALSE)</f>
        <v>114300</v>
      </c>
      <c r="I662" s="1" t="s">
        <v>33</v>
      </c>
      <c r="J662">
        <f t="shared" si="130"/>
        <v>0</v>
      </c>
      <c r="K662">
        <f t="shared" si="131"/>
        <v>0</v>
      </c>
      <c r="L662">
        <f t="shared" si="142"/>
        <v>0</v>
      </c>
      <c r="M662">
        <f t="shared" si="132"/>
        <v>0</v>
      </c>
      <c r="N662">
        <f t="shared" si="133"/>
        <v>114300</v>
      </c>
      <c r="O662">
        <f t="shared" si="134"/>
        <v>0</v>
      </c>
      <c r="P662">
        <f t="shared" si="135"/>
        <v>0</v>
      </c>
      <c r="Q662">
        <f t="shared" si="136"/>
        <v>0</v>
      </c>
      <c r="R662">
        <f t="shared" si="137"/>
        <v>0</v>
      </c>
      <c r="S662">
        <f t="shared" si="138"/>
        <v>0</v>
      </c>
      <c r="T662">
        <f t="shared" si="139"/>
        <v>0</v>
      </c>
      <c r="U662">
        <f t="shared" si="140"/>
        <v>0</v>
      </c>
      <c r="V662">
        <f t="shared" si="141"/>
        <v>0</v>
      </c>
    </row>
    <row r="663" spans="1:22" x14ac:dyDescent="0.4">
      <c r="A663" s="1" t="s">
        <v>2130</v>
      </c>
      <c r="B663" s="1" t="s">
        <v>2131</v>
      </c>
      <c r="C663" s="1" t="s">
        <v>2132</v>
      </c>
      <c r="D663" s="1" t="s">
        <v>1944</v>
      </c>
      <c r="E663" s="1" t="s">
        <v>2133</v>
      </c>
      <c r="F663" s="5" t="s">
        <v>479</v>
      </c>
      <c r="G663" s="1" t="s">
        <v>27</v>
      </c>
      <c r="H663">
        <f>VLOOKUP(D663,[1]金額リスト!$A$2:$B$6,2,FALSE)</f>
        <v>113220</v>
      </c>
      <c r="I663" s="1" t="s">
        <v>2126</v>
      </c>
      <c r="J663">
        <f t="shared" si="130"/>
        <v>0</v>
      </c>
      <c r="K663">
        <f t="shared" si="131"/>
        <v>0</v>
      </c>
      <c r="L663">
        <f t="shared" si="142"/>
        <v>113220</v>
      </c>
      <c r="M663">
        <f t="shared" si="132"/>
        <v>0</v>
      </c>
      <c r="N663">
        <f t="shared" si="133"/>
        <v>0</v>
      </c>
      <c r="O663">
        <f t="shared" si="134"/>
        <v>0</v>
      </c>
      <c r="P663">
        <f t="shared" si="135"/>
        <v>0</v>
      </c>
      <c r="Q663">
        <f t="shared" si="136"/>
        <v>0</v>
      </c>
      <c r="R663">
        <f t="shared" si="137"/>
        <v>0</v>
      </c>
      <c r="S663">
        <f t="shared" si="138"/>
        <v>0</v>
      </c>
      <c r="T663">
        <f t="shared" si="139"/>
        <v>0</v>
      </c>
      <c r="U663">
        <f t="shared" si="140"/>
        <v>0</v>
      </c>
      <c r="V663">
        <f t="shared" si="141"/>
        <v>0</v>
      </c>
    </row>
    <row r="664" spans="1:22" x14ac:dyDescent="0.4">
      <c r="A664" s="1" t="s">
        <v>2134</v>
      </c>
      <c r="B664" s="1" t="s">
        <v>2135</v>
      </c>
      <c r="C664" s="1" t="s">
        <v>2136</v>
      </c>
      <c r="D664" s="1" t="s">
        <v>1944</v>
      </c>
      <c r="E664" s="1" t="s">
        <v>2042</v>
      </c>
      <c r="F664" s="5" t="s">
        <v>1623</v>
      </c>
      <c r="G664" s="1" t="s">
        <v>27</v>
      </c>
      <c r="H664">
        <f>VLOOKUP(D664,[1]金額リスト!$A$2:$B$6,2,FALSE)</f>
        <v>113220</v>
      </c>
      <c r="I664" s="1" t="s">
        <v>1930</v>
      </c>
      <c r="J664">
        <f t="shared" si="130"/>
        <v>0</v>
      </c>
      <c r="K664">
        <f t="shared" si="131"/>
        <v>0</v>
      </c>
      <c r="L664">
        <f t="shared" si="142"/>
        <v>0</v>
      </c>
      <c r="M664">
        <f t="shared" si="132"/>
        <v>0</v>
      </c>
      <c r="N664">
        <f t="shared" si="133"/>
        <v>0</v>
      </c>
      <c r="O664">
        <f t="shared" si="134"/>
        <v>0</v>
      </c>
      <c r="P664">
        <f t="shared" si="135"/>
        <v>113220</v>
      </c>
      <c r="Q664">
        <f t="shared" si="136"/>
        <v>0</v>
      </c>
      <c r="R664">
        <f t="shared" si="137"/>
        <v>0</v>
      </c>
      <c r="S664">
        <f t="shared" si="138"/>
        <v>0</v>
      </c>
      <c r="T664">
        <f t="shared" si="139"/>
        <v>0</v>
      </c>
      <c r="U664">
        <f t="shared" si="140"/>
        <v>0</v>
      </c>
      <c r="V664">
        <f t="shared" si="141"/>
        <v>0</v>
      </c>
    </row>
    <row r="665" spans="1:22" x14ac:dyDescent="0.4">
      <c r="A665" s="1" t="s">
        <v>2137</v>
      </c>
      <c r="B665" s="1" t="s">
        <v>2138</v>
      </c>
      <c r="C665" s="1" t="s">
        <v>2139</v>
      </c>
      <c r="D665" s="1" t="s">
        <v>1944</v>
      </c>
      <c r="E665" s="1" t="s">
        <v>2100</v>
      </c>
      <c r="F665" s="5" t="s">
        <v>1623</v>
      </c>
      <c r="G665" s="1" t="s">
        <v>27</v>
      </c>
      <c r="H665">
        <f>VLOOKUP(D665,[1]金額リスト!$A$2:$B$6,2,FALSE)</f>
        <v>113220</v>
      </c>
      <c r="I665" s="1" t="s">
        <v>1930</v>
      </c>
      <c r="J665">
        <f t="shared" si="130"/>
        <v>0</v>
      </c>
      <c r="K665">
        <f t="shared" si="131"/>
        <v>0</v>
      </c>
      <c r="L665">
        <f t="shared" si="142"/>
        <v>0</v>
      </c>
      <c r="M665">
        <f t="shared" si="132"/>
        <v>0</v>
      </c>
      <c r="N665">
        <f t="shared" si="133"/>
        <v>0</v>
      </c>
      <c r="O665">
        <f t="shared" si="134"/>
        <v>0</v>
      </c>
      <c r="P665">
        <f t="shared" si="135"/>
        <v>113220</v>
      </c>
      <c r="Q665">
        <f t="shared" si="136"/>
        <v>0</v>
      </c>
      <c r="R665">
        <f t="shared" si="137"/>
        <v>0</v>
      </c>
      <c r="S665">
        <f t="shared" si="138"/>
        <v>0</v>
      </c>
      <c r="T665">
        <f t="shared" si="139"/>
        <v>0</v>
      </c>
      <c r="U665">
        <f t="shared" si="140"/>
        <v>0</v>
      </c>
      <c r="V665">
        <f t="shared" si="141"/>
        <v>0</v>
      </c>
    </row>
    <row r="666" spans="1:22" x14ac:dyDescent="0.4">
      <c r="A666" s="1" t="s">
        <v>2140</v>
      </c>
      <c r="B666" s="1" t="s">
        <v>2141</v>
      </c>
      <c r="C666" s="1" t="s">
        <v>2142</v>
      </c>
      <c r="D666" s="1" t="s">
        <v>1944</v>
      </c>
      <c r="E666" s="1" t="s">
        <v>2143</v>
      </c>
      <c r="F666" s="5" t="s">
        <v>479</v>
      </c>
      <c r="G666" s="1" t="s">
        <v>27</v>
      </c>
      <c r="H666">
        <f>VLOOKUP(D666,[1]金額リスト!$A$2:$B$6,2,FALSE)</f>
        <v>113220</v>
      </c>
      <c r="I666" s="1" t="s">
        <v>2126</v>
      </c>
      <c r="J666">
        <f t="shared" si="130"/>
        <v>0</v>
      </c>
      <c r="K666">
        <f t="shared" si="131"/>
        <v>0</v>
      </c>
      <c r="L666">
        <f t="shared" si="142"/>
        <v>113220</v>
      </c>
      <c r="M666">
        <f t="shared" si="132"/>
        <v>0</v>
      </c>
      <c r="N666">
        <f t="shared" si="133"/>
        <v>0</v>
      </c>
      <c r="O666">
        <f t="shared" si="134"/>
        <v>0</v>
      </c>
      <c r="P666">
        <f t="shared" si="135"/>
        <v>0</v>
      </c>
      <c r="Q666">
        <f t="shared" si="136"/>
        <v>0</v>
      </c>
      <c r="R666">
        <f t="shared" si="137"/>
        <v>0</v>
      </c>
      <c r="S666">
        <f t="shared" si="138"/>
        <v>0</v>
      </c>
      <c r="T666">
        <f t="shared" si="139"/>
        <v>0</v>
      </c>
      <c r="U666">
        <f t="shared" si="140"/>
        <v>0</v>
      </c>
      <c r="V666">
        <f t="shared" si="141"/>
        <v>0</v>
      </c>
    </row>
    <row r="667" spans="1:22" x14ac:dyDescent="0.4">
      <c r="A667" s="1" t="s">
        <v>2144</v>
      </c>
      <c r="B667" s="1" t="s">
        <v>2145</v>
      </c>
      <c r="C667" s="1" t="s">
        <v>2146</v>
      </c>
      <c r="D667" s="1" t="s">
        <v>1944</v>
      </c>
      <c r="E667" s="1" t="s">
        <v>2042</v>
      </c>
      <c r="F667" s="5" t="s">
        <v>1623</v>
      </c>
      <c r="G667" s="1" t="s">
        <v>27</v>
      </c>
      <c r="H667">
        <f>VLOOKUP(D667,[1]金額リスト!$A$2:$B$6,2,FALSE)</f>
        <v>113220</v>
      </c>
      <c r="I667" s="1" t="s">
        <v>1930</v>
      </c>
      <c r="J667">
        <f t="shared" si="130"/>
        <v>0</v>
      </c>
      <c r="K667">
        <f t="shared" si="131"/>
        <v>0</v>
      </c>
      <c r="L667">
        <f t="shared" si="142"/>
        <v>0</v>
      </c>
      <c r="M667">
        <f t="shared" si="132"/>
        <v>0</v>
      </c>
      <c r="N667">
        <f t="shared" si="133"/>
        <v>0</v>
      </c>
      <c r="O667">
        <f t="shared" si="134"/>
        <v>0</v>
      </c>
      <c r="P667">
        <f t="shared" si="135"/>
        <v>113220</v>
      </c>
      <c r="Q667">
        <f t="shared" si="136"/>
        <v>0</v>
      </c>
      <c r="R667">
        <f t="shared" si="137"/>
        <v>0</v>
      </c>
      <c r="S667">
        <f t="shared" si="138"/>
        <v>0</v>
      </c>
      <c r="T667">
        <f t="shared" si="139"/>
        <v>0</v>
      </c>
      <c r="U667">
        <f t="shared" si="140"/>
        <v>0</v>
      </c>
      <c r="V667">
        <f t="shared" si="141"/>
        <v>0</v>
      </c>
    </row>
    <row r="668" spans="1:22" x14ac:dyDescent="0.4">
      <c r="A668" s="1" t="s">
        <v>2147</v>
      </c>
      <c r="B668" s="1" t="s">
        <v>2148</v>
      </c>
      <c r="C668" s="1" t="s">
        <v>2149</v>
      </c>
      <c r="D668" s="1" t="s">
        <v>1944</v>
      </c>
      <c r="E668" s="1" t="s">
        <v>2150</v>
      </c>
      <c r="F668" s="5" t="s">
        <v>2151</v>
      </c>
      <c r="G668" s="1" t="s">
        <v>27</v>
      </c>
      <c r="H668">
        <f>VLOOKUP(D668,[1]金額リスト!$A$2:$B$6,2,FALSE)</f>
        <v>113220</v>
      </c>
      <c r="I668" s="1" t="s">
        <v>33</v>
      </c>
      <c r="J668">
        <f t="shared" si="130"/>
        <v>0</v>
      </c>
      <c r="K668">
        <f t="shared" si="131"/>
        <v>0</v>
      </c>
      <c r="L668">
        <f t="shared" si="142"/>
        <v>0</v>
      </c>
      <c r="M668">
        <f t="shared" si="132"/>
        <v>0</v>
      </c>
      <c r="N668">
        <f t="shared" si="133"/>
        <v>0</v>
      </c>
      <c r="O668">
        <f t="shared" si="134"/>
        <v>0</v>
      </c>
      <c r="P668">
        <f t="shared" si="135"/>
        <v>0</v>
      </c>
      <c r="Q668">
        <f t="shared" si="136"/>
        <v>0</v>
      </c>
      <c r="R668">
        <f t="shared" si="137"/>
        <v>0</v>
      </c>
      <c r="S668">
        <f t="shared" si="138"/>
        <v>0</v>
      </c>
      <c r="T668">
        <f t="shared" si="139"/>
        <v>113220</v>
      </c>
      <c r="U668">
        <f t="shared" si="140"/>
        <v>0</v>
      </c>
      <c r="V668">
        <f t="shared" si="141"/>
        <v>0</v>
      </c>
    </row>
    <row r="669" spans="1:22" x14ac:dyDescent="0.4">
      <c r="A669" s="1" t="s">
        <v>2152</v>
      </c>
      <c r="B669" s="1" t="s">
        <v>2153</v>
      </c>
      <c r="C669" s="1" t="s">
        <v>2154</v>
      </c>
      <c r="D669" s="1" t="s">
        <v>1944</v>
      </c>
      <c r="E669" s="1" t="s">
        <v>2125</v>
      </c>
      <c r="F669" s="5" t="s">
        <v>479</v>
      </c>
      <c r="G669" s="1" t="s">
        <v>27</v>
      </c>
      <c r="H669">
        <f>VLOOKUP(D669,[1]金額リスト!$A$2:$B$6,2,FALSE)</f>
        <v>113220</v>
      </c>
      <c r="I669" s="1" t="s">
        <v>2126</v>
      </c>
      <c r="J669">
        <f t="shared" si="130"/>
        <v>0</v>
      </c>
      <c r="K669">
        <f t="shared" si="131"/>
        <v>0</v>
      </c>
      <c r="L669">
        <f t="shared" si="142"/>
        <v>113220</v>
      </c>
      <c r="M669">
        <f t="shared" si="132"/>
        <v>0</v>
      </c>
      <c r="N669">
        <f t="shared" si="133"/>
        <v>0</v>
      </c>
      <c r="O669">
        <f t="shared" si="134"/>
        <v>0</v>
      </c>
      <c r="P669">
        <f t="shared" si="135"/>
        <v>0</v>
      </c>
      <c r="Q669">
        <f t="shared" si="136"/>
        <v>0</v>
      </c>
      <c r="R669">
        <f t="shared" si="137"/>
        <v>0</v>
      </c>
      <c r="S669">
        <f t="shared" si="138"/>
        <v>0</v>
      </c>
      <c r="T669">
        <f t="shared" si="139"/>
        <v>0</v>
      </c>
      <c r="U669">
        <f t="shared" si="140"/>
        <v>0</v>
      </c>
      <c r="V669">
        <f t="shared" si="141"/>
        <v>0</v>
      </c>
    </row>
    <row r="670" spans="1:22" x14ac:dyDescent="0.4">
      <c r="A670" s="1" t="s">
        <v>2155</v>
      </c>
      <c r="B670" s="1" t="s">
        <v>2156</v>
      </c>
      <c r="C670" s="1" t="s">
        <v>2157</v>
      </c>
      <c r="D670" s="1" t="s">
        <v>1944</v>
      </c>
      <c r="E670" s="1" t="s">
        <v>2158</v>
      </c>
      <c r="F670" s="5" t="s">
        <v>1130</v>
      </c>
      <c r="G670" s="1" t="s">
        <v>27</v>
      </c>
      <c r="H670">
        <f>VLOOKUP(D670,[1]金額リスト!$A$2:$B$6,2,FALSE)</f>
        <v>113220</v>
      </c>
      <c r="I670" s="1" t="s">
        <v>2105</v>
      </c>
      <c r="J670">
        <f t="shared" si="130"/>
        <v>0</v>
      </c>
      <c r="K670">
        <f t="shared" si="131"/>
        <v>0</v>
      </c>
      <c r="L670">
        <f t="shared" si="142"/>
        <v>0</v>
      </c>
      <c r="M670">
        <f t="shared" si="132"/>
        <v>113220</v>
      </c>
      <c r="N670">
        <f t="shared" si="133"/>
        <v>0</v>
      </c>
      <c r="O670">
        <f t="shared" si="134"/>
        <v>0</v>
      </c>
      <c r="P670">
        <f t="shared" si="135"/>
        <v>0</v>
      </c>
      <c r="Q670">
        <f t="shared" si="136"/>
        <v>0</v>
      </c>
      <c r="R670">
        <f t="shared" si="137"/>
        <v>0</v>
      </c>
      <c r="S670">
        <f t="shared" si="138"/>
        <v>0</v>
      </c>
      <c r="T670">
        <f t="shared" si="139"/>
        <v>0</v>
      </c>
      <c r="U670">
        <f t="shared" si="140"/>
        <v>0</v>
      </c>
      <c r="V670">
        <f t="shared" si="141"/>
        <v>0</v>
      </c>
    </row>
    <row r="671" spans="1:22" x14ac:dyDescent="0.4">
      <c r="A671" s="1" t="s">
        <v>2159</v>
      </c>
      <c r="B671" s="1" t="s">
        <v>2160</v>
      </c>
      <c r="C671" s="1" t="s">
        <v>2161</v>
      </c>
      <c r="D671" s="1" t="s">
        <v>1944</v>
      </c>
      <c r="E671" s="1" t="s">
        <v>2042</v>
      </c>
      <c r="F671" s="5" t="s">
        <v>1623</v>
      </c>
      <c r="G671" s="1" t="s">
        <v>27</v>
      </c>
      <c r="H671">
        <f>VLOOKUP(D671,[1]金額リスト!$A$2:$B$6,2,FALSE)</f>
        <v>113220</v>
      </c>
      <c r="I671" s="1" t="s">
        <v>1930</v>
      </c>
      <c r="J671">
        <f t="shared" si="130"/>
        <v>0</v>
      </c>
      <c r="K671">
        <f t="shared" si="131"/>
        <v>0</v>
      </c>
      <c r="L671">
        <f t="shared" si="142"/>
        <v>0</v>
      </c>
      <c r="M671">
        <f t="shared" si="132"/>
        <v>0</v>
      </c>
      <c r="N671">
        <f t="shared" si="133"/>
        <v>0</v>
      </c>
      <c r="O671">
        <f t="shared" si="134"/>
        <v>0</v>
      </c>
      <c r="P671">
        <f t="shared" si="135"/>
        <v>113220</v>
      </c>
      <c r="Q671">
        <f t="shared" si="136"/>
        <v>0</v>
      </c>
      <c r="R671">
        <f t="shared" si="137"/>
        <v>0</v>
      </c>
      <c r="S671">
        <f t="shared" si="138"/>
        <v>0</v>
      </c>
      <c r="T671">
        <f t="shared" si="139"/>
        <v>0</v>
      </c>
      <c r="U671">
        <f t="shared" si="140"/>
        <v>0</v>
      </c>
      <c r="V671">
        <f t="shared" si="141"/>
        <v>0</v>
      </c>
    </row>
    <row r="672" spans="1:22" x14ac:dyDescent="0.4">
      <c r="A672" s="1" t="s">
        <v>2162</v>
      </c>
      <c r="B672" s="1" t="s">
        <v>2163</v>
      </c>
      <c r="C672" s="1" t="s">
        <v>2164</v>
      </c>
      <c r="D672" s="1" t="s">
        <v>1944</v>
      </c>
      <c r="E672" s="1" t="s">
        <v>2133</v>
      </c>
      <c r="F672" s="5" t="s">
        <v>479</v>
      </c>
      <c r="G672" s="1" t="s">
        <v>27</v>
      </c>
      <c r="H672">
        <f>VLOOKUP(D672,[1]金額リスト!$A$2:$B$6,2,FALSE)</f>
        <v>113220</v>
      </c>
      <c r="I672" s="1" t="s">
        <v>2126</v>
      </c>
      <c r="J672">
        <f t="shared" si="130"/>
        <v>0</v>
      </c>
      <c r="K672">
        <f t="shared" si="131"/>
        <v>0</v>
      </c>
      <c r="L672">
        <f t="shared" si="142"/>
        <v>113220</v>
      </c>
      <c r="M672">
        <f t="shared" si="132"/>
        <v>0</v>
      </c>
      <c r="N672">
        <f t="shared" si="133"/>
        <v>0</v>
      </c>
      <c r="O672">
        <f t="shared" si="134"/>
        <v>0</v>
      </c>
      <c r="P672">
        <f t="shared" si="135"/>
        <v>0</v>
      </c>
      <c r="Q672">
        <f t="shared" si="136"/>
        <v>0</v>
      </c>
      <c r="R672">
        <f t="shared" si="137"/>
        <v>0</v>
      </c>
      <c r="S672">
        <f t="shared" si="138"/>
        <v>0</v>
      </c>
      <c r="T672">
        <f t="shared" si="139"/>
        <v>0</v>
      </c>
      <c r="U672">
        <f t="shared" si="140"/>
        <v>0</v>
      </c>
      <c r="V672">
        <f t="shared" si="141"/>
        <v>0</v>
      </c>
    </row>
    <row r="673" spans="1:22" x14ac:dyDescent="0.4">
      <c r="A673" s="1" t="s">
        <v>2165</v>
      </c>
      <c r="B673" s="1" t="s">
        <v>2166</v>
      </c>
      <c r="C673" s="1" t="s">
        <v>2167</v>
      </c>
      <c r="D673" s="1" t="s">
        <v>1944</v>
      </c>
      <c r="E673" s="1" t="s">
        <v>2168</v>
      </c>
      <c r="F673" s="5" t="s">
        <v>1623</v>
      </c>
      <c r="G673" s="1" t="s">
        <v>27</v>
      </c>
      <c r="H673">
        <f>VLOOKUP(D673,[1]金額リスト!$A$2:$B$6,2,FALSE)</f>
        <v>113220</v>
      </c>
      <c r="I673" s="1" t="s">
        <v>1930</v>
      </c>
      <c r="J673">
        <f t="shared" si="130"/>
        <v>0</v>
      </c>
      <c r="K673">
        <f t="shared" si="131"/>
        <v>0</v>
      </c>
      <c r="L673">
        <f t="shared" si="142"/>
        <v>0</v>
      </c>
      <c r="M673">
        <f t="shared" si="132"/>
        <v>0</v>
      </c>
      <c r="N673">
        <f t="shared" si="133"/>
        <v>0</v>
      </c>
      <c r="O673">
        <f t="shared" si="134"/>
        <v>0</v>
      </c>
      <c r="P673">
        <f t="shared" si="135"/>
        <v>113220</v>
      </c>
      <c r="Q673">
        <f t="shared" si="136"/>
        <v>0</v>
      </c>
      <c r="R673">
        <f t="shared" si="137"/>
        <v>0</v>
      </c>
      <c r="S673">
        <f t="shared" si="138"/>
        <v>0</v>
      </c>
      <c r="T673">
        <f t="shared" si="139"/>
        <v>0</v>
      </c>
      <c r="U673">
        <f t="shared" si="140"/>
        <v>0</v>
      </c>
      <c r="V673">
        <f t="shared" si="141"/>
        <v>0</v>
      </c>
    </row>
    <row r="674" spans="1:22" x14ac:dyDescent="0.4">
      <c r="A674" s="1" t="s">
        <v>2169</v>
      </c>
      <c r="B674" s="1" t="s">
        <v>2170</v>
      </c>
      <c r="C674" s="1" t="s">
        <v>2171</v>
      </c>
      <c r="D674" s="1" t="s">
        <v>1944</v>
      </c>
      <c r="E674" s="1" t="s">
        <v>2042</v>
      </c>
      <c r="F674" s="5" t="s">
        <v>1623</v>
      </c>
      <c r="G674" s="1" t="s">
        <v>27</v>
      </c>
      <c r="H674">
        <f>VLOOKUP(D674,[1]金額リスト!$A$2:$B$6,2,FALSE)</f>
        <v>113220</v>
      </c>
      <c r="I674" s="1" t="s">
        <v>1930</v>
      </c>
      <c r="J674">
        <f t="shared" si="130"/>
        <v>0</v>
      </c>
      <c r="K674">
        <f t="shared" si="131"/>
        <v>0</v>
      </c>
      <c r="L674">
        <f t="shared" si="142"/>
        <v>0</v>
      </c>
      <c r="M674">
        <f t="shared" si="132"/>
        <v>0</v>
      </c>
      <c r="N674">
        <f t="shared" si="133"/>
        <v>0</v>
      </c>
      <c r="O674">
        <f t="shared" si="134"/>
        <v>0</v>
      </c>
      <c r="P674">
        <f t="shared" si="135"/>
        <v>113220</v>
      </c>
      <c r="Q674">
        <f t="shared" si="136"/>
        <v>0</v>
      </c>
      <c r="R674">
        <f t="shared" si="137"/>
        <v>0</v>
      </c>
      <c r="S674">
        <f t="shared" si="138"/>
        <v>0</v>
      </c>
      <c r="T674">
        <f t="shared" si="139"/>
        <v>0</v>
      </c>
      <c r="U674">
        <f t="shared" si="140"/>
        <v>0</v>
      </c>
      <c r="V674">
        <f t="shared" si="141"/>
        <v>0</v>
      </c>
    </row>
    <row r="675" spans="1:22" x14ac:dyDescent="0.4">
      <c r="A675" s="1" t="s">
        <v>2172</v>
      </c>
      <c r="B675" s="1" t="s">
        <v>2173</v>
      </c>
      <c r="C675" s="1" t="s">
        <v>2174</v>
      </c>
      <c r="D675" s="1" t="s">
        <v>1944</v>
      </c>
      <c r="E675" s="1" t="s">
        <v>2100</v>
      </c>
      <c r="F675" s="5" t="s">
        <v>1623</v>
      </c>
      <c r="G675" s="1" t="s">
        <v>27</v>
      </c>
      <c r="H675">
        <f>VLOOKUP(D675,[1]金額リスト!$A$2:$B$6,2,FALSE)</f>
        <v>113220</v>
      </c>
      <c r="I675" s="1" t="s">
        <v>1930</v>
      </c>
      <c r="J675">
        <f t="shared" si="130"/>
        <v>0</v>
      </c>
      <c r="K675">
        <f t="shared" si="131"/>
        <v>0</v>
      </c>
      <c r="L675">
        <f t="shared" si="142"/>
        <v>0</v>
      </c>
      <c r="M675">
        <f t="shared" si="132"/>
        <v>0</v>
      </c>
      <c r="N675">
        <f t="shared" si="133"/>
        <v>0</v>
      </c>
      <c r="O675">
        <f t="shared" si="134"/>
        <v>0</v>
      </c>
      <c r="P675">
        <f t="shared" si="135"/>
        <v>113220</v>
      </c>
      <c r="Q675">
        <f t="shared" si="136"/>
        <v>0</v>
      </c>
      <c r="R675">
        <f t="shared" si="137"/>
        <v>0</v>
      </c>
      <c r="S675">
        <f t="shared" si="138"/>
        <v>0</v>
      </c>
      <c r="T675">
        <f t="shared" si="139"/>
        <v>0</v>
      </c>
      <c r="U675">
        <f t="shared" si="140"/>
        <v>0</v>
      </c>
      <c r="V675">
        <f t="shared" si="141"/>
        <v>0</v>
      </c>
    </row>
    <row r="676" spans="1:22" x14ac:dyDescent="0.4">
      <c r="A676" s="1" t="s">
        <v>2175</v>
      </c>
      <c r="B676" s="1" t="s">
        <v>2176</v>
      </c>
      <c r="C676" s="1" t="s">
        <v>2177</v>
      </c>
      <c r="D676" s="1" t="s">
        <v>1944</v>
      </c>
      <c r="E676" s="1" t="s">
        <v>2178</v>
      </c>
      <c r="F676" s="5" t="s">
        <v>1623</v>
      </c>
      <c r="G676" s="1" t="s">
        <v>27</v>
      </c>
      <c r="H676">
        <f>VLOOKUP(D676,[1]金額リスト!$A$2:$B$6,2,FALSE)</f>
        <v>113220</v>
      </c>
      <c r="I676" s="1" t="s">
        <v>1930</v>
      </c>
      <c r="J676">
        <f t="shared" si="130"/>
        <v>0</v>
      </c>
      <c r="K676">
        <f t="shared" si="131"/>
        <v>0</v>
      </c>
      <c r="L676">
        <f t="shared" si="142"/>
        <v>0</v>
      </c>
      <c r="M676">
        <f t="shared" si="132"/>
        <v>0</v>
      </c>
      <c r="N676">
        <f t="shared" si="133"/>
        <v>0</v>
      </c>
      <c r="O676">
        <f t="shared" si="134"/>
        <v>0</v>
      </c>
      <c r="P676">
        <f t="shared" si="135"/>
        <v>113220</v>
      </c>
      <c r="Q676">
        <f t="shared" si="136"/>
        <v>0</v>
      </c>
      <c r="R676">
        <f t="shared" si="137"/>
        <v>0</v>
      </c>
      <c r="S676">
        <f t="shared" si="138"/>
        <v>0</v>
      </c>
      <c r="T676">
        <f t="shared" si="139"/>
        <v>0</v>
      </c>
      <c r="U676">
        <f t="shared" si="140"/>
        <v>0</v>
      </c>
      <c r="V676">
        <f t="shared" si="141"/>
        <v>0</v>
      </c>
    </row>
    <row r="677" spans="1:22" x14ac:dyDescent="0.4">
      <c r="A677" s="1" t="s">
        <v>2179</v>
      </c>
      <c r="B677" s="1" t="s">
        <v>2180</v>
      </c>
      <c r="C677" s="1" t="s">
        <v>2181</v>
      </c>
      <c r="D677" s="1" t="s">
        <v>44</v>
      </c>
      <c r="E677" s="1" t="s">
        <v>867</v>
      </c>
      <c r="F677" s="5" t="s">
        <v>479</v>
      </c>
      <c r="G677" s="1" t="s">
        <v>27</v>
      </c>
      <c r="H677">
        <f>VLOOKUP(D677,[1]金額リスト!$A$2:$B$6,2,FALSE)</f>
        <v>114300</v>
      </c>
      <c r="I677" s="1" t="s">
        <v>868</v>
      </c>
      <c r="J677">
        <f t="shared" si="130"/>
        <v>0</v>
      </c>
      <c r="K677">
        <f t="shared" si="131"/>
        <v>0</v>
      </c>
      <c r="L677">
        <f t="shared" si="142"/>
        <v>114300</v>
      </c>
      <c r="M677">
        <f t="shared" si="132"/>
        <v>0</v>
      </c>
      <c r="N677">
        <f t="shared" si="133"/>
        <v>0</v>
      </c>
      <c r="O677">
        <f t="shared" si="134"/>
        <v>0</v>
      </c>
      <c r="P677">
        <f t="shared" si="135"/>
        <v>0</v>
      </c>
      <c r="Q677">
        <f t="shared" si="136"/>
        <v>0</v>
      </c>
      <c r="R677">
        <f t="shared" si="137"/>
        <v>0</v>
      </c>
      <c r="S677">
        <f t="shared" si="138"/>
        <v>0</v>
      </c>
      <c r="T677">
        <f t="shared" si="139"/>
        <v>0</v>
      </c>
      <c r="U677">
        <f t="shared" si="140"/>
        <v>0</v>
      </c>
      <c r="V677">
        <f t="shared" si="141"/>
        <v>0</v>
      </c>
    </row>
    <row r="678" spans="1:22" x14ac:dyDescent="0.4">
      <c r="A678" s="1" t="s">
        <v>2182</v>
      </c>
      <c r="B678" s="1" t="s">
        <v>2183</v>
      </c>
      <c r="C678" s="1" t="s">
        <v>2184</v>
      </c>
      <c r="D678" s="1" t="s">
        <v>25</v>
      </c>
      <c r="E678" s="1" t="s">
        <v>1157</v>
      </c>
      <c r="F678" s="5" t="s">
        <v>479</v>
      </c>
      <c r="G678" s="1" t="s">
        <v>27</v>
      </c>
      <c r="H678">
        <f>VLOOKUP(D678,[1]金額リスト!$A$2:$B$6,2,FALSE)</f>
        <v>59400</v>
      </c>
      <c r="I678" s="1" t="s">
        <v>28</v>
      </c>
      <c r="J678">
        <f t="shared" si="130"/>
        <v>0</v>
      </c>
      <c r="K678">
        <f t="shared" si="131"/>
        <v>0</v>
      </c>
      <c r="L678">
        <f t="shared" si="142"/>
        <v>59400</v>
      </c>
      <c r="M678">
        <f t="shared" si="132"/>
        <v>0</v>
      </c>
      <c r="N678">
        <f t="shared" si="133"/>
        <v>0</v>
      </c>
      <c r="O678">
        <f t="shared" si="134"/>
        <v>0</v>
      </c>
      <c r="P678">
        <f t="shared" si="135"/>
        <v>0</v>
      </c>
      <c r="Q678">
        <f t="shared" si="136"/>
        <v>0</v>
      </c>
      <c r="R678">
        <f t="shared" si="137"/>
        <v>0</v>
      </c>
      <c r="S678">
        <f t="shared" si="138"/>
        <v>0</v>
      </c>
      <c r="T678">
        <f t="shared" si="139"/>
        <v>0</v>
      </c>
      <c r="U678">
        <f t="shared" si="140"/>
        <v>0</v>
      </c>
      <c r="V678">
        <f t="shared" si="141"/>
        <v>0</v>
      </c>
    </row>
    <row r="679" spans="1:22" x14ac:dyDescent="0.4">
      <c r="A679" s="1" t="s">
        <v>2185</v>
      </c>
      <c r="B679" s="1" t="s">
        <v>2186</v>
      </c>
      <c r="C679" s="1" t="s">
        <v>2187</v>
      </c>
      <c r="D679" s="1" t="s">
        <v>1944</v>
      </c>
      <c r="E679" s="1" t="s">
        <v>2188</v>
      </c>
      <c r="F679" s="5" t="s">
        <v>1946</v>
      </c>
      <c r="G679" s="1" t="s">
        <v>27</v>
      </c>
      <c r="H679">
        <f>VLOOKUP(D679,[1]金額リスト!$A$2:$B$6,2,FALSE)</f>
        <v>113220</v>
      </c>
      <c r="I679" s="1" t="s">
        <v>28</v>
      </c>
      <c r="J679">
        <f t="shared" si="130"/>
        <v>0</v>
      </c>
      <c r="K679">
        <f t="shared" si="131"/>
        <v>0</v>
      </c>
      <c r="L679">
        <f t="shared" si="142"/>
        <v>0</v>
      </c>
      <c r="M679">
        <f t="shared" si="132"/>
        <v>0</v>
      </c>
      <c r="N679">
        <f t="shared" si="133"/>
        <v>0</v>
      </c>
      <c r="O679">
        <f t="shared" si="134"/>
        <v>0</v>
      </c>
      <c r="P679">
        <f t="shared" si="135"/>
        <v>0</v>
      </c>
      <c r="Q679">
        <f t="shared" si="136"/>
        <v>0</v>
      </c>
      <c r="R679">
        <f t="shared" si="137"/>
        <v>0</v>
      </c>
      <c r="S679">
        <f t="shared" si="138"/>
        <v>0</v>
      </c>
      <c r="T679">
        <f t="shared" si="139"/>
        <v>0</v>
      </c>
      <c r="U679">
        <f t="shared" si="140"/>
        <v>0</v>
      </c>
      <c r="V679">
        <f t="shared" si="141"/>
        <v>113220</v>
      </c>
    </row>
    <row r="680" spans="1:22" x14ac:dyDescent="0.4">
      <c r="A680" s="1" t="s">
        <v>2189</v>
      </c>
      <c r="B680" s="1" t="s">
        <v>2190</v>
      </c>
      <c r="C680" s="1" t="s">
        <v>2191</v>
      </c>
      <c r="D680" s="1" t="s">
        <v>1944</v>
      </c>
      <c r="E680" s="1" t="s">
        <v>2042</v>
      </c>
      <c r="F680" s="5" t="s">
        <v>1623</v>
      </c>
      <c r="G680" s="1" t="s">
        <v>27</v>
      </c>
      <c r="H680">
        <f>VLOOKUP(D680,[1]金額リスト!$A$2:$B$6,2,FALSE)</f>
        <v>113220</v>
      </c>
      <c r="I680" s="1" t="s">
        <v>1930</v>
      </c>
      <c r="J680">
        <f t="shared" si="130"/>
        <v>0</v>
      </c>
      <c r="K680">
        <f t="shared" si="131"/>
        <v>0</v>
      </c>
      <c r="L680">
        <f t="shared" si="142"/>
        <v>0</v>
      </c>
      <c r="M680">
        <f t="shared" si="132"/>
        <v>0</v>
      </c>
      <c r="N680">
        <f t="shared" si="133"/>
        <v>0</v>
      </c>
      <c r="O680">
        <f t="shared" si="134"/>
        <v>0</v>
      </c>
      <c r="P680">
        <f t="shared" si="135"/>
        <v>113220</v>
      </c>
      <c r="Q680">
        <f t="shared" si="136"/>
        <v>0</v>
      </c>
      <c r="R680">
        <f t="shared" si="137"/>
        <v>0</v>
      </c>
      <c r="S680">
        <f t="shared" si="138"/>
        <v>0</v>
      </c>
      <c r="T680">
        <f t="shared" si="139"/>
        <v>0</v>
      </c>
      <c r="U680">
        <f t="shared" si="140"/>
        <v>0</v>
      </c>
      <c r="V680">
        <f t="shared" si="141"/>
        <v>0</v>
      </c>
    </row>
    <row r="681" spans="1:22" x14ac:dyDescent="0.4">
      <c r="A681" s="1" t="s">
        <v>2192</v>
      </c>
      <c r="B681" s="1" t="s">
        <v>2193</v>
      </c>
      <c r="C681" s="1" t="s">
        <v>2194</v>
      </c>
      <c r="D681" s="1" t="s">
        <v>1944</v>
      </c>
      <c r="E681" s="1" t="s">
        <v>1622</v>
      </c>
      <c r="F681" s="5" t="s">
        <v>1946</v>
      </c>
      <c r="G681" s="1" t="s">
        <v>27</v>
      </c>
      <c r="H681">
        <f>VLOOKUP(D681,[1]金額リスト!$A$2:$B$6,2,FALSE)</f>
        <v>113220</v>
      </c>
      <c r="I681" s="1" t="s">
        <v>28</v>
      </c>
      <c r="J681">
        <f t="shared" si="130"/>
        <v>0</v>
      </c>
      <c r="K681">
        <f t="shared" si="131"/>
        <v>0</v>
      </c>
      <c r="L681">
        <f t="shared" si="142"/>
        <v>0</v>
      </c>
      <c r="M681">
        <f t="shared" si="132"/>
        <v>0</v>
      </c>
      <c r="N681">
        <f t="shared" si="133"/>
        <v>0</v>
      </c>
      <c r="O681">
        <f t="shared" si="134"/>
        <v>0</v>
      </c>
      <c r="P681">
        <f t="shared" si="135"/>
        <v>0</v>
      </c>
      <c r="Q681">
        <f t="shared" si="136"/>
        <v>0</v>
      </c>
      <c r="R681">
        <f t="shared" si="137"/>
        <v>0</v>
      </c>
      <c r="S681">
        <f t="shared" si="138"/>
        <v>0</v>
      </c>
      <c r="T681">
        <f t="shared" si="139"/>
        <v>0</v>
      </c>
      <c r="U681">
        <f t="shared" si="140"/>
        <v>0</v>
      </c>
      <c r="V681">
        <f t="shared" si="141"/>
        <v>113220</v>
      </c>
    </row>
    <row r="682" spans="1:22" x14ac:dyDescent="0.4">
      <c r="A682" s="1" t="s">
        <v>2195</v>
      </c>
      <c r="B682" s="1" t="s">
        <v>2196</v>
      </c>
      <c r="C682" s="1" t="s">
        <v>2197</v>
      </c>
      <c r="D682" s="1" t="s">
        <v>1944</v>
      </c>
      <c r="E682" s="1" t="s">
        <v>2198</v>
      </c>
      <c r="F682" s="5" t="s">
        <v>1623</v>
      </c>
      <c r="G682" s="1" t="s">
        <v>27</v>
      </c>
      <c r="H682">
        <f>VLOOKUP(D682,[1]金額リスト!$A$2:$B$6,2,FALSE)</f>
        <v>113220</v>
      </c>
      <c r="I682" s="1" t="s">
        <v>1930</v>
      </c>
      <c r="J682">
        <f t="shared" si="130"/>
        <v>0</v>
      </c>
      <c r="K682">
        <f t="shared" si="131"/>
        <v>0</v>
      </c>
      <c r="L682">
        <f t="shared" si="142"/>
        <v>0</v>
      </c>
      <c r="M682">
        <f t="shared" si="132"/>
        <v>0</v>
      </c>
      <c r="N682">
        <f t="shared" si="133"/>
        <v>0</v>
      </c>
      <c r="O682">
        <f t="shared" si="134"/>
        <v>0</v>
      </c>
      <c r="P682">
        <f t="shared" si="135"/>
        <v>113220</v>
      </c>
      <c r="Q682">
        <f t="shared" si="136"/>
        <v>0</v>
      </c>
      <c r="R682">
        <f t="shared" si="137"/>
        <v>0</v>
      </c>
      <c r="S682">
        <f t="shared" si="138"/>
        <v>0</v>
      </c>
      <c r="T682">
        <f t="shared" si="139"/>
        <v>0</v>
      </c>
      <c r="U682">
        <f t="shared" si="140"/>
        <v>0</v>
      </c>
      <c r="V682">
        <f t="shared" si="141"/>
        <v>0</v>
      </c>
    </row>
    <row r="683" spans="1:22" x14ac:dyDescent="0.4">
      <c r="A683" s="1" t="s">
        <v>2199</v>
      </c>
      <c r="B683" s="1" t="s">
        <v>2200</v>
      </c>
      <c r="C683" s="1" t="s">
        <v>2201</v>
      </c>
      <c r="D683" s="1" t="s">
        <v>25</v>
      </c>
      <c r="E683" s="1" t="s">
        <v>227</v>
      </c>
      <c r="F683" s="5" t="s">
        <v>10</v>
      </c>
      <c r="G683" s="1" t="s">
        <v>27</v>
      </c>
      <c r="H683">
        <f>VLOOKUP(D683,[1]金額リスト!$A$2:$B$6,2,FALSE)</f>
        <v>59400</v>
      </c>
      <c r="I683" s="1" t="s">
        <v>33</v>
      </c>
      <c r="J683">
        <f t="shared" si="130"/>
        <v>0</v>
      </c>
      <c r="K683">
        <f t="shared" si="131"/>
        <v>59400</v>
      </c>
      <c r="L683">
        <f t="shared" si="142"/>
        <v>0</v>
      </c>
      <c r="M683">
        <f t="shared" si="132"/>
        <v>0</v>
      </c>
      <c r="N683">
        <f t="shared" si="133"/>
        <v>0</v>
      </c>
      <c r="O683">
        <f t="shared" si="134"/>
        <v>0</v>
      </c>
      <c r="P683">
        <f t="shared" si="135"/>
        <v>0</v>
      </c>
      <c r="Q683">
        <f t="shared" si="136"/>
        <v>0</v>
      </c>
      <c r="R683">
        <f t="shared" si="137"/>
        <v>0</v>
      </c>
      <c r="S683">
        <f t="shared" si="138"/>
        <v>0</v>
      </c>
      <c r="T683">
        <f t="shared" si="139"/>
        <v>0</v>
      </c>
      <c r="U683">
        <f t="shared" si="140"/>
        <v>0</v>
      </c>
      <c r="V683">
        <f t="shared" si="141"/>
        <v>0</v>
      </c>
    </row>
    <row r="684" spans="1:22" x14ac:dyDescent="0.4">
      <c r="A684" s="1" t="s">
        <v>2202</v>
      </c>
      <c r="B684" s="1" t="s">
        <v>2203</v>
      </c>
      <c r="C684" s="1" t="s">
        <v>2204</v>
      </c>
      <c r="D684" s="1" t="s">
        <v>1944</v>
      </c>
      <c r="E684" s="1" t="s">
        <v>1141</v>
      </c>
      <c r="F684" s="5" t="s">
        <v>479</v>
      </c>
      <c r="G684" s="1" t="s">
        <v>27</v>
      </c>
      <c r="H684">
        <f>VLOOKUP(D684,[1]金額リスト!$A$2:$B$6,2,FALSE)</f>
        <v>113220</v>
      </c>
      <c r="I684" s="1" t="s">
        <v>2126</v>
      </c>
      <c r="J684">
        <f t="shared" si="130"/>
        <v>0</v>
      </c>
      <c r="K684">
        <f t="shared" si="131"/>
        <v>0</v>
      </c>
      <c r="L684">
        <f t="shared" si="142"/>
        <v>113220</v>
      </c>
      <c r="M684">
        <f t="shared" si="132"/>
        <v>0</v>
      </c>
      <c r="N684">
        <f t="shared" si="133"/>
        <v>0</v>
      </c>
      <c r="O684">
        <f t="shared" si="134"/>
        <v>0</v>
      </c>
      <c r="P684">
        <f t="shared" si="135"/>
        <v>0</v>
      </c>
      <c r="Q684">
        <f t="shared" si="136"/>
        <v>0</v>
      </c>
      <c r="R684">
        <f t="shared" si="137"/>
        <v>0</v>
      </c>
      <c r="S684">
        <f t="shared" si="138"/>
        <v>0</v>
      </c>
      <c r="T684">
        <f t="shared" si="139"/>
        <v>0</v>
      </c>
      <c r="U684">
        <f t="shared" si="140"/>
        <v>0</v>
      </c>
      <c r="V684">
        <f t="shared" si="141"/>
        <v>0</v>
      </c>
    </row>
    <row r="685" spans="1:22" x14ac:dyDescent="0.4">
      <c r="A685" s="1" t="s">
        <v>2205</v>
      </c>
      <c r="B685" s="1" t="s">
        <v>2206</v>
      </c>
      <c r="C685" s="1" t="s">
        <v>2207</v>
      </c>
      <c r="D685" s="1" t="s">
        <v>44</v>
      </c>
      <c r="E685" s="1" t="s">
        <v>1309</v>
      </c>
      <c r="F685" s="5" t="s">
        <v>479</v>
      </c>
      <c r="G685" s="1" t="s">
        <v>27</v>
      </c>
      <c r="H685">
        <f>VLOOKUP(D685,[1]金額リスト!$A$2:$B$6,2,FALSE)</f>
        <v>114300</v>
      </c>
      <c r="I685" s="1" t="s">
        <v>868</v>
      </c>
      <c r="J685">
        <f t="shared" si="130"/>
        <v>0</v>
      </c>
      <c r="K685">
        <f t="shared" si="131"/>
        <v>0</v>
      </c>
      <c r="L685">
        <f t="shared" si="142"/>
        <v>114300</v>
      </c>
      <c r="M685">
        <f t="shared" si="132"/>
        <v>0</v>
      </c>
      <c r="N685">
        <f t="shared" si="133"/>
        <v>0</v>
      </c>
      <c r="O685">
        <f t="shared" si="134"/>
        <v>0</v>
      </c>
      <c r="P685">
        <f t="shared" si="135"/>
        <v>0</v>
      </c>
      <c r="Q685">
        <f t="shared" si="136"/>
        <v>0</v>
      </c>
      <c r="R685">
        <f t="shared" si="137"/>
        <v>0</v>
      </c>
      <c r="S685">
        <f t="shared" si="138"/>
        <v>0</v>
      </c>
      <c r="T685">
        <f t="shared" si="139"/>
        <v>0</v>
      </c>
      <c r="U685">
        <f t="shared" si="140"/>
        <v>0</v>
      </c>
      <c r="V685">
        <f t="shared" si="141"/>
        <v>0</v>
      </c>
    </row>
    <row r="686" spans="1:22" x14ac:dyDescent="0.4">
      <c r="A686" s="1" t="s">
        <v>2208</v>
      </c>
      <c r="B686" s="1" t="s">
        <v>2209</v>
      </c>
      <c r="C686" s="1" t="s">
        <v>2210</v>
      </c>
      <c r="D686" s="1" t="s">
        <v>44</v>
      </c>
      <c r="E686" s="1" t="s">
        <v>1242</v>
      </c>
      <c r="F686" s="5" t="s">
        <v>479</v>
      </c>
      <c r="G686" s="1" t="s">
        <v>27</v>
      </c>
      <c r="H686">
        <f>VLOOKUP(D686,[1]金額リスト!$A$2:$B$6,2,FALSE)</f>
        <v>114300</v>
      </c>
      <c r="I686" s="1" t="s">
        <v>868</v>
      </c>
      <c r="J686">
        <f t="shared" si="130"/>
        <v>0</v>
      </c>
      <c r="K686">
        <f t="shared" si="131"/>
        <v>0</v>
      </c>
      <c r="L686">
        <f t="shared" si="142"/>
        <v>114300</v>
      </c>
      <c r="M686">
        <f t="shared" si="132"/>
        <v>0</v>
      </c>
      <c r="N686">
        <f t="shared" si="133"/>
        <v>0</v>
      </c>
      <c r="O686">
        <f t="shared" si="134"/>
        <v>0</v>
      </c>
      <c r="P686">
        <f t="shared" si="135"/>
        <v>0</v>
      </c>
      <c r="Q686">
        <f t="shared" si="136"/>
        <v>0</v>
      </c>
      <c r="R686">
        <f t="shared" si="137"/>
        <v>0</v>
      </c>
      <c r="S686">
        <f t="shared" si="138"/>
        <v>0</v>
      </c>
      <c r="T686">
        <f t="shared" si="139"/>
        <v>0</v>
      </c>
      <c r="U686">
        <f t="shared" si="140"/>
        <v>0</v>
      </c>
      <c r="V686">
        <f t="shared" si="141"/>
        <v>0</v>
      </c>
    </row>
    <row r="687" spans="1:22" x14ac:dyDescent="0.4">
      <c r="A687" s="1" t="s">
        <v>2211</v>
      </c>
      <c r="B687" s="1" t="s">
        <v>2212</v>
      </c>
      <c r="C687" s="1" t="s">
        <v>2213</v>
      </c>
      <c r="D687" s="1" t="s">
        <v>44</v>
      </c>
      <c r="E687" s="1" t="s">
        <v>2214</v>
      </c>
      <c r="F687" s="5" t="s">
        <v>1130</v>
      </c>
      <c r="G687" s="1" t="s">
        <v>27</v>
      </c>
      <c r="H687">
        <f>VLOOKUP(D687,[1]金額リスト!$A$2:$B$6,2,FALSE)</f>
        <v>114300</v>
      </c>
      <c r="I687" s="1" t="s">
        <v>1455</v>
      </c>
      <c r="J687">
        <f t="shared" si="130"/>
        <v>0</v>
      </c>
      <c r="K687">
        <f t="shared" si="131"/>
        <v>0</v>
      </c>
      <c r="L687">
        <f t="shared" si="142"/>
        <v>0</v>
      </c>
      <c r="M687">
        <f t="shared" si="132"/>
        <v>114300</v>
      </c>
      <c r="N687">
        <f t="shared" si="133"/>
        <v>0</v>
      </c>
      <c r="O687">
        <f t="shared" si="134"/>
        <v>0</v>
      </c>
      <c r="P687">
        <f t="shared" si="135"/>
        <v>0</v>
      </c>
      <c r="Q687">
        <f t="shared" si="136"/>
        <v>0</v>
      </c>
      <c r="R687">
        <f t="shared" si="137"/>
        <v>0</v>
      </c>
      <c r="S687">
        <f t="shared" si="138"/>
        <v>0</v>
      </c>
      <c r="T687">
        <f t="shared" si="139"/>
        <v>0</v>
      </c>
      <c r="U687">
        <f t="shared" si="140"/>
        <v>0</v>
      </c>
      <c r="V687">
        <f t="shared" si="141"/>
        <v>0</v>
      </c>
    </row>
    <row r="688" spans="1:22" x14ac:dyDescent="0.4">
      <c r="A688" s="1" t="s">
        <v>2215</v>
      </c>
      <c r="B688" s="1" t="s">
        <v>2216</v>
      </c>
      <c r="C688" s="1" t="s">
        <v>2217</v>
      </c>
      <c r="D688" s="1" t="s">
        <v>44</v>
      </c>
      <c r="E688" s="1" t="s">
        <v>2218</v>
      </c>
      <c r="F688" s="5" t="s">
        <v>46</v>
      </c>
      <c r="G688" s="1" t="s">
        <v>27</v>
      </c>
      <c r="H688">
        <f>VLOOKUP(D688,[1]金額リスト!$A$2:$B$6,2,FALSE)</f>
        <v>114300</v>
      </c>
      <c r="I688" s="1" t="s">
        <v>33</v>
      </c>
      <c r="J688">
        <f t="shared" si="130"/>
        <v>0</v>
      </c>
      <c r="K688">
        <f t="shared" si="131"/>
        <v>0</v>
      </c>
      <c r="L688">
        <f t="shared" si="142"/>
        <v>0</v>
      </c>
      <c r="M688">
        <f t="shared" si="132"/>
        <v>0</v>
      </c>
      <c r="N688">
        <f t="shared" si="133"/>
        <v>114300</v>
      </c>
      <c r="O688">
        <f t="shared" si="134"/>
        <v>0</v>
      </c>
      <c r="P688">
        <f t="shared" si="135"/>
        <v>0</v>
      </c>
      <c r="Q688">
        <f t="shared" si="136"/>
        <v>0</v>
      </c>
      <c r="R688">
        <f t="shared" si="137"/>
        <v>0</v>
      </c>
      <c r="S688">
        <f t="shared" si="138"/>
        <v>0</v>
      </c>
      <c r="T688">
        <f t="shared" si="139"/>
        <v>0</v>
      </c>
      <c r="U688">
        <f t="shared" si="140"/>
        <v>0</v>
      </c>
      <c r="V688">
        <f t="shared" si="141"/>
        <v>0</v>
      </c>
    </row>
    <row r="689" spans="1:22" x14ac:dyDescent="0.4">
      <c r="A689" s="1" t="s">
        <v>2219</v>
      </c>
      <c r="B689" s="1" t="s">
        <v>2220</v>
      </c>
      <c r="C689" s="1" t="s">
        <v>2221</v>
      </c>
      <c r="D689" s="1" t="s">
        <v>44</v>
      </c>
      <c r="E689" s="1" t="s">
        <v>97</v>
      </c>
      <c r="F689" s="5" t="s">
        <v>46</v>
      </c>
      <c r="G689" s="1" t="s">
        <v>27</v>
      </c>
      <c r="H689">
        <f>VLOOKUP(D689,[1]金額リスト!$A$2:$B$6,2,FALSE)</f>
        <v>114300</v>
      </c>
      <c r="I689" s="1" t="s">
        <v>33</v>
      </c>
      <c r="J689">
        <f t="shared" si="130"/>
        <v>0</v>
      </c>
      <c r="K689">
        <f t="shared" si="131"/>
        <v>0</v>
      </c>
      <c r="L689">
        <f t="shared" si="142"/>
        <v>0</v>
      </c>
      <c r="M689">
        <f t="shared" si="132"/>
        <v>0</v>
      </c>
      <c r="N689">
        <f t="shared" si="133"/>
        <v>114300</v>
      </c>
      <c r="O689">
        <f t="shared" si="134"/>
        <v>0</v>
      </c>
      <c r="P689">
        <f t="shared" si="135"/>
        <v>0</v>
      </c>
      <c r="Q689">
        <f t="shared" si="136"/>
        <v>0</v>
      </c>
      <c r="R689">
        <f t="shared" si="137"/>
        <v>0</v>
      </c>
      <c r="S689">
        <f t="shared" si="138"/>
        <v>0</v>
      </c>
      <c r="T689">
        <f t="shared" si="139"/>
        <v>0</v>
      </c>
      <c r="U689">
        <f t="shared" si="140"/>
        <v>0</v>
      </c>
      <c r="V689">
        <f t="shared" si="141"/>
        <v>0</v>
      </c>
    </row>
    <row r="690" spans="1:22" x14ac:dyDescent="0.4">
      <c r="A690" s="1" t="s">
        <v>2222</v>
      </c>
      <c r="B690" s="1" t="s">
        <v>2223</v>
      </c>
      <c r="C690" s="1" t="s">
        <v>2224</v>
      </c>
      <c r="D690" s="1" t="s">
        <v>44</v>
      </c>
      <c r="E690" s="1" t="s">
        <v>101</v>
      </c>
      <c r="F690" s="5" t="s">
        <v>46</v>
      </c>
      <c r="G690" s="1" t="s">
        <v>27</v>
      </c>
      <c r="H690">
        <f>VLOOKUP(D690,[1]金額リスト!$A$2:$B$6,2,FALSE)</f>
        <v>114300</v>
      </c>
      <c r="I690" s="1" t="s">
        <v>33</v>
      </c>
      <c r="J690">
        <f t="shared" si="130"/>
        <v>0</v>
      </c>
      <c r="K690">
        <f t="shared" si="131"/>
        <v>0</v>
      </c>
      <c r="L690">
        <f t="shared" si="142"/>
        <v>0</v>
      </c>
      <c r="M690">
        <f t="shared" si="132"/>
        <v>0</v>
      </c>
      <c r="N690">
        <f t="shared" si="133"/>
        <v>114300</v>
      </c>
      <c r="O690">
        <f t="shared" si="134"/>
        <v>0</v>
      </c>
      <c r="P690">
        <f t="shared" si="135"/>
        <v>0</v>
      </c>
      <c r="Q690">
        <f t="shared" si="136"/>
        <v>0</v>
      </c>
      <c r="R690">
        <f t="shared" si="137"/>
        <v>0</v>
      </c>
      <c r="S690">
        <f t="shared" si="138"/>
        <v>0</v>
      </c>
      <c r="T690">
        <f t="shared" si="139"/>
        <v>0</v>
      </c>
      <c r="U690">
        <f t="shared" si="140"/>
        <v>0</v>
      </c>
      <c r="V690">
        <f t="shared" si="141"/>
        <v>0</v>
      </c>
    </row>
    <row r="691" spans="1:22" x14ac:dyDescent="0.4">
      <c r="A691" s="1" t="s">
        <v>2225</v>
      </c>
      <c r="B691" s="1" t="s">
        <v>2226</v>
      </c>
      <c r="C691" s="1" t="s">
        <v>2227</v>
      </c>
      <c r="D691" s="1" t="s">
        <v>1944</v>
      </c>
      <c r="E691" s="1" t="s">
        <v>2228</v>
      </c>
      <c r="F691" s="5" t="s">
        <v>1946</v>
      </c>
      <c r="G691" s="1" t="s">
        <v>27</v>
      </c>
      <c r="H691">
        <f>VLOOKUP(D691,[1]金額リスト!$A$2:$B$6,2,FALSE)</f>
        <v>113220</v>
      </c>
      <c r="I691" s="1" t="s">
        <v>28</v>
      </c>
      <c r="J691">
        <f t="shared" si="130"/>
        <v>0</v>
      </c>
      <c r="K691">
        <f t="shared" si="131"/>
        <v>0</v>
      </c>
      <c r="L691">
        <f t="shared" si="142"/>
        <v>0</v>
      </c>
      <c r="M691">
        <f t="shared" si="132"/>
        <v>0</v>
      </c>
      <c r="N691">
        <f t="shared" si="133"/>
        <v>0</v>
      </c>
      <c r="O691">
        <f t="shared" si="134"/>
        <v>0</v>
      </c>
      <c r="P691">
        <f t="shared" si="135"/>
        <v>0</v>
      </c>
      <c r="Q691">
        <f t="shared" si="136"/>
        <v>0</v>
      </c>
      <c r="R691">
        <f t="shared" si="137"/>
        <v>0</v>
      </c>
      <c r="S691">
        <f t="shared" si="138"/>
        <v>0</v>
      </c>
      <c r="T691">
        <f t="shared" si="139"/>
        <v>0</v>
      </c>
      <c r="U691">
        <f t="shared" si="140"/>
        <v>0</v>
      </c>
      <c r="V691">
        <f t="shared" si="141"/>
        <v>113220</v>
      </c>
    </row>
    <row r="692" spans="1:22" x14ac:dyDescent="0.4">
      <c r="A692" s="1" t="s">
        <v>2229</v>
      </c>
      <c r="I692" s="1"/>
      <c r="J692">
        <f>SUM(J2:J691)</f>
        <v>288000</v>
      </c>
      <c r="K692">
        <f t="shared" ref="K692:V692" si="143">SUM(K2:K691)</f>
        <v>8911800</v>
      </c>
      <c r="L692">
        <f t="shared" si="143"/>
        <v>17480520</v>
      </c>
      <c r="M692">
        <f t="shared" si="143"/>
        <v>1427760</v>
      </c>
      <c r="N692">
        <f t="shared" si="143"/>
        <v>39547800</v>
      </c>
      <c r="O692">
        <f t="shared" si="143"/>
        <v>799020</v>
      </c>
      <c r="P692">
        <f>SUM(P2:P691)</f>
        <v>1925820</v>
      </c>
      <c r="Q692">
        <f t="shared" si="143"/>
        <v>0</v>
      </c>
      <c r="R692">
        <f t="shared" si="143"/>
        <v>0</v>
      </c>
      <c r="S692">
        <f t="shared" si="143"/>
        <v>0</v>
      </c>
      <c r="T692">
        <f t="shared" si="143"/>
        <v>113220</v>
      </c>
      <c r="U692">
        <f t="shared" si="143"/>
        <v>0</v>
      </c>
      <c r="V692">
        <f t="shared" si="143"/>
        <v>1132200</v>
      </c>
    </row>
    <row r="693" spans="1:22" x14ac:dyDescent="0.4">
      <c r="V693">
        <f>+SUM(J692:V692)</f>
        <v>71626140</v>
      </c>
    </row>
  </sheetData>
  <autoFilter ref="A1:I691" xr:uid="{00000000-0009-0000-0000-00000F000000}"/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2</vt:i4>
      </vt:variant>
    </vt:vector>
  </HeadingPairs>
  <TitlesOfParts>
    <vt:vector size="32" baseType="lpstr">
      <vt:lpstr>Sheet11</vt:lpstr>
      <vt:lpstr>Sheet11 (3月)</vt:lpstr>
      <vt:lpstr>Sheet11 (2月)</vt:lpstr>
      <vt:lpstr>Sheet11 (1月)</vt:lpstr>
      <vt:lpstr>Sheet11 (12月)</vt:lpstr>
      <vt:lpstr>Sheet11 (11月)</vt:lpstr>
      <vt:lpstr>Sheet11 (10月)</vt:lpstr>
      <vt:lpstr>Sheet11 (9月)</vt:lpstr>
      <vt:lpstr>keisan</vt:lpstr>
      <vt:lpstr>Sheet11 (8月)</vt:lpstr>
      <vt:lpstr>Sheet11 (7月)</vt:lpstr>
      <vt:lpstr>Sheet11 (6月)</vt:lpstr>
      <vt:lpstr>Sheet11 (5月)</vt:lpstr>
      <vt:lpstr>Sheet11 (4月)</vt:lpstr>
      <vt:lpstr>Sheet11(3月)</vt:lpstr>
      <vt:lpstr>Sheet11(2月)</vt:lpstr>
      <vt:lpstr>Sheet11 (並べ替えの都合上の削除前)</vt:lpstr>
      <vt:lpstr>Sheet11(1月集計) </vt:lpstr>
      <vt:lpstr>まとめ継続(2月)</vt:lpstr>
      <vt:lpstr>まとめ継続(分割計上計算)(2月)</vt:lpstr>
      <vt:lpstr>Sheet8</vt:lpstr>
      <vt:lpstr>Sheet1-2</vt:lpstr>
      <vt:lpstr>Sheet1</vt:lpstr>
      <vt:lpstr>Sheet2</vt:lpstr>
      <vt:lpstr>まとめ継続(分割計上計算)</vt:lpstr>
      <vt:lpstr>まとめ継続(1月)</vt:lpstr>
      <vt:lpstr>Sheet5</vt:lpstr>
      <vt:lpstr>Sheet3</vt:lpstr>
      <vt:lpstr>Sheet4</vt:lpstr>
      <vt:lpstr>コミュおまとめ</vt:lpstr>
      <vt:lpstr>コミュおまとめ!顧客データベース20250213140013_0</vt:lpstr>
      <vt:lpstr>'まとめ継続(1月)'!顧客データベース20250213140013_0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keiri RES</dc:creator>
  <cp:lastModifiedBy>keiri RES</cp:lastModifiedBy>
  <dcterms:created xsi:type="dcterms:W3CDTF">2025-02-13T08:08:03Z</dcterms:created>
  <dcterms:modified xsi:type="dcterms:W3CDTF">2026-05-11T02:49:20Z</dcterms:modified>
</cp:coreProperties>
</file>