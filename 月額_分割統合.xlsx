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28269C5B-378B-4F00-85C9-15F3BB774E5F}" xr6:coauthVersionLast="47" xr6:coauthVersionMax="47" xr10:uidLastSave="{00000000-0000-0000-0000-000000000000}"/>
  <bookViews>
    <workbookView xWindow="29445" yWindow="435" windowWidth="23205" windowHeight="14820" xr2:uid="{5AA50BA7-59BB-4F8D-9D40-E32F9614EBD2}"/>
  </bookViews>
  <sheets>
    <sheet name="Sheet1" sheetId="2" r:id="rId1"/>
    <sheet name="Sheet2" sheetId="3" r:id="rId2"/>
    <sheet name="Sheet3" sheetId="4" r:id="rId3"/>
    <sheet name="Sheet4" sheetId="5" r:id="rId4"/>
  </sheets>
  <definedNames>
    <definedName name="_xlnm._FilterDatabase" localSheetId="1" hidden="1">Sheet2!$A$1:$F$105</definedName>
  </definedNames>
  <calcPr calcId="191029"/>
  <pivotCaches>
    <pivotCache cacheId="146" r:id="rId5"/>
    <pivotCache cacheId="15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2" l="1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G2" i="2"/>
  <c r="I2" i="2"/>
  <c r="K2" i="2"/>
  <c r="M2" i="2"/>
  <c r="O2" i="2"/>
  <c r="G3" i="2"/>
  <c r="I3" i="2"/>
  <c r="K3" i="2"/>
  <c r="M3" i="2"/>
  <c r="O3" i="2"/>
  <c r="G4" i="2"/>
  <c r="I4" i="2"/>
  <c r="K4" i="2"/>
  <c r="M4" i="2"/>
  <c r="O4" i="2"/>
  <c r="G5" i="2"/>
  <c r="I5" i="2"/>
  <c r="K5" i="2"/>
  <c r="M5" i="2"/>
  <c r="O5" i="2"/>
  <c r="G6" i="2"/>
  <c r="I6" i="2"/>
  <c r="K6" i="2"/>
  <c r="M6" i="2"/>
  <c r="O6" i="2"/>
  <c r="G7" i="2"/>
  <c r="I7" i="2"/>
  <c r="K7" i="2"/>
  <c r="M7" i="2"/>
  <c r="O7" i="2"/>
  <c r="G8" i="2"/>
  <c r="I8" i="2"/>
  <c r="K8" i="2"/>
  <c r="M8" i="2"/>
  <c r="O8" i="2"/>
  <c r="G9" i="2"/>
  <c r="I9" i="2"/>
  <c r="K9" i="2"/>
  <c r="M9" i="2"/>
  <c r="O9" i="2"/>
  <c r="G10" i="2"/>
  <c r="I10" i="2"/>
  <c r="K10" i="2"/>
  <c r="M10" i="2"/>
  <c r="O10" i="2"/>
  <c r="G11" i="2"/>
  <c r="I11" i="2"/>
  <c r="K11" i="2"/>
  <c r="M11" i="2"/>
  <c r="O11" i="2"/>
  <c r="G12" i="2"/>
  <c r="K12" i="2"/>
  <c r="M12" i="2"/>
  <c r="O12" i="2"/>
  <c r="G13" i="2"/>
  <c r="I13" i="2"/>
  <c r="K13" i="2"/>
  <c r="M13" i="2"/>
  <c r="O13" i="2"/>
  <c r="G14" i="2"/>
  <c r="I14" i="2"/>
  <c r="K14" i="2"/>
  <c r="M14" i="2"/>
  <c r="O14" i="2"/>
  <c r="G15" i="2"/>
  <c r="I15" i="2"/>
  <c r="K15" i="2"/>
  <c r="M15" i="2"/>
  <c r="O15" i="2"/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2" i="2"/>
</calcChain>
</file>

<file path=xl/sharedStrings.xml><?xml version="1.0" encoding="utf-8"?>
<sst xmlns="http://schemas.openxmlformats.org/spreadsheetml/2006/main" count="574" uniqueCount="61">
  <si>
    <t>新 業務提携者（従属）</t>
  </si>
  <si>
    <t>PEAK ONE. LLC[山崎裕久(Mr.K)]</t>
  </si>
  <si>
    <t>㈱クインビー[高橋陽子]</t>
  </si>
  <si>
    <t>自社（RES）</t>
  </si>
  <si>
    <t>㈱JUNG[古川雅拡]</t>
  </si>
  <si>
    <t>(同)シエスタ[秋田洋徳]</t>
  </si>
  <si>
    <t>分割</t>
    <rPh sb="0" eb="2">
      <t>ブンカツ</t>
    </rPh>
    <phoneticPr fontId="18"/>
  </si>
  <si>
    <t>自社報酬率</t>
    <rPh sb="2" eb="5">
      <t>ホウシュウリツ</t>
    </rPh>
    <phoneticPr fontId="18"/>
  </si>
  <si>
    <t>ストックジャーナル㈱[奥村尚]</t>
  </si>
  <si>
    <t>㈱Fied[原]</t>
  </si>
  <si>
    <t>㈱rewrite[齊藤佳孝]</t>
  </si>
  <si>
    <t>㈱スカイ[カルロス]</t>
  </si>
  <si>
    <t>東川高子</t>
  </si>
  <si>
    <t>月額</t>
    <rPh sb="0" eb="2">
      <t>ゲツガク</t>
    </rPh>
    <phoneticPr fontId="18"/>
  </si>
  <si>
    <t>新 報酬率(自社)</t>
    <phoneticPr fontId="18"/>
  </si>
  <si>
    <t>合計金額</t>
    <phoneticPr fontId="18"/>
  </si>
  <si>
    <t>タイプ</t>
    <phoneticPr fontId="18"/>
  </si>
  <si>
    <t>2025年2月(自)</t>
    <rPh sb="4" eb="5">
      <t>ネン</t>
    </rPh>
    <rPh sb="6" eb="7">
      <t>ツキ</t>
    </rPh>
    <rPh sb="8" eb="9">
      <t>ジ</t>
    </rPh>
    <phoneticPr fontId="18"/>
  </si>
  <si>
    <t>2025年3月(自)</t>
    <rPh sb="4" eb="5">
      <t>ネン</t>
    </rPh>
    <rPh sb="6" eb="7">
      <t>ツキ</t>
    </rPh>
    <rPh sb="8" eb="9">
      <t>ジ</t>
    </rPh>
    <phoneticPr fontId="18"/>
  </si>
  <si>
    <t>2025年5月(自)</t>
    <rPh sb="4" eb="5">
      <t>ネン</t>
    </rPh>
    <rPh sb="6" eb="7">
      <t>ツキ</t>
    </rPh>
    <rPh sb="8" eb="9">
      <t>ジ</t>
    </rPh>
    <phoneticPr fontId="18"/>
  </si>
  <si>
    <t>2025年1月(自)</t>
    <rPh sb="4" eb="5">
      <t>ネン</t>
    </rPh>
    <rPh sb="6" eb="7">
      <t>ツキ</t>
    </rPh>
    <rPh sb="8" eb="9">
      <t>ジ</t>
    </rPh>
    <phoneticPr fontId="18"/>
  </si>
  <si>
    <t>2025年1月</t>
    <phoneticPr fontId="18"/>
  </si>
  <si>
    <t>2025年2月</t>
    <phoneticPr fontId="18"/>
  </si>
  <si>
    <t>2025年3月</t>
    <phoneticPr fontId="18"/>
  </si>
  <si>
    <t>2025年4月</t>
    <phoneticPr fontId="18"/>
  </si>
  <si>
    <t>2025年5月</t>
    <phoneticPr fontId="18"/>
  </si>
  <si>
    <t>2025年4月(自)</t>
    <rPh sb="4" eb="5">
      <t>ネン</t>
    </rPh>
    <rPh sb="6" eb="7">
      <t>ツキ</t>
    </rPh>
    <rPh sb="8" eb="9">
      <t>ジ</t>
    </rPh>
    <phoneticPr fontId="18"/>
  </si>
  <si>
    <t>2025年2月</t>
  </si>
  <si>
    <t>2025年3月</t>
  </si>
  <si>
    <t>2025年4月</t>
  </si>
  <si>
    <t>2025年5月</t>
  </si>
  <si>
    <t>2025年2月(自)</t>
  </si>
  <si>
    <t>2025年3月(自)</t>
  </si>
  <si>
    <t>2025年4月(自)</t>
  </si>
  <si>
    <t>2025年5月(自)</t>
  </si>
  <si>
    <t>計上月</t>
  </si>
  <si>
    <t>計上月</t>
    <rPh sb="0" eb="3">
      <t>ケイジョウツキ</t>
    </rPh>
    <phoneticPr fontId="18"/>
  </si>
  <si>
    <t>合計金額</t>
    <rPh sb="0" eb="2">
      <t>ゴウケイ</t>
    </rPh>
    <rPh sb="2" eb="4">
      <t>キンガク</t>
    </rPh>
    <phoneticPr fontId="18"/>
  </si>
  <si>
    <t>総計</t>
  </si>
  <si>
    <t>40%</t>
  </si>
  <si>
    <t>45%</t>
  </si>
  <si>
    <t>50%</t>
  </si>
  <si>
    <t>30%</t>
  </si>
  <si>
    <t>60%</t>
  </si>
  <si>
    <t>100%</t>
  </si>
  <si>
    <t>自社報酬率</t>
  </si>
  <si>
    <t>合計 / 合計金額</t>
  </si>
  <si>
    <t>合計 / 2025年1月</t>
  </si>
  <si>
    <t>合計 / 2025年1月(自)</t>
  </si>
  <si>
    <t>合計 / 2025年2月</t>
  </si>
  <si>
    <t>合計 / 2025年2月(自)</t>
  </si>
  <si>
    <t>合計 / 2025年3月</t>
  </si>
  <si>
    <t>合計 / 2025年3月(自)</t>
  </si>
  <si>
    <t>合計 / 2025年4月</t>
  </si>
  <si>
    <t>合計 / 2025年4月(自)</t>
  </si>
  <si>
    <t>合計 / 2025年5月</t>
  </si>
  <si>
    <t>合計 / 2025年5月(自)</t>
  </si>
  <si>
    <t>新 報酬率(自社)</t>
  </si>
  <si>
    <t>タイプ</t>
  </si>
  <si>
    <t>月額</t>
  </si>
  <si>
    <t>分割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</si>
</sst>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10" xfId="1" applyFont="1" applyBorder="1">
      <alignment vertical="center"/>
    </xf>
    <xf numFmtId="38" fontId="0" fillId="33" borderId="10" xfId="1" applyFont="1" applyFill="1" applyBorder="1">
      <alignment vertical="center"/>
    </xf>
    <xf numFmtId="55" fontId="0" fillId="0" borderId="10" xfId="1" applyNumberFormat="1" applyFont="1" applyBorder="1">
      <alignment vertical="center"/>
    </xf>
    <xf numFmtId="0" fontId="0" fillId="34" borderId="10" xfId="0" applyFill="1" applyBorder="1">
      <alignment vertical="center"/>
    </xf>
    <xf numFmtId="55" fontId="0" fillId="0" borderId="10" xfId="1" quotePrefix="1" applyNumberFormat="1" applyFont="1" applyBorder="1">
      <alignment vertical="center"/>
    </xf>
    <xf numFmtId="38" fontId="0" fillId="0" borderId="10" xfId="1" applyFont="1" applyFill="1" applyBorder="1">
      <alignment vertical="center"/>
    </xf>
    <xf numFmtId="0" fontId="0" fillId="0" borderId="0" xfId="0" pivotButton="1">
      <alignment vertical="center"/>
    </xf>
    <xf numFmtId="38" fontId="0" fillId="0" borderId="0" xfId="0" applyNumberFormat="1">
      <alignment vertical="center"/>
    </xf>
    <xf numFmtId="38" fontId="0" fillId="35" borderId="0" xfId="0" applyNumberFormat="1" applyFill="1">
      <alignment vertical="center"/>
    </xf>
    <xf numFmtId="0" fontId="0" fillId="0" borderId="10" xfId="0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4">
    <dxf>
      <fill>
        <patternFill patternType="solid">
          <bgColor rgb="FFFFCCFF"/>
        </patternFill>
      </fill>
    </dxf>
    <dxf>
      <fill>
        <patternFill patternType="solid">
          <bgColor rgb="FFFFCCFF"/>
        </patternFill>
      </fill>
    </dxf>
    <dxf>
      <fill>
        <patternFill patternType="solid">
          <bgColor rgb="FFFFCCFF"/>
        </patternFill>
      </fill>
    </dxf>
    <dxf>
      <fill>
        <patternFill patternType="solid">
          <bgColor rgb="FFFFCC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5.753328125" createdVersion="8" refreshedVersion="8" minRefreshableVersion="3" recordCount="14" xr:uid="{7AA76597-A2F5-454B-B128-7FB69478CB32}">
  <cacheSource type="worksheet">
    <worksheetSource ref="A1:O15" sheet="Sheet1"/>
  </cacheSource>
  <cacheFields count="15">
    <cacheField name="タイプ" numFmtId="38">
      <sharedItems count="2">
        <s v="月額"/>
        <s v="分割"/>
      </sharedItems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 count="6">
        <n v="40"/>
        <n v="45"/>
        <n v="50"/>
        <n v="60"/>
        <n v="100"/>
        <n v="30"/>
      </sharedItems>
    </cacheField>
    <cacheField name="自社報酬率" numFmtId="38">
      <sharedItems/>
    </cacheField>
    <cacheField name="合計金額" numFmtId="38">
      <sharedItems containsSemiMixedTypes="0" containsString="0" containsNumber="1" containsInteger="1" minValue="4015" maxValue="3853104"/>
    </cacheField>
    <cacheField name="2025年1月" numFmtId="38">
      <sharedItems containsSemiMixedTypes="0" containsString="0" containsNumber="1" containsInteger="1" minValue="0" maxValue="3853104"/>
    </cacheField>
    <cacheField name="2025年1月(自)" numFmtId="38">
      <sharedItems containsSemiMixedTypes="0" containsString="0" containsNumber="1" minValue="1204.5" maxValue="1926552"/>
    </cacheField>
    <cacheField name="2025年2月" numFmtId="38">
      <sharedItems containsSemiMixedTypes="0" containsString="0" containsNumber="1" containsInteger="1" minValue="0" maxValue="3781054"/>
    </cacheField>
    <cacheField name="2025年2月(自)" numFmtId="38">
      <sharedItems containsSemiMixedTypes="0" containsString="0" containsNumber="1" minValue="0" maxValue="1890527"/>
    </cacheField>
    <cacheField name="2025年3月" numFmtId="38">
      <sharedItems containsSemiMixedTypes="0" containsString="0" containsNumber="1" containsInteger="1" minValue="0" maxValue="3576300"/>
    </cacheField>
    <cacheField name="2025年3月(自)" numFmtId="38">
      <sharedItems containsSemiMixedTypes="0" containsString="0" containsNumber="1" minValue="0" maxValue="1788150"/>
    </cacheField>
    <cacheField name="2025年4月" numFmtId="38">
      <sharedItems containsSemiMixedTypes="0" containsString="0" containsNumber="1" containsInteger="1" minValue="0" maxValue="2422035"/>
    </cacheField>
    <cacheField name="2025年4月(自)" numFmtId="38">
      <sharedItems containsSemiMixedTypes="0" containsString="0" containsNumber="1" minValue="0" maxValue="1089915.75"/>
    </cacheField>
    <cacheField name="2025年5月" numFmtId="38">
      <sharedItems containsSemiMixedTypes="0" containsString="0" containsNumber="1" containsInteger="1" minValue="0" maxValue="2422035"/>
    </cacheField>
    <cacheField name="2025年5月(自)" numFmtId="38">
      <sharedItems containsSemiMixedTypes="0" containsString="0" containsNumber="1" minValue="0" maxValue="1089915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695.753368634258" createdVersion="8" refreshedVersion="8" minRefreshableVersion="3" recordCount="112" xr:uid="{7920AFC6-E986-4518-B373-9916BF74D623}">
  <cacheSource type="worksheet">
    <worksheetSource ref="A1:F113" sheet="Sheet2"/>
  </cacheSource>
  <cacheFields count="6">
    <cacheField name="タイプ" numFmtId="38">
      <sharedItems/>
    </cacheField>
    <cacheField name="新 業務提携者（従属）" numFmtId="38">
      <sharedItems count="10">
        <s v="(同)シエスタ[秋田洋徳]"/>
        <s v="PEAK ONE. LLC[山崎裕久(Mr.K)]"/>
        <s v="ストックジャーナル㈱[奥村尚]"/>
        <s v="㈱Fied[原]"/>
        <s v="㈱rewrite[齊藤佳孝]"/>
        <s v="㈱スカイ[カルロス]"/>
        <s v="自社（RES）"/>
        <s v="東川高子"/>
        <s v="㈱JUNG[古川雅拡]"/>
        <s v="㈱クインビー[高橋陽子]"/>
      </sharedItems>
    </cacheField>
    <cacheField name="新 報酬率(自社)" numFmtId="38">
      <sharedItems containsSemiMixedTypes="0" containsString="0" containsNumber="1" containsInteger="1" minValue="30" maxValue="100"/>
    </cacheField>
    <cacheField name="自社報酬率" numFmtId="38">
      <sharedItems count="6">
        <s v="40%"/>
        <s v="45%"/>
        <s v="50%"/>
        <s v="60%"/>
        <s v="100%"/>
        <s v="30%"/>
      </sharedItems>
    </cacheField>
    <cacheField name="計上月" numFmtId="55">
      <sharedItems count="8">
        <s v="2025年2月"/>
        <s v="2025年2月(自)"/>
        <s v="2025年3月"/>
        <s v="2025年3月(自)"/>
        <s v="2025年4月"/>
        <s v="2025年4月(自)"/>
        <s v="2025年5月"/>
        <s v="2025年5月(自)"/>
      </sharedItems>
    </cacheField>
    <cacheField name="合計金額" numFmtId="0">
      <sharedItems containsSemiMixedTypes="0" containsString="0" containsNumber="1" minValue="0" maxValue="37810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x v="0"/>
    <s v="40%"/>
    <n v="118580"/>
    <n v="0"/>
    <n v="47432"/>
    <n v="118580"/>
    <n v="47432"/>
    <n v="118580"/>
    <n v="47432"/>
    <n v="118580"/>
    <n v="47432"/>
    <n v="118580"/>
    <n v="47432"/>
  </r>
  <r>
    <x v="0"/>
    <x v="1"/>
    <x v="1"/>
    <s v="45%"/>
    <n v="2422035"/>
    <n v="0"/>
    <n v="1089915.75"/>
    <n v="2422035"/>
    <n v="1089915.75"/>
    <n v="2422035"/>
    <n v="1089915.75"/>
    <n v="2422035"/>
    <n v="1089915.75"/>
    <n v="2422035"/>
    <n v="1089915.75"/>
  </r>
  <r>
    <x v="0"/>
    <x v="1"/>
    <x v="2"/>
    <s v="50%"/>
    <n v="1159450"/>
    <n v="0"/>
    <n v="579725"/>
    <n v="1159450"/>
    <n v="579725"/>
    <n v="1159450"/>
    <n v="579725"/>
    <n v="1159450"/>
    <n v="579725"/>
    <n v="1159450"/>
    <n v="579725"/>
  </r>
  <r>
    <x v="0"/>
    <x v="2"/>
    <x v="2"/>
    <s v="50%"/>
    <n v="155370"/>
    <n v="0"/>
    <n v="77685"/>
    <n v="155370"/>
    <n v="77685"/>
    <n v="155370"/>
    <n v="77685"/>
    <n v="155370"/>
    <n v="77685"/>
    <n v="155370"/>
    <n v="77685"/>
  </r>
  <r>
    <x v="0"/>
    <x v="3"/>
    <x v="2"/>
    <s v="50%"/>
    <n v="27000"/>
    <n v="0"/>
    <n v="13500"/>
    <n v="27000"/>
    <n v="13500"/>
    <n v="27000"/>
    <n v="13500"/>
    <n v="27000"/>
    <n v="13500"/>
    <n v="27000"/>
    <n v="13500"/>
  </r>
  <r>
    <x v="0"/>
    <x v="4"/>
    <x v="3"/>
    <s v="60%"/>
    <n v="82500"/>
    <n v="0"/>
    <n v="49500"/>
    <n v="82500"/>
    <n v="49500"/>
    <n v="82500"/>
    <n v="49500"/>
    <n v="82500"/>
    <n v="49500"/>
    <n v="82500"/>
    <n v="49500"/>
  </r>
  <r>
    <x v="0"/>
    <x v="5"/>
    <x v="2"/>
    <s v="50%"/>
    <n v="49000"/>
    <n v="0"/>
    <n v="24500"/>
    <n v="49000"/>
    <n v="24500"/>
    <n v="49000"/>
    <n v="24500"/>
    <n v="49000"/>
    <n v="24500"/>
    <n v="49000"/>
    <n v="24500"/>
  </r>
  <r>
    <x v="0"/>
    <x v="6"/>
    <x v="4"/>
    <s v="100%"/>
    <n v="106000"/>
    <n v="0"/>
    <n v="106000"/>
    <n v="106000"/>
    <n v="106000"/>
    <n v="106000"/>
    <n v="106000"/>
    <n v="106000"/>
    <n v="106000"/>
    <n v="106000"/>
    <n v="106000"/>
  </r>
  <r>
    <x v="0"/>
    <x v="7"/>
    <x v="2"/>
    <s v="50%"/>
    <n v="77000"/>
    <n v="0"/>
    <n v="38500"/>
    <n v="77000"/>
    <n v="38500"/>
    <n v="77000"/>
    <n v="38500"/>
    <n v="77000"/>
    <n v="38500"/>
    <n v="77000"/>
    <n v="38500"/>
  </r>
  <r>
    <x v="1"/>
    <x v="0"/>
    <x v="0"/>
    <s v="40%"/>
    <n v="29100"/>
    <n v="29100"/>
    <n v="11640"/>
    <n v="29100"/>
    <n v="11640"/>
    <n v="29100"/>
    <n v="11640"/>
    <n v="29100"/>
    <n v="11640"/>
    <n v="29100"/>
    <n v="11640"/>
  </r>
  <r>
    <x v="1"/>
    <x v="1"/>
    <x v="2"/>
    <s v="50%"/>
    <n v="3853104"/>
    <n v="3853104"/>
    <n v="1926552"/>
    <n v="3781054"/>
    <n v="1890527"/>
    <n v="3576300"/>
    <n v="1788150"/>
    <n v="0"/>
    <n v="0"/>
    <n v="0"/>
    <n v="0"/>
  </r>
  <r>
    <x v="1"/>
    <x v="8"/>
    <x v="5"/>
    <s v="30%"/>
    <n v="4015"/>
    <n v="4015"/>
    <n v="1204.5"/>
    <n v="0"/>
    <n v="0"/>
    <n v="0"/>
    <n v="0"/>
    <n v="0"/>
    <n v="0"/>
    <n v="0"/>
    <n v="0"/>
  </r>
  <r>
    <x v="1"/>
    <x v="9"/>
    <x v="3"/>
    <s v="60%"/>
    <n v="758940"/>
    <n v="758940"/>
    <n v="455364"/>
    <n v="758940"/>
    <n v="455364"/>
    <n v="509940"/>
    <n v="305964"/>
    <n v="509940"/>
    <n v="305964"/>
    <n v="0"/>
    <n v="0"/>
  </r>
  <r>
    <x v="1"/>
    <x v="6"/>
    <x v="4"/>
    <s v="100%"/>
    <n v="79500"/>
    <n v="79500"/>
    <n v="79500"/>
    <n v="79500"/>
    <n v="79500"/>
    <n v="27500"/>
    <n v="27500"/>
    <n v="27500"/>
    <n v="27500"/>
    <n v="27500"/>
    <n v="275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s v="月額"/>
    <x v="0"/>
    <n v="40"/>
    <x v="0"/>
    <x v="0"/>
    <n v="118580"/>
  </r>
  <r>
    <s v="月額"/>
    <x v="0"/>
    <n v="40"/>
    <x v="0"/>
    <x v="1"/>
    <n v="47432"/>
  </r>
  <r>
    <s v="月額"/>
    <x v="0"/>
    <n v="40"/>
    <x v="0"/>
    <x v="2"/>
    <n v="118580"/>
  </r>
  <r>
    <s v="月額"/>
    <x v="0"/>
    <n v="40"/>
    <x v="0"/>
    <x v="3"/>
    <n v="47432"/>
  </r>
  <r>
    <s v="月額"/>
    <x v="0"/>
    <n v="40"/>
    <x v="0"/>
    <x v="4"/>
    <n v="118580"/>
  </r>
  <r>
    <s v="月額"/>
    <x v="0"/>
    <n v="40"/>
    <x v="0"/>
    <x v="5"/>
    <n v="47432"/>
  </r>
  <r>
    <s v="月額"/>
    <x v="0"/>
    <n v="40"/>
    <x v="0"/>
    <x v="6"/>
    <n v="118580"/>
  </r>
  <r>
    <s v="月額"/>
    <x v="0"/>
    <n v="40"/>
    <x v="0"/>
    <x v="7"/>
    <n v="47432"/>
  </r>
  <r>
    <s v="月額"/>
    <x v="1"/>
    <n v="45"/>
    <x v="1"/>
    <x v="0"/>
    <n v="2422035"/>
  </r>
  <r>
    <s v="月額"/>
    <x v="1"/>
    <n v="45"/>
    <x v="1"/>
    <x v="1"/>
    <n v="1089915.75"/>
  </r>
  <r>
    <s v="月額"/>
    <x v="1"/>
    <n v="45"/>
    <x v="1"/>
    <x v="2"/>
    <n v="2422035"/>
  </r>
  <r>
    <s v="月額"/>
    <x v="1"/>
    <n v="45"/>
    <x v="1"/>
    <x v="3"/>
    <n v="1089915.75"/>
  </r>
  <r>
    <s v="月額"/>
    <x v="1"/>
    <n v="45"/>
    <x v="1"/>
    <x v="4"/>
    <n v="2422035"/>
  </r>
  <r>
    <s v="月額"/>
    <x v="1"/>
    <n v="45"/>
    <x v="1"/>
    <x v="5"/>
    <n v="1089915.75"/>
  </r>
  <r>
    <s v="月額"/>
    <x v="1"/>
    <n v="45"/>
    <x v="1"/>
    <x v="6"/>
    <n v="2422035"/>
  </r>
  <r>
    <s v="月額"/>
    <x v="1"/>
    <n v="45"/>
    <x v="1"/>
    <x v="7"/>
    <n v="1089915.75"/>
  </r>
  <r>
    <s v="月額"/>
    <x v="1"/>
    <n v="50"/>
    <x v="2"/>
    <x v="0"/>
    <n v="1159450"/>
  </r>
  <r>
    <s v="月額"/>
    <x v="1"/>
    <n v="50"/>
    <x v="2"/>
    <x v="1"/>
    <n v="579725"/>
  </r>
  <r>
    <s v="月額"/>
    <x v="1"/>
    <n v="50"/>
    <x v="2"/>
    <x v="2"/>
    <n v="1159450"/>
  </r>
  <r>
    <s v="月額"/>
    <x v="1"/>
    <n v="50"/>
    <x v="2"/>
    <x v="3"/>
    <n v="579725"/>
  </r>
  <r>
    <s v="月額"/>
    <x v="1"/>
    <n v="50"/>
    <x v="2"/>
    <x v="4"/>
    <n v="1159450"/>
  </r>
  <r>
    <s v="月額"/>
    <x v="1"/>
    <n v="50"/>
    <x v="2"/>
    <x v="5"/>
    <n v="579725"/>
  </r>
  <r>
    <s v="月額"/>
    <x v="1"/>
    <n v="50"/>
    <x v="2"/>
    <x v="6"/>
    <n v="1159450"/>
  </r>
  <r>
    <s v="月額"/>
    <x v="1"/>
    <n v="50"/>
    <x v="2"/>
    <x v="7"/>
    <n v="579725"/>
  </r>
  <r>
    <s v="月額"/>
    <x v="2"/>
    <n v="50"/>
    <x v="2"/>
    <x v="0"/>
    <n v="155370"/>
  </r>
  <r>
    <s v="月額"/>
    <x v="2"/>
    <n v="50"/>
    <x v="2"/>
    <x v="1"/>
    <n v="77685"/>
  </r>
  <r>
    <s v="月額"/>
    <x v="2"/>
    <n v="50"/>
    <x v="2"/>
    <x v="2"/>
    <n v="155370"/>
  </r>
  <r>
    <s v="月額"/>
    <x v="2"/>
    <n v="50"/>
    <x v="2"/>
    <x v="3"/>
    <n v="77685"/>
  </r>
  <r>
    <s v="月額"/>
    <x v="2"/>
    <n v="50"/>
    <x v="2"/>
    <x v="4"/>
    <n v="155370"/>
  </r>
  <r>
    <s v="月額"/>
    <x v="2"/>
    <n v="50"/>
    <x v="2"/>
    <x v="5"/>
    <n v="77685"/>
  </r>
  <r>
    <s v="月額"/>
    <x v="2"/>
    <n v="50"/>
    <x v="2"/>
    <x v="6"/>
    <n v="155370"/>
  </r>
  <r>
    <s v="月額"/>
    <x v="2"/>
    <n v="50"/>
    <x v="2"/>
    <x v="7"/>
    <n v="77685"/>
  </r>
  <r>
    <s v="月額"/>
    <x v="3"/>
    <n v="50"/>
    <x v="2"/>
    <x v="0"/>
    <n v="27000"/>
  </r>
  <r>
    <s v="月額"/>
    <x v="3"/>
    <n v="50"/>
    <x v="2"/>
    <x v="1"/>
    <n v="13500"/>
  </r>
  <r>
    <s v="月額"/>
    <x v="3"/>
    <n v="50"/>
    <x v="2"/>
    <x v="2"/>
    <n v="27000"/>
  </r>
  <r>
    <s v="月額"/>
    <x v="3"/>
    <n v="50"/>
    <x v="2"/>
    <x v="3"/>
    <n v="13500"/>
  </r>
  <r>
    <s v="月額"/>
    <x v="3"/>
    <n v="50"/>
    <x v="2"/>
    <x v="4"/>
    <n v="27000"/>
  </r>
  <r>
    <s v="月額"/>
    <x v="3"/>
    <n v="50"/>
    <x v="2"/>
    <x v="5"/>
    <n v="13500"/>
  </r>
  <r>
    <s v="月額"/>
    <x v="3"/>
    <n v="50"/>
    <x v="2"/>
    <x v="6"/>
    <n v="27000"/>
  </r>
  <r>
    <s v="月額"/>
    <x v="3"/>
    <n v="50"/>
    <x v="2"/>
    <x v="7"/>
    <n v="13500"/>
  </r>
  <r>
    <s v="月額"/>
    <x v="4"/>
    <n v="60"/>
    <x v="3"/>
    <x v="0"/>
    <n v="82500"/>
  </r>
  <r>
    <s v="月額"/>
    <x v="4"/>
    <n v="60"/>
    <x v="3"/>
    <x v="1"/>
    <n v="49500"/>
  </r>
  <r>
    <s v="月額"/>
    <x v="4"/>
    <n v="60"/>
    <x v="3"/>
    <x v="2"/>
    <n v="82500"/>
  </r>
  <r>
    <s v="月額"/>
    <x v="4"/>
    <n v="60"/>
    <x v="3"/>
    <x v="3"/>
    <n v="49500"/>
  </r>
  <r>
    <s v="月額"/>
    <x v="4"/>
    <n v="60"/>
    <x v="3"/>
    <x v="4"/>
    <n v="82500"/>
  </r>
  <r>
    <s v="月額"/>
    <x v="4"/>
    <n v="60"/>
    <x v="3"/>
    <x v="5"/>
    <n v="49500"/>
  </r>
  <r>
    <s v="月額"/>
    <x v="4"/>
    <n v="60"/>
    <x v="3"/>
    <x v="6"/>
    <n v="82500"/>
  </r>
  <r>
    <s v="月額"/>
    <x v="4"/>
    <n v="60"/>
    <x v="3"/>
    <x v="7"/>
    <n v="49500"/>
  </r>
  <r>
    <s v="月額"/>
    <x v="5"/>
    <n v="50"/>
    <x v="2"/>
    <x v="0"/>
    <n v="49000"/>
  </r>
  <r>
    <s v="月額"/>
    <x v="5"/>
    <n v="50"/>
    <x v="2"/>
    <x v="1"/>
    <n v="24500"/>
  </r>
  <r>
    <s v="月額"/>
    <x v="5"/>
    <n v="50"/>
    <x v="2"/>
    <x v="2"/>
    <n v="49000"/>
  </r>
  <r>
    <s v="月額"/>
    <x v="5"/>
    <n v="50"/>
    <x v="2"/>
    <x v="3"/>
    <n v="24500"/>
  </r>
  <r>
    <s v="月額"/>
    <x v="5"/>
    <n v="50"/>
    <x v="2"/>
    <x v="4"/>
    <n v="49000"/>
  </r>
  <r>
    <s v="月額"/>
    <x v="5"/>
    <n v="50"/>
    <x v="2"/>
    <x v="5"/>
    <n v="24500"/>
  </r>
  <r>
    <s v="月額"/>
    <x v="5"/>
    <n v="50"/>
    <x v="2"/>
    <x v="6"/>
    <n v="49000"/>
  </r>
  <r>
    <s v="月額"/>
    <x v="5"/>
    <n v="50"/>
    <x v="2"/>
    <x v="7"/>
    <n v="24500"/>
  </r>
  <r>
    <s v="月額"/>
    <x v="6"/>
    <n v="100"/>
    <x v="4"/>
    <x v="0"/>
    <n v="106000"/>
  </r>
  <r>
    <s v="月額"/>
    <x v="6"/>
    <n v="100"/>
    <x v="4"/>
    <x v="1"/>
    <n v="106000"/>
  </r>
  <r>
    <s v="月額"/>
    <x v="6"/>
    <n v="100"/>
    <x v="4"/>
    <x v="2"/>
    <n v="106000"/>
  </r>
  <r>
    <s v="月額"/>
    <x v="6"/>
    <n v="100"/>
    <x v="4"/>
    <x v="3"/>
    <n v="106000"/>
  </r>
  <r>
    <s v="月額"/>
    <x v="6"/>
    <n v="100"/>
    <x v="4"/>
    <x v="4"/>
    <n v="106000"/>
  </r>
  <r>
    <s v="月額"/>
    <x v="6"/>
    <n v="100"/>
    <x v="4"/>
    <x v="5"/>
    <n v="106000"/>
  </r>
  <r>
    <s v="月額"/>
    <x v="6"/>
    <n v="100"/>
    <x v="4"/>
    <x v="6"/>
    <n v="106000"/>
  </r>
  <r>
    <s v="月額"/>
    <x v="6"/>
    <n v="100"/>
    <x v="4"/>
    <x v="7"/>
    <n v="106000"/>
  </r>
  <r>
    <s v="分割"/>
    <x v="7"/>
    <n v="50"/>
    <x v="2"/>
    <x v="0"/>
    <n v="77000"/>
  </r>
  <r>
    <s v="分割"/>
    <x v="7"/>
    <n v="50"/>
    <x v="2"/>
    <x v="1"/>
    <n v="38500"/>
  </r>
  <r>
    <s v="分割"/>
    <x v="7"/>
    <n v="50"/>
    <x v="2"/>
    <x v="2"/>
    <n v="77000"/>
  </r>
  <r>
    <s v="分割"/>
    <x v="7"/>
    <n v="50"/>
    <x v="2"/>
    <x v="3"/>
    <n v="38500"/>
  </r>
  <r>
    <s v="分割"/>
    <x v="7"/>
    <n v="50"/>
    <x v="2"/>
    <x v="4"/>
    <n v="77000"/>
  </r>
  <r>
    <s v="分割"/>
    <x v="7"/>
    <n v="50"/>
    <x v="2"/>
    <x v="5"/>
    <n v="38500"/>
  </r>
  <r>
    <s v="分割"/>
    <x v="7"/>
    <n v="50"/>
    <x v="2"/>
    <x v="6"/>
    <n v="77000"/>
  </r>
  <r>
    <s v="分割"/>
    <x v="7"/>
    <n v="50"/>
    <x v="2"/>
    <x v="7"/>
    <n v="38500"/>
  </r>
  <r>
    <s v="分割"/>
    <x v="0"/>
    <n v="40"/>
    <x v="0"/>
    <x v="0"/>
    <n v="29100"/>
  </r>
  <r>
    <s v="分割"/>
    <x v="0"/>
    <n v="40"/>
    <x v="0"/>
    <x v="1"/>
    <n v="11640"/>
  </r>
  <r>
    <s v="分割"/>
    <x v="0"/>
    <n v="40"/>
    <x v="0"/>
    <x v="2"/>
    <n v="29100"/>
  </r>
  <r>
    <s v="分割"/>
    <x v="0"/>
    <n v="40"/>
    <x v="0"/>
    <x v="3"/>
    <n v="11640"/>
  </r>
  <r>
    <s v="分割"/>
    <x v="0"/>
    <n v="40"/>
    <x v="0"/>
    <x v="4"/>
    <n v="29100"/>
  </r>
  <r>
    <s v="分割"/>
    <x v="0"/>
    <n v="40"/>
    <x v="0"/>
    <x v="5"/>
    <n v="11640"/>
  </r>
  <r>
    <s v="分割"/>
    <x v="0"/>
    <n v="40"/>
    <x v="0"/>
    <x v="6"/>
    <n v="29100"/>
  </r>
  <r>
    <s v="分割"/>
    <x v="0"/>
    <n v="40"/>
    <x v="0"/>
    <x v="7"/>
    <n v="11640"/>
  </r>
  <r>
    <s v="分割"/>
    <x v="1"/>
    <n v="50"/>
    <x v="2"/>
    <x v="0"/>
    <n v="3781054"/>
  </r>
  <r>
    <s v="分割"/>
    <x v="1"/>
    <n v="50"/>
    <x v="2"/>
    <x v="1"/>
    <n v="1890527"/>
  </r>
  <r>
    <s v="分割"/>
    <x v="1"/>
    <n v="50"/>
    <x v="2"/>
    <x v="2"/>
    <n v="3576300"/>
  </r>
  <r>
    <s v="分割"/>
    <x v="1"/>
    <n v="50"/>
    <x v="2"/>
    <x v="3"/>
    <n v="1788150"/>
  </r>
  <r>
    <s v="分割"/>
    <x v="1"/>
    <n v="50"/>
    <x v="2"/>
    <x v="4"/>
    <n v="0"/>
  </r>
  <r>
    <s v="分割"/>
    <x v="1"/>
    <n v="50"/>
    <x v="2"/>
    <x v="5"/>
    <n v="0"/>
  </r>
  <r>
    <s v="分割"/>
    <x v="1"/>
    <n v="50"/>
    <x v="2"/>
    <x v="6"/>
    <n v="0"/>
  </r>
  <r>
    <s v="分割"/>
    <x v="1"/>
    <n v="50"/>
    <x v="2"/>
    <x v="7"/>
    <n v="0"/>
  </r>
  <r>
    <s v="分割"/>
    <x v="8"/>
    <n v="30"/>
    <x v="5"/>
    <x v="0"/>
    <n v="0"/>
  </r>
  <r>
    <s v="分割"/>
    <x v="8"/>
    <n v="30"/>
    <x v="5"/>
    <x v="1"/>
    <n v="0"/>
  </r>
  <r>
    <s v="分割"/>
    <x v="8"/>
    <n v="30"/>
    <x v="5"/>
    <x v="2"/>
    <n v="0"/>
  </r>
  <r>
    <s v="分割"/>
    <x v="8"/>
    <n v="30"/>
    <x v="5"/>
    <x v="3"/>
    <n v="0"/>
  </r>
  <r>
    <s v="分割"/>
    <x v="8"/>
    <n v="30"/>
    <x v="5"/>
    <x v="4"/>
    <n v="0"/>
  </r>
  <r>
    <s v="分割"/>
    <x v="8"/>
    <n v="30"/>
    <x v="5"/>
    <x v="5"/>
    <n v="0"/>
  </r>
  <r>
    <s v="分割"/>
    <x v="8"/>
    <n v="30"/>
    <x v="5"/>
    <x v="6"/>
    <n v="0"/>
  </r>
  <r>
    <s v="分割"/>
    <x v="8"/>
    <n v="30"/>
    <x v="5"/>
    <x v="7"/>
    <n v="0"/>
  </r>
  <r>
    <s v="分割"/>
    <x v="9"/>
    <n v="60"/>
    <x v="3"/>
    <x v="0"/>
    <n v="758940"/>
  </r>
  <r>
    <s v="分割"/>
    <x v="9"/>
    <n v="60"/>
    <x v="3"/>
    <x v="1"/>
    <n v="455364"/>
  </r>
  <r>
    <s v="分割"/>
    <x v="9"/>
    <n v="60"/>
    <x v="3"/>
    <x v="2"/>
    <n v="509940"/>
  </r>
  <r>
    <s v="分割"/>
    <x v="9"/>
    <n v="60"/>
    <x v="3"/>
    <x v="3"/>
    <n v="305964"/>
  </r>
  <r>
    <s v="分割"/>
    <x v="9"/>
    <n v="60"/>
    <x v="3"/>
    <x v="4"/>
    <n v="509940"/>
  </r>
  <r>
    <s v="分割"/>
    <x v="9"/>
    <n v="60"/>
    <x v="3"/>
    <x v="5"/>
    <n v="305964"/>
  </r>
  <r>
    <s v="分割"/>
    <x v="9"/>
    <n v="60"/>
    <x v="3"/>
    <x v="6"/>
    <n v="0"/>
  </r>
  <r>
    <s v="分割"/>
    <x v="9"/>
    <n v="60"/>
    <x v="3"/>
    <x v="7"/>
    <n v="0"/>
  </r>
  <r>
    <s v="分割"/>
    <x v="6"/>
    <n v="100"/>
    <x v="4"/>
    <x v="0"/>
    <n v="79500"/>
  </r>
  <r>
    <s v="分割"/>
    <x v="6"/>
    <n v="100"/>
    <x v="4"/>
    <x v="1"/>
    <n v="79500"/>
  </r>
  <r>
    <s v="分割"/>
    <x v="6"/>
    <n v="100"/>
    <x v="4"/>
    <x v="2"/>
    <n v="27500"/>
  </r>
  <r>
    <s v="分割"/>
    <x v="6"/>
    <n v="100"/>
    <x v="4"/>
    <x v="3"/>
    <n v="27500"/>
  </r>
  <r>
    <s v="分割"/>
    <x v="6"/>
    <n v="100"/>
    <x v="4"/>
    <x v="4"/>
    <n v="27500"/>
  </r>
  <r>
    <s v="分割"/>
    <x v="6"/>
    <n v="100"/>
    <x v="4"/>
    <x v="5"/>
    <n v="27500"/>
  </r>
  <r>
    <s v="分割"/>
    <x v="6"/>
    <n v="100"/>
    <x v="4"/>
    <x v="6"/>
    <n v="27500"/>
  </r>
  <r>
    <s v="分割"/>
    <x v="6"/>
    <n v="100"/>
    <x v="4"/>
    <x v="7"/>
    <n v="2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95766F-7AF7-457F-8459-66329CC6A98E}" name="ピボットテーブル10" cacheId="15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K16" firstHeaderRow="1" firstDataRow="2" firstDataCol="2"/>
  <pivotFields count="6">
    <pivotField compact="0" outline="0" showAll="0" defaultSubtotal="0"/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</pivotField>
    <pivotField compact="0" numFmtId="38" outline="0" showAll="0" defaultSubtotal="0"/>
    <pivotField axis="axisRow" compact="0" outline="0" showAll="0" defaultSubtotal="0">
      <items count="6">
        <item x="4"/>
        <item x="5"/>
        <item x="0"/>
        <item x="1"/>
        <item x="2"/>
        <item x="3"/>
      </items>
    </pivotField>
    <pivotField axis="axisCol" compact="0" outline="0" showAll="0" defaultSubtotal="0">
      <items count="8">
        <item x="0"/>
        <item x="1"/>
        <item x="2"/>
        <item x="3"/>
        <item x="4"/>
        <item x="5"/>
        <item x="6"/>
        <item x="7"/>
      </items>
    </pivotField>
    <pivotField dataField="1" compact="0" numFmtId="38" outline="0" showAll="0" defaultSubtotal="0"/>
  </pivotFields>
  <rowFields count="2">
    <field x="1"/>
    <field x="3"/>
  </rowFields>
  <rowItems count="12">
    <i>
      <x/>
      <x v="2"/>
    </i>
    <i>
      <x v="1"/>
      <x v="3"/>
    </i>
    <i r="1">
      <x v="4"/>
    </i>
    <i>
      <x v="2"/>
      <x v="4"/>
    </i>
    <i>
      <x v="3"/>
      <x v="4"/>
    </i>
    <i>
      <x v="4"/>
      <x v="1"/>
    </i>
    <i>
      <x v="5"/>
      <x v="5"/>
    </i>
    <i>
      <x v="6"/>
      <x v="5"/>
    </i>
    <i>
      <x v="7"/>
      <x v="4"/>
    </i>
    <i>
      <x v="8"/>
      <x/>
    </i>
    <i>
      <x v="9"/>
      <x v="4"/>
    </i>
    <i t="grand">
      <x/>
    </i>
  </rowItems>
  <colFields count="1">
    <field x="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合計 / 合計金額" fld="5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99D84-3EC2-4DB5-B267-4615C216EDD7}" name="ピボットテーブル11" cacheId="146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compact="0" compactData="0" multipleFieldFilters="0">
  <location ref="A3:M18" firstHeaderRow="0" firstDataRow="1" firstDataCol="3"/>
  <pivotFields count="15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8"/>
        <item x="4"/>
        <item x="9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38" outline="0" showAll="0" defaultSubtotal="0">
      <items count="6">
        <item x="5"/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"/>
    <field x="2"/>
    <field x="0"/>
  </rowFields>
  <rowItems count="15">
    <i>
      <x/>
      <x v="1"/>
      <x/>
    </i>
    <i r="2">
      <x v="1"/>
    </i>
    <i>
      <x v="1"/>
      <x v="2"/>
      <x/>
    </i>
    <i r="1">
      <x v="3"/>
      <x/>
    </i>
    <i r="2">
      <x v="1"/>
    </i>
    <i>
      <x v="2"/>
      <x v="3"/>
      <x/>
    </i>
    <i>
      <x v="3"/>
      <x v="3"/>
      <x/>
    </i>
    <i>
      <x v="4"/>
      <x/>
      <x v="1"/>
    </i>
    <i>
      <x v="5"/>
      <x v="4"/>
      <x/>
    </i>
    <i>
      <x v="6"/>
      <x v="4"/>
      <x v="1"/>
    </i>
    <i>
      <x v="7"/>
      <x v="3"/>
      <x/>
    </i>
    <i>
      <x v="8"/>
      <x v="5"/>
      <x/>
    </i>
    <i r="2">
      <x v="1"/>
    </i>
    <i>
      <x v="9"/>
      <x v="3"/>
      <x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合計 / 2025年1月" fld="5" baseField="0" baseItem="0" numFmtId="38"/>
    <dataField name="合計 / 2025年1月(自)" fld="6" baseField="0" baseItem="0" numFmtId="38"/>
    <dataField name="合計 / 2025年2月" fld="7" baseField="0" baseItem="0" numFmtId="38"/>
    <dataField name="合計 / 2025年2月(自)" fld="8" baseField="0" baseItem="0" numFmtId="38"/>
    <dataField name="合計 / 2025年3月" fld="9" baseField="0" baseItem="0" numFmtId="38"/>
    <dataField name="合計 / 2025年3月(自)" fld="10" baseField="0" baseItem="0" numFmtId="38"/>
    <dataField name="合計 / 2025年4月" fld="11" baseField="0" baseItem="0" numFmtId="38"/>
    <dataField name="合計 / 2025年4月(自)" fld="12" baseField="0" baseItem="0" numFmtId="38"/>
    <dataField name="合計 / 2025年5月" fld="13" baseField="0" baseItem="0" numFmtId="38"/>
    <dataField name="合計 / 2025年5月(自)" fld="14" baseField="0" baseItem="0" numFmtId="38"/>
  </dataFields>
  <formats count="1">
    <format dxfId="3">
      <pivotArea outline="0" fieldPosition="0">
        <references count="3">
          <reference field="4294967294" count="1" selected="0">
            <x v="3"/>
          </reference>
          <reference field="1" count="0" selected="0"/>
          <reference field="2" count="0" selected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CBC0-7E43-4F4B-85F4-286B7D2A4518}">
  <dimension ref="A1:O15"/>
  <sheetViews>
    <sheetView tabSelected="1" zoomScale="70" zoomScaleNormal="70" workbookViewId="0">
      <selection activeCell="E23" sqref="E23"/>
    </sheetView>
  </sheetViews>
  <sheetFormatPr defaultRowHeight="18.75" x14ac:dyDescent="0.4"/>
  <cols>
    <col min="1" max="1" width="8" customWidth="1"/>
    <col min="2" max="2" width="23.125" customWidth="1"/>
    <col min="3" max="3" width="7.25" customWidth="1"/>
    <col min="4" max="4" width="6" customWidth="1"/>
    <col min="5" max="5" width="17.625" bestFit="1" customWidth="1"/>
    <col min="6" max="6" width="15" customWidth="1"/>
    <col min="7" max="7" width="14.75" customWidth="1"/>
    <col min="8" max="8" width="16" customWidth="1"/>
    <col min="9" max="9" width="14.25" customWidth="1"/>
    <col min="10" max="11" width="16" customWidth="1"/>
    <col min="12" max="13" width="16.5" customWidth="1"/>
    <col min="14" max="14" width="16.75" customWidth="1"/>
    <col min="15" max="15" width="14" bestFit="1" customWidth="1"/>
  </cols>
  <sheetData>
    <row r="1" spans="1:15" x14ac:dyDescent="0.4">
      <c r="A1" s="1" t="s">
        <v>16</v>
      </c>
      <c r="B1" s="1" t="s">
        <v>0</v>
      </c>
      <c r="C1" s="1" t="s">
        <v>14</v>
      </c>
      <c r="D1" s="4" t="s">
        <v>7</v>
      </c>
      <c r="E1" s="1" t="s">
        <v>15</v>
      </c>
      <c r="F1" s="5" t="s">
        <v>21</v>
      </c>
      <c r="G1" s="3" t="s">
        <v>20</v>
      </c>
      <c r="H1" s="5" t="s">
        <v>22</v>
      </c>
      <c r="I1" s="3" t="s">
        <v>17</v>
      </c>
      <c r="J1" s="5" t="s">
        <v>23</v>
      </c>
      <c r="K1" s="3" t="s">
        <v>18</v>
      </c>
      <c r="L1" s="5" t="s">
        <v>24</v>
      </c>
      <c r="M1" s="3" t="s">
        <v>26</v>
      </c>
      <c r="N1" s="5" t="s">
        <v>25</v>
      </c>
      <c r="O1" s="3" t="s">
        <v>19</v>
      </c>
    </row>
    <row r="2" spans="1:15" x14ac:dyDescent="0.4">
      <c r="A2" s="1" t="s">
        <v>13</v>
      </c>
      <c r="B2" s="1" t="s">
        <v>5</v>
      </c>
      <c r="C2" s="1">
        <v>40</v>
      </c>
      <c r="D2" s="1" t="str">
        <f>+C2&amp;"%"</f>
        <v>40%</v>
      </c>
      <c r="E2" s="1">
        <v>118580</v>
      </c>
      <c r="F2" s="2">
        <v>0</v>
      </c>
      <c r="G2" s="1">
        <f>+$E2*C2/100</f>
        <v>47432</v>
      </c>
      <c r="H2" s="1">
        <v>118580</v>
      </c>
      <c r="I2" s="1">
        <f>+$C2*H2/100</f>
        <v>47432</v>
      </c>
      <c r="J2" s="1">
        <v>118580</v>
      </c>
      <c r="K2" s="1">
        <f>+$C2*J2/100</f>
        <v>47432</v>
      </c>
      <c r="L2" s="1">
        <v>118580</v>
      </c>
      <c r="M2" s="1">
        <f>+$C2*L2/100</f>
        <v>47432</v>
      </c>
      <c r="N2" s="1">
        <v>118580</v>
      </c>
      <c r="O2" s="1">
        <f>+$C2*N2/100</f>
        <v>47432</v>
      </c>
    </row>
    <row r="3" spans="1:15" x14ac:dyDescent="0.4">
      <c r="A3" s="1" t="s">
        <v>13</v>
      </c>
      <c r="B3" s="1" t="s">
        <v>1</v>
      </c>
      <c r="C3" s="1">
        <v>45</v>
      </c>
      <c r="D3" s="1" t="str">
        <f t="shared" ref="D3:D15" si="0">+C3&amp;"%"</f>
        <v>45%</v>
      </c>
      <c r="E3" s="1">
        <v>2422035</v>
      </c>
      <c r="F3" s="2">
        <v>0</v>
      </c>
      <c r="G3" s="1">
        <f t="shared" ref="G3:G15" si="1">+$E3*C3/100</f>
        <v>1089915.75</v>
      </c>
      <c r="H3" s="1">
        <v>2422035</v>
      </c>
      <c r="I3" s="1">
        <f t="shared" ref="I3:I15" si="2">+$C3*H3/100</f>
        <v>1089915.75</v>
      </c>
      <c r="J3" s="1">
        <v>2422035</v>
      </c>
      <c r="K3" s="1">
        <f t="shared" ref="K3:M15" si="3">+$C3*J3/100</f>
        <v>1089915.75</v>
      </c>
      <c r="L3" s="1">
        <v>2422035</v>
      </c>
      <c r="M3" s="1">
        <f t="shared" si="3"/>
        <v>1089915.75</v>
      </c>
      <c r="N3" s="1">
        <v>2422035</v>
      </c>
      <c r="O3" s="1">
        <f t="shared" ref="O3" si="4">+$C3*N3/100</f>
        <v>1089915.75</v>
      </c>
    </row>
    <row r="4" spans="1:15" x14ac:dyDescent="0.4">
      <c r="A4" s="1" t="s">
        <v>13</v>
      </c>
      <c r="B4" s="1" t="s">
        <v>1</v>
      </c>
      <c r="C4" s="1">
        <v>50</v>
      </c>
      <c r="D4" s="1" t="str">
        <f t="shared" si="0"/>
        <v>50%</v>
      </c>
      <c r="E4" s="1">
        <v>1159450</v>
      </c>
      <c r="F4" s="2">
        <v>0</v>
      </c>
      <c r="G4" s="1">
        <f t="shared" si="1"/>
        <v>579725</v>
      </c>
      <c r="H4" s="1">
        <v>1159450</v>
      </c>
      <c r="I4" s="1">
        <f t="shared" si="2"/>
        <v>579725</v>
      </c>
      <c r="J4" s="1">
        <v>1159450</v>
      </c>
      <c r="K4" s="1">
        <f t="shared" si="3"/>
        <v>579725</v>
      </c>
      <c r="L4" s="1">
        <v>1159450</v>
      </c>
      <c r="M4" s="1">
        <f t="shared" si="3"/>
        <v>579725</v>
      </c>
      <c r="N4" s="1">
        <v>1159450</v>
      </c>
      <c r="O4" s="1">
        <f t="shared" ref="O4" si="5">+$C4*N4/100</f>
        <v>579725</v>
      </c>
    </row>
    <row r="5" spans="1:15" x14ac:dyDescent="0.4">
      <c r="A5" s="1" t="s">
        <v>13</v>
      </c>
      <c r="B5" s="1" t="s">
        <v>8</v>
      </c>
      <c r="C5" s="1">
        <v>50</v>
      </c>
      <c r="D5" s="1" t="str">
        <f t="shared" si="0"/>
        <v>50%</v>
      </c>
      <c r="E5" s="1">
        <v>155370</v>
      </c>
      <c r="F5" s="2">
        <v>0</v>
      </c>
      <c r="G5" s="1">
        <f t="shared" si="1"/>
        <v>77685</v>
      </c>
      <c r="H5" s="1">
        <v>155370</v>
      </c>
      <c r="I5" s="1">
        <f t="shared" si="2"/>
        <v>77685</v>
      </c>
      <c r="J5" s="1">
        <v>155370</v>
      </c>
      <c r="K5" s="1">
        <f t="shared" si="3"/>
        <v>77685</v>
      </c>
      <c r="L5" s="1">
        <v>155370</v>
      </c>
      <c r="M5" s="1">
        <f t="shared" si="3"/>
        <v>77685</v>
      </c>
      <c r="N5" s="1">
        <v>155370</v>
      </c>
      <c r="O5" s="1">
        <f t="shared" ref="O5" si="6">+$C5*N5/100</f>
        <v>77685</v>
      </c>
    </row>
    <row r="6" spans="1:15" x14ac:dyDescent="0.4">
      <c r="A6" s="1" t="s">
        <v>13</v>
      </c>
      <c r="B6" s="1" t="s">
        <v>9</v>
      </c>
      <c r="C6" s="1">
        <v>50</v>
      </c>
      <c r="D6" s="1" t="str">
        <f t="shared" si="0"/>
        <v>50%</v>
      </c>
      <c r="E6" s="1">
        <v>27000</v>
      </c>
      <c r="F6" s="2">
        <v>0</v>
      </c>
      <c r="G6" s="1">
        <f t="shared" si="1"/>
        <v>13500</v>
      </c>
      <c r="H6" s="1">
        <v>27000</v>
      </c>
      <c r="I6" s="1">
        <f t="shared" si="2"/>
        <v>13500</v>
      </c>
      <c r="J6" s="1">
        <v>27000</v>
      </c>
      <c r="K6" s="1">
        <f t="shared" si="3"/>
        <v>13500</v>
      </c>
      <c r="L6" s="1">
        <v>27000</v>
      </c>
      <c r="M6" s="1">
        <f t="shared" si="3"/>
        <v>13500</v>
      </c>
      <c r="N6" s="1">
        <v>27000</v>
      </c>
      <c r="O6" s="1">
        <f t="shared" ref="O6" si="7">+$C6*N6/100</f>
        <v>13500</v>
      </c>
    </row>
    <row r="7" spans="1:15" x14ac:dyDescent="0.4">
      <c r="A7" s="1" t="s">
        <v>13</v>
      </c>
      <c r="B7" s="1" t="s">
        <v>10</v>
      </c>
      <c r="C7" s="1">
        <v>60</v>
      </c>
      <c r="D7" s="1" t="str">
        <f t="shared" si="0"/>
        <v>60%</v>
      </c>
      <c r="E7" s="1">
        <v>82500</v>
      </c>
      <c r="F7" s="2">
        <v>0</v>
      </c>
      <c r="G7" s="1">
        <f t="shared" si="1"/>
        <v>49500</v>
      </c>
      <c r="H7" s="1">
        <v>82500</v>
      </c>
      <c r="I7" s="1">
        <f t="shared" si="2"/>
        <v>49500</v>
      </c>
      <c r="J7" s="1">
        <v>82500</v>
      </c>
      <c r="K7" s="1">
        <f t="shared" si="3"/>
        <v>49500</v>
      </c>
      <c r="L7" s="1">
        <v>82500</v>
      </c>
      <c r="M7" s="1">
        <f t="shared" si="3"/>
        <v>49500</v>
      </c>
      <c r="N7" s="1">
        <v>82500</v>
      </c>
      <c r="O7" s="1">
        <f t="shared" ref="O7" si="8">+$C7*N7/100</f>
        <v>49500</v>
      </c>
    </row>
    <row r="8" spans="1:15" x14ac:dyDescent="0.4">
      <c r="A8" s="1" t="s">
        <v>13</v>
      </c>
      <c r="B8" s="1" t="s">
        <v>11</v>
      </c>
      <c r="C8" s="1">
        <v>50</v>
      </c>
      <c r="D8" s="1" t="str">
        <f t="shared" si="0"/>
        <v>50%</v>
      </c>
      <c r="E8" s="1">
        <v>49000</v>
      </c>
      <c r="F8" s="2">
        <v>0</v>
      </c>
      <c r="G8" s="1">
        <f t="shared" si="1"/>
        <v>24500</v>
      </c>
      <c r="H8" s="1">
        <v>49000</v>
      </c>
      <c r="I8" s="1">
        <f t="shared" si="2"/>
        <v>24500</v>
      </c>
      <c r="J8" s="1">
        <v>49000</v>
      </c>
      <c r="K8" s="1">
        <f t="shared" si="3"/>
        <v>24500</v>
      </c>
      <c r="L8" s="1">
        <v>49000</v>
      </c>
      <c r="M8" s="1">
        <f t="shared" si="3"/>
        <v>24500</v>
      </c>
      <c r="N8" s="1">
        <v>49000</v>
      </c>
      <c r="O8" s="1">
        <f t="shared" ref="O8" si="9">+$C8*N8/100</f>
        <v>24500</v>
      </c>
    </row>
    <row r="9" spans="1:15" x14ac:dyDescent="0.4">
      <c r="A9" s="1" t="s">
        <v>13</v>
      </c>
      <c r="B9" s="1" t="s">
        <v>3</v>
      </c>
      <c r="C9" s="1">
        <v>100</v>
      </c>
      <c r="D9" s="1" t="str">
        <f t="shared" si="0"/>
        <v>100%</v>
      </c>
      <c r="E9" s="1">
        <v>106000</v>
      </c>
      <c r="F9" s="2">
        <v>0</v>
      </c>
      <c r="G9" s="1">
        <f t="shared" si="1"/>
        <v>106000</v>
      </c>
      <c r="H9" s="1">
        <v>106000</v>
      </c>
      <c r="I9" s="1">
        <f t="shared" si="2"/>
        <v>106000</v>
      </c>
      <c r="J9" s="1">
        <v>106000</v>
      </c>
      <c r="K9" s="1">
        <f t="shared" si="3"/>
        <v>106000</v>
      </c>
      <c r="L9" s="1">
        <v>106000</v>
      </c>
      <c r="M9" s="1">
        <f t="shared" si="3"/>
        <v>106000</v>
      </c>
      <c r="N9" s="1">
        <v>106000</v>
      </c>
      <c r="O9" s="1">
        <f t="shared" ref="O9" si="10">+$C9*N9/100</f>
        <v>106000</v>
      </c>
    </row>
    <row r="10" spans="1:15" x14ac:dyDescent="0.4">
      <c r="A10" s="1" t="s">
        <v>13</v>
      </c>
      <c r="B10" s="1" t="s">
        <v>12</v>
      </c>
      <c r="C10" s="1">
        <v>50</v>
      </c>
      <c r="D10" s="1" t="str">
        <f t="shared" si="0"/>
        <v>50%</v>
      </c>
      <c r="E10" s="1">
        <v>77000</v>
      </c>
      <c r="F10" s="2">
        <v>0</v>
      </c>
      <c r="G10" s="1">
        <f t="shared" si="1"/>
        <v>38500</v>
      </c>
      <c r="H10" s="1">
        <v>77000</v>
      </c>
      <c r="I10" s="1">
        <f t="shared" si="2"/>
        <v>38500</v>
      </c>
      <c r="J10" s="1">
        <v>77000</v>
      </c>
      <c r="K10" s="1">
        <f t="shared" si="3"/>
        <v>38500</v>
      </c>
      <c r="L10" s="1">
        <v>77000</v>
      </c>
      <c r="M10" s="1">
        <f t="shared" si="3"/>
        <v>38500</v>
      </c>
      <c r="N10" s="1">
        <v>77000</v>
      </c>
      <c r="O10" s="1">
        <f t="shared" ref="O10" si="11">+$C10*N10/100</f>
        <v>38500</v>
      </c>
    </row>
    <row r="11" spans="1:15" x14ac:dyDescent="0.4">
      <c r="A11" s="1" t="s">
        <v>6</v>
      </c>
      <c r="B11" s="1" t="s">
        <v>5</v>
      </c>
      <c r="C11" s="1">
        <v>40</v>
      </c>
      <c r="D11" s="1" t="str">
        <f t="shared" si="0"/>
        <v>40%</v>
      </c>
      <c r="E11" s="1">
        <v>29100</v>
      </c>
      <c r="F11" s="1">
        <v>29100</v>
      </c>
      <c r="G11" s="1">
        <f t="shared" si="1"/>
        <v>11640</v>
      </c>
      <c r="H11" s="1">
        <v>29100</v>
      </c>
      <c r="I11" s="1">
        <f t="shared" si="2"/>
        <v>11640</v>
      </c>
      <c r="J11" s="1">
        <v>29100</v>
      </c>
      <c r="K11" s="1">
        <f t="shared" si="3"/>
        <v>11640</v>
      </c>
      <c r="L11" s="1">
        <v>29100</v>
      </c>
      <c r="M11" s="1">
        <f t="shared" si="3"/>
        <v>11640</v>
      </c>
      <c r="N11" s="1">
        <v>29100</v>
      </c>
      <c r="O11" s="1">
        <f t="shared" ref="O11" si="12">+$C11*N11/100</f>
        <v>11640</v>
      </c>
    </row>
    <row r="12" spans="1:15" x14ac:dyDescent="0.4">
      <c r="A12" s="1" t="s">
        <v>6</v>
      </c>
      <c r="B12" s="1" t="s">
        <v>1</v>
      </c>
      <c r="C12" s="1">
        <v>50</v>
      </c>
      <c r="D12" s="1" t="str">
        <f t="shared" si="0"/>
        <v>50%</v>
      </c>
      <c r="E12" s="1">
        <v>3853104</v>
      </c>
      <c r="F12" s="1">
        <v>3853104</v>
      </c>
      <c r="G12" s="1">
        <f>+$E12*C12/100</f>
        <v>1926552</v>
      </c>
      <c r="H12" s="1">
        <v>3781054</v>
      </c>
      <c r="I12" s="1">
        <f>+$C12*H12/100</f>
        <v>1890527</v>
      </c>
      <c r="J12" s="1">
        <v>3576300</v>
      </c>
      <c r="K12" s="1">
        <f t="shared" si="3"/>
        <v>1788150</v>
      </c>
      <c r="L12" s="1">
        <v>0</v>
      </c>
      <c r="M12" s="1">
        <f t="shared" si="3"/>
        <v>0</v>
      </c>
      <c r="N12" s="1">
        <v>0</v>
      </c>
      <c r="O12" s="1">
        <f t="shared" ref="O12" si="13">+$C12*N12/100</f>
        <v>0</v>
      </c>
    </row>
    <row r="13" spans="1:15" x14ac:dyDescent="0.4">
      <c r="A13" s="1" t="s">
        <v>6</v>
      </c>
      <c r="B13" s="1" t="s">
        <v>4</v>
      </c>
      <c r="C13" s="1">
        <v>30</v>
      </c>
      <c r="D13" s="1" t="str">
        <f t="shared" si="0"/>
        <v>30%</v>
      </c>
      <c r="E13" s="1">
        <v>4015</v>
      </c>
      <c r="F13" s="1">
        <v>4015</v>
      </c>
      <c r="G13" s="1">
        <f t="shared" si="1"/>
        <v>1204.5</v>
      </c>
      <c r="H13" s="1">
        <v>0</v>
      </c>
      <c r="I13" s="1">
        <f t="shared" si="2"/>
        <v>0</v>
      </c>
      <c r="J13" s="1">
        <v>0</v>
      </c>
      <c r="K13" s="1">
        <f t="shared" si="3"/>
        <v>0</v>
      </c>
      <c r="L13" s="1">
        <v>0</v>
      </c>
      <c r="M13" s="1">
        <f t="shared" si="3"/>
        <v>0</v>
      </c>
      <c r="N13" s="1">
        <v>0</v>
      </c>
      <c r="O13" s="1">
        <f t="shared" ref="O13" si="14">+$C13*N13/100</f>
        <v>0</v>
      </c>
    </row>
    <row r="14" spans="1:15" x14ac:dyDescent="0.4">
      <c r="A14" s="1" t="s">
        <v>6</v>
      </c>
      <c r="B14" s="1" t="s">
        <v>2</v>
      </c>
      <c r="C14" s="1">
        <v>60</v>
      </c>
      <c r="D14" s="1" t="str">
        <f t="shared" si="0"/>
        <v>60%</v>
      </c>
      <c r="E14" s="1">
        <v>758940</v>
      </c>
      <c r="F14" s="1">
        <v>758940</v>
      </c>
      <c r="G14" s="1">
        <f t="shared" si="1"/>
        <v>455364</v>
      </c>
      <c r="H14" s="1">
        <v>758940</v>
      </c>
      <c r="I14" s="1">
        <f t="shared" si="2"/>
        <v>455364</v>
      </c>
      <c r="J14" s="1">
        <v>509940</v>
      </c>
      <c r="K14" s="1">
        <f t="shared" si="3"/>
        <v>305964</v>
      </c>
      <c r="L14" s="1">
        <v>509940</v>
      </c>
      <c r="M14" s="1">
        <f t="shared" si="3"/>
        <v>305964</v>
      </c>
      <c r="N14" s="1">
        <v>0</v>
      </c>
      <c r="O14" s="1">
        <f t="shared" ref="O14" si="15">+$C14*N14/100</f>
        <v>0</v>
      </c>
    </row>
    <row r="15" spans="1:15" x14ac:dyDescent="0.4">
      <c r="A15" s="1" t="s">
        <v>6</v>
      </c>
      <c r="B15" s="1" t="s">
        <v>3</v>
      </c>
      <c r="C15" s="1">
        <v>100</v>
      </c>
      <c r="D15" s="1" t="str">
        <f t="shared" si="0"/>
        <v>100%</v>
      </c>
      <c r="E15" s="1">
        <v>79500</v>
      </c>
      <c r="F15" s="1">
        <v>79500</v>
      </c>
      <c r="G15" s="1">
        <f t="shared" si="1"/>
        <v>79500</v>
      </c>
      <c r="H15" s="1">
        <v>79500</v>
      </c>
      <c r="I15" s="1">
        <f t="shared" si="2"/>
        <v>79500</v>
      </c>
      <c r="J15" s="1">
        <v>27500</v>
      </c>
      <c r="K15" s="1">
        <f t="shared" si="3"/>
        <v>27500</v>
      </c>
      <c r="L15" s="1">
        <v>27500</v>
      </c>
      <c r="M15" s="1">
        <f t="shared" si="3"/>
        <v>27500</v>
      </c>
      <c r="N15" s="1">
        <v>27500</v>
      </c>
      <c r="O15" s="1">
        <f t="shared" ref="O15" si="16">+$C15*N15/100</f>
        <v>27500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C8222-73C6-4D7A-9EF3-E6DA4E4D75CF}">
  <dimension ref="A1:H113"/>
  <sheetViews>
    <sheetView zoomScale="55" zoomScaleNormal="55" workbookViewId="0">
      <selection activeCell="M18" sqref="M18"/>
    </sheetView>
  </sheetViews>
  <sheetFormatPr defaultRowHeight="18.75" x14ac:dyDescent="0.4"/>
  <cols>
    <col min="1" max="1" width="7" bestFit="1" customWidth="1"/>
    <col min="2" max="2" width="31.75" bestFit="1" customWidth="1"/>
    <col min="3" max="3" width="15.25" bestFit="1" customWidth="1"/>
    <col min="4" max="4" width="11" bestFit="1" customWidth="1"/>
    <col min="5" max="5" width="14" bestFit="1" customWidth="1"/>
    <col min="6" max="6" width="9.5" bestFit="1" customWidth="1"/>
    <col min="7" max="7" width="10.5" customWidth="1"/>
  </cols>
  <sheetData>
    <row r="1" spans="1:7" x14ac:dyDescent="0.4">
      <c r="A1" s="1" t="s">
        <v>16</v>
      </c>
      <c r="B1" s="1" t="s">
        <v>0</v>
      </c>
      <c r="C1" s="1" t="s">
        <v>14</v>
      </c>
      <c r="D1" s="4" t="s">
        <v>7</v>
      </c>
      <c r="E1" s="6" t="s">
        <v>36</v>
      </c>
      <c r="F1" s="6" t="s">
        <v>37</v>
      </c>
    </row>
    <row r="2" spans="1:7" x14ac:dyDescent="0.4">
      <c r="A2" s="1" t="s">
        <v>13</v>
      </c>
      <c r="B2" s="1" t="s">
        <v>5</v>
      </c>
      <c r="C2" s="1">
        <v>40</v>
      </c>
      <c r="D2" s="1" t="str">
        <f t="shared" ref="D2:D41" si="0">+C2&amp;"%"</f>
        <v>40%</v>
      </c>
      <c r="E2" s="5" t="s">
        <v>22</v>
      </c>
      <c r="F2" s="1">
        <v>118580</v>
      </c>
    </row>
    <row r="3" spans="1:7" x14ac:dyDescent="0.4">
      <c r="A3" s="1" t="s">
        <v>13</v>
      </c>
      <c r="B3" s="1" t="s">
        <v>5</v>
      </c>
      <c r="C3" s="1">
        <v>40</v>
      </c>
      <c r="D3" s="1" t="str">
        <f t="shared" si="0"/>
        <v>40%</v>
      </c>
      <c r="E3" s="3" t="s">
        <v>17</v>
      </c>
      <c r="F3" s="1">
        <v>47432</v>
      </c>
    </row>
    <row r="4" spans="1:7" x14ac:dyDescent="0.4">
      <c r="A4" s="1" t="s">
        <v>13</v>
      </c>
      <c r="B4" s="1" t="s">
        <v>5</v>
      </c>
      <c r="C4" s="1">
        <v>40</v>
      </c>
      <c r="D4" s="1" t="str">
        <f t="shared" si="0"/>
        <v>40%</v>
      </c>
      <c r="E4" s="5" t="s">
        <v>23</v>
      </c>
      <c r="F4" s="1">
        <v>118580</v>
      </c>
    </row>
    <row r="5" spans="1:7" x14ac:dyDescent="0.4">
      <c r="A5" s="1" t="s">
        <v>13</v>
      </c>
      <c r="B5" s="1" t="s">
        <v>5</v>
      </c>
      <c r="C5" s="1">
        <v>40</v>
      </c>
      <c r="D5" s="1" t="str">
        <f t="shared" si="0"/>
        <v>40%</v>
      </c>
      <c r="E5" s="3" t="s">
        <v>18</v>
      </c>
      <c r="F5" s="1">
        <v>47432</v>
      </c>
    </row>
    <row r="6" spans="1:7" x14ac:dyDescent="0.4">
      <c r="A6" s="1" t="s">
        <v>13</v>
      </c>
      <c r="B6" s="1" t="s">
        <v>5</v>
      </c>
      <c r="C6" s="1">
        <v>40</v>
      </c>
      <c r="D6" s="1" t="str">
        <f t="shared" si="0"/>
        <v>40%</v>
      </c>
      <c r="E6" s="5" t="s">
        <v>24</v>
      </c>
      <c r="F6" s="1">
        <v>118580</v>
      </c>
    </row>
    <row r="7" spans="1:7" x14ac:dyDescent="0.4">
      <c r="A7" s="1" t="s">
        <v>13</v>
      </c>
      <c r="B7" s="1" t="s">
        <v>5</v>
      </c>
      <c r="C7" s="1">
        <v>40</v>
      </c>
      <c r="D7" s="1" t="str">
        <f t="shared" si="0"/>
        <v>40%</v>
      </c>
      <c r="E7" s="3" t="s">
        <v>26</v>
      </c>
      <c r="F7" s="1">
        <v>47432</v>
      </c>
    </row>
    <row r="8" spans="1:7" x14ac:dyDescent="0.4">
      <c r="A8" s="1" t="s">
        <v>13</v>
      </c>
      <c r="B8" s="1" t="s">
        <v>5</v>
      </c>
      <c r="C8" s="1">
        <v>40</v>
      </c>
      <c r="D8" s="1" t="str">
        <f t="shared" si="0"/>
        <v>40%</v>
      </c>
      <c r="E8" s="5" t="s">
        <v>25</v>
      </c>
      <c r="F8" s="1">
        <v>118580</v>
      </c>
    </row>
    <row r="9" spans="1:7" x14ac:dyDescent="0.4">
      <c r="A9" s="1" t="s">
        <v>13</v>
      </c>
      <c r="B9" s="1" t="s">
        <v>5</v>
      </c>
      <c r="C9" s="1">
        <v>40</v>
      </c>
      <c r="D9" s="1" t="str">
        <f t="shared" si="0"/>
        <v>40%</v>
      </c>
      <c r="E9" s="3" t="s">
        <v>19</v>
      </c>
      <c r="F9" s="1">
        <v>47432</v>
      </c>
      <c r="G9" s="8"/>
    </row>
    <row r="10" spans="1:7" x14ac:dyDescent="0.4">
      <c r="A10" s="1" t="s">
        <v>13</v>
      </c>
      <c r="B10" s="1" t="s">
        <v>1</v>
      </c>
      <c r="C10" s="1">
        <v>45</v>
      </c>
      <c r="D10" s="1" t="str">
        <f t="shared" si="0"/>
        <v>45%</v>
      </c>
      <c r="E10" s="5" t="s">
        <v>22</v>
      </c>
      <c r="F10" s="1">
        <v>2422035</v>
      </c>
    </row>
    <row r="11" spans="1:7" x14ac:dyDescent="0.4">
      <c r="A11" s="1" t="s">
        <v>13</v>
      </c>
      <c r="B11" s="1" t="s">
        <v>1</v>
      </c>
      <c r="C11" s="1">
        <v>45</v>
      </c>
      <c r="D11" s="1" t="str">
        <f t="shared" si="0"/>
        <v>45%</v>
      </c>
      <c r="E11" s="3" t="s">
        <v>17</v>
      </c>
      <c r="F11" s="1">
        <v>1089915.75</v>
      </c>
    </row>
    <row r="12" spans="1:7" x14ac:dyDescent="0.4">
      <c r="A12" s="1" t="s">
        <v>13</v>
      </c>
      <c r="B12" s="1" t="s">
        <v>1</v>
      </c>
      <c r="C12" s="1">
        <v>45</v>
      </c>
      <c r="D12" s="1" t="str">
        <f t="shared" si="0"/>
        <v>45%</v>
      </c>
      <c r="E12" s="5" t="s">
        <v>23</v>
      </c>
      <c r="F12" s="1">
        <v>2422035</v>
      </c>
    </row>
    <row r="13" spans="1:7" x14ac:dyDescent="0.4">
      <c r="A13" s="1" t="s">
        <v>13</v>
      </c>
      <c r="B13" s="1" t="s">
        <v>1</v>
      </c>
      <c r="C13" s="1">
        <v>45</v>
      </c>
      <c r="D13" s="1" t="str">
        <f t="shared" si="0"/>
        <v>45%</v>
      </c>
      <c r="E13" s="3" t="s">
        <v>18</v>
      </c>
      <c r="F13" s="1">
        <v>1089915.75</v>
      </c>
    </row>
    <row r="14" spans="1:7" x14ac:dyDescent="0.4">
      <c r="A14" s="1" t="s">
        <v>13</v>
      </c>
      <c r="B14" s="1" t="s">
        <v>1</v>
      </c>
      <c r="C14" s="1">
        <v>45</v>
      </c>
      <c r="D14" s="1" t="str">
        <f t="shared" si="0"/>
        <v>45%</v>
      </c>
      <c r="E14" s="5" t="s">
        <v>24</v>
      </c>
      <c r="F14" s="1">
        <v>2422035</v>
      </c>
    </row>
    <row r="15" spans="1:7" x14ac:dyDescent="0.4">
      <c r="A15" s="1" t="s">
        <v>13</v>
      </c>
      <c r="B15" s="1" t="s">
        <v>1</v>
      </c>
      <c r="C15" s="1">
        <v>45</v>
      </c>
      <c r="D15" s="1" t="str">
        <f t="shared" si="0"/>
        <v>45%</v>
      </c>
      <c r="E15" s="3" t="s">
        <v>26</v>
      </c>
      <c r="F15" s="1">
        <v>1089915.75</v>
      </c>
    </row>
    <row r="16" spans="1:7" x14ac:dyDescent="0.4">
      <c r="A16" s="1" t="s">
        <v>13</v>
      </c>
      <c r="B16" s="1" t="s">
        <v>1</v>
      </c>
      <c r="C16" s="1">
        <v>45</v>
      </c>
      <c r="D16" s="1" t="str">
        <f t="shared" si="0"/>
        <v>45%</v>
      </c>
      <c r="E16" s="5" t="s">
        <v>25</v>
      </c>
      <c r="F16" s="1">
        <v>2422035</v>
      </c>
    </row>
    <row r="17" spans="1:7" x14ac:dyDescent="0.4">
      <c r="A17" s="1" t="s">
        <v>13</v>
      </c>
      <c r="B17" s="1" t="s">
        <v>1</v>
      </c>
      <c r="C17" s="1">
        <v>45</v>
      </c>
      <c r="D17" s="1" t="str">
        <f t="shared" si="0"/>
        <v>45%</v>
      </c>
      <c r="E17" s="3" t="s">
        <v>19</v>
      </c>
      <c r="F17" s="1">
        <v>1089915.75</v>
      </c>
      <c r="G17" s="8"/>
    </row>
    <row r="18" spans="1:7" x14ac:dyDescent="0.4">
      <c r="A18" s="1" t="s">
        <v>13</v>
      </c>
      <c r="B18" s="1" t="s">
        <v>1</v>
      </c>
      <c r="C18" s="1">
        <v>50</v>
      </c>
      <c r="D18" s="1" t="s">
        <v>41</v>
      </c>
      <c r="E18" s="5" t="s">
        <v>22</v>
      </c>
      <c r="F18" s="10">
        <v>1159450</v>
      </c>
    </row>
    <row r="19" spans="1:7" x14ac:dyDescent="0.4">
      <c r="A19" s="1" t="s">
        <v>13</v>
      </c>
      <c r="B19" s="1" t="s">
        <v>1</v>
      </c>
      <c r="C19" s="1">
        <v>50</v>
      </c>
      <c r="D19" s="1" t="s">
        <v>41</v>
      </c>
      <c r="E19" s="3" t="s">
        <v>17</v>
      </c>
      <c r="F19" s="10">
        <v>579725</v>
      </c>
    </row>
    <row r="20" spans="1:7" x14ac:dyDescent="0.4">
      <c r="A20" s="1" t="s">
        <v>13</v>
      </c>
      <c r="B20" s="1" t="s">
        <v>1</v>
      </c>
      <c r="C20" s="1">
        <v>50</v>
      </c>
      <c r="D20" s="1" t="s">
        <v>41</v>
      </c>
      <c r="E20" s="5" t="s">
        <v>23</v>
      </c>
      <c r="F20" s="10">
        <v>1159450</v>
      </c>
    </row>
    <row r="21" spans="1:7" x14ac:dyDescent="0.4">
      <c r="A21" s="1" t="s">
        <v>13</v>
      </c>
      <c r="B21" s="1" t="s">
        <v>1</v>
      </c>
      <c r="C21" s="1">
        <v>50</v>
      </c>
      <c r="D21" s="1" t="s">
        <v>41</v>
      </c>
      <c r="E21" s="3" t="s">
        <v>18</v>
      </c>
      <c r="F21" s="10">
        <v>579725</v>
      </c>
    </row>
    <row r="22" spans="1:7" x14ac:dyDescent="0.4">
      <c r="A22" s="1" t="s">
        <v>13</v>
      </c>
      <c r="B22" s="1" t="s">
        <v>1</v>
      </c>
      <c r="C22" s="1">
        <v>50</v>
      </c>
      <c r="D22" s="1" t="s">
        <v>41</v>
      </c>
      <c r="E22" s="5" t="s">
        <v>24</v>
      </c>
      <c r="F22" s="10">
        <v>1159450</v>
      </c>
    </row>
    <row r="23" spans="1:7" x14ac:dyDescent="0.4">
      <c r="A23" s="1" t="s">
        <v>13</v>
      </c>
      <c r="B23" s="1" t="s">
        <v>1</v>
      </c>
      <c r="C23" s="1">
        <v>50</v>
      </c>
      <c r="D23" s="1" t="s">
        <v>41</v>
      </c>
      <c r="E23" s="3" t="s">
        <v>26</v>
      </c>
      <c r="F23" s="10">
        <v>579725</v>
      </c>
    </row>
    <row r="24" spans="1:7" x14ac:dyDescent="0.4">
      <c r="A24" s="1" t="s">
        <v>13</v>
      </c>
      <c r="B24" s="1" t="s">
        <v>1</v>
      </c>
      <c r="C24" s="1">
        <v>50</v>
      </c>
      <c r="D24" s="1" t="s">
        <v>41</v>
      </c>
      <c r="E24" s="5" t="s">
        <v>25</v>
      </c>
      <c r="F24" s="10">
        <v>1159450</v>
      </c>
    </row>
    <row r="25" spans="1:7" x14ac:dyDescent="0.4">
      <c r="A25" s="1" t="s">
        <v>13</v>
      </c>
      <c r="B25" s="1" t="s">
        <v>1</v>
      </c>
      <c r="C25" s="1">
        <v>50</v>
      </c>
      <c r="D25" s="1" t="s">
        <v>41</v>
      </c>
      <c r="E25" s="3" t="s">
        <v>19</v>
      </c>
      <c r="F25" s="10">
        <v>579725</v>
      </c>
      <c r="G25" s="8"/>
    </row>
    <row r="26" spans="1:7" x14ac:dyDescent="0.4">
      <c r="A26" s="1" t="s">
        <v>13</v>
      </c>
      <c r="B26" s="1" t="s">
        <v>8</v>
      </c>
      <c r="C26" s="1">
        <v>50</v>
      </c>
      <c r="D26" s="1" t="str">
        <f t="shared" si="0"/>
        <v>50%</v>
      </c>
      <c r="E26" s="5" t="s">
        <v>22</v>
      </c>
      <c r="F26" s="1">
        <v>155370</v>
      </c>
    </row>
    <row r="27" spans="1:7" x14ac:dyDescent="0.4">
      <c r="A27" s="1" t="s">
        <v>13</v>
      </c>
      <c r="B27" s="1" t="s">
        <v>8</v>
      </c>
      <c r="C27" s="1">
        <v>50</v>
      </c>
      <c r="D27" s="1" t="str">
        <f t="shared" si="0"/>
        <v>50%</v>
      </c>
      <c r="E27" s="3" t="s">
        <v>17</v>
      </c>
      <c r="F27" s="1">
        <v>77685</v>
      </c>
    </row>
    <row r="28" spans="1:7" x14ac:dyDescent="0.4">
      <c r="A28" s="1" t="s">
        <v>13</v>
      </c>
      <c r="B28" s="1" t="s">
        <v>8</v>
      </c>
      <c r="C28" s="1">
        <v>50</v>
      </c>
      <c r="D28" s="1" t="str">
        <f t="shared" si="0"/>
        <v>50%</v>
      </c>
      <c r="E28" s="5" t="s">
        <v>23</v>
      </c>
      <c r="F28" s="1">
        <v>155370</v>
      </c>
    </row>
    <row r="29" spans="1:7" x14ac:dyDescent="0.4">
      <c r="A29" s="1" t="s">
        <v>13</v>
      </c>
      <c r="B29" s="1" t="s">
        <v>8</v>
      </c>
      <c r="C29" s="1">
        <v>50</v>
      </c>
      <c r="D29" s="1" t="str">
        <f t="shared" si="0"/>
        <v>50%</v>
      </c>
      <c r="E29" s="3" t="s">
        <v>18</v>
      </c>
      <c r="F29" s="1">
        <v>77685</v>
      </c>
    </row>
    <row r="30" spans="1:7" x14ac:dyDescent="0.4">
      <c r="A30" s="1" t="s">
        <v>13</v>
      </c>
      <c r="B30" s="1" t="s">
        <v>8</v>
      </c>
      <c r="C30" s="1">
        <v>50</v>
      </c>
      <c r="D30" s="1" t="str">
        <f t="shared" si="0"/>
        <v>50%</v>
      </c>
      <c r="E30" s="5" t="s">
        <v>24</v>
      </c>
      <c r="F30" s="1">
        <v>155370</v>
      </c>
    </row>
    <row r="31" spans="1:7" x14ac:dyDescent="0.4">
      <c r="A31" s="1" t="s">
        <v>13</v>
      </c>
      <c r="B31" s="1" t="s">
        <v>8</v>
      </c>
      <c r="C31" s="1">
        <v>50</v>
      </c>
      <c r="D31" s="1" t="str">
        <f t="shared" si="0"/>
        <v>50%</v>
      </c>
      <c r="E31" s="3" t="s">
        <v>26</v>
      </c>
      <c r="F31" s="1">
        <v>77685</v>
      </c>
    </row>
    <row r="32" spans="1:7" x14ac:dyDescent="0.4">
      <c r="A32" s="1" t="s">
        <v>13</v>
      </c>
      <c r="B32" s="1" t="s">
        <v>8</v>
      </c>
      <c r="C32" s="1">
        <v>50</v>
      </c>
      <c r="D32" s="1" t="str">
        <f t="shared" si="0"/>
        <v>50%</v>
      </c>
      <c r="E32" s="5" t="s">
        <v>25</v>
      </c>
      <c r="F32" s="1">
        <v>155370</v>
      </c>
    </row>
    <row r="33" spans="1:7" x14ac:dyDescent="0.4">
      <c r="A33" s="1" t="s">
        <v>13</v>
      </c>
      <c r="B33" s="1" t="s">
        <v>8</v>
      </c>
      <c r="C33" s="1">
        <v>50</v>
      </c>
      <c r="D33" s="1" t="str">
        <f t="shared" si="0"/>
        <v>50%</v>
      </c>
      <c r="E33" s="3" t="s">
        <v>19</v>
      </c>
      <c r="F33" s="1">
        <v>77685</v>
      </c>
      <c r="G33" s="8"/>
    </row>
    <row r="34" spans="1:7" x14ac:dyDescent="0.4">
      <c r="A34" s="1" t="s">
        <v>13</v>
      </c>
      <c r="B34" s="1" t="s">
        <v>9</v>
      </c>
      <c r="C34" s="1">
        <v>50</v>
      </c>
      <c r="D34" s="1" t="str">
        <f t="shared" si="0"/>
        <v>50%</v>
      </c>
      <c r="E34" s="5" t="s">
        <v>22</v>
      </c>
      <c r="F34" s="1">
        <v>27000</v>
      </c>
    </row>
    <row r="35" spans="1:7" x14ac:dyDescent="0.4">
      <c r="A35" s="1" t="s">
        <v>13</v>
      </c>
      <c r="B35" s="1" t="s">
        <v>9</v>
      </c>
      <c r="C35" s="1">
        <v>50</v>
      </c>
      <c r="D35" s="1" t="str">
        <f t="shared" si="0"/>
        <v>50%</v>
      </c>
      <c r="E35" s="3" t="s">
        <v>17</v>
      </c>
      <c r="F35" s="1">
        <v>13500</v>
      </c>
    </row>
    <row r="36" spans="1:7" x14ac:dyDescent="0.4">
      <c r="A36" s="1" t="s">
        <v>13</v>
      </c>
      <c r="B36" s="1" t="s">
        <v>9</v>
      </c>
      <c r="C36" s="1">
        <v>50</v>
      </c>
      <c r="D36" s="1" t="str">
        <f t="shared" si="0"/>
        <v>50%</v>
      </c>
      <c r="E36" s="5" t="s">
        <v>23</v>
      </c>
      <c r="F36" s="1">
        <v>27000</v>
      </c>
    </row>
    <row r="37" spans="1:7" x14ac:dyDescent="0.4">
      <c r="A37" s="1" t="s">
        <v>13</v>
      </c>
      <c r="B37" s="1" t="s">
        <v>9</v>
      </c>
      <c r="C37" s="1">
        <v>50</v>
      </c>
      <c r="D37" s="1" t="str">
        <f t="shared" si="0"/>
        <v>50%</v>
      </c>
      <c r="E37" s="3" t="s">
        <v>18</v>
      </c>
      <c r="F37" s="1">
        <v>13500</v>
      </c>
    </row>
    <row r="38" spans="1:7" x14ac:dyDescent="0.4">
      <c r="A38" s="1" t="s">
        <v>13</v>
      </c>
      <c r="B38" s="1" t="s">
        <v>9</v>
      </c>
      <c r="C38" s="1">
        <v>50</v>
      </c>
      <c r="D38" s="1" t="str">
        <f t="shared" si="0"/>
        <v>50%</v>
      </c>
      <c r="E38" s="5" t="s">
        <v>24</v>
      </c>
      <c r="F38" s="1">
        <v>27000</v>
      </c>
    </row>
    <row r="39" spans="1:7" x14ac:dyDescent="0.4">
      <c r="A39" s="1" t="s">
        <v>13</v>
      </c>
      <c r="B39" s="1" t="s">
        <v>9</v>
      </c>
      <c r="C39" s="1">
        <v>50</v>
      </c>
      <c r="D39" s="1" t="str">
        <f t="shared" si="0"/>
        <v>50%</v>
      </c>
      <c r="E39" s="3" t="s">
        <v>26</v>
      </c>
      <c r="F39" s="1">
        <v>13500</v>
      </c>
    </row>
    <row r="40" spans="1:7" x14ac:dyDescent="0.4">
      <c r="A40" s="1" t="s">
        <v>13</v>
      </c>
      <c r="B40" s="1" t="s">
        <v>9</v>
      </c>
      <c r="C40" s="1">
        <v>50</v>
      </c>
      <c r="D40" s="1" t="str">
        <f t="shared" si="0"/>
        <v>50%</v>
      </c>
      <c r="E40" s="5" t="s">
        <v>25</v>
      </c>
      <c r="F40" s="1">
        <v>27000</v>
      </c>
    </row>
    <row r="41" spans="1:7" x14ac:dyDescent="0.4">
      <c r="A41" s="1" t="s">
        <v>13</v>
      </c>
      <c r="B41" s="1" t="s">
        <v>9</v>
      </c>
      <c r="C41" s="1">
        <v>50</v>
      </c>
      <c r="D41" s="1" t="str">
        <f t="shared" si="0"/>
        <v>50%</v>
      </c>
      <c r="E41" s="3" t="s">
        <v>19</v>
      </c>
      <c r="F41" s="1">
        <v>13500</v>
      </c>
      <c r="G41" s="8"/>
    </row>
    <row r="42" spans="1:7" x14ac:dyDescent="0.4">
      <c r="A42" s="1" t="s">
        <v>13</v>
      </c>
      <c r="B42" s="1" t="s">
        <v>10</v>
      </c>
      <c r="C42" s="1">
        <v>60</v>
      </c>
      <c r="D42" s="1" t="str">
        <f t="shared" ref="D42:D49" si="1">+C42&amp;"%"</f>
        <v>60%</v>
      </c>
      <c r="E42" s="5" t="s">
        <v>22</v>
      </c>
      <c r="F42" s="1">
        <v>82500</v>
      </c>
    </row>
    <row r="43" spans="1:7" x14ac:dyDescent="0.4">
      <c r="A43" s="1" t="s">
        <v>13</v>
      </c>
      <c r="B43" s="1" t="s">
        <v>10</v>
      </c>
      <c r="C43" s="1">
        <v>60</v>
      </c>
      <c r="D43" s="1" t="str">
        <f t="shared" si="1"/>
        <v>60%</v>
      </c>
      <c r="E43" s="3" t="s">
        <v>17</v>
      </c>
      <c r="F43" s="1">
        <v>49500</v>
      </c>
    </row>
    <row r="44" spans="1:7" x14ac:dyDescent="0.4">
      <c r="A44" s="1" t="s">
        <v>13</v>
      </c>
      <c r="B44" s="1" t="s">
        <v>10</v>
      </c>
      <c r="C44" s="1">
        <v>60</v>
      </c>
      <c r="D44" s="1" t="str">
        <f t="shared" si="1"/>
        <v>60%</v>
      </c>
      <c r="E44" s="5" t="s">
        <v>23</v>
      </c>
      <c r="F44" s="1">
        <v>82500</v>
      </c>
    </row>
    <row r="45" spans="1:7" x14ac:dyDescent="0.4">
      <c r="A45" s="1" t="s">
        <v>13</v>
      </c>
      <c r="B45" s="1" t="s">
        <v>10</v>
      </c>
      <c r="C45" s="1">
        <v>60</v>
      </c>
      <c r="D45" s="1" t="str">
        <f t="shared" si="1"/>
        <v>60%</v>
      </c>
      <c r="E45" s="3" t="s">
        <v>18</v>
      </c>
      <c r="F45" s="1">
        <v>49500</v>
      </c>
    </row>
    <row r="46" spans="1:7" x14ac:dyDescent="0.4">
      <c r="A46" s="1" t="s">
        <v>13</v>
      </c>
      <c r="B46" s="1" t="s">
        <v>10</v>
      </c>
      <c r="C46" s="1">
        <v>60</v>
      </c>
      <c r="D46" s="1" t="str">
        <f t="shared" si="1"/>
        <v>60%</v>
      </c>
      <c r="E46" s="5" t="s">
        <v>24</v>
      </c>
      <c r="F46" s="1">
        <v>82500</v>
      </c>
    </row>
    <row r="47" spans="1:7" x14ac:dyDescent="0.4">
      <c r="A47" s="1" t="s">
        <v>13</v>
      </c>
      <c r="B47" s="1" t="s">
        <v>10</v>
      </c>
      <c r="C47" s="1">
        <v>60</v>
      </c>
      <c r="D47" s="1" t="str">
        <f t="shared" si="1"/>
        <v>60%</v>
      </c>
      <c r="E47" s="3" t="s">
        <v>26</v>
      </c>
      <c r="F47" s="1">
        <v>49500</v>
      </c>
    </row>
    <row r="48" spans="1:7" x14ac:dyDescent="0.4">
      <c r="A48" s="1" t="s">
        <v>13</v>
      </c>
      <c r="B48" s="1" t="s">
        <v>10</v>
      </c>
      <c r="C48" s="1">
        <v>60</v>
      </c>
      <c r="D48" s="1" t="str">
        <f t="shared" si="1"/>
        <v>60%</v>
      </c>
      <c r="E48" s="5" t="s">
        <v>25</v>
      </c>
      <c r="F48" s="1">
        <v>82500</v>
      </c>
    </row>
    <row r="49" spans="1:7" x14ac:dyDescent="0.4">
      <c r="A49" s="1" t="s">
        <v>13</v>
      </c>
      <c r="B49" s="1" t="s">
        <v>10</v>
      </c>
      <c r="C49" s="1">
        <v>60</v>
      </c>
      <c r="D49" s="1" t="str">
        <f t="shared" si="1"/>
        <v>60%</v>
      </c>
      <c r="E49" s="3" t="s">
        <v>19</v>
      </c>
      <c r="F49" s="1">
        <v>49500</v>
      </c>
      <c r="G49" s="8"/>
    </row>
    <row r="50" spans="1:7" x14ac:dyDescent="0.4">
      <c r="A50" s="1" t="s">
        <v>13</v>
      </c>
      <c r="B50" s="1" t="s">
        <v>11</v>
      </c>
      <c r="C50" s="1">
        <v>50</v>
      </c>
      <c r="D50" s="1" t="str">
        <f t="shared" ref="D50:D57" si="2">+C50&amp;"%"</f>
        <v>50%</v>
      </c>
      <c r="E50" s="5" t="s">
        <v>22</v>
      </c>
      <c r="F50" s="1">
        <v>49000</v>
      </c>
    </row>
    <row r="51" spans="1:7" x14ac:dyDescent="0.4">
      <c r="A51" s="1" t="s">
        <v>13</v>
      </c>
      <c r="B51" s="1" t="s">
        <v>11</v>
      </c>
      <c r="C51" s="1">
        <v>50</v>
      </c>
      <c r="D51" s="1" t="str">
        <f t="shared" si="2"/>
        <v>50%</v>
      </c>
      <c r="E51" s="3" t="s">
        <v>17</v>
      </c>
      <c r="F51" s="1">
        <v>24500</v>
      </c>
    </row>
    <row r="52" spans="1:7" x14ac:dyDescent="0.4">
      <c r="A52" s="1" t="s">
        <v>13</v>
      </c>
      <c r="B52" s="1" t="s">
        <v>11</v>
      </c>
      <c r="C52" s="1">
        <v>50</v>
      </c>
      <c r="D52" s="1" t="str">
        <f t="shared" si="2"/>
        <v>50%</v>
      </c>
      <c r="E52" s="5" t="s">
        <v>23</v>
      </c>
      <c r="F52" s="1">
        <v>49000</v>
      </c>
    </row>
    <row r="53" spans="1:7" x14ac:dyDescent="0.4">
      <c r="A53" s="1" t="s">
        <v>13</v>
      </c>
      <c r="B53" s="1" t="s">
        <v>11</v>
      </c>
      <c r="C53" s="1">
        <v>50</v>
      </c>
      <c r="D53" s="1" t="str">
        <f t="shared" si="2"/>
        <v>50%</v>
      </c>
      <c r="E53" s="3" t="s">
        <v>18</v>
      </c>
      <c r="F53" s="1">
        <v>24500</v>
      </c>
    </row>
    <row r="54" spans="1:7" x14ac:dyDescent="0.4">
      <c r="A54" s="1" t="s">
        <v>13</v>
      </c>
      <c r="B54" s="1" t="s">
        <v>11</v>
      </c>
      <c r="C54" s="1">
        <v>50</v>
      </c>
      <c r="D54" s="1" t="str">
        <f t="shared" si="2"/>
        <v>50%</v>
      </c>
      <c r="E54" s="5" t="s">
        <v>24</v>
      </c>
      <c r="F54" s="1">
        <v>49000</v>
      </c>
    </row>
    <row r="55" spans="1:7" x14ac:dyDescent="0.4">
      <c r="A55" s="1" t="s">
        <v>13</v>
      </c>
      <c r="B55" s="1" t="s">
        <v>11</v>
      </c>
      <c r="C55" s="1">
        <v>50</v>
      </c>
      <c r="D55" s="1" t="str">
        <f t="shared" si="2"/>
        <v>50%</v>
      </c>
      <c r="E55" s="3" t="s">
        <v>26</v>
      </c>
      <c r="F55" s="1">
        <v>24500</v>
      </c>
    </row>
    <row r="56" spans="1:7" x14ac:dyDescent="0.4">
      <c r="A56" s="1" t="s">
        <v>13</v>
      </c>
      <c r="B56" s="1" t="s">
        <v>11</v>
      </c>
      <c r="C56" s="1">
        <v>50</v>
      </c>
      <c r="D56" s="1" t="str">
        <f t="shared" si="2"/>
        <v>50%</v>
      </c>
      <c r="E56" s="5" t="s">
        <v>25</v>
      </c>
      <c r="F56" s="1">
        <v>49000</v>
      </c>
    </row>
    <row r="57" spans="1:7" x14ac:dyDescent="0.4">
      <c r="A57" s="1" t="s">
        <v>13</v>
      </c>
      <c r="B57" s="1" t="s">
        <v>11</v>
      </c>
      <c r="C57" s="1">
        <v>50</v>
      </c>
      <c r="D57" s="1" t="str">
        <f t="shared" si="2"/>
        <v>50%</v>
      </c>
      <c r="E57" s="3" t="s">
        <v>19</v>
      </c>
      <c r="F57" s="1">
        <v>24500</v>
      </c>
      <c r="G57" s="8"/>
    </row>
    <row r="58" spans="1:7" x14ac:dyDescent="0.4">
      <c r="A58" s="1" t="s">
        <v>13</v>
      </c>
      <c r="B58" s="1" t="s">
        <v>3</v>
      </c>
      <c r="C58" s="1">
        <v>100</v>
      </c>
      <c r="D58" s="1" t="str">
        <f t="shared" ref="D58:D65" si="3">+C58&amp;"%"</f>
        <v>100%</v>
      </c>
      <c r="E58" s="5" t="s">
        <v>22</v>
      </c>
      <c r="F58" s="1">
        <v>106000</v>
      </c>
    </row>
    <row r="59" spans="1:7" x14ac:dyDescent="0.4">
      <c r="A59" s="1" t="s">
        <v>13</v>
      </c>
      <c r="B59" s="1" t="s">
        <v>3</v>
      </c>
      <c r="C59" s="1">
        <v>100</v>
      </c>
      <c r="D59" s="1" t="str">
        <f t="shared" si="3"/>
        <v>100%</v>
      </c>
      <c r="E59" s="3" t="s">
        <v>17</v>
      </c>
      <c r="F59" s="1">
        <v>106000</v>
      </c>
    </row>
    <row r="60" spans="1:7" x14ac:dyDescent="0.4">
      <c r="A60" s="1" t="s">
        <v>13</v>
      </c>
      <c r="B60" s="1" t="s">
        <v>3</v>
      </c>
      <c r="C60" s="1">
        <v>100</v>
      </c>
      <c r="D60" s="1" t="str">
        <f t="shared" si="3"/>
        <v>100%</v>
      </c>
      <c r="E60" s="5" t="s">
        <v>23</v>
      </c>
      <c r="F60" s="1">
        <v>106000</v>
      </c>
    </row>
    <row r="61" spans="1:7" x14ac:dyDescent="0.4">
      <c r="A61" s="1" t="s">
        <v>13</v>
      </c>
      <c r="B61" s="1" t="s">
        <v>3</v>
      </c>
      <c r="C61" s="1">
        <v>100</v>
      </c>
      <c r="D61" s="1" t="str">
        <f t="shared" si="3"/>
        <v>100%</v>
      </c>
      <c r="E61" s="3" t="s">
        <v>18</v>
      </c>
      <c r="F61" s="1">
        <v>106000</v>
      </c>
    </row>
    <row r="62" spans="1:7" x14ac:dyDescent="0.4">
      <c r="A62" s="1" t="s">
        <v>13</v>
      </c>
      <c r="B62" s="1" t="s">
        <v>3</v>
      </c>
      <c r="C62" s="1">
        <v>100</v>
      </c>
      <c r="D62" s="1" t="str">
        <f t="shared" si="3"/>
        <v>100%</v>
      </c>
      <c r="E62" s="5" t="s">
        <v>24</v>
      </c>
      <c r="F62" s="1">
        <v>106000</v>
      </c>
    </row>
    <row r="63" spans="1:7" x14ac:dyDescent="0.4">
      <c r="A63" s="1" t="s">
        <v>13</v>
      </c>
      <c r="B63" s="1" t="s">
        <v>3</v>
      </c>
      <c r="C63" s="1">
        <v>100</v>
      </c>
      <c r="D63" s="1" t="str">
        <f t="shared" si="3"/>
        <v>100%</v>
      </c>
      <c r="E63" s="3" t="s">
        <v>26</v>
      </c>
      <c r="F63" s="1">
        <v>106000</v>
      </c>
    </row>
    <row r="64" spans="1:7" x14ac:dyDescent="0.4">
      <c r="A64" s="1" t="s">
        <v>13</v>
      </c>
      <c r="B64" s="1" t="s">
        <v>3</v>
      </c>
      <c r="C64" s="1">
        <v>100</v>
      </c>
      <c r="D64" s="1" t="str">
        <f t="shared" si="3"/>
        <v>100%</v>
      </c>
      <c r="E64" s="5" t="s">
        <v>25</v>
      </c>
      <c r="F64" s="1">
        <v>106000</v>
      </c>
    </row>
    <row r="65" spans="1:7" x14ac:dyDescent="0.4">
      <c r="A65" s="1" t="s">
        <v>13</v>
      </c>
      <c r="B65" s="1" t="s">
        <v>3</v>
      </c>
      <c r="C65" s="1">
        <v>100</v>
      </c>
      <c r="D65" s="1" t="str">
        <f t="shared" si="3"/>
        <v>100%</v>
      </c>
      <c r="E65" s="3" t="s">
        <v>19</v>
      </c>
      <c r="F65" s="1">
        <v>106000</v>
      </c>
      <c r="G65" s="8"/>
    </row>
    <row r="66" spans="1:7" x14ac:dyDescent="0.4">
      <c r="A66" s="1" t="s">
        <v>6</v>
      </c>
      <c r="B66" s="1" t="s">
        <v>12</v>
      </c>
      <c r="C66" s="1">
        <v>50</v>
      </c>
      <c r="D66" s="1" t="str">
        <f t="shared" ref="D66:D73" si="4">+C66&amp;"%"</f>
        <v>50%</v>
      </c>
      <c r="E66" s="5" t="s">
        <v>22</v>
      </c>
      <c r="F66" s="1">
        <v>77000</v>
      </c>
    </row>
    <row r="67" spans="1:7" x14ac:dyDescent="0.4">
      <c r="A67" s="1" t="s">
        <v>6</v>
      </c>
      <c r="B67" s="1" t="s">
        <v>12</v>
      </c>
      <c r="C67" s="1">
        <v>50</v>
      </c>
      <c r="D67" s="1" t="str">
        <f t="shared" si="4"/>
        <v>50%</v>
      </c>
      <c r="E67" s="3" t="s">
        <v>17</v>
      </c>
      <c r="F67" s="1">
        <v>38500</v>
      </c>
    </row>
    <row r="68" spans="1:7" x14ac:dyDescent="0.4">
      <c r="A68" s="1" t="s">
        <v>6</v>
      </c>
      <c r="B68" s="1" t="s">
        <v>12</v>
      </c>
      <c r="C68" s="1">
        <v>50</v>
      </c>
      <c r="D68" s="1" t="str">
        <f t="shared" si="4"/>
        <v>50%</v>
      </c>
      <c r="E68" s="5" t="s">
        <v>23</v>
      </c>
      <c r="F68" s="1">
        <v>77000</v>
      </c>
    </row>
    <row r="69" spans="1:7" x14ac:dyDescent="0.4">
      <c r="A69" s="1" t="s">
        <v>6</v>
      </c>
      <c r="B69" s="1" t="s">
        <v>12</v>
      </c>
      <c r="C69" s="1">
        <v>50</v>
      </c>
      <c r="D69" s="1" t="str">
        <f t="shared" si="4"/>
        <v>50%</v>
      </c>
      <c r="E69" s="3" t="s">
        <v>18</v>
      </c>
      <c r="F69" s="1">
        <v>38500</v>
      </c>
    </row>
    <row r="70" spans="1:7" x14ac:dyDescent="0.4">
      <c r="A70" s="1" t="s">
        <v>6</v>
      </c>
      <c r="B70" s="1" t="s">
        <v>12</v>
      </c>
      <c r="C70" s="1">
        <v>50</v>
      </c>
      <c r="D70" s="1" t="str">
        <f t="shared" si="4"/>
        <v>50%</v>
      </c>
      <c r="E70" s="5" t="s">
        <v>24</v>
      </c>
      <c r="F70" s="1">
        <v>77000</v>
      </c>
    </row>
    <row r="71" spans="1:7" x14ac:dyDescent="0.4">
      <c r="A71" s="1" t="s">
        <v>6</v>
      </c>
      <c r="B71" s="1" t="s">
        <v>12</v>
      </c>
      <c r="C71" s="1">
        <v>50</v>
      </c>
      <c r="D71" s="1" t="str">
        <f t="shared" si="4"/>
        <v>50%</v>
      </c>
      <c r="E71" s="3" t="s">
        <v>26</v>
      </c>
      <c r="F71" s="1">
        <v>38500</v>
      </c>
    </row>
    <row r="72" spans="1:7" x14ac:dyDescent="0.4">
      <c r="A72" s="1" t="s">
        <v>6</v>
      </c>
      <c r="B72" s="1" t="s">
        <v>12</v>
      </c>
      <c r="C72" s="1">
        <v>50</v>
      </c>
      <c r="D72" s="1" t="str">
        <f t="shared" si="4"/>
        <v>50%</v>
      </c>
      <c r="E72" s="5" t="s">
        <v>25</v>
      </c>
      <c r="F72" s="1">
        <v>77000</v>
      </c>
    </row>
    <row r="73" spans="1:7" x14ac:dyDescent="0.4">
      <c r="A73" s="1" t="s">
        <v>6</v>
      </c>
      <c r="B73" s="1" t="s">
        <v>12</v>
      </c>
      <c r="C73" s="1">
        <v>50</v>
      </c>
      <c r="D73" s="1" t="str">
        <f t="shared" si="4"/>
        <v>50%</v>
      </c>
      <c r="E73" s="3" t="s">
        <v>19</v>
      </c>
      <c r="F73" s="1">
        <v>38500</v>
      </c>
      <c r="G73" s="8"/>
    </row>
    <row r="74" spans="1:7" x14ac:dyDescent="0.4">
      <c r="A74" s="1" t="s">
        <v>6</v>
      </c>
      <c r="B74" s="1" t="s">
        <v>5</v>
      </c>
      <c r="C74" s="1">
        <v>40</v>
      </c>
      <c r="D74" s="1" t="str">
        <f t="shared" ref="D74:D81" si="5">+C74&amp;"%"</f>
        <v>40%</v>
      </c>
      <c r="E74" s="5" t="s">
        <v>22</v>
      </c>
      <c r="F74" s="1">
        <v>29100</v>
      </c>
    </row>
    <row r="75" spans="1:7" x14ac:dyDescent="0.4">
      <c r="A75" s="1" t="s">
        <v>6</v>
      </c>
      <c r="B75" s="1" t="s">
        <v>5</v>
      </c>
      <c r="C75" s="1">
        <v>40</v>
      </c>
      <c r="D75" s="1" t="str">
        <f t="shared" si="5"/>
        <v>40%</v>
      </c>
      <c r="E75" s="3" t="s">
        <v>17</v>
      </c>
      <c r="F75" s="1">
        <v>11640</v>
      </c>
    </row>
    <row r="76" spans="1:7" x14ac:dyDescent="0.4">
      <c r="A76" s="1" t="s">
        <v>6</v>
      </c>
      <c r="B76" s="1" t="s">
        <v>5</v>
      </c>
      <c r="C76" s="1">
        <v>40</v>
      </c>
      <c r="D76" s="1" t="str">
        <f t="shared" si="5"/>
        <v>40%</v>
      </c>
      <c r="E76" s="5" t="s">
        <v>23</v>
      </c>
      <c r="F76" s="1">
        <v>29100</v>
      </c>
    </row>
    <row r="77" spans="1:7" x14ac:dyDescent="0.4">
      <c r="A77" s="1" t="s">
        <v>6</v>
      </c>
      <c r="B77" s="1" t="s">
        <v>5</v>
      </c>
      <c r="C77" s="1">
        <v>40</v>
      </c>
      <c r="D77" s="1" t="str">
        <f t="shared" si="5"/>
        <v>40%</v>
      </c>
      <c r="E77" s="3" t="s">
        <v>18</v>
      </c>
      <c r="F77" s="1">
        <v>11640</v>
      </c>
    </row>
    <row r="78" spans="1:7" x14ac:dyDescent="0.4">
      <c r="A78" s="1" t="s">
        <v>6</v>
      </c>
      <c r="B78" s="1" t="s">
        <v>5</v>
      </c>
      <c r="C78" s="1">
        <v>40</v>
      </c>
      <c r="D78" s="1" t="str">
        <f t="shared" si="5"/>
        <v>40%</v>
      </c>
      <c r="E78" s="5" t="s">
        <v>24</v>
      </c>
      <c r="F78" s="1">
        <v>29100</v>
      </c>
    </row>
    <row r="79" spans="1:7" x14ac:dyDescent="0.4">
      <c r="A79" s="1" t="s">
        <v>6</v>
      </c>
      <c r="B79" s="1" t="s">
        <v>5</v>
      </c>
      <c r="C79" s="1">
        <v>40</v>
      </c>
      <c r="D79" s="1" t="str">
        <f t="shared" si="5"/>
        <v>40%</v>
      </c>
      <c r="E79" s="3" t="s">
        <v>26</v>
      </c>
      <c r="F79" s="1">
        <v>11640</v>
      </c>
    </row>
    <row r="80" spans="1:7" x14ac:dyDescent="0.4">
      <c r="A80" s="1" t="s">
        <v>6</v>
      </c>
      <c r="B80" s="1" t="s">
        <v>5</v>
      </c>
      <c r="C80" s="1">
        <v>40</v>
      </c>
      <c r="D80" s="1" t="str">
        <f t="shared" si="5"/>
        <v>40%</v>
      </c>
      <c r="E80" s="5" t="s">
        <v>25</v>
      </c>
      <c r="F80" s="1">
        <v>29100</v>
      </c>
    </row>
    <row r="81" spans="1:8" x14ac:dyDescent="0.4">
      <c r="A81" s="1" t="s">
        <v>6</v>
      </c>
      <c r="B81" s="1" t="s">
        <v>5</v>
      </c>
      <c r="C81" s="1">
        <v>40</v>
      </c>
      <c r="D81" s="1" t="str">
        <f t="shared" si="5"/>
        <v>40%</v>
      </c>
      <c r="E81" s="3" t="s">
        <v>19</v>
      </c>
      <c r="F81" s="1">
        <v>11640</v>
      </c>
      <c r="G81" s="8"/>
    </row>
    <row r="82" spans="1:8" x14ac:dyDescent="0.4">
      <c r="A82" s="1" t="s">
        <v>6</v>
      </c>
      <c r="B82" s="1" t="s">
        <v>1</v>
      </c>
      <c r="C82" s="1">
        <v>50</v>
      </c>
      <c r="D82" s="1" t="str">
        <f t="shared" ref="D82:D89" si="6">+C82&amp;"%"</f>
        <v>50%</v>
      </c>
      <c r="E82" s="5" t="s">
        <v>22</v>
      </c>
      <c r="F82" s="1">
        <v>3781054</v>
      </c>
      <c r="H82" s="1">
        <v>3781054</v>
      </c>
    </row>
    <row r="83" spans="1:8" x14ac:dyDescent="0.4">
      <c r="A83" s="1" t="s">
        <v>6</v>
      </c>
      <c r="B83" s="1" t="s">
        <v>1</v>
      </c>
      <c r="C83" s="1">
        <v>50</v>
      </c>
      <c r="D83" s="1" t="str">
        <f t="shared" si="6"/>
        <v>50%</v>
      </c>
      <c r="E83" s="3" t="s">
        <v>17</v>
      </c>
      <c r="F83" s="1">
        <v>1890527</v>
      </c>
    </row>
    <row r="84" spans="1:8" x14ac:dyDescent="0.4">
      <c r="A84" s="1" t="s">
        <v>6</v>
      </c>
      <c r="B84" s="1" t="s">
        <v>1</v>
      </c>
      <c r="C84" s="1">
        <v>50</v>
      </c>
      <c r="D84" s="1" t="str">
        <f t="shared" si="6"/>
        <v>50%</v>
      </c>
      <c r="E84" s="5" t="s">
        <v>23</v>
      </c>
      <c r="F84" s="1">
        <v>3576300</v>
      </c>
    </row>
    <row r="85" spans="1:8" x14ac:dyDescent="0.4">
      <c r="A85" s="1" t="s">
        <v>6</v>
      </c>
      <c r="B85" s="1" t="s">
        <v>1</v>
      </c>
      <c r="C85" s="1">
        <v>50</v>
      </c>
      <c r="D85" s="1" t="str">
        <f t="shared" si="6"/>
        <v>50%</v>
      </c>
      <c r="E85" s="3" t="s">
        <v>18</v>
      </c>
      <c r="F85" s="1">
        <v>1788150</v>
      </c>
    </row>
    <row r="86" spans="1:8" x14ac:dyDescent="0.4">
      <c r="A86" s="1" t="s">
        <v>6</v>
      </c>
      <c r="B86" s="1" t="s">
        <v>1</v>
      </c>
      <c r="C86" s="1">
        <v>50</v>
      </c>
      <c r="D86" s="1" t="str">
        <f t="shared" si="6"/>
        <v>50%</v>
      </c>
      <c r="E86" s="5" t="s">
        <v>24</v>
      </c>
      <c r="F86" s="1">
        <v>0</v>
      </c>
    </row>
    <row r="87" spans="1:8" x14ac:dyDescent="0.4">
      <c r="A87" s="1" t="s">
        <v>6</v>
      </c>
      <c r="B87" s="1" t="s">
        <v>1</v>
      </c>
      <c r="C87" s="1">
        <v>50</v>
      </c>
      <c r="D87" s="1" t="str">
        <f t="shared" si="6"/>
        <v>50%</v>
      </c>
      <c r="E87" s="3" t="s">
        <v>26</v>
      </c>
      <c r="F87" s="1">
        <v>0</v>
      </c>
    </row>
    <row r="88" spans="1:8" x14ac:dyDescent="0.4">
      <c r="A88" s="1" t="s">
        <v>6</v>
      </c>
      <c r="B88" s="1" t="s">
        <v>1</v>
      </c>
      <c r="C88" s="1">
        <v>50</v>
      </c>
      <c r="D88" s="1" t="str">
        <f t="shared" si="6"/>
        <v>50%</v>
      </c>
      <c r="E88" s="5" t="s">
        <v>25</v>
      </c>
      <c r="F88" s="1">
        <v>0</v>
      </c>
    </row>
    <row r="89" spans="1:8" x14ac:dyDescent="0.4">
      <c r="A89" s="1" t="s">
        <v>6</v>
      </c>
      <c r="B89" s="1" t="s">
        <v>1</v>
      </c>
      <c r="C89" s="1">
        <v>50</v>
      </c>
      <c r="D89" s="1" t="str">
        <f t="shared" si="6"/>
        <v>50%</v>
      </c>
      <c r="E89" s="3" t="s">
        <v>19</v>
      </c>
      <c r="F89" s="1">
        <v>0</v>
      </c>
      <c r="G89" s="8"/>
    </row>
    <row r="90" spans="1:8" x14ac:dyDescent="0.4">
      <c r="A90" s="1" t="s">
        <v>6</v>
      </c>
      <c r="B90" s="1" t="s">
        <v>4</v>
      </c>
      <c r="C90" s="1">
        <v>30</v>
      </c>
      <c r="D90" s="1" t="str">
        <f t="shared" ref="D90:D97" si="7">+C90&amp;"%"</f>
        <v>30%</v>
      </c>
      <c r="E90" s="5" t="s">
        <v>22</v>
      </c>
      <c r="F90" s="1">
        <v>0</v>
      </c>
    </row>
    <row r="91" spans="1:8" x14ac:dyDescent="0.4">
      <c r="A91" s="1" t="s">
        <v>6</v>
      </c>
      <c r="B91" s="1" t="s">
        <v>4</v>
      </c>
      <c r="C91" s="1">
        <v>30</v>
      </c>
      <c r="D91" s="1" t="str">
        <f t="shared" si="7"/>
        <v>30%</v>
      </c>
      <c r="E91" s="3" t="s">
        <v>17</v>
      </c>
      <c r="F91" s="1">
        <v>0</v>
      </c>
    </row>
    <row r="92" spans="1:8" x14ac:dyDescent="0.4">
      <c r="A92" s="1" t="s">
        <v>6</v>
      </c>
      <c r="B92" s="1" t="s">
        <v>4</v>
      </c>
      <c r="C92" s="1">
        <v>30</v>
      </c>
      <c r="D92" s="1" t="str">
        <f t="shared" si="7"/>
        <v>30%</v>
      </c>
      <c r="E92" s="5" t="s">
        <v>23</v>
      </c>
      <c r="F92" s="1">
        <v>0</v>
      </c>
    </row>
    <row r="93" spans="1:8" x14ac:dyDescent="0.4">
      <c r="A93" s="1" t="s">
        <v>6</v>
      </c>
      <c r="B93" s="1" t="s">
        <v>4</v>
      </c>
      <c r="C93" s="1">
        <v>30</v>
      </c>
      <c r="D93" s="1" t="str">
        <f t="shared" si="7"/>
        <v>30%</v>
      </c>
      <c r="E93" s="3" t="s">
        <v>18</v>
      </c>
      <c r="F93" s="1">
        <v>0</v>
      </c>
    </row>
    <row r="94" spans="1:8" x14ac:dyDescent="0.4">
      <c r="A94" s="1" t="s">
        <v>6</v>
      </c>
      <c r="B94" s="1" t="s">
        <v>4</v>
      </c>
      <c r="C94" s="1">
        <v>30</v>
      </c>
      <c r="D94" s="1" t="str">
        <f t="shared" si="7"/>
        <v>30%</v>
      </c>
      <c r="E94" s="5" t="s">
        <v>24</v>
      </c>
      <c r="F94" s="1">
        <v>0</v>
      </c>
    </row>
    <row r="95" spans="1:8" x14ac:dyDescent="0.4">
      <c r="A95" s="1" t="s">
        <v>6</v>
      </c>
      <c r="B95" s="1" t="s">
        <v>4</v>
      </c>
      <c r="C95" s="1">
        <v>30</v>
      </c>
      <c r="D95" s="1" t="str">
        <f t="shared" si="7"/>
        <v>30%</v>
      </c>
      <c r="E95" s="3" t="s">
        <v>26</v>
      </c>
      <c r="F95" s="1">
        <v>0</v>
      </c>
    </row>
    <row r="96" spans="1:8" x14ac:dyDescent="0.4">
      <c r="A96" s="1" t="s">
        <v>6</v>
      </c>
      <c r="B96" s="1" t="s">
        <v>4</v>
      </c>
      <c r="C96" s="1">
        <v>30</v>
      </c>
      <c r="D96" s="1" t="str">
        <f t="shared" si="7"/>
        <v>30%</v>
      </c>
      <c r="E96" s="5" t="s">
        <v>25</v>
      </c>
      <c r="F96" s="1">
        <v>0</v>
      </c>
    </row>
    <row r="97" spans="1:7" x14ac:dyDescent="0.4">
      <c r="A97" s="1" t="s">
        <v>6</v>
      </c>
      <c r="B97" s="1" t="s">
        <v>4</v>
      </c>
      <c r="C97" s="1">
        <v>30</v>
      </c>
      <c r="D97" s="1" t="str">
        <f t="shared" si="7"/>
        <v>30%</v>
      </c>
      <c r="E97" s="3" t="s">
        <v>19</v>
      </c>
      <c r="F97" s="1">
        <v>0</v>
      </c>
      <c r="G97" s="8"/>
    </row>
    <row r="98" spans="1:7" x14ac:dyDescent="0.4">
      <c r="A98" s="1" t="s">
        <v>6</v>
      </c>
      <c r="B98" s="1" t="s">
        <v>2</v>
      </c>
      <c r="C98" s="1">
        <v>60</v>
      </c>
      <c r="D98" s="1" t="str">
        <f t="shared" ref="D98:D105" si="8">+C98&amp;"%"</f>
        <v>60%</v>
      </c>
      <c r="E98" s="5" t="s">
        <v>22</v>
      </c>
      <c r="F98" s="1">
        <v>758940</v>
      </c>
    </row>
    <row r="99" spans="1:7" x14ac:dyDescent="0.4">
      <c r="A99" s="1" t="s">
        <v>6</v>
      </c>
      <c r="B99" s="1" t="s">
        <v>2</v>
      </c>
      <c r="C99" s="1">
        <v>60</v>
      </c>
      <c r="D99" s="1" t="str">
        <f t="shared" si="8"/>
        <v>60%</v>
      </c>
      <c r="E99" s="3" t="s">
        <v>17</v>
      </c>
      <c r="F99" s="1">
        <v>455364</v>
      </c>
    </row>
    <row r="100" spans="1:7" x14ac:dyDescent="0.4">
      <c r="A100" s="1" t="s">
        <v>6</v>
      </c>
      <c r="B100" s="1" t="s">
        <v>2</v>
      </c>
      <c r="C100" s="1">
        <v>60</v>
      </c>
      <c r="D100" s="1" t="str">
        <f t="shared" si="8"/>
        <v>60%</v>
      </c>
      <c r="E100" s="5" t="s">
        <v>23</v>
      </c>
      <c r="F100" s="1">
        <v>509940</v>
      </c>
    </row>
    <row r="101" spans="1:7" x14ac:dyDescent="0.4">
      <c r="A101" s="1" t="s">
        <v>6</v>
      </c>
      <c r="B101" s="1" t="s">
        <v>2</v>
      </c>
      <c r="C101" s="1">
        <v>60</v>
      </c>
      <c r="D101" s="1" t="str">
        <f t="shared" si="8"/>
        <v>60%</v>
      </c>
      <c r="E101" s="3" t="s">
        <v>18</v>
      </c>
      <c r="F101" s="1">
        <v>305964</v>
      </c>
    </row>
    <row r="102" spans="1:7" x14ac:dyDescent="0.4">
      <c r="A102" s="1" t="s">
        <v>6</v>
      </c>
      <c r="B102" s="1" t="s">
        <v>2</v>
      </c>
      <c r="C102" s="1">
        <v>60</v>
      </c>
      <c r="D102" s="1" t="str">
        <f t="shared" si="8"/>
        <v>60%</v>
      </c>
      <c r="E102" s="5" t="s">
        <v>24</v>
      </c>
      <c r="F102" s="1">
        <v>509940</v>
      </c>
    </row>
    <row r="103" spans="1:7" x14ac:dyDescent="0.4">
      <c r="A103" s="1" t="s">
        <v>6</v>
      </c>
      <c r="B103" s="1" t="s">
        <v>2</v>
      </c>
      <c r="C103" s="1">
        <v>60</v>
      </c>
      <c r="D103" s="1" t="str">
        <f t="shared" si="8"/>
        <v>60%</v>
      </c>
      <c r="E103" s="3" t="s">
        <v>26</v>
      </c>
      <c r="F103" s="1">
        <v>305964</v>
      </c>
    </row>
    <row r="104" spans="1:7" x14ac:dyDescent="0.4">
      <c r="A104" s="1" t="s">
        <v>6</v>
      </c>
      <c r="B104" s="1" t="s">
        <v>2</v>
      </c>
      <c r="C104" s="1">
        <v>60</v>
      </c>
      <c r="D104" s="1" t="str">
        <f t="shared" si="8"/>
        <v>60%</v>
      </c>
      <c r="E104" s="5" t="s">
        <v>25</v>
      </c>
      <c r="F104" s="1">
        <v>0</v>
      </c>
    </row>
    <row r="105" spans="1:7" x14ac:dyDescent="0.4">
      <c r="A105" s="1" t="s">
        <v>6</v>
      </c>
      <c r="B105" s="1" t="s">
        <v>2</v>
      </c>
      <c r="C105" s="1">
        <v>60</v>
      </c>
      <c r="D105" s="1" t="str">
        <f t="shared" si="8"/>
        <v>60%</v>
      </c>
      <c r="E105" s="3" t="s">
        <v>19</v>
      </c>
      <c r="F105" s="1">
        <v>0</v>
      </c>
      <c r="G105" s="8"/>
    </row>
    <row r="106" spans="1:7" x14ac:dyDescent="0.4">
      <c r="A106" s="1" t="s">
        <v>6</v>
      </c>
      <c r="B106" s="1" t="s">
        <v>3</v>
      </c>
      <c r="C106" s="1">
        <v>100</v>
      </c>
      <c r="D106" s="1" t="str">
        <f t="shared" ref="D106:D113" si="9">+C106&amp;"%"</f>
        <v>100%</v>
      </c>
      <c r="E106" s="5" t="s">
        <v>22</v>
      </c>
      <c r="F106" s="1">
        <v>79500</v>
      </c>
    </row>
    <row r="107" spans="1:7" x14ac:dyDescent="0.4">
      <c r="A107" s="1" t="s">
        <v>6</v>
      </c>
      <c r="B107" s="1" t="s">
        <v>3</v>
      </c>
      <c r="C107" s="1">
        <v>100</v>
      </c>
      <c r="D107" s="1" t="str">
        <f t="shared" si="9"/>
        <v>100%</v>
      </c>
      <c r="E107" s="3" t="s">
        <v>17</v>
      </c>
      <c r="F107" s="1">
        <v>79500</v>
      </c>
    </row>
    <row r="108" spans="1:7" x14ac:dyDescent="0.4">
      <c r="A108" s="1" t="s">
        <v>6</v>
      </c>
      <c r="B108" s="1" t="s">
        <v>3</v>
      </c>
      <c r="C108" s="1">
        <v>100</v>
      </c>
      <c r="D108" s="1" t="str">
        <f t="shared" si="9"/>
        <v>100%</v>
      </c>
      <c r="E108" s="5" t="s">
        <v>23</v>
      </c>
      <c r="F108" s="1">
        <v>27500</v>
      </c>
    </row>
    <row r="109" spans="1:7" x14ac:dyDescent="0.4">
      <c r="A109" s="1" t="s">
        <v>6</v>
      </c>
      <c r="B109" s="1" t="s">
        <v>3</v>
      </c>
      <c r="C109" s="1">
        <v>100</v>
      </c>
      <c r="D109" s="1" t="str">
        <f t="shared" si="9"/>
        <v>100%</v>
      </c>
      <c r="E109" s="3" t="s">
        <v>18</v>
      </c>
      <c r="F109" s="1">
        <v>27500</v>
      </c>
    </row>
    <row r="110" spans="1:7" x14ac:dyDescent="0.4">
      <c r="A110" s="1" t="s">
        <v>6</v>
      </c>
      <c r="B110" s="1" t="s">
        <v>3</v>
      </c>
      <c r="C110" s="1">
        <v>100</v>
      </c>
      <c r="D110" s="1" t="str">
        <f t="shared" si="9"/>
        <v>100%</v>
      </c>
      <c r="E110" s="5" t="s">
        <v>24</v>
      </c>
      <c r="F110" s="1">
        <v>27500</v>
      </c>
    </row>
    <row r="111" spans="1:7" x14ac:dyDescent="0.4">
      <c r="A111" s="1" t="s">
        <v>6</v>
      </c>
      <c r="B111" s="1" t="s">
        <v>3</v>
      </c>
      <c r="C111" s="1">
        <v>100</v>
      </c>
      <c r="D111" s="1" t="str">
        <f t="shared" si="9"/>
        <v>100%</v>
      </c>
      <c r="E111" s="3" t="s">
        <v>26</v>
      </c>
      <c r="F111" s="1">
        <v>27500</v>
      </c>
    </row>
    <row r="112" spans="1:7" x14ac:dyDescent="0.4">
      <c r="A112" s="1" t="s">
        <v>6</v>
      </c>
      <c r="B112" s="1" t="s">
        <v>3</v>
      </c>
      <c r="C112" s="1">
        <v>100</v>
      </c>
      <c r="D112" s="1" t="str">
        <f t="shared" si="9"/>
        <v>100%</v>
      </c>
      <c r="E112" s="5" t="s">
        <v>25</v>
      </c>
      <c r="F112" s="1">
        <v>27500</v>
      </c>
    </row>
    <row r="113" spans="1:7" x14ac:dyDescent="0.4">
      <c r="A113" s="1" t="s">
        <v>6</v>
      </c>
      <c r="B113" s="1" t="s">
        <v>3</v>
      </c>
      <c r="C113" s="1">
        <v>100</v>
      </c>
      <c r="D113" s="1" t="str">
        <f t="shared" si="9"/>
        <v>100%</v>
      </c>
      <c r="E113" s="3" t="s">
        <v>19</v>
      </c>
      <c r="F113" s="1">
        <v>27500</v>
      </c>
      <c r="G113" s="8"/>
    </row>
  </sheetData>
  <autoFilter ref="A1:F105" xr:uid="{658C8222-73C6-4D7A-9EF3-E6DA4E4D75CF}"/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44C4-E2DB-41DD-9EF8-2FA32900CA7C}">
  <dimension ref="A3:K48"/>
  <sheetViews>
    <sheetView topLeftCell="A4" workbookViewId="0">
      <selection activeCell="D11" sqref="D11"/>
    </sheetView>
  </sheetViews>
  <sheetFormatPr defaultRowHeight="18.75" x14ac:dyDescent="0.4"/>
  <cols>
    <col min="1" max="1" width="35.375" bestFit="1" customWidth="1"/>
    <col min="2" max="2" width="13.25" bestFit="1" customWidth="1"/>
    <col min="3" max="10" width="15" bestFit="1" customWidth="1"/>
    <col min="11" max="11" width="11.875" bestFit="1" customWidth="1"/>
    <col min="12" max="12" width="15" bestFit="1" customWidth="1"/>
    <col min="13" max="13" width="11.875" bestFit="1" customWidth="1"/>
  </cols>
  <sheetData>
    <row r="3" spans="1:11" x14ac:dyDescent="0.4">
      <c r="A3" s="7" t="s">
        <v>46</v>
      </c>
      <c r="C3" s="7" t="s">
        <v>35</v>
      </c>
    </row>
    <row r="4" spans="1:11" x14ac:dyDescent="0.4">
      <c r="A4" s="7" t="s">
        <v>0</v>
      </c>
      <c r="B4" s="7" t="s">
        <v>45</v>
      </c>
      <c r="C4" t="s">
        <v>27</v>
      </c>
      <c r="D4" t="s">
        <v>31</v>
      </c>
      <c r="E4" t="s">
        <v>28</v>
      </c>
      <c r="F4" t="s">
        <v>32</v>
      </c>
      <c r="G4" t="s">
        <v>29</v>
      </c>
      <c r="H4" t="s">
        <v>33</v>
      </c>
      <c r="I4" t="s">
        <v>30</v>
      </c>
      <c r="J4" t="s">
        <v>34</v>
      </c>
      <c r="K4" t="s">
        <v>38</v>
      </c>
    </row>
    <row r="5" spans="1:11" x14ac:dyDescent="0.4">
      <c r="A5" t="s">
        <v>5</v>
      </c>
      <c r="B5" t="s">
        <v>39</v>
      </c>
      <c r="C5" s="8">
        <v>147680</v>
      </c>
      <c r="D5" s="8">
        <v>59072</v>
      </c>
      <c r="E5" s="8">
        <v>147680</v>
      </c>
      <c r="F5" s="8">
        <v>59072</v>
      </c>
      <c r="G5" s="8">
        <v>147680</v>
      </c>
      <c r="H5" s="8">
        <v>59072</v>
      </c>
      <c r="I5" s="8">
        <v>147680</v>
      </c>
      <c r="J5" s="8">
        <v>59072</v>
      </c>
      <c r="K5" s="8">
        <v>827008</v>
      </c>
    </row>
    <row r="6" spans="1:11" x14ac:dyDescent="0.4">
      <c r="A6" t="s">
        <v>1</v>
      </c>
      <c r="B6" t="s">
        <v>40</v>
      </c>
      <c r="C6" s="8">
        <v>2422035</v>
      </c>
      <c r="D6" s="8">
        <v>1089915.75</v>
      </c>
      <c r="E6" s="8">
        <v>2422035</v>
      </c>
      <c r="F6" s="8">
        <v>1089915.75</v>
      </c>
      <c r="G6" s="8">
        <v>2422035</v>
      </c>
      <c r="H6" s="8">
        <v>1089915.75</v>
      </c>
      <c r="I6" s="8">
        <v>2422035</v>
      </c>
      <c r="J6" s="8">
        <v>1089915.75</v>
      </c>
      <c r="K6" s="8">
        <v>14047803</v>
      </c>
    </row>
    <row r="7" spans="1:11" x14ac:dyDescent="0.4">
      <c r="B7" t="s">
        <v>41</v>
      </c>
      <c r="C7" s="8">
        <v>4940504</v>
      </c>
      <c r="D7" s="8">
        <v>2470252</v>
      </c>
      <c r="E7" s="8">
        <v>4735750</v>
      </c>
      <c r="F7" s="8">
        <v>2367875</v>
      </c>
      <c r="G7" s="8">
        <v>1159450</v>
      </c>
      <c r="H7" s="8">
        <v>579725</v>
      </c>
      <c r="I7" s="8">
        <v>1159450</v>
      </c>
      <c r="J7" s="8">
        <v>579725</v>
      </c>
      <c r="K7" s="8">
        <v>17992731</v>
      </c>
    </row>
    <row r="8" spans="1:11" x14ac:dyDescent="0.4">
      <c r="A8" t="s">
        <v>8</v>
      </c>
      <c r="B8" t="s">
        <v>41</v>
      </c>
      <c r="C8" s="8">
        <v>155370</v>
      </c>
      <c r="D8" s="8">
        <v>77685</v>
      </c>
      <c r="E8" s="8">
        <v>155370</v>
      </c>
      <c r="F8" s="8">
        <v>77685</v>
      </c>
      <c r="G8" s="8">
        <v>155370</v>
      </c>
      <c r="H8" s="8">
        <v>77685</v>
      </c>
      <c r="I8" s="8">
        <v>155370</v>
      </c>
      <c r="J8" s="8">
        <v>77685</v>
      </c>
      <c r="K8" s="8">
        <v>932220</v>
      </c>
    </row>
    <row r="9" spans="1:11" x14ac:dyDescent="0.4">
      <c r="A9" t="s">
        <v>9</v>
      </c>
      <c r="B9" t="s">
        <v>41</v>
      </c>
      <c r="C9" s="8">
        <v>27000</v>
      </c>
      <c r="D9" s="8">
        <v>13500</v>
      </c>
      <c r="E9" s="8">
        <v>27000</v>
      </c>
      <c r="F9" s="8">
        <v>13500</v>
      </c>
      <c r="G9" s="8">
        <v>27000</v>
      </c>
      <c r="H9" s="8">
        <v>13500</v>
      </c>
      <c r="I9" s="8">
        <v>27000</v>
      </c>
      <c r="J9" s="8">
        <v>13500</v>
      </c>
      <c r="K9" s="8">
        <v>162000</v>
      </c>
    </row>
    <row r="10" spans="1:11" x14ac:dyDescent="0.4">
      <c r="A10" t="s">
        <v>4</v>
      </c>
      <c r="B10" t="s">
        <v>42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</row>
    <row r="11" spans="1:11" x14ac:dyDescent="0.4">
      <c r="A11" t="s">
        <v>10</v>
      </c>
      <c r="B11" t="s">
        <v>43</v>
      </c>
      <c r="C11" s="8">
        <v>82500</v>
      </c>
      <c r="D11" s="8">
        <v>49500</v>
      </c>
      <c r="E11" s="8">
        <v>82500</v>
      </c>
      <c r="F11" s="8">
        <v>49500</v>
      </c>
      <c r="G11" s="8">
        <v>82500</v>
      </c>
      <c r="H11" s="8">
        <v>49500</v>
      </c>
      <c r="I11" s="8">
        <v>82500</v>
      </c>
      <c r="J11" s="8">
        <v>49500</v>
      </c>
      <c r="K11" s="8">
        <v>528000</v>
      </c>
    </row>
    <row r="12" spans="1:11" x14ac:dyDescent="0.4">
      <c r="A12" t="s">
        <v>2</v>
      </c>
      <c r="B12" t="s">
        <v>43</v>
      </c>
      <c r="C12" s="8">
        <v>758940</v>
      </c>
      <c r="D12" s="8">
        <v>455364</v>
      </c>
      <c r="E12" s="8">
        <v>509940</v>
      </c>
      <c r="F12" s="8">
        <v>305964</v>
      </c>
      <c r="G12" s="8">
        <v>509940</v>
      </c>
      <c r="H12" s="8">
        <v>305964</v>
      </c>
      <c r="I12" s="8">
        <v>0</v>
      </c>
      <c r="J12" s="8">
        <v>0</v>
      </c>
      <c r="K12" s="8">
        <v>2846112</v>
      </c>
    </row>
    <row r="13" spans="1:11" x14ac:dyDescent="0.4">
      <c r="A13" t="s">
        <v>11</v>
      </c>
      <c r="B13" t="s">
        <v>41</v>
      </c>
      <c r="C13" s="8">
        <v>49000</v>
      </c>
      <c r="D13" s="8">
        <v>24500</v>
      </c>
      <c r="E13" s="8">
        <v>49000</v>
      </c>
      <c r="F13" s="8">
        <v>24500</v>
      </c>
      <c r="G13" s="8">
        <v>49000</v>
      </c>
      <c r="H13" s="8">
        <v>24500</v>
      </c>
      <c r="I13" s="8">
        <v>49000</v>
      </c>
      <c r="J13" s="8">
        <v>24500</v>
      </c>
      <c r="K13" s="8">
        <v>294000</v>
      </c>
    </row>
    <row r="14" spans="1:11" x14ac:dyDescent="0.4">
      <c r="A14" t="s">
        <v>3</v>
      </c>
      <c r="B14" t="s">
        <v>44</v>
      </c>
      <c r="C14" s="8">
        <v>185500</v>
      </c>
      <c r="D14" s="8">
        <v>185500</v>
      </c>
      <c r="E14" s="8">
        <v>133500</v>
      </c>
      <c r="F14" s="8">
        <v>133500</v>
      </c>
      <c r="G14" s="8">
        <v>133500</v>
      </c>
      <c r="H14" s="8">
        <v>133500</v>
      </c>
      <c r="I14" s="8">
        <v>133500</v>
      </c>
      <c r="J14" s="8">
        <v>133500</v>
      </c>
      <c r="K14" s="8">
        <v>1172000</v>
      </c>
    </row>
    <row r="15" spans="1:11" x14ac:dyDescent="0.4">
      <c r="A15" t="s">
        <v>12</v>
      </c>
      <c r="B15" t="s">
        <v>41</v>
      </c>
      <c r="C15" s="8">
        <v>77000</v>
      </c>
      <c r="D15" s="8">
        <v>38500</v>
      </c>
      <c r="E15" s="8">
        <v>77000</v>
      </c>
      <c r="F15" s="8">
        <v>38500</v>
      </c>
      <c r="G15" s="8">
        <v>77000</v>
      </c>
      <c r="H15" s="8">
        <v>38500</v>
      </c>
      <c r="I15" s="8">
        <v>77000</v>
      </c>
      <c r="J15" s="8">
        <v>38500</v>
      </c>
      <c r="K15" s="8">
        <v>462000</v>
      </c>
    </row>
    <row r="16" spans="1:11" x14ac:dyDescent="0.4">
      <c r="A16" t="s">
        <v>38</v>
      </c>
      <c r="C16" s="8">
        <v>8845529</v>
      </c>
      <c r="D16" s="8">
        <v>4463788.75</v>
      </c>
      <c r="E16" s="8">
        <v>8339775</v>
      </c>
      <c r="F16" s="8">
        <v>4160011.75</v>
      </c>
      <c r="G16" s="8">
        <v>4763475</v>
      </c>
      <c r="H16" s="8">
        <v>2371861.75</v>
      </c>
      <c r="I16" s="8">
        <v>4253535</v>
      </c>
      <c r="J16" s="8">
        <v>2065897.75</v>
      </c>
      <c r="K16" s="8">
        <v>39263874</v>
      </c>
    </row>
    <row r="18" spans="2:8" x14ac:dyDescent="0.4">
      <c r="H18" s="9">
        <v>59072</v>
      </c>
    </row>
    <row r="19" spans="2:8" x14ac:dyDescent="0.4">
      <c r="H19" s="9">
        <v>1089915.75</v>
      </c>
    </row>
    <row r="20" spans="2:8" x14ac:dyDescent="0.4">
      <c r="H20" s="9">
        <v>2470252</v>
      </c>
    </row>
    <row r="21" spans="2:8" x14ac:dyDescent="0.4">
      <c r="H21" s="9">
        <v>77685</v>
      </c>
    </row>
    <row r="22" spans="2:8" x14ac:dyDescent="0.4">
      <c r="H22" s="9">
        <v>13500</v>
      </c>
    </row>
    <row r="23" spans="2:8" x14ac:dyDescent="0.4">
      <c r="B23" s="1" t="s">
        <v>13</v>
      </c>
      <c r="C23" s="1" t="s">
        <v>5</v>
      </c>
      <c r="D23" s="1">
        <v>40</v>
      </c>
      <c r="E23" s="1" t="s">
        <v>39</v>
      </c>
      <c r="F23" s="5" t="s">
        <v>21</v>
      </c>
      <c r="G23" s="2">
        <v>0</v>
      </c>
      <c r="H23" s="9">
        <v>0</v>
      </c>
    </row>
    <row r="24" spans="2:8" x14ac:dyDescent="0.4">
      <c r="B24" s="1" t="s">
        <v>13</v>
      </c>
      <c r="C24" s="1" t="s">
        <v>5</v>
      </c>
      <c r="D24" s="1">
        <v>40</v>
      </c>
      <c r="E24" s="1" t="s">
        <v>39</v>
      </c>
      <c r="F24" s="3" t="s">
        <v>20</v>
      </c>
      <c r="G24" s="1">
        <v>47432</v>
      </c>
      <c r="H24" s="9">
        <v>49500</v>
      </c>
    </row>
    <row r="25" spans="2:8" x14ac:dyDescent="0.4">
      <c r="B25" s="1" t="s">
        <v>13</v>
      </c>
      <c r="C25" s="1" t="s">
        <v>1</v>
      </c>
      <c r="D25" s="1">
        <v>45</v>
      </c>
      <c r="E25" s="1" t="s">
        <v>40</v>
      </c>
      <c r="F25" s="5" t="s">
        <v>21</v>
      </c>
      <c r="G25" s="2">
        <v>0</v>
      </c>
      <c r="H25" s="9">
        <v>455364</v>
      </c>
    </row>
    <row r="26" spans="2:8" x14ac:dyDescent="0.4">
      <c r="B26" s="1" t="s">
        <v>13</v>
      </c>
      <c r="C26" s="1" t="s">
        <v>1</v>
      </c>
      <c r="D26" s="1">
        <v>45</v>
      </c>
      <c r="E26" s="1" t="s">
        <v>40</v>
      </c>
      <c r="F26" s="3" t="s">
        <v>20</v>
      </c>
      <c r="G26" s="1">
        <v>1089915.75</v>
      </c>
      <c r="H26" s="9">
        <v>24500</v>
      </c>
    </row>
    <row r="27" spans="2:8" x14ac:dyDescent="0.4">
      <c r="B27" s="1" t="s">
        <v>13</v>
      </c>
      <c r="C27" s="1" t="s">
        <v>8</v>
      </c>
      <c r="D27" s="1">
        <v>50</v>
      </c>
      <c r="E27" s="1" t="s">
        <v>41</v>
      </c>
      <c r="F27" s="5" t="s">
        <v>21</v>
      </c>
      <c r="G27" s="2">
        <v>0</v>
      </c>
      <c r="H27" s="9">
        <v>185500</v>
      </c>
    </row>
    <row r="28" spans="2:8" x14ac:dyDescent="0.4">
      <c r="B28" s="1" t="s">
        <v>13</v>
      </c>
      <c r="C28" s="1" t="s">
        <v>8</v>
      </c>
      <c r="D28" s="1">
        <v>50</v>
      </c>
      <c r="E28" s="1" t="s">
        <v>41</v>
      </c>
      <c r="F28" s="3" t="s">
        <v>20</v>
      </c>
      <c r="G28" s="1">
        <v>77685</v>
      </c>
      <c r="H28" s="9">
        <v>38500</v>
      </c>
    </row>
    <row r="29" spans="2:8" x14ac:dyDescent="0.4">
      <c r="B29" s="1" t="s">
        <v>13</v>
      </c>
      <c r="C29" s="1" t="s">
        <v>9</v>
      </c>
      <c r="D29" s="1">
        <v>50</v>
      </c>
      <c r="E29" s="1" t="s">
        <v>41</v>
      </c>
      <c r="F29" s="5" t="s">
        <v>21</v>
      </c>
      <c r="G29" s="2">
        <v>0</v>
      </c>
    </row>
    <row r="30" spans="2:8" x14ac:dyDescent="0.4">
      <c r="B30" s="1" t="s">
        <v>13</v>
      </c>
      <c r="C30" s="1" t="s">
        <v>9</v>
      </c>
      <c r="D30" s="1">
        <v>50</v>
      </c>
      <c r="E30" s="1" t="s">
        <v>41</v>
      </c>
      <c r="F30" s="3" t="s">
        <v>20</v>
      </c>
      <c r="G30" s="1">
        <v>13500</v>
      </c>
    </row>
    <row r="31" spans="2:8" x14ac:dyDescent="0.4">
      <c r="B31" s="1" t="s">
        <v>13</v>
      </c>
      <c r="C31" s="1" t="s">
        <v>10</v>
      </c>
      <c r="D31" s="1">
        <v>60</v>
      </c>
      <c r="E31" s="1" t="s">
        <v>43</v>
      </c>
      <c r="F31" s="5" t="s">
        <v>21</v>
      </c>
      <c r="G31" s="2">
        <v>0</v>
      </c>
    </row>
    <row r="32" spans="2:8" x14ac:dyDescent="0.4">
      <c r="B32" s="1" t="s">
        <v>13</v>
      </c>
      <c r="C32" s="1" t="s">
        <v>10</v>
      </c>
      <c r="D32" s="1">
        <v>60</v>
      </c>
      <c r="E32" s="1" t="s">
        <v>43</v>
      </c>
      <c r="F32" s="3" t="s">
        <v>20</v>
      </c>
      <c r="G32" s="1">
        <v>49500</v>
      </c>
    </row>
    <row r="33" spans="2:7" x14ac:dyDescent="0.4">
      <c r="B33" s="1" t="s">
        <v>13</v>
      </c>
      <c r="C33" s="1" t="s">
        <v>11</v>
      </c>
      <c r="D33" s="1">
        <v>50</v>
      </c>
      <c r="E33" s="1" t="s">
        <v>41</v>
      </c>
      <c r="F33" s="5" t="s">
        <v>21</v>
      </c>
      <c r="G33" s="2">
        <v>0</v>
      </c>
    </row>
    <row r="34" spans="2:7" x14ac:dyDescent="0.4">
      <c r="B34" s="1" t="s">
        <v>13</v>
      </c>
      <c r="C34" s="1" t="s">
        <v>11</v>
      </c>
      <c r="D34" s="1">
        <v>50</v>
      </c>
      <c r="E34" s="1" t="s">
        <v>41</v>
      </c>
      <c r="F34" s="3" t="s">
        <v>20</v>
      </c>
      <c r="G34" s="1">
        <v>24500</v>
      </c>
    </row>
    <row r="35" spans="2:7" x14ac:dyDescent="0.4">
      <c r="B35" s="1" t="s">
        <v>13</v>
      </c>
      <c r="C35" s="1" t="s">
        <v>3</v>
      </c>
      <c r="D35" s="1">
        <v>100</v>
      </c>
      <c r="E35" s="1" t="s">
        <v>44</v>
      </c>
      <c r="F35" s="5" t="s">
        <v>21</v>
      </c>
      <c r="G35" s="2">
        <v>0</v>
      </c>
    </row>
    <row r="36" spans="2:7" x14ac:dyDescent="0.4">
      <c r="B36" s="1" t="s">
        <v>13</v>
      </c>
      <c r="C36" s="1" t="s">
        <v>3</v>
      </c>
      <c r="D36" s="1">
        <v>100</v>
      </c>
      <c r="E36" s="1" t="s">
        <v>44</v>
      </c>
      <c r="F36" s="3" t="s">
        <v>20</v>
      </c>
      <c r="G36" s="1">
        <v>106000</v>
      </c>
    </row>
    <row r="37" spans="2:7" x14ac:dyDescent="0.4">
      <c r="B37" s="1" t="s">
        <v>13</v>
      </c>
      <c r="C37" s="1" t="s">
        <v>12</v>
      </c>
      <c r="D37" s="1">
        <v>50</v>
      </c>
      <c r="E37" s="1" t="s">
        <v>41</v>
      </c>
      <c r="F37" s="5" t="s">
        <v>21</v>
      </c>
      <c r="G37" s="2">
        <v>0</v>
      </c>
    </row>
    <row r="38" spans="2:7" x14ac:dyDescent="0.4">
      <c r="B38" s="1" t="s">
        <v>13</v>
      </c>
      <c r="C38" s="1" t="s">
        <v>12</v>
      </c>
      <c r="D38" s="1">
        <v>50</v>
      </c>
      <c r="E38" s="1" t="s">
        <v>41</v>
      </c>
      <c r="F38" s="3" t="s">
        <v>20</v>
      </c>
      <c r="G38" s="1">
        <v>38500</v>
      </c>
    </row>
    <row r="39" spans="2:7" x14ac:dyDescent="0.4">
      <c r="B39" s="1" t="s">
        <v>6</v>
      </c>
      <c r="C39" s="1" t="s">
        <v>5</v>
      </c>
      <c r="D39" s="1">
        <v>40</v>
      </c>
      <c r="E39" s="1" t="s">
        <v>39</v>
      </c>
      <c r="F39" s="5" t="s">
        <v>21</v>
      </c>
      <c r="G39" s="1">
        <v>29100</v>
      </c>
    </row>
    <row r="40" spans="2:7" x14ac:dyDescent="0.4">
      <c r="B40" s="1" t="s">
        <v>6</v>
      </c>
      <c r="C40" s="1" t="s">
        <v>5</v>
      </c>
      <c r="D40" s="1">
        <v>40</v>
      </c>
      <c r="E40" s="1" t="s">
        <v>39</v>
      </c>
      <c r="F40" s="3" t="s">
        <v>20</v>
      </c>
      <c r="G40" s="1">
        <v>11640</v>
      </c>
    </row>
    <row r="41" spans="2:7" x14ac:dyDescent="0.4">
      <c r="B41" s="1" t="s">
        <v>6</v>
      </c>
      <c r="C41" s="1" t="s">
        <v>1</v>
      </c>
      <c r="D41" s="1">
        <v>50</v>
      </c>
      <c r="E41" s="1" t="s">
        <v>41</v>
      </c>
      <c r="F41" s="5" t="s">
        <v>21</v>
      </c>
      <c r="G41" s="1">
        <v>3853104</v>
      </c>
    </row>
    <row r="42" spans="2:7" x14ac:dyDescent="0.4">
      <c r="B42" s="1" t="s">
        <v>6</v>
      </c>
      <c r="C42" s="1" t="s">
        <v>1</v>
      </c>
      <c r="D42" s="1">
        <v>50</v>
      </c>
      <c r="E42" s="1" t="s">
        <v>41</v>
      </c>
      <c r="F42" s="3" t="s">
        <v>20</v>
      </c>
      <c r="G42" s="1">
        <v>1926552</v>
      </c>
    </row>
    <row r="43" spans="2:7" x14ac:dyDescent="0.4">
      <c r="B43" s="1" t="s">
        <v>6</v>
      </c>
      <c r="C43" s="1" t="s">
        <v>4</v>
      </c>
      <c r="D43" s="1">
        <v>30</v>
      </c>
      <c r="E43" s="1" t="s">
        <v>42</v>
      </c>
      <c r="F43" s="5" t="s">
        <v>21</v>
      </c>
      <c r="G43" s="1">
        <v>4015</v>
      </c>
    </row>
    <row r="44" spans="2:7" x14ac:dyDescent="0.4">
      <c r="B44" s="1" t="s">
        <v>6</v>
      </c>
      <c r="C44" s="1" t="s">
        <v>4</v>
      </c>
      <c r="D44" s="1">
        <v>30</v>
      </c>
      <c r="E44" s="1" t="s">
        <v>42</v>
      </c>
      <c r="F44" s="3" t="s">
        <v>20</v>
      </c>
      <c r="G44" s="1">
        <v>1204.5</v>
      </c>
    </row>
    <row r="45" spans="2:7" x14ac:dyDescent="0.4">
      <c r="B45" s="1" t="s">
        <v>6</v>
      </c>
      <c r="C45" s="1" t="s">
        <v>2</v>
      </c>
      <c r="D45" s="1">
        <v>60</v>
      </c>
      <c r="E45" s="1" t="s">
        <v>43</v>
      </c>
      <c r="F45" s="5" t="s">
        <v>21</v>
      </c>
      <c r="G45" s="1">
        <v>758940</v>
      </c>
    </row>
    <row r="46" spans="2:7" x14ac:dyDescent="0.4">
      <c r="B46" s="1" t="s">
        <v>6</v>
      </c>
      <c r="C46" s="1" t="s">
        <v>2</v>
      </c>
      <c r="D46" s="1">
        <v>60</v>
      </c>
      <c r="E46" s="1" t="s">
        <v>43</v>
      </c>
      <c r="F46" s="3" t="s">
        <v>20</v>
      </c>
      <c r="G46" s="1">
        <v>455364</v>
      </c>
    </row>
    <row r="47" spans="2:7" x14ac:dyDescent="0.4">
      <c r="B47" s="1" t="s">
        <v>6</v>
      </c>
      <c r="C47" s="1" t="s">
        <v>3</v>
      </c>
      <c r="D47" s="1">
        <v>100</v>
      </c>
      <c r="E47" s="1" t="s">
        <v>44</v>
      </c>
      <c r="F47" s="5" t="s">
        <v>21</v>
      </c>
      <c r="G47" s="1">
        <v>79500</v>
      </c>
    </row>
    <row r="48" spans="2:7" x14ac:dyDescent="0.4">
      <c r="B48" s="1" t="s">
        <v>6</v>
      </c>
      <c r="C48" s="1" t="s">
        <v>3</v>
      </c>
      <c r="D48" s="1">
        <v>100</v>
      </c>
      <c r="E48" s="1" t="s">
        <v>44</v>
      </c>
      <c r="F48" s="3" t="s">
        <v>20</v>
      </c>
      <c r="G48" s="1">
        <v>79500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27FC9-3372-4CBC-B2AB-B8693957732A}">
  <dimension ref="A3:M18"/>
  <sheetViews>
    <sheetView topLeftCell="B1" zoomScale="85" zoomScaleNormal="85" workbookViewId="0">
      <selection activeCell="F33" sqref="F33"/>
    </sheetView>
  </sheetViews>
  <sheetFormatPr defaultRowHeight="18.75" x14ac:dyDescent="0.4"/>
  <cols>
    <col min="1" max="1" width="35.375" bestFit="1" customWidth="1"/>
    <col min="2" max="2" width="9.875" customWidth="1"/>
    <col min="3" max="3" width="9.375" bestFit="1" customWidth="1"/>
    <col min="4" max="4" width="17.625" bestFit="1" customWidth="1"/>
    <col min="5" max="5" width="21.375" bestFit="1" customWidth="1"/>
    <col min="6" max="6" width="17.625" bestFit="1" customWidth="1"/>
    <col min="7" max="7" width="21.375" bestFit="1" customWidth="1"/>
    <col min="8" max="8" width="17.625" bestFit="1" customWidth="1"/>
    <col min="9" max="9" width="21.375" bestFit="1" customWidth="1"/>
    <col min="10" max="10" width="17.625" bestFit="1" customWidth="1"/>
    <col min="11" max="11" width="21.375" bestFit="1" customWidth="1"/>
    <col min="12" max="12" width="17.625" bestFit="1" customWidth="1"/>
    <col min="13" max="13" width="21.375" bestFit="1" customWidth="1"/>
  </cols>
  <sheetData>
    <row r="3" spans="1:13" x14ac:dyDescent="0.4">
      <c r="A3" s="7" t="s">
        <v>0</v>
      </c>
      <c r="B3" s="7" t="s">
        <v>57</v>
      </c>
      <c r="C3" s="7" t="s">
        <v>58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L3" t="s">
        <v>55</v>
      </c>
      <c r="M3" t="s">
        <v>56</v>
      </c>
    </row>
    <row r="4" spans="1:13" x14ac:dyDescent="0.4">
      <c r="A4" t="s">
        <v>5</v>
      </c>
      <c r="B4" s="8">
        <v>40</v>
      </c>
      <c r="C4" t="s">
        <v>59</v>
      </c>
      <c r="D4" s="8">
        <v>0</v>
      </c>
      <c r="E4" s="8">
        <v>47432</v>
      </c>
      <c r="F4" s="8">
        <v>118580</v>
      </c>
      <c r="G4" s="9">
        <v>47432</v>
      </c>
      <c r="H4" s="8">
        <v>118580</v>
      </c>
      <c r="I4" s="8">
        <v>47432</v>
      </c>
      <c r="J4" s="8">
        <v>118580</v>
      </c>
      <c r="K4" s="8">
        <v>47432</v>
      </c>
      <c r="L4" s="8">
        <v>118580</v>
      </c>
      <c r="M4" s="8">
        <v>47432</v>
      </c>
    </row>
    <row r="5" spans="1:13" x14ac:dyDescent="0.4">
      <c r="A5" t="s">
        <v>5</v>
      </c>
      <c r="B5" s="8">
        <v>40</v>
      </c>
      <c r="C5" t="s">
        <v>60</v>
      </c>
      <c r="D5" s="8">
        <v>29100</v>
      </c>
      <c r="E5" s="8">
        <v>11640</v>
      </c>
      <c r="F5" s="8">
        <v>29100</v>
      </c>
      <c r="G5" s="9">
        <v>11640</v>
      </c>
      <c r="H5" s="8">
        <v>29100</v>
      </c>
      <c r="I5" s="8">
        <v>11640</v>
      </c>
      <c r="J5" s="8">
        <v>29100</v>
      </c>
      <c r="K5" s="8">
        <v>11640</v>
      </c>
      <c r="L5" s="8">
        <v>29100</v>
      </c>
      <c r="M5" s="8">
        <v>11640</v>
      </c>
    </row>
    <row r="6" spans="1:13" x14ac:dyDescent="0.4">
      <c r="A6" t="s">
        <v>1</v>
      </c>
      <c r="B6" s="8">
        <v>45</v>
      </c>
      <c r="C6" t="s">
        <v>59</v>
      </c>
      <c r="D6" s="8">
        <v>0</v>
      </c>
      <c r="E6" s="8">
        <v>1089915.75</v>
      </c>
      <c r="F6" s="8">
        <v>2422035</v>
      </c>
      <c r="G6" s="9">
        <v>1089915.75</v>
      </c>
      <c r="H6" s="8">
        <v>2422035</v>
      </c>
      <c r="I6" s="8">
        <v>1089915.75</v>
      </c>
      <c r="J6" s="8">
        <v>2422035</v>
      </c>
      <c r="K6" s="8">
        <v>1089915.75</v>
      </c>
      <c r="L6" s="8">
        <v>2422035</v>
      </c>
      <c r="M6" s="8">
        <v>1089915.75</v>
      </c>
    </row>
    <row r="7" spans="1:13" x14ac:dyDescent="0.4">
      <c r="A7" t="s">
        <v>1</v>
      </c>
      <c r="B7" s="8">
        <v>50</v>
      </c>
      <c r="C7" t="s">
        <v>59</v>
      </c>
      <c r="D7" s="8">
        <v>0</v>
      </c>
      <c r="E7" s="8">
        <v>579725</v>
      </c>
      <c r="F7" s="8">
        <v>1159450</v>
      </c>
      <c r="G7" s="9">
        <v>579725</v>
      </c>
      <c r="H7" s="8">
        <v>1159450</v>
      </c>
      <c r="I7" s="8">
        <v>579725</v>
      </c>
      <c r="J7" s="8">
        <v>1159450</v>
      </c>
      <c r="K7" s="8">
        <v>579725</v>
      </c>
      <c r="L7" s="8">
        <v>1159450</v>
      </c>
      <c r="M7" s="8">
        <v>579725</v>
      </c>
    </row>
    <row r="8" spans="1:13" x14ac:dyDescent="0.4">
      <c r="A8" t="s">
        <v>1</v>
      </c>
      <c r="B8" s="8">
        <v>50</v>
      </c>
      <c r="C8" t="s">
        <v>60</v>
      </c>
      <c r="D8" s="8">
        <v>3853104</v>
      </c>
      <c r="E8" s="8">
        <v>1926552</v>
      </c>
      <c r="F8" s="8">
        <v>3781054</v>
      </c>
      <c r="G8" s="9">
        <v>1890527</v>
      </c>
      <c r="H8" s="8">
        <v>3576300</v>
      </c>
      <c r="I8" s="8">
        <v>1788150</v>
      </c>
      <c r="J8" s="8">
        <v>0</v>
      </c>
      <c r="K8" s="8">
        <v>0</v>
      </c>
      <c r="L8" s="8">
        <v>0</v>
      </c>
      <c r="M8" s="8">
        <v>0</v>
      </c>
    </row>
    <row r="9" spans="1:13" x14ac:dyDescent="0.4">
      <c r="A9" t="s">
        <v>8</v>
      </c>
      <c r="B9" s="8">
        <v>50</v>
      </c>
      <c r="C9" t="s">
        <v>59</v>
      </c>
      <c r="D9" s="8">
        <v>0</v>
      </c>
      <c r="E9" s="8">
        <v>77685</v>
      </c>
      <c r="F9" s="8">
        <v>155370</v>
      </c>
      <c r="G9" s="9">
        <v>77685</v>
      </c>
      <c r="H9" s="8">
        <v>155370</v>
      </c>
      <c r="I9" s="8">
        <v>77685</v>
      </c>
      <c r="J9" s="8">
        <v>155370</v>
      </c>
      <c r="K9" s="8">
        <v>77685</v>
      </c>
      <c r="L9" s="8">
        <v>155370</v>
      </c>
      <c r="M9" s="8">
        <v>77685</v>
      </c>
    </row>
    <row r="10" spans="1:13" x14ac:dyDescent="0.4">
      <c r="A10" t="s">
        <v>9</v>
      </c>
      <c r="B10" s="8">
        <v>50</v>
      </c>
      <c r="C10" t="s">
        <v>59</v>
      </c>
      <c r="D10" s="8">
        <v>0</v>
      </c>
      <c r="E10" s="8">
        <v>13500</v>
      </c>
      <c r="F10" s="8">
        <v>27000</v>
      </c>
      <c r="G10" s="9">
        <v>13500</v>
      </c>
      <c r="H10" s="8">
        <v>27000</v>
      </c>
      <c r="I10" s="8">
        <v>13500</v>
      </c>
      <c r="J10" s="8">
        <v>27000</v>
      </c>
      <c r="K10" s="8">
        <v>13500</v>
      </c>
      <c r="L10" s="8">
        <v>27000</v>
      </c>
      <c r="M10" s="8">
        <v>13500</v>
      </c>
    </row>
    <row r="11" spans="1:13" x14ac:dyDescent="0.4">
      <c r="A11" t="s">
        <v>4</v>
      </c>
      <c r="B11" s="8">
        <v>30</v>
      </c>
      <c r="C11" t="s">
        <v>60</v>
      </c>
      <c r="D11" s="8">
        <v>4015</v>
      </c>
      <c r="E11" s="8">
        <v>1204.5</v>
      </c>
      <c r="F11" s="8">
        <v>0</v>
      </c>
      <c r="G11" s="9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</row>
    <row r="12" spans="1:13" x14ac:dyDescent="0.4">
      <c r="A12" t="s">
        <v>10</v>
      </c>
      <c r="B12" s="8">
        <v>60</v>
      </c>
      <c r="C12" t="s">
        <v>59</v>
      </c>
      <c r="D12" s="8">
        <v>0</v>
      </c>
      <c r="E12" s="8">
        <v>49500</v>
      </c>
      <c r="F12" s="8">
        <v>82500</v>
      </c>
      <c r="G12" s="9">
        <v>49500</v>
      </c>
      <c r="H12" s="8">
        <v>82500</v>
      </c>
      <c r="I12" s="8">
        <v>49500</v>
      </c>
      <c r="J12" s="8">
        <v>82500</v>
      </c>
      <c r="K12" s="8">
        <v>49500</v>
      </c>
      <c r="L12" s="8">
        <v>82500</v>
      </c>
      <c r="M12" s="8">
        <v>49500</v>
      </c>
    </row>
    <row r="13" spans="1:13" x14ac:dyDescent="0.4">
      <c r="A13" t="s">
        <v>2</v>
      </c>
      <c r="B13" s="8">
        <v>60</v>
      </c>
      <c r="C13" t="s">
        <v>60</v>
      </c>
      <c r="D13" s="8">
        <v>758940</v>
      </c>
      <c r="E13" s="8">
        <v>455364</v>
      </c>
      <c r="F13" s="8">
        <v>758940</v>
      </c>
      <c r="G13" s="9">
        <v>455364</v>
      </c>
      <c r="H13" s="8">
        <v>509940</v>
      </c>
      <c r="I13" s="8">
        <v>305964</v>
      </c>
      <c r="J13" s="8">
        <v>509940</v>
      </c>
      <c r="K13" s="8">
        <v>305964</v>
      </c>
      <c r="L13" s="8">
        <v>0</v>
      </c>
      <c r="M13" s="8">
        <v>0</v>
      </c>
    </row>
    <row r="14" spans="1:13" x14ac:dyDescent="0.4">
      <c r="A14" t="s">
        <v>11</v>
      </c>
      <c r="B14" s="8">
        <v>50</v>
      </c>
      <c r="C14" t="s">
        <v>59</v>
      </c>
      <c r="D14" s="8">
        <v>0</v>
      </c>
      <c r="E14" s="8">
        <v>24500</v>
      </c>
      <c r="F14" s="8">
        <v>49000</v>
      </c>
      <c r="G14" s="9">
        <v>24500</v>
      </c>
      <c r="H14" s="8">
        <v>49000</v>
      </c>
      <c r="I14" s="8">
        <v>24500</v>
      </c>
      <c r="J14" s="8">
        <v>49000</v>
      </c>
      <c r="K14" s="8">
        <v>24500</v>
      </c>
      <c r="L14" s="8">
        <v>49000</v>
      </c>
      <c r="M14" s="8">
        <v>24500</v>
      </c>
    </row>
    <row r="15" spans="1:13" x14ac:dyDescent="0.4">
      <c r="A15" t="s">
        <v>3</v>
      </c>
      <c r="B15" s="8">
        <v>100</v>
      </c>
      <c r="C15" t="s">
        <v>59</v>
      </c>
      <c r="D15" s="8">
        <v>0</v>
      </c>
      <c r="E15" s="8">
        <v>106000</v>
      </c>
      <c r="F15" s="8">
        <v>106000</v>
      </c>
      <c r="G15" s="9">
        <v>106000</v>
      </c>
      <c r="H15" s="8">
        <v>106000</v>
      </c>
      <c r="I15" s="8">
        <v>106000</v>
      </c>
      <c r="J15" s="8">
        <v>106000</v>
      </c>
      <c r="K15" s="8">
        <v>106000</v>
      </c>
      <c r="L15" s="8">
        <v>106000</v>
      </c>
      <c r="M15" s="8">
        <v>106000</v>
      </c>
    </row>
    <row r="16" spans="1:13" x14ac:dyDescent="0.4">
      <c r="A16" t="s">
        <v>3</v>
      </c>
      <c r="B16" s="8">
        <v>100</v>
      </c>
      <c r="C16" t="s">
        <v>60</v>
      </c>
      <c r="D16" s="8">
        <v>79500</v>
      </c>
      <c r="E16" s="8">
        <v>79500</v>
      </c>
      <c r="F16" s="8">
        <v>79500</v>
      </c>
      <c r="G16" s="9">
        <v>79500</v>
      </c>
      <c r="H16" s="8">
        <v>27500</v>
      </c>
      <c r="I16" s="8">
        <v>27500</v>
      </c>
      <c r="J16" s="8">
        <v>27500</v>
      </c>
      <c r="K16" s="8">
        <v>27500</v>
      </c>
      <c r="L16" s="8">
        <v>27500</v>
      </c>
      <c r="M16" s="8">
        <v>27500</v>
      </c>
    </row>
    <row r="17" spans="1:13" x14ac:dyDescent="0.4">
      <c r="A17" t="s">
        <v>12</v>
      </c>
      <c r="B17" s="8">
        <v>50</v>
      </c>
      <c r="C17" t="s">
        <v>59</v>
      </c>
      <c r="D17" s="8">
        <v>0</v>
      </c>
      <c r="E17" s="8">
        <v>38500</v>
      </c>
      <c r="F17" s="8">
        <v>77000</v>
      </c>
      <c r="G17" s="9">
        <v>38500</v>
      </c>
      <c r="H17" s="8">
        <v>77000</v>
      </c>
      <c r="I17" s="8">
        <v>38500</v>
      </c>
      <c r="J17" s="8">
        <v>77000</v>
      </c>
      <c r="K17" s="8">
        <v>38500</v>
      </c>
      <c r="L17" s="8">
        <v>77000</v>
      </c>
      <c r="M17" s="8">
        <v>38500</v>
      </c>
    </row>
    <row r="18" spans="1:13" x14ac:dyDescent="0.4">
      <c r="A18" t="s">
        <v>38</v>
      </c>
      <c r="D18" s="8">
        <v>4724659</v>
      </c>
      <c r="E18" s="8">
        <v>4501018.25</v>
      </c>
      <c r="F18" s="8">
        <v>8845529</v>
      </c>
      <c r="G18" s="8">
        <v>4463788.75</v>
      </c>
      <c r="H18" s="8">
        <v>8339775</v>
      </c>
      <c r="I18" s="8">
        <v>4160011.75</v>
      </c>
      <c r="J18" s="8">
        <v>4763475</v>
      </c>
      <c r="K18" s="8">
        <v>2371861.75</v>
      </c>
      <c r="L18" s="8">
        <v>4253535</v>
      </c>
      <c r="M18" s="8">
        <v>2065897.75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2025-02-07T03:52:47Z</dcterms:created>
  <dcterms:modified xsi:type="dcterms:W3CDTF">2025-02-07T09:05:22Z</dcterms:modified>
</cp:coreProperties>
</file>